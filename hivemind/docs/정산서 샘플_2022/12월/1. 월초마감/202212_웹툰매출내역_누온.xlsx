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" sheetId="1" r:id="rId1"/>
  </sheets>
  <calcPr calcId="152511"/>
</workbook>
</file>

<file path=xl/calcChain.xml><?xml version="1.0" encoding="utf-8"?>
<calcChain xmlns="http://schemas.openxmlformats.org/spreadsheetml/2006/main">
  <c r="N54" i="1" l="1"/>
  <c r="I46" i="1"/>
  <c r="J47" i="1"/>
  <c r="N51" i="1" l="1"/>
  <c r="N50" i="1"/>
  <c r="N52" i="1" l="1"/>
</calcChain>
</file>

<file path=xl/sharedStrings.xml><?xml version="1.0" encoding="utf-8"?>
<sst xmlns="http://schemas.openxmlformats.org/spreadsheetml/2006/main" count="305" uniqueCount="42">
  <si>
    <t>번호</t>
  </si>
  <si>
    <t>플랫폼</t>
  </si>
  <si>
    <t>제목</t>
  </si>
  <si>
    <t>작가</t>
  </si>
  <si>
    <t>판매가</t>
  </si>
  <si>
    <t>판매수</t>
  </si>
  <si>
    <t>누온</t>
  </si>
  <si>
    <t>리디북스</t>
  </si>
  <si>
    <t>트리거</t>
  </si>
  <si>
    <t>류은립, 블랙커피</t>
  </si>
  <si>
    <t>미통보</t>
  </si>
  <si>
    <t>매출월</t>
    <phoneticPr fontId="3" type="noConversion"/>
  </si>
  <si>
    <t>플랫폼</t>
    <phoneticPr fontId="3" type="noConversion"/>
  </si>
  <si>
    <t>저자명</t>
    <phoneticPr fontId="3" type="noConversion"/>
  </si>
  <si>
    <t>출판사</t>
    <phoneticPr fontId="3" type="noConversion"/>
  </si>
  <si>
    <t>인세인</t>
    <phoneticPr fontId="3" type="noConversion"/>
  </si>
  <si>
    <t>정산-인세</t>
    <phoneticPr fontId="3" type="noConversion"/>
  </si>
  <si>
    <t>스토리위즈(사업자)</t>
  </si>
  <si>
    <t>정산액</t>
  </si>
  <si>
    <t>웹툰</t>
    <phoneticPr fontId="3" type="noConversion"/>
  </si>
  <si>
    <t>정산월</t>
    <phoneticPr fontId="3" type="noConversion"/>
  </si>
  <si>
    <t>수정매출처</t>
    <phoneticPr fontId="3" type="noConversion"/>
  </si>
  <si>
    <t>상품명</t>
    <phoneticPr fontId="3" type="noConversion"/>
  </si>
  <si>
    <t>정산-매출</t>
    <phoneticPr fontId="3" type="noConversion"/>
  </si>
  <si>
    <t>정산-발행</t>
    <phoneticPr fontId="3" type="noConversion"/>
  </si>
  <si>
    <t>정산업체</t>
    <phoneticPr fontId="3" type="noConversion"/>
  </si>
  <si>
    <t>정산기준</t>
    <phoneticPr fontId="3" type="noConversion"/>
  </si>
  <si>
    <t>인세율</t>
    <phoneticPr fontId="3" type="noConversion"/>
  </si>
  <si>
    <t>구분</t>
    <phoneticPr fontId="3" type="noConversion"/>
  </si>
  <si>
    <r>
      <rPr>
        <sz val="10"/>
        <color rgb="FF000000"/>
        <rFont val="돋움"/>
        <family val="3"/>
        <charset val="129"/>
      </rPr>
      <t>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돋움"/>
        <family val="3"/>
        <charset val="129"/>
      </rPr>
      <t>정산액</t>
    </r>
    <phoneticPr fontId="2" type="noConversion"/>
  </si>
  <si>
    <t>플랫폼매출</t>
  </si>
  <si>
    <t>누온정산액</t>
  </si>
  <si>
    <t>계약비율</t>
  </si>
  <si>
    <t>판매월</t>
    <phoneticPr fontId="2" type="noConversion"/>
  </si>
  <si>
    <t>델리툰-독일</t>
    <phoneticPr fontId="3" type="noConversion"/>
  </si>
  <si>
    <t>누온</t>
    <phoneticPr fontId="3" type="noConversion"/>
  </si>
  <si>
    <t>트리거</t>
    <phoneticPr fontId="3" type="noConversion"/>
  </si>
  <si>
    <t>웹툰</t>
    <phoneticPr fontId="3" type="noConversion"/>
  </si>
  <si>
    <t>봉툰-프랑스</t>
    <phoneticPr fontId="3" type="noConversion"/>
  </si>
  <si>
    <t>작가정산액</t>
  </si>
  <si>
    <t>10%</t>
  </si>
  <si>
    <r>
      <t>1</t>
    </r>
    <r>
      <rPr>
        <sz val="10"/>
        <color rgb="FF000000"/>
        <rFont val="Calibri"/>
        <family val="2"/>
      </rPr>
      <t>0</t>
    </r>
    <r>
      <rPr>
        <sz val="10"/>
        <color rgb="FF000000"/>
        <rFont val="돋움"/>
        <family val="3"/>
        <charset val="129"/>
      </rPr>
      <t>월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</si>
</sst>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0"/>
      <color rgb="FF000000"/>
      <name val="Calibri"/>
    </font>
    <font>
      <sz val="10"/>
      <color rgb="FF000000"/>
      <name val="Calibri"/>
      <family val="2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10"/>
      <color rgb="FFFF0000"/>
      <name val="Calibri"/>
      <family val="2"/>
    </font>
    <font>
      <b/>
      <sz val="10"/>
      <color rgb="FF000000"/>
      <name val="Calibri"/>
      <family val="2"/>
    </font>
    <font>
      <b/>
      <sz val="9"/>
      <name val="맑은 고딕"/>
      <family val="3"/>
      <charset val="129"/>
      <scheme val="minor"/>
    </font>
    <font>
      <sz val="9"/>
      <color rgb="FF000000"/>
      <name val="Calibri"/>
      <family val="2"/>
    </font>
    <font>
      <sz val="9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41" fontId="0" fillId="0" borderId="0" xfId="1" applyFont="1" applyAlignment="1"/>
    <xf numFmtId="0" fontId="0" fillId="0" borderId="0" xfId="0" applyAlignment="1">
      <alignment vertical="center"/>
    </xf>
    <xf numFmtId="0" fontId="1" fillId="0" borderId="0" xfId="0" applyFont="1"/>
    <xf numFmtId="41" fontId="5" fillId="0" borderId="0" xfId="1" applyFont="1" applyAlignment="1"/>
    <xf numFmtId="41" fontId="5" fillId="0" borderId="0" xfId="0" applyNumberFormat="1" applyFont="1"/>
    <xf numFmtId="41" fontId="6" fillId="2" borderId="0" xfId="0" applyNumberFormat="1" applyFont="1" applyFill="1"/>
    <xf numFmtId="0" fontId="7" fillId="0" borderId="1" xfId="0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9" fontId="0" fillId="0" borderId="0" xfId="0" applyNumberFormat="1"/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NumberFormat="1" applyFont="1"/>
  </cellXfs>
  <cellStyles count="2">
    <cellStyle name="쉼표 [0]" xfId="1" builtinId="6"/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A28" workbookViewId="0">
      <selection activeCell="N55" sqref="N55"/>
    </sheetView>
  </sheetViews>
  <sheetFormatPr defaultRowHeight="12.75" x14ac:dyDescent="0.2"/>
  <cols>
    <col min="1" max="2" width="10.7109375" bestFit="1" customWidth="1"/>
    <col min="3" max="3" width="10.28515625" bestFit="1" customWidth="1"/>
    <col min="5" max="5" width="16.28515625" bestFit="1" customWidth="1"/>
    <col min="6" max="6" width="11.5703125" bestFit="1" customWidth="1"/>
    <col min="8" max="8" width="10.5703125" bestFit="1" customWidth="1"/>
    <col min="9" max="9" width="12.28515625" bestFit="1" customWidth="1"/>
    <col min="10" max="10" width="11.5703125" bestFit="1" customWidth="1"/>
    <col min="11" max="11" width="16.28515625" bestFit="1" customWidth="1"/>
    <col min="14" max="14" width="9.1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39</v>
      </c>
      <c r="J1" t="s">
        <v>32</v>
      </c>
      <c r="K1" t="s">
        <v>33</v>
      </c>
    </row>
    <row r="2" spans="1:11" x14ac:dyDescent="0.2">
      <c r="A2">
        <v>1</v>
      </c>
      <c r="B2" t="s">
        <v>7</v>
      </c>
      <c r="C2" t="s">
        <v>8</v>
      </c>
      <c r="D2" t="s">
        <v>9</v>
      </c>
      <c r="F2" t="s">
        <v>10</v>
      </c>
      <c r="G2">
        <v>0</v>
      </c>
      <c r="H2">
        <v>0</v>
      </c>
      <c r="I2">
        <v>0</v>
      </c>
      <c r="J2" t="s">
        <v>40</v>
      </c>
      <c r="K2" s="16" t="s">
        <v>41</v>
      </c>
    </row>
    <row r="3" spans="1:11" x14ac:dyDescent="0.2">
      <c r="A3">
        <v>2</v>
      </c>
      <c r="B3" t="s">
        <v>7</v>
      </c>
      <c r="C3" t="s">
        <v>8</v>
      </c>
      <c r="D3" t="s">
        <v>9</v>
      </c>
      <c r="F3" t="s">
        <v>10</v>
      </c>
      <c r="G3">
        <v>18000</v>
      </c>
      <c r="H3">
        <v>12542</v>
      </c>
      <c r="I3">
        <v>1254</v>
      </c>
      <c r="J3" t="s">
        <v>40</v>
      </c>
      <c r="K3" s="16" t="s">
        <v>41</v>
      </c>
    </row>
    <row r="4" spans="1:11" x14ac:dyDescent="0.2">
      <c r="A4">
        <v>3</v>
      </c>
      <c r="B4" t="s">
        <v>7</v>
      </c>
      <c r="C4" t="s">
        <v>8</v>
      </c>
      <c r="D4" t="s">
        <v>9</v>
      </c>
      <c r="F4" t="s">
        <v>10</v>
      </c>
      <c r="G4">
        <v>103600</v>
      </c>
      <c r="H4">
        <v>70986</v>
      </c>
      <c r="I4">
        <v>7099</v>
      </c>
      <c r="J4" t="s">
        <v>40</v>
      </c>
      <c r="K4" s="16" t="s">
        <v>41</v>
      </c>
    </row>
    <row r="5" spans="1:11" x14ac:dyDescent="0.2">
      <c r="A5">
        <v>4</v>
      </c>
      <c r="B5" t="s">
        <v>7</v>
      </c>
      <c r="C5" t="s">
        <v>8</v>
      </c>
      <c r="D5" t="s">
        <v>9</v>
      </c>
      <c r="F5" t="s">
        <v>10</v>
      </c>
      <c r="G5">
        <v>103400</v>
      </c>
      <c r="H5">
        <v>70869</v>
      </c>
      <c r="I5">
        <v>7087</v>
      </c>
      <c r="J5" t="s">
        <v>40</v>
      </c>
      <c r="K5" s="16" t="s">
        <v>41</v>
      </c>
    </row>
    <row r="6" spans="1:11" x14ac:dyDescent="0.2">
      <c r="A6">
        <v>5</v>
      </c>
      <c r="B6" t="s">
        <v>7</v>
      </c>
      <c r="C6" t="s">
        <v>8</v>
      </c>
      <c r="D6" t="s">
        <v>9</v>
      </c>
      <c r="F6" t="s">
        <v>10</v>
      </c>
      <c r="G6">
        <v>104000</v>
      </c>
      <c r="H6">
        <v>71347</v>
      </c>
      <c r="I6">
        <v>7135</v>
      </c>
      <c r="J6" t="s">
        <v>40</v>
      </c>
      <c r="K6" s="16" t="s">
        <v>41</v>
      </c>
    </row>
    <row r="7" spans="1:11" x14ac:dyDescent="0.2">
      <c r="A7">
        <v>6</v>
      </c>
      <c r="B7" t="s">
        <v>7</v>
      </c>
      <c r="C7" t="s">
        <v>8</v>
      </c>
      <c r="D7" t="s">
        <v>9</v>
      </c>
      <c r="F7" t="s">
        <v>10</v>
      </c>
      <c r="G7">
        <v>105100</v>
      </c>
      <c r="H7">
        <v>72021</v>
      </c>
      <c r="I7">
        <v>7202</v>
      </c>
      <c r="J7" t="s">
        <v>40</v>
      </c>
      <c r="K7" s="16" t="s">
        <v>41</v>
      </c>
    </row>
    <row r="8" spans="1:11" x14ac:dyDescent="0.2">
      <c r="A8">
        <v>7</v>
      </c>
      <c r="B8" t="s">
        <v>7</v>
      </c>
      <c r="C8" t="s">
        <v>8</v>
      </c>
      <c r="D8" t="s">
        <v>9</v>
      </c>
      <c r="F8" t="s">
        <v>10</v>
      </c>
      <c r="G8">
        <v>106800</v>
      </c>
      <c r="H8">
        <v>73226</v>
      </c>
      <c r="I8">
        <v>7323</v>
      </c>
      <c r="J8" t="s">
        <v>40</v>
      </c>
      <c r="K8" s="16" t="s">
        <v>41</v>
      </c>
    </row>
    <row r="9" spans="1:11" x14ac:dyDescent="0.2">
      <c r="A9">
        <v>8</v>
      </c>
      <c r="B9" t="s">
        <v>7</v>
      </c>
      <c r="C9" t="s">
        <v>8</v>
      </c>
      <c r="D9" t="s">
        <v>9</v>
      </c>
      <c r="F9" t="s">
        <v>10</v>
      </c>
      <c r="G9">
        <v>110500</v>
      </c>
      <c r="H9">
        <v>75556</v>
      </c>
      <c r="I9">
        <v>7556</v>
      </c>
      <c r="J9" t="s">
        <v>40</v>
      </c>
      <c r="K9" s="16" t="s">
        <v>41</v>
      </c>
    </row>
    <row r="10" spans="1:11" x14ac:dyDescent="0.2">
      <c r="A10">
        <v>9</v>
      </c>
      <c r="B10" t="s">
        <v>7</v>
      </c>
      <c r="C10" t="s">
        <v>8</v>
      </c>
      <c r="D10" t="s">
        <v>9</v>
      </c>
      <c r="F10" t="s">
        <v>10</v>
      </c>
      <c r="G10">
        <v>108800</v>
      </c>
      <c r="H10">
        <v>74690</v>
      </c>
      <c r="I10">
        <v>7469</v>
      </c>
      <c r="J10" t="s">
        <v>40</v>
      </c>
      <c r="K10" s="16" t="s">
        <v>41</v>
      </c>
    </row>
    <row r="11" spans="1:11" x14ac:dyDescent="0.2">
      <c r="A11">
        <v>10</v>
      </c>
      <c r="B11" t="s">
        <v>7</v>
      </c>
      <c r="C11" t="s">
        <v>8</v>
      </c>
      <c r="D11" t="s">
        <v>9</v>
      </c>
      <c r="F11" t="s">
        <v>10</v>
      </c>
      <c r="G11">
        <v>106100</v>
      </c>
      <c r="H11">
        <v>72792</v>
      </c>
      <c r="I11">
        <v>7279</v>
      </c>
      <c r="J11" t="s">
        <v>40</v>
      </c>
      <c r="K11" s="16" t="s">
        <v>41</v>
      </c>
    </row>
    <row r="12" spans="1:11" x14ac:dyDescent="0.2">
      <c r="A12">
        <v>11</v>
      </c>
      <c r="B12" t="s">
        <v>7</v>
      </c>
      <c r="C12" t="s">
        <v>8</v>
      </c>
      <c r="D12" t="s">
        <v>9</v>
      </c>
      <c r="F12" t="s">
        <v>10</v>
      </c>
      <c r="G12">
        <v>110800</v>
      </c>
      <c r="H12">
        <v>75866</v>
      </c>
      <c r="I12">
        <v>7587</v>
      </c>
      <c r="J12" t="s">
        <v>40</v>
      </c>
      <c r="K12" s="16" t="s">
        <v>41</v>
      </c>
    </row>
    <row r="13" spans="1:11" x14ac:dyDescent="0.2">
      <c r="A13">
        <v>12</v>
      </c>
      <c r="B13" t="s">
        <v>7</v>
      </c>
      <c r="C13" t="s">
        <v>8</v>
      </c>
      <c r="D13" t="s">
        <v>9</v>
      </c>
      <c r="F13" t="s">
        <v>10</v>
      </c>
      <c r="G13">
        <v>112400</v>
      </c>
      <c r="H13">
        <v>77146</v>
      </c>
      <c r="I13">
        <v>7715</v>
      </c>
      <c r="J13" t="s">
        <v>40</v>
      </c>
      <c r="K13" s="16" t="s">
        <v>41</v>
      </c>
    </row>
    <row r="14" spans="1:11" x14ac:dyDescent="0.2">
      <c r="A14">
        <v>13</v>
      </c>
      <c r="B14" t="s">
        <v>7</v>
      </c>
      <c r="C14" t="s">
        <v>8</v>
      </c>
      <c r="D14" t="s">
        <v>9</v>
      </c>
      <c r="F14" t="s">
        <v>10</v>
      </c>
      <c r="G14">
        <v>111400</v>
      </c>
      <c r="H14">
        <v>76316</v>
      </c>
      <c r="I14">
        <v>7632</v>
      </c>
      <c r="J14" t="s">
        <v>40</v>
      </c>
      <c r="K14" s="16" t="s">
        <v>41</v>
      </c>
    </row>
    <row r="15" spans="1:11" x14ac:dyDescent="0.2">
      <c r="A15">
        <v>14</v>
      </c>
      <c r="B15" t="s">
        <v>7</v>
      </c>
      <c r="C15" t="s">
        <v>8</v>
      </c>
      <c r="D15" t="s">
        <v>9</v>
      </c>
      <c r="F15" t="s">
        <v>10</v>
      </c>
      <c r="G15">
        <v>116000</v>
      </c>
      <c r="H15">
        <v>79474</v>
      </c>
      <c r="I15">
        <v>7947</v>
      </c>
      <c r="J15" t="s">
        <v>40</v>
      </c>
      <c r="K15" s="16" t="s">
        <v>41</v>
      </c>
    </row>
    <row r="16" spans="1:11" x14ac:dyDescent="0.2">
      <c r="A16">
        <v>15</v>
      </c>
      <c r="B16" t="s">
        <v>7</v>
      </c>
      <c r="C16" t="s">
        <v>8</v>
      </c>
      <c r="D16" t="s">
        <v>9</v>
      </c>
      <c r="F16" t="s">
        <v>10</v>
      </c>
      <c r="G16">
        <v>129200</v>
      </c>
      <c r="H16">
        <v>88337</v>
      </c>
      <c r="I16">
        <v>8834</v>
      </c>
      <c r="J16" t="s">
        <v>40</v>
      </c>
      <c r="K16" s="16" t="s">
        <v>41</v>
      </c>
    </row>
    <row r="17" spans="1:11" x14ac:dyDescent="0.2">
      <c r="A17">
        <v>16</v>
      </c>
      <c r="B17" t="s">
        <v>7</v>
      </c>
      <c r="C17" t="s">
        <v>8</v>
      </c>
      <c r="D17" t="s">
        <v>9</v>
      </c>
      <c r="F17" t="s">
        <v>10</v>
      </c>
      <c r="G17">
        <v>124500</v>
      </c>
      <c r="H17">
        <v>85096</v>
      </c>
      <c r="I17">
        <v>8510</v>
      </c>
      <c r="J17" t="s">
        <v>40</v>
      </c>
      <c r="K17" s="16" t="s">
        <v>41</v>
      </c>
    </row>
    <row r="18" spans="1:11" x14ac:dyDescent="0.2">
      <c r="A18">
        <v>17</v>
      </c>
      <c r="B18" t="s">
        <v>7</v>
      </c>
      <c r="C18" t="s">
        <v>8</v>
      </c>
      <c r="D18" t="s">
        <v>9</v>
      </c>
      <c r="F18" t="s">
        <v>10</v>
      </c>
      <c r="G18">
        <v>112600</v>
      </c>
      <c r="H18">
        <v>77346</v>
      </c>
      <c r="I18">
        <v>7735</v>
      </c>
      <c r="J18" t="s">
        <v>40</v>
      </c>
      <c r="K18" s="16" t="s">
        <v>41</v>
      </c>
    </row>
    <row r="19" spans="1:11" x14ac:dyDescent="0.2">
      <c r="A19">
        <v>18</v>
      </c>
      <c r="B19" t="s">
        <v>7</v>
      </c>
      <c r="C19" t="s">
        <v>8</v>
      </c>
      <c r="D19" t="s">
        <v>9</v>
      </c>
      <c r="F19" t="s">
        <v>10</v>
      </c>
      <c r="G19">
        <v>119900</v>
      </c>
      <c r="H19">
        <v>82206</v>
      </c>
      <c r="I19">
        <v>8221</v>
      </c>
      <c r="J19" t="s">
        <v>40</v>
      </c>
      <c r="K19" s="16" t="s">
        <v>41</v>
      </c>
    </row>
    <row r="20" spans="1:11" x14ac:dyDescent="0.2">
      <c r="A20">
        <v>19</v>
      </c>
      <c r="B20" t="s">
        <v>7</v>
      </c>
      <c r="C20" t="s">
        <v>8</v>
      </c>
      <c r="D20" t="s">
        <v>9</v>
      </c>
      <c r="F20" t="s">
        <v>10</v>
      </c>
      <c r="G20">
        <v>120400</v>
      </c>
      <c r="H20">
        <v>82608</v>
      </c>
      <c r="I20">
        <v>8261</v>
      </c>
      <c r="J20" t="s">
        <v>40</v>
      </c>
      <c r="K20" s="16" t="s">
        <v>41</v>
      </c>
    </row>
    <row r="21" spans="1:11" x14ac:dyDescent="0.2">
      <c r="A21">
        <v>20</v>
      </c>
      <c r="B21" t="s">
        <v>7</v>
      </c>
      <c r="C21" t="s">
        <v>8</v>
      </c>
      <c r="D21" t="s">
        <v>9</v>
      </c>
      <c r="F21" t="s">
        <v>10</v>
      </c>
      <c r="G21">
        <v>117100</v>
      </c>
      <c r="H21">
        <v>80508</v>
      </c>
      <c r="I21">
        <v>8051</v>
      </c>
      <c r="J21" t="s">
        <v>40</v>
      </c>
      <c r="K21" s="16" t="s">
        <v>41</v>
      </c>
    </row>
    <row r="22" spans="1:11" x14ac:dyDescent="0.2">
      <c r="A22">
        <v>21</v>
      </c>
      <c r="B22" t="s">
        <v>7</v>
      </c>
      <c r="C22" t="s">
        <v>8</v>
      </c>
      <c r="D22" t="s">
        <v>9</v>
      </c>
      <c r="F22" t="s">
        <v>10</v>
      </c>
      <c r="G22">
        <v>113400</v>
      </c>
      <c r="H22">
        <v>77962</v>
      </c>
      <c r="I22">
        <v>7796</v>
      </c>
      <c r="J22" t="s">
        <v>40</v>
      </c>
      <c r="K22" s="16" t="s">
        <v>41</v>
      </c>
    </row>
    <row r="23" spans="1:11" x14ac:dyDescent="0.2">
      <c r="A23">
        <v>22</v>
      </c>
      <c r="B23" t="s">
        <v>7</v>
      </c>
      <c r="C23" t="s">
        <v>8</v>
      </c>
      <c r="D23" t="s">
        <v>9</v>
      </c>
      <c r="F23" t="s">
        <v>10</v>
      </c>
      <c r="G23">
        <v>132600</v>
      </c>
      <c r="H23">
        <v>90674</v>
      </c>
      <c r="I23">
        <v>9067</v>
      </c>
      <c r="J23" t="s">
        <v>40</v>
      </c>
      <c r="K23" s="16" t="s">
        <v>41</v>
      </c>
    </row>
    <row r="24" spans="1:11" x14ac:dyDescent="0.2">
      <c r="A24">
        <v>23</v>
      </c>
      <c r="B24" t="s">
        <v>7</v>
      </c>
      <c r="C24" t="s">
        <v>8</v>
      </c>
      <c r="D24" t="s">
        <v>9</v>
      </c>
      <c r="F24" t="s">
        <v>10</v>
      </c>
      <c r="G24">
        <v>114800</v>
      </c>
      <c r="H24">
        <v>78886</v>
      </c>
      <c r="I24">
        <v>7889</v>
      </c>
      <c r="J24" t="s">
        <v>40</v>
      </c>
      <c r="K24" s="16" t="s">
        <v>41</v>
      </c>
    </row>
    <row r="25" spans="1:11" x14ac:dyDescent="0.2">
      <c r="A25">
        <v>24</v>
      </c>
      <c r="B25" t="s">
        <v>7</v>
      </c>
      <c r="C25" t="s">
        <v>8</v>
      </c>
      <c r="D25" t="s">
        <v>9</v>
      </c>
      <c r="F25" t="s">
        <v>10</v>
      </c>
      <c r="G25">
        <v>135400</v>
      </c>
      <c r="H25">
        <v>92749</v>
      </c>
      <c r="I25">
        <v>9275</v>
      </c>
      <c r="J25" t="s">
        <v>40</v>
      </c>
      <c r="K25" s="16" t="s">
        <v>41</v>
      </c>
    </row>
    <row r="26" spans="1:11" x14ac:dyDescent="0.2">
      <c r="A26">
        <v>25</v>
      </c>
      <c r="B26" t="s">
        <v>7</v>
      </c>
      <c r="C26" t="s">
        <v>8</v>
      </c>
      <c r="D26" t="s">
        <v>9</v>
      </c>
      <c r="F26" t="s">
        <v>10</v>
      </c>
      <c r="G26">
        <v>121200</v>
      </c>
      <c r="H26">
        <v>83115</v>
      </c>
      <c r="I26">
        <v>8312</v>
      </c>
      <c r="J26" t="s">
        <v>40</v>
      </c>
      <c r="K26" s="16" t="s">
        <v>41</v>
      </c>
    </row>
    <row r="27" spans="1:11" x14ac:dyDescent="0.2">
      <c r="A27">
        <v>26</v>
      </c>
      <c r="B27" t="s">
        <v>7</v>
      </c>
      <c r="C27" t="s">
        <v>8</v>
      </c>
      <c r="D27" t="s">
        <v>9</v>
      </c>
      <c r="F27" t="s">
        <v>10</v>
      </c>
      <c r="G27">
        <v>125000</v>
      </c>
      <c r="H27">
        <v>85839</v>
      </c>
      <c r="I27">
        <v>8584</v>
      </c>
      <c r="J27" t="s">
        <v>40</v>
      </c>
      <c r="K27" s="16" t="s">
        <v>41</v>
      </c>
    </row>
    <row r="28" spans="1:11" x14ac:dyDescent="0.2">
      <c r="A28">
        <v>27</v>
      </c>
      <c r="B28" t="s">
        <v>7</v>
      </c>
      <c r="C28" t="s">
        <v>8</v>
      </c>
      <c r="D28" t="s">
        <v>9</v>
      </c>
      <c r="F28" t="s">
        <v>10</v>
      </c>
      <c r="G28">
        <v>131600</v>
      </c>
      <c r="H28">
        <v>89938</v>
      </c>
      <c r="I28">
        <v>8994</v>
      </c>
      <c r="J28" t="s">
        <v>40</v>
      </c>
      <c r="K28" s="16" t="s">
        <v>41</v>
      </c>
    </row>
    <row r="29" spans="1:11" x14ac:dyDescent="0.2">
      <c r="A29">
        <v>28</v>
      </c>
      <c r="B29" t="s">
        <v>7</v>
      </c>
      <c r="C29" t="s">
        <v>8</v>
      </c>
      <c r="D29" t="s">
        <v>9</v>
      </c>
      <c r="F29" t="s">
        <v>10</v>
      </c>
      <c r="G29">
        <v>127700</v>
      </c>
      <c r="H29">
        <v>87661</v>
      </c>
      <c r="I29">
        <v>8766</v>
      </c>
      <c r="J29" t="s">
        <v>40</v>
      </c>
      <c r="K29" s="16" t="s">
        <v>41</v>
      </c>
    </row>
    <row r="30" spans="1:11" x14ac:dyDescent="0.2">
      <c r="A30">
        <v>29</v>
      </c>
      <c r="B30" t="s">
        <v>7</v>
      </c>
      <c r="C30" t="s">
        <v>8</v>
      </c>
      <c r="D30" t="s">
        <v>9</v>
      </c>
      <c r="F30" t="s">
        <v>10</v>
      </c>
      <c r="G30">
        <v>137200</v>
      </c>
      <c r="H30">
        <v>94354</v>
      </c>
      <c r="I30">
        <v>9435</v>
      </c>
      <c r="J30" t="s">
        <v>40</v>
      </c>
      <c r="K30" s="16" t="s">
        <v>41</v>
      </c>
    </row>
    <row r="31" spans="1:11" x14ac:dyDescent="0.2">
      <c r="A31">
        <v>30</v>
      </c>
      <c r="B31" t="s">
        <v>7</v>
      </c>
      <c r="C31" t="s">
        <v>8</v>
      </c>
      <c r="D31" t="s">
        <v>9</v>
      </c>
      <c r="F31" t="s">
        <v>10</v>
      </c>
      <c r="G31">
        <v>126100</v>
      </c>
      <c r="H31">
        <v>86578</v>
      </c>
      <c r="I31">
        <v>8658</v>
      </c>
      <c r="J31" t="s">
        <v>40</v>
      </c>
      <c r="K31" s="16" t="s">
        <v>41</v>
      </c>
    </row>
    <row r="32" spans="1:11" x14ac:dyDescent="0.2">
      <c r="A32">
        <v>31</v>
      </c>
      <c r="B32" t="s">
        <v>7</v>
      </c>
      <c r="C32" t="s">
        <v>8</v>
      </c>
      <c r="D32" t="s">
        <v>9</v>
      </c>
      <c r="F32" t="s">
        <v>10</v>
      </c>
      <c r="G32">
        <v>124500</v>
      </c>
      <c r="H32">
        <v>85637</v>
      </c>
      <c r="I32">
        <v>8564</v>
      </c>
      <c r="J32" t="s">
        <v>40</v>
      </c>
      <c r="K32" s="16" t="s">
        <v>41</v>
      </c>
    </row>
    <row r="33" spans="1:11" x14ac:dyDescent="0.2">
      <c r="A33">
        <v>32</v>
      </c>
      <c r="B33" t="s">
        <v>7</v>
      </c>
      <c r="C33" t="s">
        <v>8</v>
      </c>
      <c r="D33" t="s">
        <v>9</v>
      </c>
      <c r="F33" t="s">
        <v>10</v>
      </c>
      <c r="G33">
        <v>130500</v>
      </c>
      <c r="H33">
        <v>89697</v>
      </c>
      <c r="I33">
        <v>8970</v>
      </c>
      <c r="J33" t="s">
        <v>40</v>
      </c>
      <c r="K33" s="16" t="s">
        <v>41</v>
      </c>
    </row>
    <row r="34" spans="1:11" x14ac:dyDescent="0.2">
      <c r="A34">
        <v>33</v>
      </c>
      <c r="B34" t="s">
        <v>7</v>
      </c>
      <c r="C34" t="s">
        <v>8</v>
      </c>
      <c r="D34" t="s">
        <v>9</v>
      </c>
      <c r="F34" t="s">
        <v>10</v>
      </c>
      <c r="G34">
        <v>149500</v>
      </c>
      <c r="H34">
        <v>102557</v>
      </c>
      <c r="I34">
        <v>10256</v>
      </c>
      <c r="J34" t="s">
        <v>40</v>
      </c>
      <c r="K34" s="16" t="s">
        <v>41</v>
      </c>
    </row>
    <row r="35" spans="1:11" x14ac:dyDescent="0.2">
      <c r="A35">
        <v>34</v>
      </c>
      <c r="B35" t="s">
        <v>7</v>
      </c>
      <c r="C35" t="s">
        <v>8</v>
      </c>
      <c r="D35" t="s">
        <v>9</v>
      </c>
      <c r="F35" t="s">
        <v>10</v>
      </c>
      <c r="G35">
        <v>139700</v>
      </c>
      <c r="H35">
        <v>95841</v>
      </c>
      <c r="I35">
        <v>9584</v>
      </c>
      <c r="J35" t="s">
        <v>40</v>
      </c>
      <c r="K35" s="16" t="s">
        <v>41</v>
      </c>
    </row>
    <row r="36" spans="1:11" x14ac:dyDescent="0.2">
      <c r="A36">
        <v>35</v>
      </c>
      <c r="B36" t="s">
        <v>7</v>
      </c>
      <c r="C36" t="s">
        <v>8</v>
      </c>
      <c r="D36" t="s">
        <v>9</v>
      </c>
      <c r="F36" t="s">
        <v>10</v>
      </c>
      <c r="G36">
        <v>150700</v>
      </c>
      <c r="H36">
        <v>103414</v>
      </c>
      <c r="I36">
        <v>10341</v>
      </c>
      <c r="J36" t="s">
        <v>40</v>
      </c>
      <c r="K36" s="16" t="s">
        <v>41</v>
      </c>
    </row>
    <row r="37" spans="1:11" x14ac:dyDescent="0.2">
      <c r="A37">
        <v>36</v>
      </c>
      <c r="B37" t="s">
        <v>7</v>
      </c>
      <c r="C37" t="s">
        <v>8</v>
      </c>
      <c r="D37" t="s">
        <v>9</v>
      </c>
      <c r="F37" t="s">
        <v>10</v>
      </c>
      <c r="G37">
        <v>172700</v>
      </c>
      <c r="H37">
        <v>118888</v>
      </c>
      <c r="I37">
        <v>11889</v>
      </c>
      <c r="J37" t="s">
        <v>40</v>
      </c>
      <c r="K37" s="16" t="s">
        <v>41</v>
      </c>
    </row>
    <row r="38" spans="1:11" x14ac:dyDescent="0.2">
      <c r="A38">
        <v>37</v>
      </c>
      <c r="B38" t="s">
        <v>7</v>
      </c>
      <c r="C38" t="s">
        <v>8</v>
      </c>
      <c r="D38" t="s">
        <v>9</v>
      </c>
      <c r="F38" t="s">
        <v>10</v>
      </c>
      <c r="G38">
        <v>224700</v>
      </c>
      <c r="H38">
        <v>154424</v>
      </c>
      <c r="I38">
        <v>15442</v>
      </c>
      <c r="J38" t="s">
        <v>40</v>
      </c>
      <c r="K38" s="16" t="s">
        <v>41</v>
      </c>
    </row>
    <row r="39" spans="1:11" x14ac:dyDescent="0.2">
      <c r="A39">
        <v>38</v>
      </c>
      <c r="B39" t="s">
        <v>7</v>
      </c>
      <c r="C39" t="s">
        <v>8</v>
      </c>
      <c r="D39" t="s">
        <v>9</v>
      </c>
      <c r="F39" t="s">
        <v>10</v>
      </c>
      <c r="G39">
        <v>461700</v>
      </c>
      <c r="H39">
        <v>318903</v>
      </c>
      <c r="I39">
        <v>31890</v>
      </c>
      <c r="J39" t="s">
        <v>40</v>
      </c>
      <c r="K39" s="16" t="s">
        <v>41</v>
      </c>
    </row>
    <row r="40" spans="1:11" x14ac:dyDescent="0.2">
      <c r="A40">
        <v>39</v>
      </c>
      <c r="B40" t="s">
        <v>7</v>
      </c>
      <c r="C40" t="s">
        <v>8</v>
      </c>
      <c r="D40" t="s">
        <v>9</v>
      </c>
      <c r="F40" t="s">
        <v>10</v>
      </c>
      <c r="G40">
        <v>606300</v>
      </c>
      <c r="H40">
        <v>418595</v>
      </c>
      <c r="I40">
        <v>41860</v>
      </c>
      <c r="J40" t="s">
        <v>40</v>
      </c>
      <c r="K40" s="16" t="s">
        <v>41</v>
      </c>
    </row>
    <row r="41" spans="1:11" x14ac:dyDescent="0.2">
      <c r="A41">
        <v>40</v>
      </c>
      <c r="B41" t="s">
        <v>7</v>
      </c>
      <c r="C41" t="s">
        <v>8</v>
      </c>
      <c r="D41" t="s">
        <v>9</v>
      </c>
      <c r="F41" t="s">
        <v>10</v>
      </c>
      <c r="G41">
        <v>105900</v>
      </c>
      <c r="H41">
        <v>72671</v>
      </c>
      <c r="I41">
        <v>7267</v>
      </c>
      <c r="J41" t="s">
        <v>40</v>
      </c>
      <c r="K41" s="16" t="s">
        <v>41</v>
      </c>
    </row>
    <row r="42" spans="1:11" x14ac:dyDescent="0.2">
      <c r="A42">
        <v>41</v>
      </c>
      <c r="B42" t="s">
        <v>7</v>
      </c>
      <c r="C42" t="s">
        <v>8</v>
      </c>
      <c r="D42" t="s">
        <v>9</v>
      </c>
      <c r="F42" t="s">
        <v>10</v>
      </c>
      <c r="G42">
        <v>112200</v>
      </c>
      <c r="H42">
        <v>76885</v>
      </c>
      <c r="I42">
        <v>7689</v>
      </c>
      <c r="J42" t="s">
        <v>40</v>
      </c>
      <c r="K42" s="16" t="s">
        <v>41</v>
      </c>
    </row>
    <row r="43" spans="1:11" x14ac:dyDescent="0.2">
      <c r="A43">
        <v>42</v>
      </c>
      <c r="B43" t="s">
        <v>7</v>
      </c>
      <c r="C43" t="s">
        <v>8</v>
      </c>
      <c r="D43" t="s">
        <v>9</v>
      </c>
      <c r="F43" t="s">
        <v>10</v>
      </c>
      <c r="G43">
        <v>118600</v>
      </c>
      <c r="H43">
        <v>81477</v>
      </c>
      <c r="I43">
        <v>8148</v>
      </c>
      <c r="J43" t="s">
        <v>40</v>
      </c>
      <c r="K43" s="16" t="s">
        <v>41</v>
      </c>
    </row>
    <row r="44" spans="1:11" x14ac:dyDescent="0.2">
      <c r="A44">
        <v>43</v>
      </c>
      <c r="B44" t="s">
        <v>7</v>
      </c>
      <c r="C44" t="s">
        <v>8</v>
      </c>
      <c r="D44" t="s">
        <v>9</v>
      </c>
      <c r="F44" t="s">
        <v>10</v>
      </c>
      <c r="G44">
        <v>139500</v>
      </c>
      <c r="H44">
        <v>95951</v>
      </c>
      <c r="I44">
        <v>9595</v>
      </c>
      <c r="J44" t="s">
        <v>40</v>
      </c>
      <c r="K44" s="16" t="s">
        <v>41</v>
      </c>
    </row>
    <row r="45" spans="1:11" x14ac:dyDescent="0.2">
      <c r="A45">
        <v>44</v>
      </c>
      <c r="B45" t="s">
        <v>7</v>
      </c>
      <c r="C45" t="s">
        <v>8</v>
      </c>
      <c r="D45" t="s">
        <v>9</v>
      </c>
      <c r="F45" t="s">
        <v>10</v>
      </c>
      <c r="G45">
        <v>147000</v>
      </c>
      <c r="H45">
        <v>100513</v>
      </c>
      <c r="I45">
        <v>10051</v>
      </c>
      <c r="J45" t="s">
        <v>40</v>
      </c>
      <c r="K45" s="16" t="s">
        <v>41</v>
      </c>
    </row>
    <row r="46" spans="1:11" x14ac:dyDescent="0.2">
      <c r="H46" s="1"/>
      <c r="I46" s="1">
        <f>SUM(I2:I45)</f>
        <v>418219</v>
      </c>
      <c r="J46" s="1"/>
      <c r="K46" s="10"/>
    </row>
    <row r="47" spans="1:11" x14ac:dyDescent="0.2">
      <c r="J47" s="4">
        <f>SUM(J2)</f>
        <v>0</v>
      </c>
      <c r="K47" s="4"/>
    </row>
    <row r="49" spans="1:15" s="2" customFormat="1" x14ac:dyDescent="0.2">
      <c r="A49" s="7" t="s">
        <v>11</v>
      </c>
      <c r="B49" s="7" t="s">
        <v>20</v>
      </c>
      <c r="C49" s="7" t="s">
        <v>12</v>
      </c>
      <c r="D49" s="7" t="s">
        <v>21</v>
      </c>
      <c r="E49" s="7" t="s">
        <v>22</v>
      </c>
      <c r="F49" s="7" t="s">
        <v>13</v>
      </c>
      <c r="G49" s="7" t="s">
        <v>14</v>
      </c>
      <c r="H49" s="8" t="s">
        <v>23</v>
      </c>
      <c r="I49" s="8" t="s">
        <v>24</v>
      </c>
      <c r="J49" s="7" t="s">
        <v>25</v>
      </c>
      <c r="K49" s="7" t="s">
        <v>15</v>
      </c>
      <c r="L49" s="7" t="s">
        <v>26</v>
      </c>
      <c r="M49" s="7" t="s">
        <v>27</v>
      </c>
      <c r="N49" s="8" t="s">
        <v>16</v>
      </c>
      <c r="O49" s="7" t="s">
        <v>28</v>
      </c>
    </row>
    <row r="50" spans="1:15" s="15" customFormat="1" ht="12" x14ac:dyDescent="0.2">
      <c r="A50" s="11">
        <v>44834</v>
      </c>
      <c r="B50" s="11">
        <v>44926</v>
      </c>
      <c r="C50" s="12" t="s">
        <v>34</v>
      </c>
      <c r="D50" s="12" t="s">
        <v>35</v>
      </c>
      <c r="E50" s="12" t="s">
        <v>36</v>
      </c>
      <c r="F50" s="12"/>
      <c r="G50" s="12"/>
      <c r="H50" s="12"/>
      <c r="I50" s="13">
        <v>128344</v>
      </c>
      <c r="J50" s="9" t="s">
        <v>6</v>
      </c>
      <c r="K50" s="9" t="s">
        <v>17</v>
      </c>
      <c r="L50" s="9" t="s">
        <v>18</v>
      </c>
      <c r="M50" s="9">
        <v>0.1</v>
      </c>
      <c r="N50" s="13">
        <f>+I50*M50</f>
        <v>12834.400000000001</v>
      </c>
      <c r="O50" s="14" t="s">
        <v>37</v>
      </c>
    </row>
    <row r="51" spans="1:15" s="15" customFormat="1" ht="12" x14ac:dyDescent="0.2">
      <c r="A51" s="11">
        <v>44834</v>
      </c>
      <c r="B51" s="11">
        <v>44926</v>
      </c>
      <c r="C51" s="12" t="s">
        <v>38</v>
      </c>
      <c r="D51" s="12" t="s">
        <v>35</v>
      </c>
      <c r="E51" s="12" t="s">
        <v>36</v>
      </c>
      <c r="F51" s="12"/>
      <c r="G51" s="12"/>
      <c r="H51" s="12"/>
      <c r="I51" s="13">
        <v>172929</v>
      </c>
      <c r="J51" s="9" t="s">
        <v>6</v>
      </c>
      <c r="K51" s="9" t="s">
        <v>17</v>
      </c>
      <c r="L51" s="9" t="s">
        <v>18</v>
      </c>
      <c r="M51" s="9">
        <v>0.1</v>
      </c>
      <c r="N51" s="13">
        <f>+I51*M51</f>
        <v>17292.900000000001</v>
      </c>
      <c r="O51" s="14" t="s">
        <v>19</v>
      </c>
    </row>
    <row r="52" spans="1:15" x14ac:dyDescent="0.2">
      <c r="N52" s="5">
        <f>SUM(N50:N51)</f>
        <v>30127.300000000003</v>
      </c>
    </row>
    <row r="54" spans="1:15" x14ac:dyDescent="0.2">
      <c r="M54" s="3" t="s">
        <v>29</v>
      </c>
      <c r="N54" s="6">
        <f>I46+N52</f>
        <v>448346.3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storywiz</cp:lastModifiedBy>
  <dcterms:created xsi:type="dcterms:W3CDTF">2022-11-01T09:02:26Z</dcterms:created>
  <dcterms:modified xsi:type="dcterms:W3CDTF">2023-01-03T02:09:29Z</dcterms:modified>
  <cp:category/>
</cp:coreProperties>
</file>