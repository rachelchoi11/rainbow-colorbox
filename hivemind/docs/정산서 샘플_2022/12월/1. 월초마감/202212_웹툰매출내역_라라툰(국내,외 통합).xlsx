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3040" windowHeight="8952"/>
  </bookViews>
  <sheets>
    <sheet name="합계(12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1" l="1"/>
  <c r="I7" i="1"/>
  <c r="I9" i="1" l="1"/>
</calcChain>
</file>

<file path=xl/sharedStrings.xml><?xml version="1.0" encoding="utf-8"?>
<sst xmlns="http://schemas.openxmlformats.org/spreadsheetml/2006/main" count="37" uniqueCount="23">
  <si>
    <t>저작권자 수익 금액</t>
  </si>
  <si>
    <t>수익분배율%</t>
  </si>
  <si>
    <t>원천세</t>
  </si>
  <si>
    <t>원천세 정산후</t>
  </si>
  <si>
    <t>작품명</t>
  </si>
  <si>
    <t>성인/비성인</t>
  </si>
  <si>
    <t>수익분배 대상 금액</t>
  </si>
  <si>
    <t>비성인</t>
  </si>
  <si>
    <t>총 매출액</t>
    <phoneticPr fontId="1" type="noConversion"/>
  </si>
  <si>
    <t>&lt;옹주의 호위무사 mg차감&gt;</t>
    <phoneticPr fontId="1" type="noConversion"/>
  </si>
  <si>
    <t>계산서발행금액</t>
    <phoneticPr fontId="1" type="noConversion"/>
  </si>
  <si>
    <t>한국어</t>
  </si>
  <si>
    <t>60.00%</t>
  </si>
  <si>
    <t>별빛 아래 우리</t>
  </si>
  <si>
    <t>옹주의 호위무사 [글로벌 전용]</t>
  </si>
  <si>
    <t>50.00%</t>
  </si>
  <si>
    <t>악역이지만, 남주는 꼬시지 않아요</t>
  </si>
  <si>
    <t>최애에게 들켜버렸다</t>
  </si>
  <si>
    <t>보스오빠, 살살!</t>
  </si>
  <si>
    <t>판매월</t>
    <phoneticPr fontId="1" type="noConversion"/>
  </si>
  <si>
    <t>언어</t>
    <phoneticPr fontId="1" type="noConversion"/>
  </si>
  <si>
    <t>2022/12</t>
  </si>
  <si>
    <t>Deutsch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</si>
</sst>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rgb="FFD1254E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2" borderId="0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41" fontId="6" fillId="0" borderId="0" xfId="1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1" fontId="7" fillId="3" borderId="0" xfId="1" applyFont="1" applyFill="1">
      <alignment vertical="center"/>
    </xf>
    <xf numFmtId="41" fontId="6" fillId="0" borderId="0" xfId="1" applyFont="1" applyFill="1">
      <alignment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4" fontId="0" fillId="0" borderId="2" xfId="0" applyNumberFormat="1" applyBorder="1" applyAlignment="1">
      <alignment horizontal="right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B14" sqref="B14"/>
    </sheetView>
  </sheetViews>
  <sheetFormatPr defaultRowHeight="17.399999999999999" x14ac:dyDescent="0.4"/>
  <cols>
    <col min="1" max="1" width="8.09765625" bestFit="1" customWidth="1"/>
    <col min="2" max="2" width="32.09765625" bestFit="1" customWidth="1"/>
    <col min="3" max="3" width="7.8984375" bestFit="1" customWidth="1"/>
    <col min="4" max="4" width="14.3984375" customWidth="1"/>
    <col min="5" max="5" width="16.69921875" customWidth="1"/>
    <col min="6" max="6" width="16.69921875" bestFit="1" customWidth="1"/>
    <col min="7" max="7" width="11.3984375" bestFit="1" customWidth="1"/>
    <col min="8" max="8" width="21" bestFit="1" customWidth="1"/>
    <col min="9" max="9" width="16.8984375" customWidth="1"/>
  </cols>
  <sheetData>
    <row r="1" spans="1:9" ht="18" thickBot="1" x14ac:dyDescent="0.45">
      <c r="A1" s="1" t="s">
        <v>19</v>
      </c>
      <c r="B1" s="2" t="s">
        <v>4</v>
      </c>
      <c r="C1" s="2" t="s">
        <v>20</v>
      </c>
      <c r="D1" s="2" t="s">
        <v>5</v>
      </c>
      <c r="E1" s="2" t="s">
        <v>6</v>
      </c>
      <c r="F1" s="2" t="s">
        <v>0</v>
      </c>
      <c r="G1" s="2" t="s">
        <v>1</v>
      </c>
      <c r="H1" s="2" t="s">
        <v>2</v>
      </c>
      <c r="I1" s="2" t="s">
        <v>3</v>
      </c>
    </row>
    <row r="2" spans="1:9" x14ac:dyDescent="0.4">
      <c r="A2" s="8" t="s">
        <v>21</v>
      </c>
      <c r="B2" s="8" t="s">
        <v>17</v>
      </c>
      <c r="C2" s="8" t="s">
        <v>11</v>
      </c>
      <c r="D2" s="8" t="s">
        <v>7</v>
      </c>
      <c r="E2" s="10">
        <v>1995</v>
      </c>
      <c r="F2" s="10">
        <v>1197</v>
      </c>
      <c r="G2" s="9" t="s">
        <v>12</v>
      </c>
      <c r="H2" s="9">
        <v>0</v>
      </c>
      <c r="I2" s="10">
        <v>1197</v>
      </c>
    </row>
    <row r="3" spans="1:9" x14ac:dyDescent="0.4">
      <c r="A3" s="8" t="s">
        <v>21</v>
      </c>
      <c r="B3" s="8" t="s">
        <v>13</v>
      </c>
      <c r="C3" s="8" t="s">
        <v>11</v>
      </c>
      <c r="D3" s="8" t="s">
        <v>7</v>
      </c>
      <c r="E3" s="10">
        <v>66500</v>
      </c>
      <c r="F3" s="10">
        <v>39900</v>
      </c>
      <c r="G3" s="9" t="s">
        <v>12</v>
      </c>
      <c r="H3" s="9">
        <v>0</v>
      </c>
      <c r="I3" s="10">
        <v>39900</v>
      </c>
    </row>
    <row r="4" spans="1:9" x14ac:dyDescent="0.4">
      <c r="A4" s="8" t="s">
        <v>21</v>
      </c>
      <c r="B4" s="8" t="s">
        <v>14</v>
      </c>
      <c r="C4" s="8" t="s">
        <v>22</v>
      </c>
      <c r="D4" s="8" t="s">
        <v>7</v>
      </c>
      <c r="E4" s="10">
        <v>5586</v>
      </c>
      <c r="F4" s="10">
        <v>2793</v>
      </c>
      <c r="G4" s="9" t="s">
        <v>15</v>
      </c>
      <c r="H4" s="9">
        <v>0</v>
      </c>
      <c r="I4" s="10">
        <v>2793</v>
      </c>
    </row>
    <row r="5" spans="1:9" x14ac:dyDescent="0.4">
      <c r="A5" s="8" t="s">
        <v>21</v>
      </c>
      <c r="B5" s="8" t="s">
        <v>16</v>
      </c>
      <c r="C5" s="8" t="s">
        <v>11</v>
      </c>
      <c r="D5" s="8" t="s">
        <v>7</v>
      </c>
      <c r="E5" s="10">
        <v>24738</v>
      </c>
      <c r="F5" s="10">
        <v>14842.8</v>
      </c>
      <c r="G5" s="9" t="s">
        <v>12</v>
      </c>
      <c r="H5" s="9">
        <v>0</v>
      </c>
      <c r="I5" s="10">
        <v>14842.8</v>
      </c>
    </row>
    <row r="6" spans="1:9" x14ac:dyDescent="0.4">
      <c r="A6" s="8" t="s">
        <v>21</v>
      </c>
      <c r="B6" s="8" t="s">
        <v>18</v>
      </c>
      <c r="C6" s="8" t="s">
        <v>11</v>
      </c>
      <c r="D6" s="8" t="s">
        <v>7</v>
      </c>
      <c r="E6" s="10">
        <v>27398</v>
      </c>
      <c r="F6" s="10">
        <v>16438.8</v>
      </c>
      <c r="G6" s="9" t="s">
        <v>12</v>
      </c>
      <c r="H6" s="9">
        <v>0</v>
      </c>
      <c r="I6" s="10">
        <v>16438.8</v>
      </c>
    </row>
    <row r="7" spans="1:9" x14ac:dyDescent="0.4">
      <c r="H7" s="4" t="s">
        <v>8</v>
      </c>
      <c r="I7" s="7">
        <f>SUM(I2:I6)</f>
        <v>75171.600000000006</v>
      </c>
    </row>
    <row r="8" spans="1:9" x14ac:dyDescent="0.4">
      <c r="H8" s="5" t="s">
        <v>9</v>
      </c>
      <c r="I8" s="3">
        <f>SUM(I4)</f>
        <v>2793</v>
      </c>
    </row>
    <row r="9" spans="1:9" x14ac:dyDescent="0.4">
      <c r="H9" s="5" t="s">
        <v>10</v>
      </c>
      <c r="I9" s="6">
        <f>I7-I8</f>
        <v>72378.600000000006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2021-12-06T03:00:07Z</dcterms:created>
  <dcterms:modified xsi:type="dcterms:W3CDTF">2023-01-03T09:24:00Z</dcterms:modified>
</cp:coreProperties>
</file>