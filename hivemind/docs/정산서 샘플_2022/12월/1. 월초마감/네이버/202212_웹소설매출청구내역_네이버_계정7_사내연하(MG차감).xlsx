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175" windowHeight="0" tabRatio="766"/>
  </bookViews>
  <sheets>
    <sheet name="합계(12)" sheetId="412" r:id="rId1"/>
  </sheets>
  <definedNames>
    <definedName name="_xlnm._FilterDatabase" localSheetId="0" hidden="1">'합계(12)'!$A$1:$AM$1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BP6" i="412" l="1"/>
  <c r="B13" i="412" l="1"/>
  <c r="C13" i="412"/>
  <c r="D12" i="412"/>
  <c r="C12" i="412"/>
  <c r="BO8" i="412"/>
  <c r="D11" i="412" l="1"/>
  <c r="BN7" i="412"/>
  <c r="BO7" i="412" s="1"/>
  <c r="BN6" i="412" l="1"/>
  <c r="BO6" i="412" s="1"/>
  <c r="BN5" i="412"/>
  <c r="BO5" i="412" s="1"/>
  <c r="BN4" i="412"/>
  <c r="BO4" i="412" s="1"/>
  <c r="BN3" i="412"/>
  <c r="BO3" i="412" s="1"/>
  <c r="BN2" i="412" l="1"/>
  <c r="BO2" i="412" s="1"/>
  <c r="BP4" i="412" l="1"/>
</calcChain>
</file>

<file path=xl/sharedStrings.xml><?xml version="1.0" encoding="utf-8"?>
<sst xmlns="http://schemas.openxmlformats.org/spreadsheetml/2006/main" count="118" uniqueCount="88">
  <si>
    <t>컨텐츠</t>
  </si>
  <si>
    <t>컨텐츠No</t>
  </si>
  <si>
    <t>공급자코드</t>
  </si>
  <si>
    <t>CP명</t>
  </si>
  <si>
    <t>작가명</t>
  </si>
  <si>
    <t>출판사</t>
  </si>
  <si>
    <t>서비스일</t>
  </si>
  <si>
    <t>합계</t>
  </si>
  <si>
    <t>앱마켓수수료</t>
  </si>
  <si>
    <t>월</t>
    <phoneticPr fontId="20" type="noConversion"/>
  </si>
  <si>
    <t>MG</t>
    <phoneticPr fontId="20" type="noConversion"/>
  </si>
  <si>
    <t>차감액</t>
    <phoneticPr fontId="20" type="noConversion"/>
  </si>
  <si>
    <t>잔여액</t>
    <phoneticPr fontId="20" type="noConversion"/>
  </si>
  <si>
    <t xml:space="preserve"> </t>
    <phoneticPr fontId="20" type="noConversion"/>
  </si>
  <si>
    <t>합계</t>
    <phoneticPr fontId="20" type="noConversion"/>
  </si>
  <si>
    <t>스토리위즈</t>
  </si>
  <si>
    <t>전체이용가</t>
  </si>
  <si>
    <t>시리즈(APP)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</si>
  <si>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</si>
  <si>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</si>
  <si>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</si>
  <si>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</si>
  <si>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</si>
  <si>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</si>
  <si>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</si>
  <si>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</si>
  <si>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</si>
  <si>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</si>
  <si>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</si>
  <si>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</si>
  <si>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</si>
  <si>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</si>
  <si>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</si>
  <si>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</si>
  <si>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</si>
  <si>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</si>
  <si>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</si>
  <si>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</si>
  <si>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</si>
  <si>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</si>
  <si>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</si>
  <si>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</si>
  <si>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</si>
  <si>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</si>
  <si>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</si>
  <si>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</si>
  <si>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</si>
  <si>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</si>
  <si>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</si>
  <si>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</si>
  <si>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</si>
  <si>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</si>
  <si>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</si>
  <si>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</si>
  <si>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</si>
  <si>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</si>
  <si>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</si>
  <si>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</si>
  <si>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</si>
  <si>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</si>
  <si>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</si>
  <si>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</si>
  <si>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</si>
  <si>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</si>
  <si>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</si>
  <si>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</si>
  <si>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</si>
  <si>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</si>
  <si>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</si>
  <si>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</si>
  <si>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</si>
  <si>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</si>
  <si>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</si>
  <si>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</si>
  <si>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</si>
  <si>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</si>
  <si>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시리즈 완전판(APP)</t>
    <phoneticPr fontId="20" type="noConversion"/>
  </si>
  <si>
    <t>시리즈(iOS)</t>
    <phoneticPr fontId="20" type="noConversion"/>
  </si>
  <si>
    <t>N스토어(PC)</t>
    <phoneticPr fontId="20" type="noConversion"/>
  </si>
  <si>
    <t>PC뷰어(PC)</t>
    <phoneticPr fontId="20" type="noConversion"/>
  </si>
  <si>
    <t>APP 매출</t>
    <phoneticPr fontId="20" type="noConversion"/>
  </si>
  <si>
    <t>WEB 매출</t>
    <phoneticPr fontId="20" type="noConversion"/>
  </si>
  <si>
    <t>N스토어(MW)</t>
  </si>
  <si>
    <t>사내연하 [독점]</t>
  </si>
  <si>
    <t>스토리위즈_사내연하_MG</t>
  </si>
  <si>
    <t>박수정</t>
  </si>
  <si>
    <t>&lt;사내연하&gt; MG차감내역</t>
    <phoneticPr fontId="20" type="noConversion"/>
  </si>
  <si>
    <t>2023.01.03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</si>
</sst>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2" fillId="0" borderId="0" xfId="0" applyFont="1" applyBorder="1">
      <alignment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3" fontId="23" fillId="0" borderId="0" xfId="0" applyNumberFormat="1" applyFont="1">
      <alignment vertical="center"/>
    </xf>
    <xf numFmtId="0" fontId="24" fillId="35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41" fontId="21" fillId="0" borderId="0" xfId="0" applyNumberFormat="1" applyFont="1" applyBorder="1">
      <alignment vertical="center"/>
    </xf>
    <xf numFmtId="41" fontId="24" fillId="0" borderId="0" xfId="42" applyFont="1" applyAlignment="1">
      <alignment vertical="center" wrapText="1"/>
    </xf>
    <xf numFmtId="41" fontId="18" fillId="0" borderId="0" xfId="42" applyFont="1" applyAlignment="1">
      <alignment vertical="center" wrapText="1"/>
    </xf>
    <xf numFmtId="41" fontId="25" fillId="34" borderId="0" xfId="42" applyFont="1" applyFill="1" applyAlignment="1">
      <alignment vertical="center" wrapText="1"/>
    </xf>
    <xf numFmtId="3" fontId="24" fillId="0" borderId="10" xfId="0" applyNumberFormat="1" applyFont="1" applyBorder="1" applyAlignment="1">
      <alignment horizontal="right" vertical="center"/>
    </xf>
    <xf numFmtId="41" fontId="24" fillId="0" borderId="10" xfId="0" applyNumberFormat="1" applyFont="1" applyBorder="1">
      <alignment vertical="center"/>
    </xf>
    <xf numFmtId="41" fontId="24" fillId="0" borderId="10" xfId="42" applyFont="1" applyBorder="1">
      <alignment vertical="center"/>
    </xf>
    <xf numFmtId="0" fontId="24" fillId="36" borderId="10" xfId="0" applyFont="1" applyFill="1" applyBorder="1" applyAlignment="1">
      <alignment horizontal="center" vertical="center"/>
    </xf>
    <xf numFmtId="3" fontId="24" fillId="36" borderId="10" xfId="0" applyNumberFormat="1" applyFont="1" applyFill="1" applyBorder="1" applyAlignment="1">
      <alignment horizontal="right" vertical="center"/>
    </xf>
    <xf numFmtId="41" fontId="24" fillId="36" borderId="10" xfId="0" applyNumberFormat="1" applyFont="1" applyFill="1" applyBorder="1">
      <alignment vertical="center"/>
    </xf>
    <xf numFmtId="2" fontId="24" fillId="0" borderId="10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41" fontId="18" fillId="0" borderId="0" xfId="0" applyNumberFormat="1" applyFont="1">
      <alignment vertical="center"/>
    </xf>
    <xf numFmtId="0" fontId="26" fillId="33" borderId="0" xfId="0" applyFont="1" applyFill="1" applyAlignment="1">
      <alignment horizontal="center" vertical="center" wrapText="1"/>
    </xf>
    <xf numFmtId="4" fontId="27" fillId="0" borderId="0" xfId="0" applyNumberFormat="1" applyFont="1" applyAlignment="1">
      <alignment vertical="center" wrapText="1"/>
    </xf>
    <xf numFmtId="0" fontId="27" fillId="0" borderId="0" xfId="0" applyFont="1" applyBorder="1">
      <alignment vertical="center"/>
    </xf>
    <xf numFmtId="0" fontId="27" fillId="0" borderId="0" xfId="0" applyFont="1" applyAlignment="1">
      <alignment vertical="center" wrapText="1"/>
    </xf>
    <xf numFmtId="0" fontId="28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416"/>
  <sheetViews>
    <sheetView tabSelected="1" zoomScale="115" zoomScaleNormal="115" workbookViewId="0"/>
  </sheetViews>
  <sheetFormatPr defaultRowHeight="16.5" x14ac:dyDescent="0.3"/>
  <cols>
    <col min="1" max="1" width="11.875" style="1" customWidth="1"/>
    <col min="2" max="2" width="20" bestFit="1" customWidth="1"/>
    <col min="3" max="4" width="9.25" bestFit="1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style="36" bestFit="1" customWidth="1"/>
    <col min="66" max="66" width="13.5" bestFit="1" customWidth="1"/>
    <col min="67" max="67" width="13.375" style="11" customWidth="1"/>
    <col min="68" max="68" width="9.25" bestFit="1" customWidth="1"/>
  </cols>
  <sheetData>
    <row r="1" spans="1:69" ht="27" customHeight="1" x14ac:dyDescent="0.3">
      <c r="A1" s="2" t="s">
        <v>18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19</v>
      </c>
      <c r="I1" s="12" t="s">
        <v>6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  <c r="P1" s="10" t="s">
        <v>26</v>
      </c>
      <c r="Q1" s="10" t="s">
        <v>27</v>
      </c>
      <c r="R1" s="10" t="s">
        <v>28</v>
      </c>
      <c r="S1" s="10" t="s">
        <v>29</v>
      </c>
      <c r="T1" s="10" t="s">
        <v>30</v>
      </c>
      <c r="U1" s="10" t="s">
        <v>31</v>
      </c>
      <c r="V1" s="10" t="s">
        <v>32</v>
      </c>
      <c r="W1" s="10" t="s">
        <v>33</v>
      </c>
      <c r="X1" s="10" t="s">
        <v>34</v>
      </c>
      <c r="Y1" s="10" t="s">
        <v>35</v>
      </c>
      <c r="Z1" s="10" t="s">
        <v>36</v>
      </c>
      <c r="AA1" s="10" t="s">
        <v>37</v>
      </c>
      <c r="AB1" s="10" t="s">
        <v>38</v>
      </c>
      <c r="AC1" s="10" t="s">
        <v>39</v>
      </c>
      <c r="AD1" s="10" t="s">
        <v>40</v>
      </c>
      <c r="AE1" s="10" t="s">
        <v>41</v>
      </c>
      <c r="AF1" s="10" t="s">
        <v>42</v>
      </c>
      <c r="AG1" s="10" t="s">
        <v>43</v>
      </c>
      <c r="AH1" s="10" t="s">
        <v>44</v>
      </c>
      <c r="AI1" s="10" t="s">
        <v>45</v>
      </c>
      <c r="AJ1" s="10" t="s">
        <v>46</v>
      </c>
      <c r="AK1" s="10" t="s">
        <v>47</v>
      </c>
      <c r="AL1" s="10" t="s">
        <v>48</v>
      </c>
      <c r="AM1" s="10" t="s">
        <v>49</v>
      </c>
      <c r="AN1" s="10" t="s">
        <v>50</v>
      </c>
      <c r="AO1" s="10" t="s">
        <v>51</v>
      </c>
      <c r="AP1" s="10" t="s">
        <v>52</v>
      </c>
      <c r="AQ1" s="10" t="s">
        <v>53</v>
      </c>
      <c r="AR1" s="10" t="s">
        <v>54</v>
      </c>
      <c r="AS1" s="10" t="s">
        <v>55</v>
      </c>
      <c r="AT1" s="10" t="s">
        <v>56</v>
      </c>
      <c r="AU1" s="10" t="s">
        <v>57</v>
      </c>
      <c r="AV1" s="10" t="s">
        <v>58</v>
      </c>
      <c r="AW1" s="10" t="s">
        <v>59</v>
      </c>
      <c r="AX1" s="10" t="s">
        <v>60</v>
      </c>
      <c r="AY1" s="10" t="s">
        <v>61</v>
      </c>
      <c r="AZ1" s="10" t="s">
        <v>62</v>
      </c>
      <c r="BA1" s="10" t="s">
        <v>63</v>
      </c>
      <c r="BB1" s="10" t="s">
        <v>64</v>
      </c>
      <c r="BC1" s="10" t="s">
        <v>65</v>
      </c>
      <c r="BD1" s="10" t="s">
        <v>66</v>
      </c>
      <c r="BE1" s="10" t="s">
        <v>67</v>
      </c>
      <c r="BF1" s="10" t="s">
        <v>68</v>
      </c>
      <c r="BG1" s="10" t="s">
        <v>69</v>
      </c>
      <c r="BH1" s="10" t="s">
        <v>70</v>
      </c>
      <c r="BI1" s="10" t="s">
        <v>71</v>
      </c>
      <c r="BJ1" s="10" t="s">
        <v>72</v>
      </c>
      <c r="BK1" s="10" t="s">
        <v>73</v>
      </c>
      <c r="BL1" s="10" t="s">
        <v>8</v>
      </c>
      <c r="BM1" s="32" t="s">
        <v>7</v>
      </c>
      <c r="BN1" s="10" t="s">
        <v>74</v>
      </c>
      <c r="BO1" s="10" t="s">
        <v>75</v>
      </c>
    </row>
    <row r="2" spans="1:69" s="30" customFormat="1" ht="19.5" x14ac:dyDescent="0.3">
      <c r="A2" s="5" t="s">
        <v>17</v>
      </c>
      <c r="B2" s="5" t="s">
        <v>83</v>
      </c>
      <c r="C2" s="5">
        <v>487289</v>
      </c>
      <c r="D2" s="6"/>
      <c r="E2" s="5" t="s">
        <v>84</v>
      </c>
      <c r="F2" s="5" t="s">
        <v>85</v>
      </c>
      <c r="G2" s="5" t="s">
        <v>15</v>
      </c>
      <c r="H2" s="7" t="s">
        <v>16</v>
      </c>
      <c r="I2" s="7" t="s">
        <v>87</v>
      </c>
      <c r="J2" s="8">
        <v>1412</v>
      </c>
      <c r="K2" s="8">
        <v>104412</v>
      </c>
      <c r="L2" s="8">
        <v>141200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59229</v>
      </c>
      <c r="AF2" s="8">
        <v>1574220</v>
      </c>
      <c r="AG2" s="8">
        <v>4378700</v>
      </c>
      <c r="AH2" s="7">
        <v>0</v>
      </c>
      <c r="AI2" s="7">
        <v>0</v>
      </c>
      <c r="AJ2" s="7">
        <v>0</v>
      </c>
      <c r="AK2" s="7">
        <v>201</v>
      </c>
      <c r="AL2" s="8">
        <v>10200</v>
      </c>
      <c r="AM2" s="8">
        <v>11600</v>
      </c>
      <c r="AN2" s="7">
        <v>0</v>
      </c>
      <c r="AO2" s="7">
        <v>0</v>
      </c>
      <c r="AP2" s="7">
        <v>0</v>
      </c>
      <c r="AQ2" s="8">
        <v>10448</v>
      </c>
      <c r="AR2" s="8">
        <v>1017200</v>
      </c>
      <c r="AS2" s="8">
        <v>27600</v>
      </c>
      <c r="AT2" s="7">
        <v>0</v>
      </c>
      <c r="AU2" s="7">
        <v>0</v>
      </c>
      <c r="AV2" s="7">
        <v>0</v>
      </c>
      <c r="AW2" s="8">
        <v>8349</v>
      </c>
      <c r="AX2" s="8">
        <v>1000683</v>
      </c>
      <c r="AY2" s="8">
        <v>2300</v>
      </c>
      <c r="AZ2" s="7">
        <v>0</v>
      </c>
      <c r="BA2" s="7">
        <v>0</v>
      </c>
      <c r="BB2" s="7">
        <v>0</v>
      </c>
      <c r="BC2" s="8">
        <v>46246</v>
      </c>
      <c r="BD2" s="8">
        <v>5541720</v>
      </c>
      <c r="BE2" s="8">
        <v>6500</v>
      </c>
      <c r="BF2" s="7">
        <v>0</v>
      </c>
      <c r="BG2" s="7">
        <v>0</v>
      </c>
      <c r="BH2" s="7">
        <v>0</v>
      </c>
      <c r="BI2" s="7">
        <v>251</v>
      </c>
      <c r="BJ2" s="8">
        <v>28920</v>
      </c>
      <c r="BK2" s="7">
        <v>1000</v>
      </c>
      <c r="BL2" s="9">
        <v>437077.5</v>
      </c>
      <c r="BM2" s="33">
        <v>13741843</v>
      </c>
      <c r="BN2" s="21">
        <f>BM2-BL2</f>
        <v>13304765.5</v>
      </c>
      <c r="BO2" s="21">
        <f>BN2*70%</f>
        <v>9313335.8499999996</v>
      </c>
    </row>
    <row r="3" spans="1:69" s="30" customFormat="1" ht="19.5" x14ac:dyDescent="0.3">
      <c r="A3" s="5" t="s">
        <v>76</v>
      </c>
      <c r="B3" s="5" t="s">
        <v>83</v>
      </c>
      <c r="C3" s="5">
        <v>487289</v>
      </c>
      <c r="D3" s="6"/>
      <c r="E3" s="5" t="s">
        <v>84</v>
      </c>
      <c r="F3" s="5" t="s">
        <v>85</v>
      </c>
      <c r="G3" s="5" t="s">
        <v>15</v>
      </c>
      <c r="H3" s="7" t="s">
        <v>16</v>
      </c>
      <c r="I3" s="7" t="s">
        <v>87</v>
      </c>
      <c r="J3" s="8">
        <v>1183</v>
      </c>
      <c r="K3" s="8">
        <v>43345</v>
      </c>
      <c r="L3" s="8">
        <v>118300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23809</v>
      </c>
      <c r="AF3" s="8">
        <v>1051000</v>
      </c>
      <c r="AG3" s="8">
        <v>1441100</v>
      </c>
      <c r="AH3" s="7">
        <v>0</v>
      </c>
      <c r="AI3" s="7">
        <v>0</v>
      </c>
      <c r="AJ3" s="7">
        <v>0</v>
      </c>
      <c r="AK3" s="7">
        <v>62</v>
      </c>
      <c r="AL3" s="7">
        <v>720</v>
      </c>
      <c r="AM3" s="8">
        <v>5600</v>
      </c>
      <c r="AN3" s="7">
        <v>0</v>
      </c>
      <c r="AO3" s="7">
        <v>0</v>
      </c>
      <c r="AP3" s="7">
        <v>0</v>
      </c>
      <c r="AQ3" s="8">
        <v>4595</v>
      </c>
      <c r="AR3" s="8">
        <v>444300</v>
      </c>
      <c r="AS3" s="8">
        <v>15200</v>
      </c>
      <c r="AT3" s="7">
        <v>0</v>
      </c>
      <c r="AU3" s="7">
        <v>0</v>
      </c>
      <c r="AV3" s="7">
        <v>0</v>
      </c>
      <c r="AW3" s="7">
        <v>4</v>
      </c>
      <c r="AX3" s="8">
        <v>480</v>
      </c>
      <c r="AY3" s="7">
        <v>0</v>
      </c>
      <c r="AZ3" s="7">
        <v>0</v>
      </c>
      <c r="BA3" s="7">
        <v>0</v>
      </c>
      <c r="BB3" s="7">
        <v>0</v>
      </c>
      <c r="BC3" s="7">
        <v>119</v>
      </c>
      <c r="BD3" s="8">
        <v>14280</v>
      </c>
      <c r="BE3" s="7">
        <v>0</v>
      </c>
      <c r="BF3" s="7">
        <v>0</v>
      </c>
      <c r="BG3" s="7">
        <v>0</v>
      </c>
      <c r="BH3" s="7">
        <v>0</v>
      </c>
      <c r="BI3" s="8">
        <v>4812</v>
      </c>
      <c r="BJ3" s="8">
        <v>577320</v>
      </c>
      <c r="BK3" s="8">
        <v>100</v>
      </c>
      <c r="BL3" s="9">
        <v>29986.799999999999</v>
      </c>
      <c r="BM3" s="33">
        <v>3668400</v>
      </c>
      <c r="BN3" s="21">
        <f t="shared" ref="BN3:BN6" si="0">BM3-BL3</f>
        <v>3638413.2</v>
      </c>
      <c r="BO3" s="21">
        <f t="shared" ref="BO3:BO6" si="1">BN3*70%</f>
        <v>2546889.2399999998</v>
      </c>
    </row>
    <row r="4" spans="1:69" s="30" customFormat="1" ht="19.5" x14ac:dyDescent="0.3">
      <c r="A4" s="5" t="s">
        <v>77</v>
      </c>
      <c r="B4" s="5" t="s">
        <v>83</v>
      </c>
      <c r="C4" s="5">
        <v>487289</v>
      </c>
      <c r="D4" s="6"/>
      <c r="E4" s="5" t="s">
        <v>84</v>
      </c>
      <c r="F4" s="5" t="s">
        <v>85</v>
      </c>
      <c r="G4" s="5" t="s">
        <v>15</v>
      </c>
      <c r="H4" s="7" t="s">
        <v>16</v>
      </c>
      <c r="I4" s="7" t="s">
        <v>87</v>
      </c>
      <c r="J4" s="8">
        <v>356</v>
      </c>
      <c r="K4" s="8">
        <v>25428</v>
      </c>
      <c r="L4" s="8">
        <v>35600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8">
        <v>10861</v>
      </c>
      <c r="AF4" s="8">
        <v>893060</v>
      </c>
      <c r="AG4" s="8">
        <v>193100</v>
      </c>
      <c r="AH4" s="7">
        <v>0</v>
      </c>
      <c r="AI4" s="7">
        <v>0</v>
      </c>
      <c r="AJ4" s="7">
        <v>0</v>
      </c>
      <c r="AK4" s="8">
        <v>14071</v>
      </c>
      <c r="AL4" s="8">
        <v>611148</v>
      </c>
      <c r="AM4" s="8">
        <v>891500</v>
      </c>
      <c r="AN4" s="7">
        <v>0</v>
      </c>
      <c r="AO4" s="7">
        <v>0</v>
      </c>
      <c r="AP4" s="7">
        <v>0</v>
      </c>
      <c r="AQ4" s="8">
        <v>3866</v>
      </c>
      <c r="AR4" s="8">
        <v>375800</v>
      </c>
      <c r="AS4" s="8">
        <v>10800</v>
      </c>
      <c r="AT4" s="7">
        <v>0</v>
      </c>
      <c r="AU4" s="7">
        <v>0</v>
      </c>
      <c r="AV4" s="7">
        <v>0</v>
      </c>
      <c r="AW4" s="7">
        <v>30</v>
      </c>
      <c r="AX4" s="7">
        <v>3600</v>
      </c>
      <c r="AY4" s="7">
        <v>0</v>
      </c>
      <c r="AZ4" s="7">
        <v>0</v>
      </c>
      <c r="BA4" s="7">
        <v>0</v>
      </c>
      <c r="BB4" s="7">
        <v>0</v>
      </c>
      <c r="BC4" s="7">
        <v>209</v>
      </c>
      <c r="BD4" s="8">
        <v>25080</v>
      </c>
      <c r="BE4" s="7">
        <v>0</v>
      </c>
      <c r="BF4" s="7">
        <v>0</v>
      </c>
      <c r="BG4" s="7">
        <v>0</v>
      </c>
      <c r="BH4" s="7">
        <v>0</v>
      </c>
      <c r="BI4" s="7">
        <v>2</v>
      </c>
      <c r="BJ4" s="8">
        <v>240</v>
      </c>
      <c r="BK4" s="7">
        <v>0</v>
      </c>
      <c r="BL4" s="9">
        <v>185221.2</v>
      </c>
      <c r="BM4" s="33">
        <v>3039928</v>
      </c>
      <c r="BN4" s="21">
        <f t="shared" si="0"/>
        <v>2854706.8</v>
      </c>
      <c r="BO4" s="21">
        <f t="shared" si="1"/>
        <v>1998294.7599999998</v>
      </c>
      <c r="BP4" s="31">
        <f>SUM(BO2:BO4)</f>
        <v>13858519.85</v>
      </c>
      <c r="BQ4" s="30" t="s">
        <v>80</v>
      </c>
    </row>
    <row r="5" spans="1:69" s="30" customFormat="1" ht="19.5" x14ac:dyDescent="0.3">
      <c r="A5" s="5" t="s">
        <v>78</v>
      </c>
      <c r="B5" s="5" t="s">
        <v>83</v>
      </c>
      <c r="C5" s="5">
        <v>487289</v>
      </c>
      <c r="D5" s="6"/>
      <c r="E5" s="5" t="s">
        <v>84</v>
      </c>
      <c r="F5" s="5" t="s">
        <v>85</v>
      </c>
      <c r="G5" s="5" t="s">
        <v>15</v>
      </c>
      <c r="H5" s="7" t="s">
        <v>16</v>
      </c>
      <c r="I5" s="7" t="s">
        <v>87</v>
      </c>
      <c r="J5" s="7">
        <v>31</v>
      </c>
      <c r="K5" s="7">
        <v>337</v>
      </c>
      <c r="L5" s="8">
        <v>3100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181</v>
      </c>
      <c r="AF5" s="8">
        <v>9800</v>
      </c>
      <c r="AG5" s="8">
        <v>8300</v>
      </c>
      <c r="AH5" s="7">
        <v>0</v>
      </c>
      <c r="AI5" s="7">
        <v>0</v>
      </c>
      <c r="AJ5" s="7">
        <v>0</v>
      </c>
      <c r="AK5" s="7">
        <v>6</v>
      </c>
      <c r="AL5" s="7">
        <v>720</v>
      </c>
      <c r="AM5" s="7">
        <v>0</v>
      </c>
      <c r="AN5" s="7">
        <v>0</v>
      </c>
      <c r="AO5" s="7">
        <v>0</v>
      </c>
      <c r="AP5" s="7">
        <v>0</v>
      </c>
      <c r="AQ5" s="7">
        <v>40</v>
      </c>
      <c r="AR5" s="8">
        <v>3900</v>
      </c>
      <c r="AS5" s="7">
        <v>100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18</v>
      </c>
      <c r="BD5" s="7">
        <v>2160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345.6</v>
      </c>
      <c r="BM5" s="33">
        <v>28080</v>
      </c>
      <c r="BN5" s="21">
        <f t="shared" si="0"/>
        <v>27734.400000000001</v>
      </c>
      <c r="BO5" s="21">
        <f t="shared" si="1"/>
        <v>19414.079999999998</v>
      </c>
    </row>
    <row r="6" spans="1:69" s="30" customFormat="1" ht="19.5" x14ac:dyDescent="0.3">
      <c r="A6" s="5" t="s">
        <v>79</v>
      </c>
      <c r="B6" s="5" t="s">
        <v>83</v>
      </c>
      <c r="C6" s="5">
        <v>487289</v>
      </c>
      <c r="D6" s="6"/>
      <c r="E6" s="5" t="s">
        <v>84</v>
      </c>
      <c r="F6" s="5" t="s">
        <v>85</v>
      </c>
      <c r="G6" s="5" t="s">
        <v>15</v>
      </c>
      <c r="H6" s="7" t="s">
        <v>16</v>
      </c>
      <c r="I6" s="7" t="s">
        <v>87</v>
      </c>
      <c r="J6" s="7">
        <v>5</v>
      </c>
      <c r="K6" s="7">
        <v>95</v>
      </c>
      <c r="L6" s="8">
        <v>500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885</v>
      </c>
      <c r="AF6" s="8">
        <v>65160</v>
      </c>
      <c r="AG6" s="8">
        <v>23500</v>
      </c>
      <c r="AH6" s="7">
        <v>0</v>
      </c>
      <c r="AI6" s="7">
        <v>0</v>
      </c>
      <c r="AJ6" s="7">
        <v>0</v>
      </c>
      <c r="AK6" s="7">
        <v>8</v>
      </c>
      <c r="AL6" s="8">
        <v>720</v>
      </c>
      <c r="AM6" s="7">
        <v>200</v>
      </c>
      <c r="AN6" s="7">
        <v>0</v>
      </c>
      <c r="AO6" s="7">
        <v>0</v>
      </c>
      <c r="AP6" s="7">
        <v>0</v>
      </c>
      <c r="AQ6" s="7">
        <v>66</v>
      </c>
      <c r="AR6" s="8">
        <v>5500</v>
      </c>
      <c r="AS6" s="7">
        <v>1100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68</v>
      </c>
      <c r="BD6" s="8">
        <v>8160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705.6</v>
      </c>
      <c r="BM6" s="33">
        <v>104840</v>
      </c>
      <c r="BN6" s="21">
        <f t="shared" si="0"/>
        <v>104134.39999999999</v>
      </c>
      <c r="BO6" s="21">
        <f t="shared" si="1"/>
        <v>72894.079999999987</v>
      </c>
      <c r="BP6" s="31">
        <f>SUM(BO5:BO7)</f>
        <v>101387.99999999999</v>
      </c>
      <c r="BQ6" s="30" t="s">
        <v>81</v>
      </c>
    </row>
    <row r="7" spans="1:69" s="30" customFormat="1" ht="19.5" x14ac:dyDescent="0.3">
      <c r="A7" s="5" t="s">
        <v>82</v>
      </c>
      <c r="B7" s="5" t="s">
        <v>83</v>
      </c>
      <c r="C7" s="5">
        <v>487289</v>
      </c>
      <c r="D7" s="6"/>
      <c r="E7" s="5" t="s">
        <v>84</v>
      </c>
      <c r="F7" s="5" t="s">
        <v>85</v>
      </c>
      <c r="G7" s="5" t="s">
        <v>15</v>
      </c>
      <c r="H7" s="7" t="s">
        <v>16</v>
      </c>
      <c r="I7" s="7" t="s">
        <v>87</v>
      </c>
      <c r="J7" s="7">
        <v>0</v>
      </c>
      <c r="K7" s="7">
        <v>97</v>
      </c>
      <c r="L7" s="8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68</v>
      </c>
      <c r="AF7" s="8">
        <v>6400</v>
      </c>
      <c r="AG7" s="8">
        <v>400</v>
      </c>
      <c r="AH7" s="7">
        <v>0</v>
      </c>
      <c r="AI7" s="7">
        <v>0</v>
      </c>
      <c r="AJ7" s="7">
        <v>0</v>
      </c>
      <c r="AK7" s="7">
        <v>10</v>
      </c>
      <c r="AL7" s="8">
        <v>0</v>
      </c>
      <c r="AM7" s="7">
        <v>1000</v>
      </c>
      <c r="AN7" s="7">
        <v>0</v>
      </c>
      <c r="AO7" s="7">
        <v>0</v>
      </c>
      <c r="AP7" s="7">
        <v>0</v>
      </c>
      <c r="AQ7" s="7">
        <v>1</v>
      </c>
      <c r="AR7" s="8">
        <v>100</v>
      </c>
      <c r="AS7" s="7">
        <v>0</v>
      </c>
      <c r="AT7" s="7">
        <v>0</v>
      </c>
      <c r="AU7" s="7">
        <v>0</v>
      </c>
      <c r="AV7" s="7">
        <v>0</v>
      </c>
      <c r="AW7" s="7">
        <v>1</v>
      </c>
      <c r="AX7" s="7">
        <v>120</v>
      </c>
      <c r="AY7" s="7">
        <v>0</v>
      </c>
      <c r="AZ7" s="7">
        <v>0</v>
      </c>
      <c r="BA7" s="7">
        <v>0</v>
      </c>
      <c r="BB7" s="7">
        <v>0</v>
      </c>
      <c r="BC7" s="7">
        <v>44</v>
      </c>
      <c r="BD7" s="8">
        <v>5280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328.8</v>
      </c>
      <c r="BM7" s="33">
        <v>13300</v>
      </c>
      <c r="BN7" s="21">
        <f t="shared" ref="BN7" si="2">BM7-BL7</f>
        <v>12971.2</v>
      </c>
      <c r="BO7" s="21">
        <f t="shared" ref="BO7" si="3">BN7*70%</f>
        <v>9079.84</v>
      </c>
      <c r="BP7" s="31"/>
    </row>
    <row r="8" spans="1:69" x14ac:dyDescent="0.3">
      <c r="A8" s="5"/>
      <c r="B8" s="5"/>
      <c r="C8" s="5"/>
      <c r="D8" s="6"/>
      <c r="E8" s="5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33"/>
      <c r="BN8" s="20"/>
      <c r="BO8" s="22">
        <f>SUM(BO2:BO7)</f>
        <v>13959907.85</v>
      </c>
    </row>
    <row r="9" spans="1:69" s="15" customFormat="1" ht="15.6" customHeight="1" x14ac:dyDescent="0.3">
      <c r="A9" s="13" t="s">
        <v>86</v>
      </c>
      <c r="B9" s="14"/>
      <c r="AU9" s="16"/>
      <c r="AW9" s="16"/>
      <c r="BM9" s="34"/>
      <c r="BO9" s="19"/>
    </row>
    <row r="10" spans="1:69" s="15" customFormat="1" ht="15.6" customHeight="1" x14ac:dyDescent="0.3">
      <c r="A10" s="17" t="s">
        <v>9</v>
      </c>
      <c r="B10" s="17" t="s">
        <v>10</v>
      </c>
      <c r="C10" s="17" t="s">
        <v>11</v>
      </c>
      <c r="D10" s="17" t="s">
        <v>12</v>
      </c>
      <c r="J10" s="15" t="s">
        <v>13</v>
      </c>
      <c r="BM10" s="34"/>
    </row>
    <row r="11" spans="1:69" s="15" customFormat="1" ht="15.6" customHeight="1" x14ac:dyDescent="0.3">
      <c r="A11" s="18">
        <v>22.11</v>
      </c>
      <c r="B11" s="23">
        <v>61000000</v>
      </c>
      <c r="C11" s="24">
        <v>22413299.859999999</v>
      </c>
      <c r="D11" s="25">
        <f>B11-C11</f>
        <v>38586700.140000001</v>
      </c>
      <c r="BM11" s="34"/>
    </row>
    <row r="12" spans="1:69" s="15" customFormat="1" ht="15.6" customHeight="1" x14ac:dyDescent="0.3">
      <c r="A12" s="29">
        <v>22.12</v>
      </c>
      <c r="B12" s="23"/>
      <c r="C12" s="24">
        <f>BO8</f>
        <v>13959907.85</v>
      </c>
      <c r="D12" s="25">
        <f>D11-C12</f>
        <v>24626792.289999999</v>
      </c>
      <c r="BM12" s="34"/>
    </row>
    <row r="13" spans="1:69" s="15" customFormat="1" ht="15.6" customHeight="1" x14ac:dyDescent="0.3">
      <c r="A13" s="26" t="s">
        <v>14</v>
      </c>
      <c r="B13" s="27">
        <f>SUM(B11:B12)</f>
        <v>61000000</v>
      </c>
      <c r="C13" s="28">
        <f>SUM(C11:C12)</f>
        <v>36373207.710000001</v>
      </c>
      <c r="D13" s="28"/>
      <c r="BM13" s="34"/>
    </row>
    <row r="14" spans="1:69" x14ac:dyDescent="0.3">
      <c r="A14" s="5"/>
      <c r="B14" s="5"/>
      <c r="C14" s="5"/>
      <c r="D14" s="6"/>
      <c r="E14" s="5"/>
      <c r="F14" s="5"/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35"/>
    </row>
    <row r="15" spans="1:69" x14ac:dyDescent="0.3">
      <c r="A15" s="5"/>
      <c r="B15" s="5"/>
      <c r="C15" s="5"/>
      <c r="D15" s="6"/>
      <c r="E15" s="5"/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35"/>
    </row>
    <row r="16" spans="1:69" x14ac:dyDescent="0.3">
      <c r="A16" s="5"/>
      <c r="B16" s="5"/>
      <c r="C16" s="5"/>
      <c r="D16" s="6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8"/>
      <c r="AG16" s="8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33"/>
    </row>
    <row r="17" spans="1:65" x14ac:dyDescent="0.3">
      <c r="A17" s="5"/>
      <c r="B17" s="5"/>
      <c r="C17" s="5"/>
      <c r="D17" s="6"/>
      <c r="E17" s="5"/>
      <c r="F17" s="5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8"/>
      <c r="AG17" s="8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33"/>
    </row>
    <row r="18" spans="1:65" x14ac:dyDescent="0.3">
      <c r="A18" s="5"/>
      <c r="B18" s="5"/>
      <c r="C18" s="5"/>
      <c r="D18" s="6"/>
      <c r="E18" s="5"/>
      <c r="F18" s="5"/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8"/>
      <c r="AG18" s="8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33"/>
    </row>
    <row r="19" spans="1:65" x14ac:dyDescent="0.3">
      <c r="A19" s="5"/>
      <c r="B19" s="5"/>
      <c r="C19" s="5"/>
      <c r="D19" s="6"/>
      <c r="E19" s="5"/>
      <c r="F19" s="5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8"/>
      <c r="AG19" s="8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8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33"/>
    </row>
    <row r="20" spans="1:65" x14ac:dyDescent="0.3">
      <c r="A20" s="5"/>
      <c r="B20" s="5"/>
      <c r="C20" s="5"/>
      <c r="D20" s="6"/>
      <c r="E20" s="5"/>
      <c r="F20" s="5"/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8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8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33"/>
    </row>
    <row r="21" spans="1:65" x14ac:dyDescent="0.3">
      <c r="A21" s="5"/>
      <c r="B21" s="5"/>
      <c r="C21" s="5"/>
      <c r="D21" s="6"/>
      <c r="E21" s="5"/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8"/>
      <c r="AG21" s="8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8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33"/>
    </row>
    <row r="22" spans="1:65" x14ac:dyDescent="0.3">
      <c r="A22" s="5"/>
      <c r="B22" s="5"/>
      <c r="C22" s="5"/>
      <c r="D22" s="6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33"/>
    </row>
    <row r="23" spans="1:65" x14ac:dyDescent="0.3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33"/>
    </row>
    <row r="24" spans="1:65" x14ac:dyDescent="0.3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8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8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33"/>
    </row>
    <row r="25" spans="1:65" x14ac:dyDescent="0.3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33"/>
    </row>
    <row r="26" spans="1:65" x14ac:dyDescent="0.3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8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33"/>
    </row>
    <row r="27" spans="1:65" x14ac:dyDescent="0.3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8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33"/>
    </row>
    <row r="28" spans="1:65" x14ac:dyDescent="0.3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8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8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33"/>
    </row>
    <row r="29" spans="1:65" x14ac:dyDescent="0.3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8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33"/>
    </row>
    <row r="30" spans="1:65" x14ac:dyDescent="0.3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8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8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33"/>
    </row>
    <row r="31" spans="1:65" x14ac:dyDescent="0.3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8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33"/>
    </row>
    <row r="32" spans="1:65" x14ac:dyDescent="0.3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8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33"/>
    </row>
    <row r="33" spans="1:65" x14ac:dyDescent="0.3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33"/>
    </row>
    <row r="34" spans="1:65" x14ac:dyDescent="0.3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8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33"/>
    </row>
    <row r="35" spans="1:65" x14ac:dyDescent="0.3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8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33"/>
    </row>
    <row r="36" spans="1:65" x14ac:dyDescent="0.3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33"/>
    </row>
    <row r="37" spans="1:65" x14ac:dyDescent="0.3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8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8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33"/>
    </row>
    <row r="38" spans="1:65" x14ac:dyDescent="0.3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8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8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33"/>
    </row>
    <row r="39" spans="1:65" x14ac:dyDescent="0.3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8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33"/>
    </row>
    <row r="40" spans="1:65" x14ac:dyDescent="0.3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8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33"/>
    </row>
    <row r="41" spans="1:65" x14ac:dyDescent="0.3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8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33"/>
    </row>
    <row r="42" spans="1:65" x14ac:dyDescent="0.3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8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33"/>
    </row>
    <row r="43" spans="1:65" x14ac:dyDescent="0.3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8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33"/>
    </row>
    <row r="44" spans="1:65" x14ac:dyDescent="0.3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8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8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33"/>
    </row>
    <row r="45" spans="1:65" x14ac:dyDescent="0.3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8"/>
      <c r="AG45" s="8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33"/>
    </row>
    <row r="46" spans="1:65" x14ac:dyDescent="0.3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8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33"/>
    </row>
    <row r="47" spans="1:65" x14ac:dyDescent="0.3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8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8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33"/>
    </row>
    <row r="48" spans="1:65" x14ac:dyDescent="0.3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8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8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33"/>
    </row>
    <row r="49" spans="1:65" x14ac:dyDescent="0.3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8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33"/>
    </row>
    <row r="50" spans="1:65" x14ac:dyDescent="0.3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33"/>
    </row>
    <row r="51" spans="1:65" x14ac:dyDescent="0.3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33"/>
    </row>
    <row r="52" spans="1:65" x14ac:dyDescent="0.3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8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33"/>
    </row>
    <row r="53" spans="1:65" x14ac:dyDescent="0.3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33"/>
    </row>
    <row r="54" spans="1:65" x14ac:dyDescent="0.3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8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33"/>
    </row>
    <row r="55" spans="1:65" x14ac:dyDescent="0.3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33"/>
    </row>
    <row r="56" spans="1:65" x14ac:dyDescent="0.3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33"/>
    </row>
    <row r="57" spans="1:65" x14ac:dyDescent="0.3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8"/>
      <c r="AG57" s="8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33"/>
    </row>
    <row r="58" spans="1:65" x14ac:dyDescent="0.3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8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33"/>
    </row>
    <row r="59" spans="1:65" x14ac:dyDescent="0.3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8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33"/>
    </row>
    <row r="60" spans="1:65" x14ac:dyDescent="0.3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8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33"/>
    </row>
    <row r="61" spans="1:65" x14ac:dyDescent="0.3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8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33"/>
    </row>
    <row r="62" spans="1:65" x14ac:dyDescent="0.3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8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8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33"/>
    </row>
    <row r="63" spans="1:65" x14ac:dyDescent="0.3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33"/>
    </row>
    <row r="64" spans="1:65" x14ac:dyDescent="0.3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8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33"/>
    </row>
    <row r="65" spans="1:65" x14ac:dyDescent="0.3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33"/>
    </row>
    <row r="66" spans="1:65" x14ac:dyDescent="0.3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8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33"/>
    </row>
    <row r="67" spans="1:65" x14ac:dyDescent="0.3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8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8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33"/>
    </row>
    <row r="68" spans="1:65" x14ac:dyDescent="0.3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8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33"/>
    </row>
    <row r="69" spans="1:65" x14ac:dyDescent="0.3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8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33"/>
    </row>
    <row r="70" spans="1:65" x14ac:dyDescent="0.3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8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33"/>
    </row>
    <row r="71" spans="1:65" x14ac:dyDescent="0.3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8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8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33"/>
    </row>
    <row r="72" spans="1:65" x14ac:dyDescent="0.3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8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33"/>
    </row>
    <row r="73" spans="1:65" x14ac:dyDescent="0.3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8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33"/>
    </row>
    <row r="74" spans="1:65" x14ac:dyDescent="0.3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33"/>
    </row>
    <row r="75" spans="1:65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33"/>
    </row>
    <row r="76" spans="1:65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33"/>
    </row>
    <row r="77" spans="1:65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33"/>
    </row>
    <row r="78" spans="1:65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33"/>
    </row>
    <row r="79" spans="1:65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33"/>
    </row>
    <row r="80" spans="1:65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8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33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33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33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8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33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33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33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33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33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33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8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33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33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33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33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33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33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33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33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33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33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33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33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33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33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33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33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33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35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35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35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35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35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35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35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35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35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35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8"/>
      <c r="L116" s="8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8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8"/>
      <c r="AR116" s="8"/>
      <c r="AS116" s="8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33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8"/>
      <c r="AS117" s="8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33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8"/>
      <c r="AD118" s="8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8"/>
      <c r="AP118" s="7"/>
      <c r="AQ118" s="7"/>
      <c r="AR118" s="8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33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8"/>
      <c r="L119" s="8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8"/>
      <c r="AF119" s="8"/>
      <c r="AG119" s="8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33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8"/>
      <c r="K120" s="8"/>
      <c r="L120" s="8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33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8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8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33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8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8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33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8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8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8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33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7"/>
      <c r="AE124" s="7"/>
      <c r="AF124" s="8"/>
      <c r="AG124" s="8"/>
      <c r="AH124" s="7"/>
      <c r="AI124" s="7"/>
      <c r="AJ124" s="7"/>
      <c r="AK124" s="7"/>
      <c r="AL124" s="7"/>
      <c r="AM124" s="7"/>
      <c r="AN124" s="7"/>
      <c r="AO124" s="8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33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8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8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33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8"/>
      <c r="AF126" s="8"/>
      <c r="AG126" s="8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8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33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8"/>
      <c r="AF127" s="8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8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33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8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8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33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8"/>
      <c r="AF129" s="8"/>
      <c r="AG129" s="8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8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33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8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8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33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8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8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33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8"/>
      <c r="AG132" s="8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33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33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8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8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33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33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8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33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8"/>
      <c r="AD137" s="7"/>
      <c r="AE137" s="7"/>
      <c r="AF137" s="8"/>
      <c r="AG137" s="8"/>
      <c r="AH137" s="7"/>
      <c r="AI137" s="7"/>
      <c r="AJ137" s="7"/>
      <c r="AK137" s="7"/>
      <c r="AL137" s="7"/>
      <c r="AM137" s="7"/>
      <c r="AN137" s="7"/>
      <c r="AO137" s="8"/>
      <c r="AP137" s="8"/>
      <c r="AQ137" s="7"/>
      <c r="AR137" s="8"/>
      <c r="AS137" s="8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33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8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33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8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33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33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8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8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33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33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33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33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8"/>
      <c r="AD145" s="8"/>
      <c r="AE145" s="7"/>
      <c r="AF145" s="7"/>
      <c r="AG145" s="8"/>
      <c r="AH145" s="7"/>
      <c r="AI145" s="7"/>
      <c r="AJ145" s="7"/>
      <c r="AK145" s="7"/>
      <c r="AL145" s="7"/>
      <c r="AM145" s="7"/>
      <c r="AN145" s="7"/>
      <c r="AO145" s="8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33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33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8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33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8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33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33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33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33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33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33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33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8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33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33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33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33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33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33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33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33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33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33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33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33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8"/>
      <c r="AD167" s="8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33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33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33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8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33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33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33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33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33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33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33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8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33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33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33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8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33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8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33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33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33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33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8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33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8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33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33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33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33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33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33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33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33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33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8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33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33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33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33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8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33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33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33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8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33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8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33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33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33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33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33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33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33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33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8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33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8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33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33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8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33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8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33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8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33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8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33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33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8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33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33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33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8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33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33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8"/>
      <c r="AG224" s="8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33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8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33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33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8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33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33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8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33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8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33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8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33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8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33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8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8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33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8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33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8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33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8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33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8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33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8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33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8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33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8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33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8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33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8"/>
      <c r="AG242" s="8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33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8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33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8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33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33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8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8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33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8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33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8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33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8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33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33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8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33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8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33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33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8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33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33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33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33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33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35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35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35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35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35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35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35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35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35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35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35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35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35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35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35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35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35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35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35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35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35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35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35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35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35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35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35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35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8"/>
      <c r="L287" s="8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8"/>
      <c r="AF287" s="8"/>
      <c r="AG287" s="8"/>
      <c r="AH287" s="7"/>
      <c r="AI287" s="7"/>
      <c r="AJ287" s="7"/>
      <c r="AK287" s="8"/>
      <c r="AL287" s="8"/>
      <c r="AM287" s="8"/>
      <c r="AN287" s="7"/>
      <c r="AO287" s="7"/>
      <c r="AP287" s="7"/>
      <c r="AQ287" s="8"/>
      <c r="AR287" s="8"/>
      <c r="AS287" s="8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33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8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8"/>
      <c r="AF288" s="8"/>
      <c r="AG288" s="8"/>
      <c r="AH288" s="7"/>
      <c r="AI288" s="7"/>
      <c r="AJ288" s="7"/>
      <c r="AK288" s="8"/>
      <c r="AL288" s="8"/>
      <c r="AM288" s="8"/>
      <c r="AN288" s="7"/>
      <c r="AO288" s="7"/>
      <c r="AP288" s="7"/>
      <c r="AQ288" s="7"/>
      <c r="AR288" s="8"/>
      <c r="AS288" s="8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9"/>
      <c r="BM288" s="33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8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8"/>
      <c r="AF289" s="8"/>
      <c r="AG289" s="8"/>
      <c r="AH289" s="7"/>
      <c r="AI289" s="7"/>
      <c r="AJ289" s="7"/>
      <c r="AK289" s="8"/>
      <c r="AL289" s="8"/>
      <c r="AM289" s="8"/>
      <c r="AN289" s="7"/>
      <c r="AO289" s="7"/>
      <c r="AP289" s="7"/>
      <c r="AQ289" s="8"/>
      <c r="AR289" s="8"/>
      <c r="AS289" s="8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33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8"/>
      <c r="AF290" s="8"/>
      <c r="AG290" s="8"/>
      <c r="AH290" s="7"/>
      <c r="AI290" s="7"/>
      <c r="AJ290" s="7"/>
      <c r="AK290" s="8"/>
      <c r="AL290" s="8"/>
      <c r="AM290" s="8"/>
      <c r="AN290" s="7"/>
      <c r="AO290" s="7"/>
      <c r="AP290" s="7"/>
      <c r="AQ290" s="8"/>
      <c r="AR290" s="8"/>
      <c r="AS290" s="8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33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8"/>
      <c r="AH291" s="7"/>
      <c r="AI291" s="7"/>
      <c r="AJ291" s="7"/>
      <c r="AK291" s="7"/>
      <c r="AL291" s="8"/>
      <c r="AM291" s="8"/>
      <c r="AN291" s="7"/>
      <c r="AO291" s="7"/>
      <c r="AP291" s="7"/>
      <c r="AQ291" s="7"/>
      <c r="AR291" s="8"/>
      <c r="AS291" s="8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33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8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8"/>
      <c r="AF292" s="8"/>
      <c r="AG292" s="8"/>
      <c r="AH292" s="7"/>
      <c r="AI292" s="7"/>
      <c r="AJ292" s="7"/>
      <c r="AK292" s="8"/>
      <c r="AL292" s="8"/>
      <c r="AM292" s="8"/>
      <c r="AN292" s="7"/>
      <c r="AO292" s="7"/>
      <c r="AP292" s="7"/>
      <c r="AQ292" s="7"/>
      <c r="AR292" s="8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9"/>
      <c r="BM292" s="33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8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8"/>
      <c r="AF293" s="8"/>
      <c r="AG293" s="8"/>
      <c r="AH293" s="7"/>
      <c r="AI293" s="7"/>
      <c r="AJ293" s="7"/>
      <c r="AK293" s="8"/>
      <c r="AL293" s="8"/>
      <c r="AM293" s="8"/>
      <c r="AN293" s="7"/>
      <c r="AO293" s="7"/>
      <c r="AP293" s="7"/>
      <c r="AQ293" s="7"/>
      <c r="AR293" s="8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9"/>
      <c r="BM293" s="33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8"/>
      <c r="AF294" s="8"/>
      <c r="AG294" s="8"/>
      <c r="AH294" s="7"/>
      <c r="AI294" s="7"/>
      <c r="AJ294" s="7"/>
      <c r="AK294" s="8"/>
      <c r="AL294" s="8"/>
      <c r="AM294" s="8"/>
      <c r="AN294" s="7"/>
      <c r="AO294" s="7"/>
      <c r="AP294" s="7"/>
      <c r="AQ294" s="7"/>
      <c r="AR294" s="8"/>
      <c r="AS294" s="8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33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8"/>
      <c r="L295" s="8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8"/>
      <c r="AF295" s="8"/>
      <c r="AG295" s="8"/>
      <c r="AH295" s="7"/>
      <c r="AI295" s="7"/>
      <c r="AJ295" s="7"/>
      <c r="AK295" s="8"/>
      <c r="AL295" s="8"/>
      <c r="AM295" s="8"/>
      <c r="AN295" s="7"/>
      <c r="AO295" s="7"/>
      <c r="AP295" s="7"/>
      <c r="AQ295" s="7"/>
      <c r="AR295" s="8"/>
      <c r="AS295" s="8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9"/>
      <c r="BM295" s="33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8"/>
      <c r="AF296" s="8"/>
      <c r="AG296" s="8"/>
      <c r="AH296" s="7"/>
      <c r="AI296" s="7"/>
      <c r="AJ296" s="7"/>
      <c r="AK296" s="8"/>
      <c r="AL296" s="8"/>
      <c r="AM296" s="8"/>
      <c r="AN296" s="7"/>
      <c r="AO296" s="7"/>
      <c r="AP296" s="7"/>
      <c r="AQ296" s="7"/>
      <c r="AR296" s="8"/>
      <c r="AS296" s="8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33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8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8"/>
      <c r="AF297" s="8"/>
      <c r="AG297" s="8"/>
      <c r="AH297" s="7"/>
      <c r="AI297" s="7"/>
      <c r="AJ297" s="7"/>
      <c r="AK297" s="8"/>
      <c r="AL297" s="8"/>
      <c r="AM297" s="8"/>
      <c r="AN297" s="7"/>
      <c r="AO297" s="7"/>
      <c r="AP297" s="7"/>
      <c r="AQ297" s="7"/>
      <c r="AR297" s="8"/>
      <c r="AS297" s="8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9"/>
      <c r="BM297" s="33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8"/>
      <c r="AG298" s="8"/>
      <c r="AH298" s="7"/>
      <c r="AI298" s="7"/>
      <c r="AJ298" s="7"/>
      <c r="AK298" s="8"/>
      <c r="AL298" s="8"/>
      <c r="AM298" s="8"/>
      <c r="AN298" s="7"/>
      <c r="AO298" s="7"/>
      <c r="AP298" s="7"/>
      <c r="AQ298" s="7"/>
      <c r="AR298" s="8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33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8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33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8"/>
      <c r="K300" s="7"/>
      <c r="L300" s="8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8"/>
      <c r="AH300" s="7"/>
      <c r="AI300" s="7"/>
      <c r="AJ300" s="7"/>
      <c r="AK300" s="7"/>
      <c r="AL300" s="8"/>
      <c r="AM300" s="8"/>
      <c r="AN300" s="7"/>
      <c r="AO300" s="7"/>
      <c r="AP300" s="7"/>
      <c r="AQ300" s="7"/>
      <c r="AR300" s="8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33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8"/>
      <c r="AM301" s="8"/>
      <c r="AN301" s="7"/>
      <c r="AO301" s="7"/>
      <c r="AP301" s="7"/>
      <c r="AQ301" s="7"/>
      <c r="AR301" s="8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33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8"/>
      <c r="AM302" s="8"/>
      <c r="AN302" s="7"/>
      <c r="AO302" s="7"/>
      <c r="AP302" s="7"/>
      <c r="AQ302" s="7"/>
      <c r="AR302" s="8"/>
      <c r="AS302" s="8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9"/>
      <c r="BM302" s="33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8"/>
      <c r="AH303" s="7"/>
      <c r="AI303" s="7"/>
      <c r="AJ303" s="7"/>
      <c r="AK303" s="7"/>
      <c r="AL303" s="8"/>
      <c r="AM303" s="8"/>
      <c r="AN303" s="7"/>
      <c r="AO303" s="7"/>
      <c r="AP303" s="7"/>
      <c r="AQ303" s="7"/>
      <c r="AR303" s="8"/>
      <c r="AS303" s="8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33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8"/>
      <c r="AG304" s="7"/>
      <c r="AH304" s="7"/>
      <c r="AI304" s="8"/>
      <c r="AJ304" s="8"/>
      <c r="AK304" s="7"/>
      <c r="AL304" s="7"/>
      <c r="AM304" s="7"/>
      <c r="AN304" s="7"/>
      <c r="AO304" s="7"/>
      <c r="AP304" s="7"/>
      <c r="AQ304" s="7"/>
      <c r="AR304" s="8"/>
      <c r="AS304" s="8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9"/>
      <c r="BM304" s="33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8"/>
      <c r="AN305" s="7"/>
      <c r="AO305" s="7"/>
      <c r="AP305" s="7"/>
      <c r="AQ305" s="7"/>
      <c r="AR305" s="8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33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8"/>
      <c r="AG306" s="8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8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33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8"/>
      <c r="AS307" s="8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9"/>
      <c r="BM307" s="33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33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8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8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33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8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8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33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8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8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33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33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8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9"/>
      <c r="BM313" s="33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8"/>
      <c r="AH314" s="7"/>
      <c r="AI314" s="7"/>
      <c r="AJ314" s="7"/>
      <c r="AK314" s="7"/>
      <c r="AL314" s="8"/>
      <c r="AM314" s="8"/>
      <c r="AN314" s="7"/>
      <c r="AO314" s="7"/>
      <c r="AP314" s="7"/>
      <c r="AQ314" s="7"/>
      <c r="AR314" s="8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33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8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8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33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8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8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9"/>
      <c r="BM316" s="33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9"/>
      <c r="BM317" s="33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8"/>
      <c r="AG318" s="8"/>
      <c r="AH318" s="7"/>
      <c r="AI318" s="7"/>
      <c r="AJ318" s="7"/>
      <c r="AK318" s="7"/>
      <c r="AL318" s="8"/>
      <c r="AM318" s="8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33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8"/>
      <c r="AG319" s="8"/>
      <c r="AH319" s="7"/>
      <c r="AI319" s="7"/>
      <c r="AJ319" s="7"/>
      <c r="AK319" s="7"/>
      <c r="AL319" s="8"/>
      <c r="AM319" s="8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33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8"/>
      <c r="AG320" s="7"/>
      <c r="AH320" s="7"/>
      <c r="AI320" s="7"/>
      <c r="AJ320" s="7"/>
      <c r="AK320" s="7"/>
      <c r="AL320" s="8"/>
      <c r="AM320" s="8"/>
      <c r="AN320" s="7"/>
      <c r="AO320" s="7"/>
      <c r="AP320" s="7"/>
      <c r="AQ320" s="7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33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8"/>
      <c r="AH321" s="7"/>
      <c r="AI321" s="7"/>
      <c r="AJ321" s="7"/>
      <c r="AK321" s="7"/>
      <c r="AL321" s="8"/>
      <c r="AM321" s="8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33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33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33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8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33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8"/>
      <c r="AM325" s="8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33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8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33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33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8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8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33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33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33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7"/>
      <c r="AH331" s="7"/>
      <c r="AI331" s="7"/>
      <c r="AJ331" s="7"/>
      <c r="AK331" s="7"/>
      <c r="AL331" s="8"/>
      <c r="AM331" s="8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33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8"/>
      <c r="AM332" s="8"/>
      <c r="AN332" s="7"/>
      <c r="AO332" s="7"/>
      <c r="AP332" s="7"/>
      <c r="AQ332" s="7"/>
      <c r="AR332" s="8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33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8"/>
      <c r="AJ333" s="7"/>
      <c r="AK333" s="7"/>
      <c r="AL333" s="8"/>
      <c r="AM333" s="7"/>
      <c r="AN333" s="7"/>
      <c r="AO333" s="8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33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33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8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33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33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33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33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33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8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33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8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33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8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33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33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33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33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8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33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33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8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33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33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33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33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8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33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8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33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33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33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8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33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33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33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33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33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33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8"/>
      <c r="AH362" s="7"/>
      <c r="AI362" s="7"/>
      <c r="AJ362" s="7"/>
      <c r="AK362" s="7"/>
      <c r="AL362" s="7"/>
      <c r="AM362" s="8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33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8"/>
      <c r="AH363" s="7"/>
      <c r="AI363" s="7"/>
      <c r="AJ363" s="7"/>
      <c r="AK363" s="7"/>
      <c r="AL363" s="7"/>
      <c r="AM363" s="8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33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33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8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33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33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33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8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33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33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33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8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33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33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8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33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8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33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33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33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33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8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33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8"/>
      <c r="AH379" s="7"/>
      <c r="AI379" s="7"/>
      <c r="AJ379" s="7"/>
      <c r="AK379" s="7"/>
      <c r="AL379" s="7"/>
      <c r="AM379" s="8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33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33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8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33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8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33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33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8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33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33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8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33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33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8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33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7"/>
      <c r="AM389" s="8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33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33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8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33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33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8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33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33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8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33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8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33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33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33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33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8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33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8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33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35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35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35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35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35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35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35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35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35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35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35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35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35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35"/>
    </row>
    <row r="416" spans="1:65" x14ac:dyDescent="0.3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35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2023-01-05T07:46:01Z</dcterms:modified>
</cp:coreProperties>
</file>