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K:\13. 콘텐츠사업_매출정산\13E. 정산 데이터\13E3. 22년\12월\1. 월초마감\네이버\"/>
    </mc:Choice>
  </mc:AlternateContent>
  <bookViews>
    <workbookView xWindow="0" yWindow="0" windowWidth="23040" windowHeight="8955" tabRatio="766"/>
  </bookViews>
  <sheets>
    <sheet name="합계(12)" sheetId="412" r:id="rId1"/>
  </sheets>
  <definedNames>
    <definedName name="_xlnm._FilterDatabase" localSheetId="0" hidden="1">'합계(12)'!$A$1:$BQ$42</definedName>
    <definedName name="_xlnm.Extract" localSheetId="0">'합계(12)'!#REF!</definedName>
  </definedNames>
  <calcPr calcId="152511"/>
</workbook>
</file>

<file path=xl/calcChain.xml><?xml version="1.0" encoding="utf-8"?>
<calcChain xmlns="http://schemas.openxmlformats.org/spreadsheetml/2006/main">
  <c r="BO192" i="412" l="1"/>
  <c r="BN191" i="412"/>
  <c r="BO191" i="412" s="1"/>
  <c r="BO190" i="412"/>
  <c r="BN190" i="412"/>
  <c r="BN189" i="412"/>
  <c r="BO189" i="412" s="1"/>
  <c r="BO188" i="412"/>
  <c r="BN188" i="412"/>
  <c r="BN187" i="412"/>
  <c r="BO187" i="412" s="1"/>
  <c r="BO186" i="412"/>
  <c r="BN186" i="412"/>
  <c r="BN185" i="412"/>
  <c r="BO185" i="412" s="1"/>
  <c r="BO184" i="412"/>
  <c r="BN184" i="412"/>
  <c r="BN183" i="412"/>
  <c r="BO183" i="412" s="1"/>
  <c r="BO182" i="412"/>
  <c r="BN182" i="412"/>
  <c r="BN181" i="412"/>
  <c r="BO181" i="412" s="1"/>
  <c r="BN180" i="412" l="1"/>
  <c r="BO180" i="412" s="1"/>
  <c r="BN179" i="412"/>
  <c r="BO179" i="412" s="1"/>
  <c r="BN178" i="412"/>
  <c r="BO178" i="412" s="1"/>
  <c r="BN177" i="412"/>
  <c r="BO177" i="412" s="1"/>
  <c r="BN176" i="412"/>
  <c r="BO176" i="412" s="1"/>
  <c r="BN175" i="412"/>
  <c r="BO175" i="412" s="1"/>
  <c r="BN174" i="412"/>
  <c r="BO174" i="412" s="1"/>
  <c r="BN173" i="412"/>
  <c r="BO173" i="412" s="1"/>
  <c r="BN172" i="412"/>
  <c r="BO172" i="412" s="1"/>
  <c r="BN171" i="412"/>
  <c r="BO171" i="412" s="1"/>
  <c r="BN170" i="412"/>
  <c r="BO170" i="412" s="1"/>
  <c r="BN131" i="412" l="1"/>
  <c r="BO131" i="412" s="1"/>
  <c r="BN132" i="412"/>
  <c r="BO132" i="412" s="1"/>
  <c r="BN133" i="412"/>
  <c r="BO133" i="412" s="1"/>
  <c r="BN134" i="412"/>
  <c r="BO134" i="412" s="1"/>
  <c r="BN135" i="412"/>
  <c r="BO135" i="412" s="1"/>
  <c r="BN136" i="412"/>
  <c r="BO136" i="412" s="1"/>
  <c r="BN137" i="412"/>
  <c r="BO137" i="412" s="1"/>
  <c r="BN138" i="412"/>
  <c r="BO138" i="412" s="1"/>
  <c r="BN139" i="412"/>
  <c r="BO139" i="412" s="1"/>
  <c r="BN140" i="412"/>
  <c r="BO140" i="412" s="1"/>
  <c r="BN141" i="412"/>
  <c r="BO141" i="412" s="1"/>
  <c r="BN142" i="412"/>
  <c r="BO142" i="412" s="1"/>
  <c r="BN143" i="412"/>
  <c r="BO143" i="412" s="1"/>
  <c r="BN144" i="412"/>
  <c r="BO144" i="412" s="1"/>
  <c r="BN145" i="412"/>
  <c r="BO145" i="412" s="1"/>
  <c r="BN146" i="412"/>
  <c r="BO146" i="412" s="1"/>
  <c r="BN147" i="412"/>
  <c r="BO147" i="412" s="1"/>
  <c r="BN148" i="412"/>
  <c r="BO148" i="412" s="1"/>
  <c r="BN149" i="412"/>
  <c r="BO149" i="412" s="1"/>
  <c r="BN150" i="412"/>
  <c r="BO150" i="412" s="1"/>
  <c r="BN151" i="412"/>
  <c r="BO151" i="412" s="1"/>
  <c r="BN152" i="412"/>
  <c r="BO152" i="412" s="1"/>
  <c r="BN153" i="412"/>
  <c r="BO153" i="412" s="1"/>
  <c r="BN154" i="412"/>
  <c r="BO154" i="412"/>
  <c r="BN155" i="412"/>
  <c r="BO155" i="412" s="1"/>
  <c r="BN156" i="412"/>
  <c r="BO156" i="412" s="1"/>
  <c r="BN157" i="412"/>
  <c r="BO157" i="412" s="1"/>
  <c r="BN158" i="412"/>
  <c r="BO158" i="412" s="1"/>
  <c r="BN159" i="412"/>
  <c r="BO159" i="412" s="1"/>
  <c r="BN160" i="412"/>
  <c r="BO160" i="412" s="1"/>
  <c r="BN161" i="412"/>
  <c r="BO161" i="412" s="1"/>
  <c r="BN162" i="412"/>
  <c r="BO162" i="412" s="1"/>
  <c r="BN163" i="412"/>
  <c r="BO163" i="412" s="1"/>
  <c r="BN164" i="412"/>
  <c r="BO164" i="412" s="1"/>
  <c r="BN165" i="412"/>
  <c r="BO165" i="412" s="1"/>
  <c r="BN166" i="412"/>
  <c r="BO166" i="412" s="1"/>
  <c r="BN167" i="412"/>
  <c r="BO167" i="412" s="1"/>
  <c r="BN168" i="412"/>
  <c r="BO168" i="412" s="1"/>
  <c r="BN169" i="412"/>
  <c r="BO169" i="412" s="1"/>
  <c r="BN43" i="412" l="1"/>
  <c r="BO43" i="412" s="1"/>
  <c r="BN44" i="412"/>
  <c r="BO44" i="412" s="1"/>
  <c r="BN45" i="412"/>
  <c r="BO45" i="412" s="1"/>
  <c r="BN46" i="412"/>
  <c r="BO46" i="412" s="1"/>
  <c r="BN47" i="412"/>
  <c r="BO47" i="412" s="1"/>
  <c r="BN48" i="412"/>
  <c r="BO48" i="412" s="1"/>
  <c r="BN49" i="412"/>
  <c r="BO49" i="412" s="1"/>
  <c r="BN50" i="412"/>
  <c r="BO50" i="412" s="1"/>
  <c r="BN51" i="412"/>
  <c r="BO51" i="412" s="1"/>
  <c r="BN52" i="412"/>
  <c r="BO52" i="412" s="1"/>
  <c r="BN53" i="412"/>
  <c r="BO53" i="412" s="1"/>
  <c r="BN54" i="412"/>
  <c r="BO54" i="412" s="1"/>
  <c r="BN55" i="412"/>
  <c r="BO55" i="412" s="1"/>
  <c r="BN56" i="412"/>
  <c r="BO56" i="412" s="1"/>
  <c r="BN57" i="412"/>
  <c r="BO57" i="412" s="1"/>
  <c r="BN58" i="412"/>
  <c r="BO58" i="412" s="1"/>
  <c r="BN59" i="412"/>
  <c r="BO59" i="412" s="1"/>
  <c r="BN60" i="412"/>
  <c r="BO60" i="412" s="1"/>
  <c r="BN61" i="412"/>
  <c r="BO61" i="412" s="1"/>
  <c r="BN62" i="412"/>
  <c r="BO62" i="412" s="1"/>
  <c r="BN63" i="412"/>
  <c r="BO63" i="412" s="1"/>
  <c r="BN64" i="412"/>
  <c r="BO64" i="412" s="1"/>
  <c r="BN65" i="412"/>
  <c r="BO65" i="412" s="1"/>
  <c r="BN66" i="412"/>
  <c r="BO66" i="412" s="1"/>
  <c r="BN67" i="412"/>
  <c r="BO67" i="412" s="1"/>
  <c r="BN68" i="412"/>
  <c r="BO68" i="412" s="1"/>
  <c r="BN69" i="412"/>
  <c r="BO69" i="412" s="1"/>
  <c r="BN70" i="412"/>
  <c r="BO70" i="412" s="1"/>
  <c r="BN71" i="412"/>
  <c r="BO71" i="412" s="1"/>
  <c r="BN72" i="412"/>
  <c r="BO72" i="412" s="1"/>
  <c r="BN73" i="412"/>
  <c r="BO73" i="412" s="1"/>
  <c r="BN74" i="412"/>
  <c r="BO74" i="412" s="1"/>
  <c r="BN75" i="412"/>
  <c r="BO75" i="412" s="1"/>
  <c r="BN76" i="412"/>
  <c r="BO76" i="412" s="1"/>
  <c r="BN77" i="412"/>
  <c r="BO77" i="412" s="1"/>
  <c r="BN78" i="412"/>
  <c r="BO78" i="412" s="1"/>
  <c r="BN79" i="412"/>
  <c r="BO79" i="412" s="1"/>
  <c r="BN80" i="412"/>
  <c r="BO80" i="412" s="1"/>
  <c r="BN81" i="412"/>
  <c r="BO81" i="412" s="1"/>
  <c r="BN82" i="412"/>
  <c r="BO82" i="412" s="1"/>
  <c r="BN83" i="412"/>
  <c r="BO83" i="412" s="1"/>
  <c r="BN84" i="412"/>
  <c r="BO84" i="412" s="1"/>
  <c r="BN85" i="412"/>
  <c r="BO85" i="412" s="1"/>
  <c r="BN86" i="412"/>
  <c r="BO86" i="412" s="1"/>
  <c r="BN87" i="412"/>
  <c r="BO87" i="412" s="1"/>
  <c r="BN88" i="412"/>
  <c r="BO88" i="412" s="1"/>
  <c r="BN89" i="412"/>
  <c r="BO89" i="412" s="1"/>
  <c r="BN90" i="412"/>
  <c r="BO90" i="412" s="1"/>
  <c r="BN91" i="412"/>
  <c r="BO91" i="412" s="1"/>
  <c r="BN92" i="412"/>
  <c r="BO92" i="412" s="1"/>
  <c r="BN93" i="412"/>
  <c r="BO93" i="412" s="1"/>
  <c r="BN94" i="412"/>
  <c r="BO94" i="412" s="1"/>
  <c r="BN95" i="412"/>
  <c r="BO95" i="412" s="1"/>
  <c r="BN96" i="412"/>
  <c r="BO96" i="412" s="1"/>
  <c r="BN97" i="412"/>
  <c r="BO97" i="412" s="1"/>
  <c r="BN98" i="412"/>
  <c r="BO98" i="412" s="1"/>
  <c r="BN99" i="412"/>
  <c r="BO99" i="412" s="1"/>
  <c r="BN100" i="412"/>
  <c r="BO100" i="412" s="1"/>
  <c r="BN101" i="412"/>
  <c r="BO101" i="412" s="1"/>
  <c r="BN102" i="412"/>
  <c r="BO102" i="412" s="1"/>
  <c r="BN103" i="412"/>
  <c r="BO103" i="412" s="1"/>
  <c r="BN104" i="412"/>
  <c r="BO104" i="412" s="1"/>
  <c r="BN105" i="412"/>
  <c r="BO105" i="412" s="1"/>
  <c r="BN106" i="412"/>
  <c r="BO106" i="412" s="1"/>
  <c r="BN107" i="412"/>
  <c r="BO107" i="412" s="1"/>
  <c r="BN108" i="412"/>
  <c r="BO108" i="412" s="1"/>
  <c r="BN109" i="412"/>
  <c r="BO109" i="412" s="1"/>
  <c r="BN110" i="412"/>
  <c r="BO110" i="412" s="1"/>
  <c r="BN111" i="412"/>
  <c r="BO111" i="412" s="1"/>
  <c r="BN112" i="412"/>
  <c r="BO112" i="412" s="1"/>
  <c r="BN113" i="412"/>
  <c r="BO113" i="412" s="1"/>
  <c r="BN114" i="412"/>
  <c r="BO114" i="412" s="1"/>
  <c r="BN115" i="412"/>
  <c r="BO115" i="412" s="1"/>
  <c r="BN116" i="412"/>
  <c r="BO116" i="412" s="1"/>
  <c r="BN117" i="412"/>
  <c r="BO117" i="412" s="1"/>
  <c r="BN118" i="412"/>
  <c r="BO118" i="412" s="1"/>
  <c r="BN119" i="412"/>
  <c r="BO119" i="412" s="1"/>
  <c r="BN120" i="412"/>
  <c r="BO120" i="412" s="1"/>
  <c r="BN121" i="412"/>
  <c r="BO121" i="412" s="1"/>
  <c r="BN122" i="412"/>
  <c r="BO122" i="412" s="1"/>
  <c r="BN123" i="412"/>
  <c r="BO123" i="412" s="1"/>
  <c r="BN124" i="412"/>
  <c r="BO124" i="412" s="1"/>
  <c r="BN125" i="412"/>
  <c r="BO125" i="412" s="1"/>
  <c r="BN126" i="412"/>
  <c r="BO126" i="412" s="1"/>
  <c r="BN127" i="412"/>
  <c r="BO127" i="412" s="1"/>
  <c r="BN128" i="412"/>
  <c r="BO128" i="412" s="1"/>
  <c r="BN129" i="412"/>
  <c r="BO129" i="412" s="1"/>
  <c r="BN130" i="412"/>
  <c r="BO130" i="412" s="1"/>
  <c r="BN3" i="412" l="1"/>
  <c r="BO3" i="412" s="1"/>
  <c r="BN4" i="412"/>
  <c r="BO4" i="412" s="1"/>
  <c r="BN5" i="412"/>
  <c r="BO5" i="412" s="1"/>
  <c r="BN6" i="412"/>
  <c r="BO6" i="412" s="1"/>
  <c r="BN7" i="412"/>
  <c r="BO7" i="412" s="1"/>
  <c r="BN8" i="412"/>
  <c r="BO8" i="412" s="1"/>
  <c r="BN9" i="412"/>
  <c r="BO9" i="412" s="1"/>
  <c r="BN10" i="412"/>
  <c r="BO10" i="412" s="1"/>
  <c r="BN11" i="412"/>
  <c r="BO11" i="412" s="1"/>
  <c r="BN12" i="412"/>
  <c r="BO12" i="412" s="1"/>
  <c r="BN13" i="412"/>
  <c r="BO13" i="412" s="1"/>
  <c r="BN14" i="412"/>
  <c r="BO14" i="412" s="1"/>
  <c r="BN15" i="412"/>
  <c r="BO15" i="412" s="1"/>
  <c r="BN16" i="412"/>
  <c r="BO16" i="412" s="1"/>
  <c r="BN17" i="412"/>
  <c r="BO17" i="412" s="1"/>
  <c r="BN18" i="412"/>
  <c r="BO18" i="412" s="1"/>
  <c r="BN19" i="412"/>
  <c r="BO19" i="412" s="1"/>
  <c r="BN20" i="412"/>
  <c r="BO20" i="412" s="1"/>
  <c r="BN21" i="412"/>
  <c r="BO21" i="412" s="1"/>
  <c r="BN22" i="412"/>
  <c r="BO22" i="412" s="1"/>
  <c r="BN23" i="412"/>
  <c r="BO23" i="412" s="1"/>
  <c r="BN24" i="412"/>
  <c r="BO24" i="412" s="1"/>
  <c r="BN25" i="412"/>
  <c r="BO25" i="412" s="1"/>
  <c r="BN26" i="412"/>
  <c r="BO26" i="412" s="1"/>
  <c r="BN27" i="412"/>
  <c r="BO27" i="412" s="1"/>
  <c r="BN28" i="412"/>
  <c r="BO28" i="412" s="1"/>
  <c r="BN29" i="412"/>
  <c r="BO29" i="412" s="1"/>
  <c r="BN30" i="412"/>
  <c r="BO30" i="412" s="1"/>
  <c r="BN31" i="412"/>
  <c r="BO31" i="412" s="1"/>
  <c r="BN32" i="412"/>
  <c r="BO32" i="412" s="1"/>
  <c r="BN33" i="412"/>
  <c r="BO33" i="412" s="1"/>
  <c r="BN34" i="412"/>
  <c r="BO34" i="412" s="1"/>
  <c r="BN35" i="412"/>
  <c r="BO35" i="412" s="1"/>
  <c r="BN36" i="412"/>
  <c r="BO36" i="412" s="1"/>
  <c r="BN37" i="412"/>
  <c r="BO37" i="412" s="1"/>
  <c r="BN38" i="412"/>
  <c r="BO38" i="412" s="1"/>
  <c r="BN39" i="412"/>
  <c r="BO39" i="412" s="1"/>
  <c r="BN40" i="412"/>
  <c r="BO40" i="412" s="1"/>
  <c r="BN41" i="412"/>
  <c r="BO41" i="412" s="1"/>
  <c r="BN42" i="412"/>
  <c r="BO42" i="412" s="1"/>
  <c r="BN2" i="412"/>
  <c r="BO2" i="412" l="1"/>
</calcChain>
</file>

<file path=xl/sharedStrings.xml><?xml version="1.0" encoding="utf-8"?>
<sst xmlns="http://schemas.openxmlformats.org/spreadsheetml/2006/main" count="1399" uniqueCount="347">
  <si>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</si>
  <si>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</si>
  <si>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</si>
  <si>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</si>
  <si>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</si>
  <si>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</si>
  <si>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</si>
  <si>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</si>
  <si>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</si>
  <si>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</si>
  <si>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</si>
  <si>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</si>
  <si>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</si>
  <si>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합계</t>
  </si>
  <si>
    <t>앱마켓수수료</t>
  </si>
  <si>
    <t>구원, 그 잔혹함에 대하여 [선공개]</t>
  </si>
  <si>
    <t>스토리위즈_1</t>
  </si>
  <si>
    <t>한보연</t>
  </si>
  <si>
    <t>2022.06.02</t>
  </si>
  <si>
    <t>디버프 마스터</t>
  </si>
  <si>
    <t>담화공</t>
  </si>
  <si>
    <t>2022.05.04</t>
  </si>
  <si>
    <t>바나바다</t>
  </si>
  <si>
    <t>붕어빵</t>
  </si>
  <si>
    <t>2022.05.06</t>
  </si>
  <si>
    <t>회귀의 전설 [단행본]</t>
  </si>
  <si>
    <t>무장</t>
  </si>
  <si>
    <t>2021.03.06</t>
  </si>
  <si>
    <t>차홍주</t>
  </si>
  <si>
    <t>도서출판 태랑</t>
  </si>
  <si>
    <t>2020.12.07</t>
  </si>
  <si>
    <t>갓 오브 블랙필드</t>
  </si>
  <si>
    <t>2017.02.27</t>
  </si>
  <si>
    <t>왕십리글쟁이</t>
  </si>
  <si>
    <t>블랙커피</t>
  </si>
  <si>
    <t>로드 오브 머니</t>
  </si>
  <si>
    <t>2018.08.02</t>
  </si>
  <si>
    <t>어쩌다 계약 아내 [선공개]</t>
  </si>
  <si>
    <t>아슈크림</t>
  </si>
  <si>
    <t>2022.03.21</t>
  </si>
  <si>
    <t>BJ소드마스터 [독점]</t>
  </si>
  <si>
    <t>이동열</t>
  </si>
  <si>
    <t>위험한 신혼부부 [독점]</t>
  </si>
  <si>
    <t>박수정(방울마마)</t>
  </si>
  <si>
    <t>2016.07.20</t>
  </si>
  <si>
    <t>구유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</si>
  <si>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</si>
  <si>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</si>
  <si>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</si>
  <si>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</si>
  <si>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</si>
  <si>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</si>
  <si>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2020.01.31</t>
  </si>
  <si>
    <t>빵양이</t>
  </si>
  <si>
    <t>2022.01.27</t>
  </si>
  <si>
    <t>스내치</t>
  </si>
  <si>
    <t>19세 이상 이용가능</t>
  </si>
  <si>
    <t>N스토어(MW)</t>
    <phoneticPr fontId="20" type="noConversion"/>
  </si>
  <si>
    <t>이혼 후 로또 1등 감독님</t>
  </si>
  <si>
    <t>로드 오브 머니 [단행본]</t>
  </si>
  <si>
    <t>2019.08.05</t>
  </si>
  <si>
    <t>슈퍼스타의 비밀 어플</t>
  </si>
  <si>
    <t>2022.03.11</t>
  </si>
  <si>
    <t>N스토어(PC)</t>
    <phoneticPr fontId="20" type="noConversion"/>
  </si>
  <si>
    <t>2022.07.20</t>
  </si>
  <si>
    <t>최종 보스 : 빛을 향해 달리는 그림자 [단행본]</t>
  </si>
  <si>
    <t>도폐풍운록 [단행본]</t>
  </si>
  <si>
    <t>블레슈(Blesshuu)</t>
  </si>
  <si>
    <t>모르는 남자와 결혼했다</t>
  </si>
  <si>
    <t>정요화</t>
  </si>
  <si>
    <t>부도덕한 재회</t>
  </si>
  <si>
    <t>이리안</t>
  </si>
  <si>
    <t>2022.07.27</t>
  </si>
  <si>
    <t>PC 뷰어(PC)</t>
    <phoneticPr fontId="20" type="noConversion"/>
  </si>
  <si>
    <t>나이제한</t>
    <phoneticPr fontId="20" type="noConversion"/>
  </si>
  <si>
    <t>대여권_건수</t>
    <phoneticPr fontId="20" type="noConversion"/>
  </si>
  <si>
    <t>대여권_비정산</t>
    <phoneticPr fontId="20" type="noConversion"/>
  </si>
  <si>
    <t>대여권_무료이용권</t>
    <phoneticPr fontId="20" type="noConversion"/>
  </si>
  <si>
    <t>대여권_유상쿠키</t>
    <phoneticPr fontId="20" type="noConversion"/>
  </si>
  <si>
    <t>대여권_무상쿠키</t>
    <phoneticPr fontId="20" type="noConversion"/>
  </si>
  <si>
    <t>대여권_유상i쿠키</t>
    <phoneticPr fontId="20" type="noConversion"/>
  </si>
  <si>
    <t>대여권_무상i쿠키</t>
    <phoneticPr fontId="20" type="noConversion"/>
  </si>
  <si>
    <t>대여권_유상자동충전쿠키</t>
    <phoneticPr fontId="20" type="noConversion"/>
  </si>
  <si>
    <t>대여권_무상자동충전쿠키</t>
    <phoneticPr fontId="20" type="noConversion"/>
  </si>
  <si>
    <t>소장권_건수</t>
    <phoneticPr fontId="20" type="noConversion"/>
  </si>
  <si>
    <t>소장권_
비정산</t>
    <phoneticPr fontId="20" type="noConversion"/>
  </si>
  <si>
    <t>소장권_무료이용권</t>
    <phoneticPr fontId="20" type="noConversion"/>
  </si>
  <si>
    <t>소장권_유상쿠키</t>
    <phoneticPr fontId="20" type="noConversion"/>
  </si>
  <si>
    <t>소장권_무상쿠키</t>
    <phoneticPr fontId="20" type="noConversion"/>
  </si>
  <si>
    <t>소장권_유상i쿠키</t>
    <phoneticPr fontId="20" type="noConversion"/>
  </si>
  <si>
    <t>소장권_무상i쿠키</t>
    <phoneticPr fontId="20" type="noConversion"/>
  </si>
  <si>
    <t>소장권_유상자동충전쿠키</t>
    <phoneticPr fontId="20" type="noConversion"/>
  </si>
  <si>
    <t>소장권_무상자동충전쿠키</t>
    <phoneticPr fontId="20" type="noConversion"/>
  </si>
  <si>
    <t>쿠키로대여_건수</t>
    <phoneticPr fontId="20" type="noConversion"/>
  </si>
  <si>
    <t>쿠키로 대여_유상</t>
    <phoneticPr fontId="20" type="noConversion"/>
  </si>
  <si>
    <t>쿠키로 대여_무상</t>
    <phoneticPr fontId="20" type="noConversion"/>
  </si>
  <si>
    <t>쿠키로 구매_건수</t>
    <phoneticPr fontId="20" type="noConversion"/>
  </si>
  <si>
    <t>쿠키로 구매_유상</t>
    <phoneticPr fontId="20" type="noConversion"/>
  </si>
  <si>
    <t>쿠키로 구매_무상</t>
    <phoneticPr fontId="20" type="noConversion"/>
  </si>
  <si>
    <t>i쿠키로 대여_건수</t>
    <phoneticPr fontId="20" type="noConversion"/>
  </si>
  <si>
    <t>i쿠키로 대여_유상</t>
    <phoneticPr fontId="20" type="noConversion"/>
  </si>
  <si>
    <t>i쿠키로 대여_무상</t>
    <phoneticPr fontId="20" type="noConversion"/>
  </si>
  <si>
    <t>i쿠키로 구매_건수</t>
    <phoneticPr fontId="20" type="noConversion"/>
  </si>
  <si>
    <t>i쿠키로 구매_유상</t>
    <phoneticPr fontId="20" type="noConversion"/>
  </si>
  <si>
    <t>i쿠키로 구매_무상</t>
    <phoneticPr fontId="20" type="noConversion"/>
  </si>
  <si>
    <t>자동충전 쿠키로 대여_건수</t>
    <phoneticPr fontId="20" type="noConversion"/>
  </si>
  <si>
    <t>자동충전 쿠키로 대여_유상</t>
    <phoneticPr fontId="20" type="noConversion"/>
  </si>
  <si>
    <t>자동충전 쿠키로 대여_무상</t>
    <phoneticPr fontId="20" type="noConversion"/>
  </si>
  <si>
    <t>자동충전 쿠키로 구매_건수</t>
    <phoneticPr fontId="20" type="noConversion"/>
  </si>
  <si>
    <t>자동충전 쿠키로 구매_유상</t>
    <phoneticPr fontId="20" type="noConversion"/>
  </si>
  <si>
    <t>자동충전 쿠키로 구매_무상</t>
    <phoneticPr fontId="20" type="noConversion"/>
  </si>
  <si>
    <t>구글 쿠키로 대여_건수</t>
    <phoneticPr fontId="20" type="noConversion"/>
  </si>
  <si>
    <t>구글 쿠키로 대여_유상</t>
    <phoneticPr fontId="20" type="noConversion"/>
  </si>
  <si>
    <t>구글 쿠키로 대여_무상</t>
    <phoneticPr fontId="20" type="noConversion"/>
  </si>
  <si>
    <t>구글 쿠키로 구매_건수</t>
    <phoneticPr fontId="20" type="noConversion"/>
  </si>
  <si>
    <t>구글 쿠키로 구매_유상</t>
    <phoneticPr fontId="20" type="noConversion"/>
  </si>
  <si>
    <t>구글 쿠키로 구매_무상</t>
    <phoneticPr fontId="20" type="noConversion"/>
  </si>
  <si>
    <t>구글 외부 쿠키로 대여_건수</t>
    <phoneticPr fontId="20" type="noConversion"/>
  </si>
  <si>
    <t>구글 외부 쿠키로 대여_유상</t>
    <phoneticPr fontId="20" type="noConversion"/>
  </si>
  <si>
    <t>구글 외부 쿠키로 대여_무상</t>
    <phoneticPr fontId="20" type="noConversion"/>
  </si>
  <si>
    <t>구글 외부 쿠키로 구매_건수</t>
    <phoneticPr fontId="20" type="noConversion"/>
  </si>
  <si>
    <t>구글 외부 쿠키로 구매_유상</t>
    <phoneticPr fontId="20" type="noConversion"/>
  </si>
  <si>
    <t>구글 외부 쿠키로 구매_무상</t>
    <phoneticPr fontId="20" type="noConversion"/>
  </si>
  <si>
    <t>원스토어 쿠키로 대여_건수</t>
    <phoneticPr fontId="20" type="noConversion"/>
  </si>
  <si>
    <t>원스토어 쿠키로 대여_유상</t>
    <phoneticPr fontId="20" type="noConversion"/>
  </si>
  <si>
    <t>원스토어 쿠키로 대여_무상</t>
    <phoneticPr fontId="20" type="noConversion"/>
  </si>
  <si>
    <t>원스토어 쿠키로 구매_건수</t>
    <phoneticPr fontId="20" type="noConversion"/>
  </si>
  <si>
    <t>원스토어 쿠키로 구매_유상</t>
    <phoneticPr fontId="20" type="noConversion"/>
  </si>
  <si>
    <t>원스토어 쿠키로 구매_무상</t>
    <phoneticPr fontId="20" type="noConversion"/>
  </si>
  <si>
    <t>순매출(합계-수수료)</t>
    <phoneticPr fontId="20" type="noConversion"/>
  </si>
  <si>
    <t>SW 매출</t>
    <phoneticPr fontId="20" type="noConversion"/>
  </si>
  <si>
    <t>갓 오브 블랙필드 [개정판][단행본]</t>
  </si>
  <si>
    <t>2020.06.24</t>
  </si>
  <si>
    <t>2022.08.22</t>
  </si>
  <si>
    <t>지금, 덮치러 갑니다</t>
  </si>
  <si>
    <t>먼나무</t>
  </si>
  <si>
    <t>2022.08.12</t>
  </si>
  <si>
    <t>함선으로 귀환해서 이세계 최강 [독점]</t>
  </si>
  <si>
    <t>밥앤라면</t>
  </si>
  <si>
    <t>mollen</t>
  </si>
  <si>
    <t>SSS급 마왕의 귀환</t>
  </si>
  <si>
    <t>2019.06.14</t>
  </si>
  <si>
    <t>출판사</t>
    <phoneticPr fontId="20" type="noConversion"/>
  </si>
  <si>
    <r>
      <rPr>
        <b/>
        <sz val="7"/>
        <color theme="1"/>
        <rFont val="맑은 고딕"/>
        <family val="3"/>
        <charset val="129"/>
        <scheme val="major"/>
      </rPr>
      <t>작가 CP</t>
    </r>
    <phoneticPr fontId="20" type="noConversion"/>
  </si>
  <si>
    <t>2022.09.05</t>
  </si>
  <si>
    <t>망나니 [단행본]</t>
  </si>
  <si>
    <t>마뇽</t>
  </si>
  <si>
    <t>2022.09.13</t>
  </si>
  <si>
    <t>아내 구속 [독점]</t>
  </si>
  <si>
    <t>상태창빨로 천재 재벌</t>
  </si>
  <si>
    <t>리얼탄산</t>
  </si>
  <si>
    <t>막상막하 [BL]</t>
  </si>
  <si>
    <t>2022.09.23</t>
  </si>
  <si>
    <t>욕과 정이 깨어날 때</t>
  </si>
  <si>
    <t>김너울</t>
  </si>
  <si>
    <t>2019.12.27</t>
  </si>
  <si>
    <t>천하제일인은 딸바보 [독점]</t>
  </si>
  <si>
    <t>해비베어</t>
  </si>
  <si>
    <t>2022.09.30</t>
  </si>
  <si>
    <t>야쿠자가 사랑을 한다면 2 [개정판][BL][단행본]</t>
  </si>
  <si>
    <t>2022.01.28</t>
  </si>
  <si>
    <t>羽宸寰(Uchenhu), 林珮瑜(Lin Peiyu)</t>
  </si>
  <si>
    <t>블 루 스 카 이</t>
  </si>
  <si>
    <t>2020.09.28</t>
  </si>
  <si>
    <t>내 이름을 불러 [BL][단행본]</t>
  </si>
  <si>
    <t>2022.10.21</t>
  </si>
  <si>
    <t>2022.11.01</t>
  </si>
  <si>
    <t>친구의 고백 [단행본]</t>
  </si>
  <si>
    <t>너에게 닿는 순간 [외전증보판][단행본]</t>
  </si>
  <si>
    <t>에피</t>
  </si>
  <si>
    <t>상간녀에게 빙의되었습니다</t>
  </si>
  <si>
    <t>엘비디</t>
  </si>
  <si>
    <t>오빠는 말이야 [단행본]</t>
  </si>
  <si>
    <t>고은영</t>
  </si>
  <si>
    <t>2022.10.26</t>
  </si>
  <si>
    <t>찬란한 덫 [외전증보판][단행본]</t>
  </si>
  <si>
    <t>전여린</t>
  </si>
  <si>
    <t>아빠는 마교대장</t>
  </si>
  <si>
    <t>구땡</t>
  </si>
  <si>
    <t>2022.10.07</t>
  </si>
  <si>
    <t>주이서</t>
  </si>
  <si>
    <t>구애</t>
  </si>
  <si>
    <t>2022.07.04</t>
  </si>
  <si>
    <t>화산검제 [은천검제 2부 연재]</t>
  </si>
  <si>
    <t>2020.03.24</t>
  </si>
  <si>
    <t>검사님 출세하신다!</t>
  </si>
  <si>
    <t>2019.11.20</t>
  </si>
  <si>
    <t>사랑도 없이 결혼</t>
  </si>
  <si>
    <t>트리거 [외전증보판][BL][단행본]</t>
  </si>
  <si>
    <t>월급 주는 남편 [단행본]</t>
  </si>
  <si>
    <t>BitterSweet</t>
  </si>
  <si>
    <t>영원한 1위 &amp; 2위의 역습 [BL]</t>
  </si>
  <si>
    <t>2022.05.19</t>
  </si>
  <si>
    <t>온서</t>
  </si>
  <si>
    <t>N스토어(MW)</t>
    <phoneticPr fontId="20" type="noConversion"/>
  </si>
  <si>
    <t>N스토어(MW)</t>
    <phoneticPr fontId="20" type="noConversion"/>
  </si>
  <si>
    <t>2022.12.02</t>
  </si>
  <si>
    <t>앰퍼샌드B</t>
  </si>
  <si>
    <t>내가 진짜인 줄 알았는데 [외전 선공개]</t>
  </si>
  <si>
    <t>매드럼</t>
  </si>
  <si>
    <t>선유문주 [단행본]</t>
  </si>
  <si>
    <t>악당의 죽은 자식 [독점]</t>
  </si>
  <si>
    <t>탄E</t>
  </si>
  <si>
    <t>지극히 신사적인 [외전 선공개]</t>
  </si>
  <si>
    <t>아이리스</t>
  </si>
  <si>
    <t>덫에 걸린 결혼</t>
  </si>
  <si>
    <t>한채린</t>
  </si>
  <si>
    <t>2022.11.11</t>
  </si>
  <si>
    <t>그라운드의 지배자</t>
  </si>
  <si>
    <t>2016.05.30</t>
  </si>
  <si>
    <t>네가 뭔데 그러세요 [BL]</t>
  </si>
  <si>
    <t>2021.01.13</t>
  </si>
  <si>
    <t>친절하기는 얼어 죽을</t>
  </si>
  <si>
    <t>솜목화</t>
  </si>
  <si>
    <t>너는 내 숨결이니까</t>
  </si>
  <si>
    <t>2022.11.04</t>
  </si>
  <si>
    <t>다정할수록 불순한 [외전 선공개]</t>
  </si>
  <si>
    <t>은지유</t>
  </si>
  <si>
    <t>2022.04.04</t>
  </si>
  <si>
    <t>2022.04.17</t>
  </si>
  <si>
    <t>기사가문 망나니는 10클래스</t>
  </si>
  <si>
    <t>예로나</t>
  </si>
  <si>
    <t>2020.03.11</t>
  </si>
  <si>
    <t>2022.11.29</t>
  </si>
  <si>
    <t>나 혼자만 일일 보상</t>
  </si>
  <si>
    <t>2018.12.20</t>
  </si>
  <si>
    <t>SOTUS [BL][단행본]</t>
  </si>
  <si>
    <t>썸원(Someone) [단행본]</t>
  </si>
  <si>
    <t>2020.11.23</t>
  </si>
  <si>
    <t>Only you [BL][단행본]</t>
  </si>
  <si>
    <t>2021.09.09</t>
  </si>
  <si>
    <t>임신부터 할까요?</t>
  </si>
  <si>
    <t>2021.03.26</t>
  </si>
  <si>
    <t>회귀한 헌터가 너무 강함 [단행본]</t>
  </si>
  <si>
    <t>2022.12.16</t>
  </si>
  <si>
    <t>사냥 꿈 [개정판][BL][단행본]</t>
  </si>
  <si>
    <t>2022.11.30</t>
  </si>
  <si>
    <t>사랑도 없이 결혼 [단행본]</t>
  </si>
  <si>
    <t>우리야, 이리온 [단행본]</t>
  </si>
  <si>
    <t>김온별</t>
  </si>
  <si>
    <t>2021.12.20</t>
  </si>
  <si>
    <t>천 개의 별 이야기(A Tale of Thousand Stars) [BL][단행본]</t>
  </si>
  <si>
    <t>Bacteria</t>
  </si>
  <si>
    <t>SSS급 마왕의 귀환 [단행본]</t>
  </si>
  <si>
    <t>2020.03.19</t>
  </si>
  <si>
    <t>2023.01.03</t>
  </si>
  <si>
    <t>나의 시고르자브종 1~2권 [BL][단행본]</t>
  </si>
  <si>
    <t>두나래</t>
  </si>
  <si>
    <t>2022.06.22</t>
  </si>
  <si>
    <t>죽이는 플로우 [단행본]</t>
  </si>
  <si>
    <t>2021.05.13</t>
  </si>
  <si>
    <t>나의 시고르자브종 3권 [BL][단행본]</t>
  </si>
  <si>
    <t>연애는 아래로부터 [단행본]</t>
  </si>
  <si>
    <t>엘리신</t>
  </si>
  <si>
    <t>2020.12.30</t>
  </si>
  <si>
    <t>나 혼자 스킬융합</t>
  </si>
  <si>
    <t>상왕 진우몽</t>
  </si>
  <si>
    <t>권용찬</t>
  </si>
  <si>
    <t>2022.12.13</t>
  </si>
  <si>
    <t>천 개의 별 이야기(A Tale of Thousand Stars) [외전][무삭제판][BL][단행본]</t>
  </si>
  <si>
    <t>이혼 제안 [선공개]</t>
  </si>
  <si>
    <t>서움</t>
  </si>
  <si>
    <t>2022.12.14</t>
  </si>
  <si>
    <t>나를 사랑하지 않는 사람이 필요해 [단행본]</t>
  </si>
  <si>
    <t>누네니가</t>
  </si>
  <si>
    <t>2023.01.01</t>
  </si>
  <si>
    <t>우리야, 이리온 외전 [단행본]</t>
  </si>
  <si>
    <t>2022.04.08</t>
  </si>
  <si>
    <t>위험한 대표님</t>
  </si>
  <si>
    <t>해은빛</t>
  </si>
  <si>
    <t>회귀한 헌터가 너무 강함</t>
  </si>
  <si>
    <t>최종 보스 : 빛을 향해 달리는 그림자</t>
  </si>
  <si>
    <t>네가 뭔데 그러세요 외전 [BL][단행본]</t>
  </si>
  <si>
    <t>성군이십니다</t>
  </si>
  <si>
    <t>이준영</t>
  </si>
  <si>
    <t>2019.04.17</t>
  </si>
  <si>
    <t>적왕의 깊은 밤</t>
  </si>
  <si>
    <t>2020.11.02</t>
  </si>
  <si>
    <t>별자리 살인마 : 너를 추억한다</t>
  </si>
  <si>
    <t>징구빙구</t>
  </si>
  <si>
    <t>2022.12.09</t>
  </si>
  <si>
    <t>골 넣는 수비수</t>
  </si>
  <si>
    <t>muscleup</t>
  </si>
  <si>
    <t>2022.09.15</t>
  </si>
  <si>
    <t>대공님, 이러시면 죽일 수가 없잖아요 [독점]</t>
  </si>
  <si>
    <t>마거릿점례</t>
  </si>
  <si>
    <t>2022.12.31</t>
  </si>
  <si>
    <t>사랑을 놓치고</t>
  </si>
  <si>
    <t>2018.11.09</t>
  </si>
  <si>
    <t>천재 배우의 다이어리</t>
  </si>
  <si>
    <t>2022.08.01</t>
  </si>
  <si>
    <t>디버프 마스터 [단행본]</t>
  </si>
  <si>
    <t>2022.12.06</t>
  </si>
  <si>
    <t>검사님 출세하신다! [단행본]</t>
  </si>
  <si>
    <t>2020.02.24</t>
  </si>
  <si>
    <t>슈퍼스타의 비밀 어플 [단행본]</t>
  </si>
  <si>
    <t>2022.03.10</t>
  </si>
  <si>
    <t>위대한 가문의 망나니가 되다 [단행본]</t>
  </si>
  <si>
    <t>나 혼자만 일일 보상 [단행본]</t>
  </si>
  <si>
    <t>2020.03.05</t>
  </si>
  <si>
    <t>위대한 가문의 망나니가 되다</t>
  </si>
  <si>
    <t>신입사원이 이렇게 일을 잘했다고?</t>
  </si>
  <si>
    <t>아카데미 속 궁술천재</t>
  </si>
  <si>
    <t>깡펀치</t>
  </si>
  <si>
    <t>그 사막에선 왕녀도 마녀가 된다 [외전 선공개]</t>
  </si>
  <si>
    <t>서리별가람</t>
  </si>
  <si>
    <t>원코인 게이머 아포칼립스</t>
  </si>
  <si>
    <t>이한애비</t>
  </si>
  <si>
    <t>2022.03.23</t>
  </si>
  <si>
    <t>버그 걸린 드래곤</t>
  </si>
  <si>
    <t>폴딩</t>
  </si>
  <si>
    <t>2021.10.15</t>
  </si>
  <si>
    <t>다크 메이지</t>
  </si>
  <si>
    <t>김정률</t>
  </si>
  <si>
    <t>2022.12.12</t>
  </si>
  <si>
    <t>네가 뭔데 그러세요 [BL][단행본]</t>
  </si>
  <si>
    <t>아래층에 전남편이 산다 [단행본]</t>
  </si>
  <si>
    <t>2021.10.01</t>
  </si>
  <si>
    <t>내게만 악마 같은 놈 [삽화본][단행본]</t>
  </si>
  <si>
    <t>2020.12.22</t>
  </si>
  <si>
    <t>매혹적인 상사 [단행본]</t>
  </si>
  <si>
    <t>더 라스트 웨어울프 외전 [단행본]</t>
  </si>
  <si>
    <t>그땐 그랬었다 [외전증보판][BL][단행본]</t>
  </si>
  <si>
    <t>On the air [BL][단행본]</t>
  </si>
  <si>
    <t>DION(디온)</t>
  </si>
  <si>
    <t>2021.02.03</t>
  </si>
  <si>
    <t>2위의 역습 [BL][단행본]</t>
  </si>
  <si>
    <t>사랑을 놓치고 [단행본]</t>
  </si>
  <si>
    <t>2019.10.11</t>
  </si>
  <si>
    <t>아이 컨택 [BL][단행본]</t>
  </si>
  <si>
    <t>2021.05.18</t>
  </si>
  <si>
    <t>이 비서 다리 좀 치워 [BL][단행본]</t>
  </si>
  <si>
    <t>2020.05.08</t>
  </si>
  <si>
    <t>오빠, 더 깊이 [단행본]</t>
  </si>
  <si>
    <t>2022.09.09</t>
  </si>
  <si>
    <t>월급 주는 남편 외전 [단행본]</t>
  </si>
  <si>
    <t>아래층에 전남편이 산다 외전 [단행본]</t>
  </si>
  <si>
    <t>썸원(Someone) 외전 [단행본]</t>
  </si>
  <si>
    <t>어처구니없는 결혼 약속 외전 [단행본]</t>
  </si>
  <si>
    <t>2021.03.17</t>
  </si>
  <si>
    <t>사랑을 놓치고 외전 [단행본]</t>
  </si>
  <si>
    <t>SOTUS S [BL]</t>
  </si>
  <si>
    <t>2022.05.27</t>
  </si>
  <si>
    <t>그땐 미처</t>
  </si>
  <si>
    <t>2018.12.26</t>
  </si>
  <si>
    <t>꿈속의 보스</t>
  </si>
  <si>
    <t>2021.01.12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</si>
</sst>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9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7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0" fontId="21" fillId="0" borderId="0" xfId="0" applyFont="1" applyAlignment="1">
      <alignment horizontal="left" vertical="center" wrapText="1"/>
    </xf>
    <xf numFmtId="41" fontId="22" fillId="0" borderId="0" xfId="42" applyFont="1">
      <alignment vertical="center"/>
    </xf>
    <xf numFmtId="0" fontId="24" fillId="0" borderId="0" xfId="0" applyFont="1" applyAlignment="1">
      <alignment horizontal="left" vertical="center" wrapText="1"/>
    </xf>
    <xf numFmtId="49" fontId="24" fillId="0" borderId="0" xfId="0" applyNumberFormat="1" applyFont="1" applyAlignment="1">
      <alignment vertical="center" wrapText="1"/>
    </xf>
    <xf numFmtId="0" fontId="24" fillId="0" borderId="0" xfId="0" applyFont="1" applyAlignment="1">
      <alignment vertical="center" wrapText="1"/>
    </xf>
    <xf numFmtId="3" fontId="24" fillId="0" borderId="0" xfId="0" applyNumberFormat="1" applyFont="1" applyAlignment="1">
      <alignment vertical="center" wrapText="1"/>
    </xf>
    <xf numFmtId="4" fontId="24" fillId="0" borderId="0" xfId="0" applyNumberFormat="1" applyFont="1" applyAlignment="1">
      <alignment vertical="center" wrapText="1"/>
    </xf>
    <xf numFmtId="41" fontId="25" fillId="34" borderId="0" xfId="42" applyFont="1" applyFill="1">
      <alignment vertical="center"/>
    </xf>
    <xf numFmtId="0" fontId="26" fillId="33" borderId="0" xfId="0" applyFont="1" applyFill="1" applyAlignment="1">
      <alignment horizontal="center" vertical="center" wrapText="1"/>
    </xf>
    <xf numFmtId="4" fontId="27" fillId="0" borderId="0" xfId="0" applyNumberFormat="1" applyFont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0" borderId="0" xfId="0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Q192"/>
  <sheetViews>
    <sheetView tabSelected="1" topLeftCell="AS180" zoomScaleNormal="100" workbookViewId="0">
      <selection activeCell="BJ188" sqref="BJ188"/>
    </sheetView>
  </sheetViews>
  <sheetFormatPr defaultRowHeight="16.5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4" max="64" width="9.25" bestFit="1" customWidth="1"/>
    <col min="65" max="65" width="13.5" style="19" bestFit="1" customWidth="1"/>
    <col min="66" max="66" width="13.625" bestFit="1" customWidth="1"/>
    <col min="67" max="67" width="13.375" style="6" customWidth="1"/>
  </cols>
  <sheetData>
    <row r="1" spans="1:69" ht="27" customHeight="1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74</v>
      </c>
      <c r="I1" s="7" t="s">
        <v>6</v>
      </c>
      <c r="J1" s="5" t="s">
        <v>75</v>
      </c>
      <c r="K1" s="5" t="s">
        <v>76</v>
      </c>
      <c r="L1" s="5" t="s">
        <v>77</v>
      </c>
      <c r="M1" s="5" t="s">
        <v>78</v>
      </c>
      <c r="N1" s="5" t="s">
        <v>79</v>
      </c>
      <c r="O1" s="5" t="s">
        <v>80</v>
      </c>
      <c r="P1" s="5" t="s">
        <v>81</v>
      </c>
      <c r="Q1" s="5" t="s">
        <v>82</v>
      </c>
      <c r="R1" s="5" t="s">
        <v>83</v>
      </c>
      <c r="S1" s="5" t="s">
        <v>84</v>
      </c>
      <c r="T1" s="5" t="s">
        <v>85</v>
      </c>
      <c r="U1" s="5" t="s">
        <v>86</v>
      </c>
      <c r="V1" s="5" t="s">
        <v>87</v>
      </c>
      <c r="W1" s="5" t="s">
        <v>88</v>
      </c>
      <c r="X1" s="5" t="s">
        <v>89</v>
      </c>
      <c r="Y1" s="5" t="s">
        <v>90</v>
      </c>
      <c r="Z1" s="5" t="s">
        <v>91</v>
      </c>
      <c r="AA1" s="5" t="s">
        <v>92</v>
      </c>
      <c r="AB1" s="5" t="s">
        <v>93</v>
      </c>
      <c r="AC1" s="5" t="s">
        <v>94</v>
      </c>
      <c r="AD1" s="5" t="s">
        <v>95</v>
      </c>
      <c r="AE1" s="5" t="s">
        <v>96</v>
      </c>
      <c r="AF1" s="5" t="s">
        <v>97</v>
      </c>
      <c r="AG1" s="5" t="s">
        <v>98</v>
      </c>
      <c r="AH1" s="5" t="s">
        <v>99</v>
      </c>
      <c r="AI1" s="5" t="s">
        <v>100</v>
      </c>
      <c r="AJ1" s="5" t="s">
        <v>101</v>
      </c>
      <c r="AK1" s="5" t="s">
        <v>102</v>
      </c>
      <c r="AL1" s="5" t="s">
        <v>103</v>
      </c>
      <c r="AM1" s="5" t="s">
        <v>104</v>
      </c>
      <c r="AN1" s="5" t="s">
        <v>105</v>
      </c>
      <c r="AO1" s="5" t="s">
        <v>106</v>
      </c>
      <c r="AP1" s="5" t="s">
        <v>107</v>
      </c>
      <c r="AQ1" s="5" t="s">
        <v>108</v>
      </c>
      <c r="AR1" s="5" t="s">
        <v>109</v>
      </c>
      <c r="AS1" s="5" t="s">
        <v>110</v>
      </c>
      <c r="AT1" s="5" t="s">
        <v>111</v>
      </c>
      <c r="AU1" s="5" t="s">
        <v>112</v>
      </c>
      <c r="AV1" s="5" t="s">
        <v>113</v>
      </c>
      <c r="AW1" s="5" t="s">
        <v>114</v>
      </c>
      <c r="AX1" s="5" t="s">
        <v>115</v>
      </c>
      <c r="AY1" s="5" t="s">
        <v>116</v>
      </c>
      <c r="AZ1" s="5" t="s">
        <v>117</v>
      </c>
      <c r="BA1" s="5" t="s">
        <v>118</v>
      </c>
      <c r="BB1" s="5" t="s">
        <v>119</v>
      </c>
      <c r="BC1" s="5" t="s">
        <v>120</v>
      </c>
      <c r="BD1" s="5" t="s">
        <v>121</v>
      </c>
      <c r="BE1" s="5" t="s">
        <v>122</v>
      </c>
      <c r="BF1" s="5" t="s">
        <v>123</v>
      </c>
      <c r="BG1" s="5" t="s">
        <v>124</v>
      </c>
      <c r="BH1" s="5" t="s">
        <v>125</v>
      </c>
      <c r="BI1" s="5" t="s">
        <v>126</v>
      </c>
      <c r="BJ1" s="5" t="s">
        <v>127</v>
      </c>
      <c r="BK1" s="5" t="s">
        <v>128</v>
      </c>
      <c r="BL1" s="5" t="s">
        <v>14</v>
      </c>
      <c r="BM1" s="16" t="s">
        <v>13</v>
      </c>
      <c r="BN1" s="5" t="s">
        <v>129</v>
      </c>
      <c r="BO1" s="5" t="s">
        <v>130</v>
      </c>
      <c r="BP1" s="5" t="s">
        <v>142</v>
      </c>
      <c r="BQ1" s="5" t="s">
        <v>143</v>
      </c>
    </row>
    <row r="2" spans="1:69" ht="24">
      <c r="A2" s="8" t="s">
        <v>63</v>
      </c>
      <c r="B2" s="10" t="s">
        <v>131</v>
      </c>
      <c r="C2" s="10">
        <v>324335</v>
      </c>
      <c r="D2" s="11"/>
      <c r="E2" s="10" t="s">
        <v>16</v>
      </c>
      <c r="F2" s="10" t="s">
        <v>26</v>
      </c>
      <c r="G2" s="10" t="s">
        <v>11</v>
      </c>
      <c r="H2" s="12" t="s">
        <v>10</v>
      </c>
      <c r="I2" s="12" t="s">
        <v>132</v>
      </c>
      <c r="J2" s="12">
        <v>0</v>
      </c>
      <c r="K2" s="12">
        <v>0</v>
      </c>
      <c r="L2" s="12">
        <v>0</v>
      </c>
      <c r="M2" s="12">
        <v>0</v>
      </c>
      <c r="N2" s="12">
        <v>0</v>
      </c>
      <c r="O2" s="12">
        <v>0</v>
      </c>
      <c r="P2" s="12">
        <v>0</v>
      </c>
      <c r="Q2" s="12">
        <v>0</v>
      </c>
      <c r="R2" s="12">
        <v>0</v>
      </c>
      <c r="S2" s="12">
        <v>0</v>
      </c>
      <c r="T2" s="12">
        <v>0</v>
      </c>
      <c r="U2" s="12">
        <v>0</v>
      </c>
      <c r="V2" s="12">
        <v>0</v>
      </c>
      <c r="W2" s="12">
        <v>0</v>
      </c>
      <c r="X2" s="12">
        <v>0</v>
      </c>
      <c r="Y2" s="12">
        <v>0</v>
      </c>
      <c r="Z2" s="12">
        <v>0</v>
      </c>
      <c r="AA2" s="12">
        <v>0</v>
      </c>
      <c r="AB2" s="12">
        <v>0</v>
      </c>
      <c r="AC2" s="12">
        <v>0</v>
      </c>
      <c r="AD2" s="12">
        <v>0</v>
      </c>
      <c r="AE2" s="12">
        <v>8</v>
      </c>
      <c r="AF2" s="13">
        <v>22400</v>
      </c>
      <c r="AG2" s="13">
        <v>1000</v>
      </c>
      <c r="AH2" s="12">
        <v>0</v>
      </c>
      <c r="AI2" s="12">
        <v>0</v>
      </c>
      <c r="AJ2" s="12">
        <v>0</v>
      </c>
      <c r="AK2" s="12">
        <v>1</v>
      </c>
      <c r="AL2" s="13">
        <v>2640</v>
      </c>
      <c r="AM2" s="12">
        <v>0</v>
      </c>
      <c r="AN2" s="12">
        <v>0</v>
      </c>
      <c r="AO2" s="12">
        <v>0</v>
      </c>
      <c r="AP2" s="12">
        <v>0</v>
      </c>
      <c r="AQ2" s="12">
        <v>1</v>
      </c>
      <c r="AR2" s="12">
        <v>0</v>
      </c>
      <c r="AS2" s="13">
        <v>3200</v>
      </c>
      <c r="AT2" s="12">
        <v>0</v>
      </c>
      <c r="AU2" s="12">
        <v>0</v>
      </c>
      <c r="AV2" s="12">
        <v>0</v>
      </c>
      <c r="AW2" s="12">
        <v>0</v>
      </c>
      <c r="AX2" s="12">
        <v>0</v>
      </c>
      <c r="AY2" s="12">
        <v>0</v>
      </c>
      <c r="AZ2" s="12">
        <v>0</v>
      </c>
      <c r="BA2" s="12">
        <v>0</v>
      </c>
      <c r="BB2" s="12">
        <v>0</v>
      </c>
      <c r="BC2" s="12">
        <v>0</v>
      </c>
      <c r="BD2" s="12">
        <v>0</v>
      </c>
      <c r="BE2" s="12">
        <v>0</v>
      </c>
      <c r="BF2" s="12">
        <v>0</v>
      </c>
      <c r="BG2" s="12">
        <v>0</v>
      </c>
      <c r="BH2" s="12">
        <v>0</v>
      </c>
      <c r="BI2" s="12">
        <v>1</v>
      </c>
      <c r="BJ2" s="13">
        <v>3840</v>
      </c>
      <c r="BK2" s="12">
        <v>0</v>
      </c>
      <c r="BL2" s="12">
        <v>984</v>
      </c>
      <c r="BM2" s="17">
        <v>33080</v>
      </c>
      <c r="BN2" s="9">
        <f>BM2-BL2</f>
        <v>32096</v>
      </c>
      <c r="BO2" s="9">
        <f>BN2*70%</f>
        <v>22467.199999999997</v>
      </c>
    </row>
    <row r="3" spans="1:69" ht="24">
      <c r="A3" s="8" t="s">
        <v>63</v>
      </c>
      <c r="B3" s="10" t="s">
        <v>233</v>
      </c>
      <c r="C3" s="10">
        <v>490073</v>
      </c>
      <c r="D3" s="11"/>
      <c r="E3" s="10" t="s">
        <v>16</v>
      </c>
      <c r="F3" s="10" t="s">
        <v>33</v>
      </c>
      <c r="G3" s="10" t="s">
        <v>11</v>
      </c>
      <c r="H3" s="12" t="s">
        <v>7</v>
      </c>
      <c r="I3" s="12" t="s">
        <v>234</v>
      </c>
      <c r="J3" s="12">
        <v>0</v>
      </c>
      <c r="K3" s="12">
        <v>0</v>
      </c>
      <c r="L3" s="12">
        <v>0</v>
      </c>
      <c r="M3" s="12">
        <v>0</v>
      </c>
      <c r="N3" s="12">
        <v>0</v>
      </c>
      <c r="O3" s="12">
        <v>0</v>
      </c>
      <c r="P3" s="12">
        <v>0</v>
      </c>
      <c r="Q3" s="12">
        <v>0</v>
      </c>
      <c r="R3" s="12">
        <v>0</v>
      </c>
      <c r="S3" s="12">
        <v>0</v>
      </c>
      <c r="T3" s="12">
        <v>0</v>
      </c>
      <c r="U3" s="12">
        <v>0</v>
      </c>
      <c r="V3" s="12">
        <v>0</v>
      </c>
      <c r="W3" s="12">
        <v>0</v>
      </c>
      <c r="X3" s="12">
        <v>0</v>
      </c>
      <c r="Y3" s="12">
        <v>0</v>
      </c>
      <c r="Z3" s="12">
        <v>0</v>
      </c>
      <c r="AA3" s="12">
        <v>0</v>
      </c>
      <c r="AB3" s="12">
        <v>0</v>
      </c>
      <c r="AC3" s="12">
        <v>0</v>
      </c>
      <c r="AD3" s="12">
        <v>0</v>
      </c>
      <c r="AE3" s="12">
        <v>2</v>
      </c>
      <c r="AF3" s="13">
        <v>6400</v>
      </c>
      <c r="AG3" s="12">
        <v>0</v>
      </c>
      <c r="AH3" s="12">
        <v>0</v>
      </c>
      <c r="AI3" s="12">
        <v>0</v>
      </c>
      <c r="AJ3" s="12">
        <v>0</v>
      </c>
      <c r="AK3" s="12">
        <v>0</v>
      </c>
      <c r="AL3" s="12">
        <v>0</v>
      </c>
      <c r="AM3" s="12">
        <v>0</v>
      </c>
      <c r="AN3" s="12">
        <v>0</v>
      </c>
      <c r="AO3" s="12">
        <v>0</v>
      </c>
      <c r="AP3" s="12">
        <v>0</v>
      </c>
      <c r="AQ3" s="12">
        <v>5</v>
      </c>
      <c r="AR3" s="13">
        <v>15800</v>
      </c>
      <c r="AS3" s="12">
        <v>200</v>
      </c>
      <c r="AT3" s="12">
        <v>0</v>
      </c>
      <c r="AU3" s="12">
        <v>0</v>
      </c>
      <c r="AV3" s="12">
        <v>0</v>
      </c>
      <c r="AW3" s="12">
        <v>0</v>
      </c>
      <c r="AX3" s="12">
        <v>0</v>
      </c>
      <c r="AY3" s="12">
        <v>0</v>
      </c>
      <c r="AZ3" s="12">
        <v>0</v>
      </c>
      <c r="BA3" s="12">
        <v>0</v>
      </c>
      <c r="BB3" s="12">
        <v>0</v>
      </c>
      <c r="BC3" s="12">
        <v>0</v>
      </c>
      <c r="BD3" s="12">
        <v>0</v>
      </c>
      <c r="BE3" s="12">
        <v>0</v>
      </c>
      <c r="BF3" s="12">
        <v>0</v>
      </c>
      <c r="BG3" s="12">
        <v>0</v>
      </c>
      <c r="BH3" s="12">
        <v>0</v>
      </c>
      <c r="BI3" s="12">
        <v>0</v>
      </c>
      <c r="BJ3" s="12">
        <v>0</v>
      </c>
      <c r="BK3" s="12">
        <v>0</v>
      </c>
      <c r="BL3" s="12">
        <v>0</v>
      </c>
      <c r="BM3" s="17">
        <v>22400</v>
      </c>
      <c r="BN3" s="9">
        <f t="shared" ref="BN3:BN42" si="0">BM3-BL3</f>
        <v>22400</v>
      </c>
      <c r="BO3" s="9">
        <f t="shared" ref="BO3:BO42" si="1">BN3*70%</f>
        <v>15679.999999999998</v>
      </c>
    </row>
    <row r="4" spans="1:69" ht="24">
      <c r="A4" s="8" t="s">
        <v>63</v>
      </c>
      <c r="B4" s="10" t="s">
        <v>235</v>
      </c>
      <c r="C4" s="10">
        <v>488792</v>
      </c>
      <c r="D4" s="11"/>
      <c r="E4" s="10" t="s">
        <v>16</v>
      </c>
      <c r="F4" s="10" t="s">
        <v>34</v>
      </c>
      <c r="G4" s="10" t="s">
        <v>29</v>
      </c>
      <c r="H4" s="12" t="s">
        <v>56</v>
      </c>
      <c r="I4" s="12" t="s">
        <v>236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5</v>
      </c>
      <c r="AF4" s="13">
        <v>11400</v>
      </c>
      <c r="AG4" s="13">
        <v>5500</v>
      </c>
      <c r="AH4" s="12">
        <v>0</v>
      </c>
      <c r="AI4" s="12">
        <v>0</v>
      </c>
      <c r="AJ4" s="12">
        <v>0</v>
      </c>
      <c r="AK4" s="12">
        <v>1</v>
      </c>
      <c r="AL4" s="12">
        <v>0</v>
      </c>
      <c r="AM4" s="13">
        <v>2100</v>
      </c>
      <c r="AN4" s="12">
        <v>0</v>
      </c>
      <c r="AO4" s="12">
        <v>0</v>
      </c>
      <c r="AP4" s="12">
        <v>0</v>
      </c>
      <c r="AQ4" s="12">
        <v>0</v>
      </c>
      <c r="AR4" s="12">
        <v>0</v>
      </c>
      <c r="AS4" s="12">
        <v>0</v>
      </c>
      <c r="AT4" s="12">
        <v>0</v>
      </c>
      <c r="AU4" s="12">
        <v>0</v>
      </c>
      <c r="AV4" s="12">
        <v>0</v>
      </c>
      <c r="AW4" s="12">
        <v>0</v>
      </c>
      <c r="AX4" s="12">
        <v>0</v>
      </c>
      <c r="AY4" s="12">
        <v>0</v>
      </c>
      <c r="AZ4" s="12">
        <v>0</v>
      </c>
      <c r="BA4" s="12">
        <v>0</v>
      </c>
      <c r="BB4" s="12">
        <v>0</v>
      </c>
      <c r="BC4" s="12">
        <v>0</v>
      </c>
      <c r="BD4" s="12">
        <v>0</v>
      </c>
      <c r="BE4" s="12">
        <v>0</v>
      </c>
      <c r="BF4" s="12">
        <v>0</v>
      </c>
      <c r="BG4" s="12">
        <v>0</v>
      </c>
      <c r="BH4" s="12">
        <v>0</v>
      </c>
      <c r="BI4" s="12">
        <v>0</v>
      </c>
      <c r="BJ4" s="12">
        <v>0</v>
      </c>
      <c r="BK4" s="12">
        <v>0</v>
      </c>
      <c r="BL4" s="12">
        <v>0</v>
      </c>
      <c r="BM4" s="17">
        <v>19000</v>
      </c>
      <c r="BN4" s="9">
        <f t="shared" si="0"/>
        <v>19000</v>
      </c>
      <c r="BO4" s="9">
        <f t="shared" si="1"/>
        <v>13300</v>
      </c>
    </row>
    <row r="5" spans="1:69" ht="24">
      <c r="A5" s="8" t="s">
        <v>63</v>
      </c>
      <c r="B5" s="10" t="s">
        <v>237</v>
      </c>
      <c r="C5" s="10">
        <v>418302</v>
      </c>
      <c r="D5" s="11"/>
      <c r="E5" s="10" t="s">
        <v>16</v>
      </c>
      <c r="F5" s="10" t="s">
        <v>28</v>
      </c>
      <c r="G5" s="10" t="s">
        <v>29</v>
      </c>
      <c r="H5" s="12" t="s">
        <v>56</v>
      </c>
      <c r="I5" s="12" t="s">
        <v>30</v>
      </c>
      <c r="J5" s="12">
        <v>0</v>
      </c>
      <c r="K5" s="12">
        <v>0</v>
      </c>
      <c r="L5" s="12">
        <v>0</v>
      </c>
      <c r="M5" s="12">
        <v>0</v>
      </c>
      <c r="N5" s="12">
        <v>0</v>
      </c>
      <c r="O5" s="12">
        <v>0</v>
      </c>
      <c r="P5" s="12">
        <v>0</v>
      </c>
      <c r="Q5" s="12">
        <v>0</v>
      </c>
      <c r="R5" s="12">
        <v>0</v>
      </c>
      <c r="S5" s="12">
        <v>0</v>
      </c>
      <c r="T5" s="12">
        <v>0</v>
      </c>
      <c r="U5" s="12">
        <v>0</v>
      </c>
      <c r="V5" s="12">
        <v>0</v>
      </c>
      <c r="W5" s="12">
        <v>0</v>
      </c>
      <c r="X5" s="12">
        <v>0</v>
      </c>
      <c r="Y5" s="12">
        <v>0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2</v>
      </c>
      <c r="AF5" s="13">
        <v>9600</v>
      </c>
      <c r="AG5" s="12">
        <v>0</v>
      </c>
      <c r="AH5" s="12">
        <v>0</v>
      </c>
      <c r="AI5" s="12">
        <v>0</v>
      </c>
      <c r="AJ5" s="12">
        <v>0</v>
      </c>
      <c r="AK5" s="12">
        <v>0</v>
      </c>
      <c r="AL5" s="12">
        <v>0</v>
      </c>
      <c r="AM5" s="12">
        <v>0</v>
      </c>
      <c r="AN5" s="12">
        <v>0</v>
      </c>
      <c r="AO5" s="12">
        <v>0</v>
      </c>
      <c r="AP5" s="12">
        <v>0</v>
      </c>
      <c r="AQ5" s="12">
        <v>1</v>
      </c>
      <c r="AR5" s="13">
        <v>4800</v>
      </c>
      <c r="AS5" s="12">
        <v>0</v>
      </c>
      <c r="AT5" s="12">
        <v>0</v>
      </c>
      <c r="AU5" s="12">
        <v>0</v>
      </c>
      <c r="AV5" s="12">
        <v>0</v>
      </c>
      <c r="AW5" s="12">
        <v>0</v>
      </c>
      <c r="AX5" s="12">
        <v>0</v>
      </c>
      <c r="AY5" s="12">
        <v>0</v>
      </c>
      <c r="AZ5" s="12">
        <v>0</v>
      </c>
      <c r="BA5" s="12">
        <v>0</v>
      </c>
      <c r="BB5" s="12">
        <v>0</v>
      </c>
      <c r="BC5" s="12">
        <v>0</v>
      </c>
      <c r="BD5" s="12">
        <v>0</v>
      </c>
      <c r="BE5" s="12">
        <v>0</v>
      </c>
      <c r="BF5" s="12">
        <v>0</v>
      </c>
      <c r="BG5" s="12">
        <v>0</v>
      </c>
      <c r="BH5" s="12">
        <v>0</v>
      </c>
      <c r="BI5" s="12">
        <v>0</v>
      </c>
      <c r="BJ5" s="12">
        <v>0</v>
      </c>
      <c r="BK5" s="12">
        <v>0</v>
      </c>
      <c r="BL5" s="12">
        <v>0</v>
      </c>
      <c r="BM5" s="17">
        <v>14400</v>
      </c>
      <c r="BN5" s="9">
        <f t="shared" si="0"/>
        <v>14400</v>
      </c>
      <c r="BO5" s="9">
        <f t="shared" si="1"/>
        <v>10080</v>
      </c>
    </row>
    <row r="6" spans="1:69" ht="24">
      <c r="A6" s="8" t="s">
        <v>63</v>
      </c>
      <c r="B6" s="10" t="s">
        <v>238</v>
      </c>
      <c r="C6" s="10">
        <v>454879</v>
      </c>
      <c r="D6" s="11"/>
      <c r="E6" s="10" t="s">
        <v>16</v>
      </c>
      <c r="F6" s="10" t="s">
        <v>239</v>
      </c>
      <c r="G6" s="10" t="s">
        <v>29</v>
      </c>
      <c r="H6" s="12" t="s">
        <v>56</v>
      </c>
      <c r="I6" s="12" t="s">
        <v>240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1</v>
      </c>
      <c r="AF6" s="13">
        <v>12500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7">
        <v>12500</v>
      </c>
      <c r="BN6" s="9">
        <f t="shared" si="0"/>
        <v>12500</v>
      </c>
      <c r="BO6" s="9">
        <f t="shared" si="1"/>
        <v>8750</v>
      </c>
    </row>
    <row r="7" spans="1:69" ht="24">
      <c r="A7" s="8" t="s">
        <v>63</v>
      </c>
      <c r="B7" s="10" t="s">
        <v>241</v>
      </c>
      <c r="C7" s="10">
        <v>488804</v>
      </c>
      <c r="D7" s="11"/>
      <c r="E7" s="10" t="s">
        <v>16</v>
      </c>
      <c r="F7" s="10" t="s">
        <v>242</v>
      </c>
      <c r="G7" s="10" t="s">
        <v>29</v>
      </c>
      <c r="H7" s="12" t="s">
        <v>8</v>
      </c>
      <c r="I7" s="12" t="s">
        <v>236</v>
      </c>
      <c r="J7" s="12">
        <v>0</v>
      </c>
      <c r="K7" s="12">
        <v>0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2">
        <v>0</v>
      </c>
      <c r="R7" s="12">
        <v>0</v>
      </c>
      <c r="S7" s="12">
        <v>0</v>
      </c>
      <c r="T7" s="12">
        <v>0</v>
      </c>
      <c r="U7" s="12">
        <v>0</v>
      </c>
      <c r="V7" s="12">
        <v>0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4</v>
      </c>
      <c r="AF7" s="13">
        <v>10800</v>
      </c>
      <c r="AG7" s="12">
        <v>0</v>
      </c>
      <c r="AH7" s="12">
        <v>0</v>
      </c>
      <c r="AI7" s="12">
        <v>0</v>
      </c>
      <c r="AJ7" s="12">
        <v>0</v>
      </c>
      <c r="AK7" s="12">
        <v>0</v>
      </c>
      <c r="AL7" s="12">
        <v>0</v>
      </c>
      <c r="AM7" s="12">
        <v>0</v>
      </c>
      <c r="AN7" s="12">
        <v>0</v>
      </c>
      <c r="AO7" s="12">
        <v>0</v>
      </c>
      <c r="AP7" s="12">
        <v>0</v>
      </c>
      <c r="AQ7" s="12">
        <v>0</v>
      </c>
      <c r="AR7" s="12">
        <v>0</v>
      </c>
      <c r="AS7" s="12">
        <v>0</v>
      </c>
      <c r="AT7" s="12">
        <v>0</v>
      </c>
      <c r="AU7" s="12">
        <v>0</v>
      </c>
      <c r="AV7" s="12">
        <v>0</v>
      </c>
      <c r="AW7" s="12">
        <v>0</v>
      </c>
      <c r="AX7" s="12">
        <v>0</v>
      </c>
      <c r="AY7" s="12">
        <v>0</v>
      </c>
      <c r="AZ7" s="12">
        <v>0</v>
      </c>
      <c r="BA7" s="12">
        <v>0</v>
      </c>
      <c r="BB7" s="12">
        <v>0</v>
      </c>
      <c r="BC7" s="12">
        <v>0</v>
      </c>
      <c r="BD7" s="12">
        <v>0</v>
      </c>
      <c r="BE7" s="12">
        <v>0</v>
      </c>
      <c r="BF7" s="12">
        <v>0</v>
      </c>
      <c r="BG7" s="12">
        <v>0</v>
      </c>
      <c r="BH7" s="12">
        <v>0</v>
      </c>
      <c r="BI7" s="12">
        <v>0</v>
      </c>
      <c r="BJ7" s="12">
        <v>0</v>
      </c>
      <c r="BK7" s="12">
        <v>0</v>
      </c>
      <c r="BL7" s="12">
        <v>0</v>
      </c>
      <c r="BM7" s="17">
        <v>10800</v>
      </c>
      <c r="BN7" s="9">
        <f t="shared" si="0"/>
        <v>10800</v>
      </c>
      <c r="BO7" s="9">
        <f t="shared" si="1"/>
        <v>7559.9999999999991</v>
      </c>
    </row>
    <row r="8" spans="1:69" ht="24">
      <c r="A8" s="8" t="s">
        <v>63</v>
      </c>
      <c r="B8" s="10" t="s">
        <v>243</v>
      </c>
      <c r="C8" s="10">
        <v>392777</v>
      </c>
      <c r="D8" s="11"/>
      <c r="E8" s="10" t="s">
        <v>16</v>
      </c>
      <c r="F8" s="10" t="s">
        <v>45</v>
      </c>
      <c r="G8" s="10" t="s">
        <v>11</v>
      </c>
      <c r="H8" s="12" t="s">
        <v>7</v>
      </c>
      <c r="I8" s="12" t="s">
        <v>244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2">
        <v>0</v>
      </c>
      <c r="AK8" s="12">
        <v>0</v>
      </c>
      <c r="AL8" s="12">
        <v>0</v>
      </c>
      <c r="AM8" s="12">
        <v>0</v>
      </c>
      <c r="AN8" s="12">
        <v>0</v>
      </c>
      <c r="AO8" s="12">
        <v>0</v>
      </c>
      <c r="AP8" s="12">
        <v>0</v>
      </c>
      <c r="AQ8" s="12">
        <v>3</v>
      </c>
      <c r="AR8" s="13">
        <v>9100</v>
      </c>
      <c r="AS8" s="12">
        <v>500</v>
      </c>
      <c r="AT8" s="12">
        <v>0</v>
      </c>
      <c r="AU8" s="12">
        <v>0</v>
      </c>
      <c r="AV8" s="12">
        <v>0</v>
      </c>
      <c r="AW8" s="12">
        <v>0</v>
      </c>
      <c r="AX8" s="12">
        <v>0</v>
      </c>
      <c r="AY8" s="12">
        <v>0</v>
      </c>
      <c r="AZ8" s="12">
        <v>0</v>
      </c>
      <c r="BA8" s="12">
        <v>0</v>
      </c>
      <c r="BB8" s="12">
        <v>0</v>
      </c>
      <c r="BC8" s="12">
        <v>0</v>
      </c>
      <c r="BD8" s="12">
        <v>0</v>
      </c>
      <c r="BE8" s="12">
        <v>0</v>
      </c>
      <c r="BF8" s="12">
        <v>0</v>
      </c>
      <c r="BG8" s="12">
        <v>0</v>
      </c>
      <c r="BH8" s="12">
        <v>0</v>
      </c>
      <c r="BI8" s="12">
        <v>0</v>
      </c>
      <c r="BJ8" s="12">
        <v>0</v>
      </c>
      <c r="BK8" s="12">
        <v>0</v>
      </c>
      <c r="BL8" s="12">
        <v>0</v>
      </c>
      <c r="BM8" s="17">
        <v>9600</v>
      </c>
      <c r="BN8" s="9">
        <f t="shared" si="0"/>
        <v>9600</v>
      </c>
      <c r="BO8" s="9">
        <f t="shared" si="1"/>
        <v>6720</v>
      </c>
    </row>
    <row r="9" spans="1:69" ht="24">
      <c r="A9" s="8" t="s">
        <v>63</v>
      </c>
      <c r="B9" s="10" t="s">
        <v>198</v>
      </c>
      <c r="C9" s="10">
        <v>486613</v>
      </c>
      <c r="D9" s="11"/>
      <c r="E9" s="10" t="s">
        <v>16</v>
      </c>
      <c r="F9" s="10" t="s">
        <v>199</v>
      </c>
      <c r="G9" s="10" t="s">
        <v>67</v>
      </c>
      <c r="H9" s="12" t="s">
        <v>10</v>
      </c>
      <c r="I9" s="12" t="s">
        <v>166</v>
      </c>
      <c r="J9" s="12">
        <v>0</v>
      </c>
      <c r="K9" s="12">
        <v>764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62</v>
      </c>
      <c r="AF9" s="13">
        <v>3640</v>
      </c>
      <c r="AG9" s="13">
        <v>2600</v>
      </c>
      <c r="AH9" s="12">
        <v>0</v>
      </c>
      <c r="AI9" s="12">
        <v>0</v>
      </c>
      <c r="AJ9" s="12">
        <v>0</v>
      </c>
      <c r="AK9" s="12">
        <v>10</v>
      </c>
      <c r="AL9" s="12">
        <v>0</v>
      </c>
      <c r="AM9" s="13">
        <v>1000</v>
      </c>
      <c r="AN9" s="12">
        <v>0</v>
      </c>
      <c r="AO9" s="12">
        <v>0</v>
      </c>
      <c r="AP9" s="12">
        <v>0</v>
      </c>
      <c r="AQ9" s="12">
        <v>11</v>
      </c>
      <c r="AR9" s="13">
        <v>1000</v>
      </c>
      <c r="AS9" s="12">
        <v>100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3</v>
      </c>
      <c r="BD9" s="12">
        <v>360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21.6</v>
      </c>
      <c r="BM9" s="17">
        <v>8700</v>
      </c>
      <c r="BN9" s="9">
        <f t="shared" si="0"/>
        <v>8678.4</v>
      </c>
      <c r="BO9" s="9">
        <f t="shared" si="1"/>
        <v>6074.8799999999992</v>
      </c>
    </row>
    <row r="10" spans="1:69" ht="24">
      <c r="A10" s="8" t="s">
        <v>63</v>
      </c>
      <c r="B10" s="10" t="s">
        <v>201</v>
      </c>
      <c r="C10" s="10">
        <v>479547</v>
      </c>
      <c r="D10" s="11"/>
      <c r="E10" s="10" t="s">
        <v>16</v>
      </c>
      <c r="F10" s="10" t="s">
        <v>202</v>
      </c>
      <c r="G10" s="10" t="s">
        <v>11</v>
      </c>
      <c r="H10" s="12" t="s">
        <v>7</v>
      </c>
      <c r="I10" s="12" t="s">
        <v>245</v>
      </c>
      <c r="J10" s="12">
        <v>0</v>
      </c>
      <c r="K10" s="12">
        <v>186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12">
        <v>0</v>
      </c>
      <c r="U10" s="12">
        <v>0</v>
      </c>
      <c r="V10" s="12">
        <v>0</v>
      </c>
      <c r="W10" s="12">
        <v>0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63</v>
      </c>
      <c r="AF10" s="13">
        <v>5800</v>
      </c>
      <c r="AG10" s="12">
        <v>500</v>
      </c>
      <c r="AH10" s="12">
        <v>0</v>
      </c>
      <c r="AI10" s="12">
        <v>0</v>
      </c>
      <c r="AJ10" s="12">
        <v>0</v>
      </c>
      <c r="AK10" s="12">
        <v>0</v>
      </c>
      <c r="AL10" s="12">
        <v>0</v>
      </c>
      <c r="AM10" s="12">
        <v>0</v>
      </c>
      <c r="AN10" s="12">
        <v>0</v>
      </c>
      <c r="AO10" s="12">
        <v>0</v>
      </c>
      <c r="AP10" s="12">
        <v>0</v>
      </c>
      <c r="AQ10" s="12">
        <v>20</v>
      </c>
      <c r="AR10" s="13">
        <v>1900</v>
      </c>
      <c r="AS10" s="12">
        <v>100</v>
      </c>
      <c r="AT10" s="12">
        <v>0</v>
      </c>
      <c r="AU10" s="12">
        <v>0</v>
      </c>
      <c r="AV10" s="12">
        <v>0</v>
      </c>
      <c r="AW10" s="12">
        <v>2</v>
      </c>
      <c r="AX10" s="12">
        <v>240</v>
      </c>
      <c r="AY10" s="12">
        <v>0</v>
      </c>
      <c r="AZ10" s="12">
        <v>0</v>
      </c>
      <c r="BA10" s="12">
        <v>0</v>
      </c>
      <c r="BB10" s="12">
        <v>0</v>
      </c>
      <c r="BC10" s="12">
        <v>0</v>
      </c>
      <c r="BD10" s="12">
        <v>0</v>
      </c>
      <c r="BE10" s="12">
        <v>0</v>
      </c>
      <c r="BF10" s="12">
        <v>0</v>
      </c>
      <c r="BG10" s="12">
        <v>0</v>
      </c>
      <c r="BH10" s="12">
        <v>0</v>
      </c>
      <c r="BI10" s="12">
        <v>0</v>
      </c>
      <c r="BJ10" s="12">
        <v>0</v>
      </c>
      <c r="BK10" s="12">
        <v>0</v>
      </c>
      <c r="BL10" s="12">
        <v>24</v>
      </c>
      <c r="BM10" s="17">
        <v>8540</v>
      </c>
      <c r="BN10" s="9">
        <f t="shared" si="0"/>
        <v>8516</v>
      </c>
      <c r="BO10" s="9">
        <f t="shared" si="1"/>
        <v>5961.2</v>
      </c>
    </row>
    <row r="11" spans="1:69" ht="24">
      <c r="A11" s="8" t="s">
        <v>63</v>
      </c>
      <c r="B11" s="10" t="s">
        <v>58</v>
      </c>
      <c r="C11" s="10">
        <v>472512</v>
      </c>
      <c r="D11" s="11"/>
      <c r="E11" s="10" t="s">
        <v>16</v>
      </c>
      <c r="F11" s="10" t="s">
        <v>33</v>
      </c>
      <c r="G11" s="10" t="s">
        <v>11</v>
      </c>
      <c r="H11" s="12" t="s">
        <v>7</v>
      </c>
      <c r="I11" s="12" t="s">
        <v>245</v>
      </c>
      <c r="J11" s="12">
        <v>0</v>
      </c>
      <c r="K11" s="12">
        <v>227</v>
      </c>
      <c r="L11" s="12">
        <v>0</v>
      </c>
      <c r="M11" s="12">
        <v>0</v>
      </c>
      <c r="N11" s="12">
        <v>0</v>
      </c>
      <c r="O11" s="12">
        <v>0</v>
      </c>
      <c r="P11" s="12">
        <v>0</v>
      </c>
      <c r="Q11" s="12">
        <v>0</v>
      </c>
      <c r="R11" s="12">
        <v>0</v>
      </c>
      <c r="S11" s="12">
        <v>0</v>
      </c>
      <c r="T11" s="12">
        <v>0</v>
      </c>
      <c r="U11" s="12">
        <v>0</v>
      </c>
      <c r="V11" s="12">
        <v>0</v>
      </c>
      <c r="W11" s="12">
        <v>0</v>
      </c>
      <c r="X11" s="12">
        <v>0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37</v>
      </c>
      <c r="AF11" s="13">
        <v>2100</v>
      </c>
      <c r="AG11" s="13">
        <v>1700</v>
      </c>
      <c r="AH11" s="12">
        <v>0</v>
      </c>
      <c r="AI11" s="12">
        <v>0</v>
      </c>
      <c r="AJ11" s="12">
        <v>0</v>
      </c>
      <c r="AK11" s="12">
        <v>1</v>
      </c>
      <c r="AL11" s="12">
        <v>0</v>
      </c>
      <c r="AM11" s="12">
        <v>100</v>
      </c>
      <c r="AN11" s="12">
        <v>0</v>
      </c>
      <c r="AO11" s="12">
        <v>0</v>
      </c>
      <c r="AP11" s="12">
        <v>0</v>
      </c>
      <c r="AQ11" s="12">
        <v>40</v>
      </c>
      <c r="AR11" s="13">
        <v>3900</v>
      </c>
      <c r="AS11" s="12">
        <v>100</v>
      </c>
      <c r="AT11" s="12">
        <v>0</v>
      </c>
      <c r="AU11" s="12">
        <v>0</v>
      </c>
      <c r="AV11" s="12">
        <v>0</v>
      </c>
      <c r="AW11" s="12">
        <v>0</v>
      </c>
      <c r="AX11" s="12">
        <v>0</v>
      </c>
      <c r="AY11" s="12">
        <v>0</v>
      </c>
      <c r="AZ11" s="12">
        <v>0</v>
      </c>
      <c r="BA11" s="12">
        <v>0</v>
      </c>
      <c r="BB11" s="12">
        <v>0</v>
      </c>
      <c r="BC11" s="12">
        <v>0</v>
      </c>
      <c r="BD11" s="12">
        <v>0</v>
      </c>
      <c r="BE11" s="12">
        <v>0</v>
      </c>
      <c r="BF11" s="12">
        <v>0</v>
      </c>
      <c r="BG11" s="12">
        <v>0</v>
      </c>
      <c r="BH11" s="12">
        <v>0</v>
      </c>
      <c r="BI11" s="12">
        <v>0</v>
      </c>
      <c r="BJ11" s="12">
        <v>0</v>
      </c>
      <c r="BK11" s="12">
        <v>0</v>
      </c>
      <c r="BL11" s="12">
        <v>0</v>
      </c>
      <c r="BM11" s="17">
        <v>7900</v>
      </c>
      <c r="BN11" s="9">
        <f t="shared" si="0"/>
        <v>7900</v>
      </c>
      <c r="BO11" s="9">
        <f t="shared" si="1"/>
        <v>5530</v>
      </c>
    </row>
    <row r="12" spans="1:69" ht="24">
      <c r="A12" s="8" t="s">
        <v>63</v>
      </c>
      <c r="B12" s="10" t="s">
        <v>175</v>
      </c>
      <c r="C12" s="10">
        <v>428121</v>
      </c>
      <c r="D12" s="11"/>
      <c r="E12" s="10" t="s">
        <v>16</v>
      </c>
      <c r="F12" s="10" t="s">
        <v>176</v>
      </c>
      <c r="G12" s="10" t="s">
        <v>29</v>
      </c>
      <c r="H12" s="12" t="s">
        <v>56</v>
      </c>
      <c r="I12" s="12" t="s">
        <v>165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12">
        <v>0</v>
      </c>
      <c r="U12" s="12">
        <v>0</v>
      </c>
      <c r="V12" s="12">
        <v>0</v>
      </c>
      <c r="W12" s="12">
        <v>0</v>
      </c>
      <c r="X12" s="12">
        <v>0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2</v>
      </c>
      <c r="AF12" s="13">
        <v>6600</v>
      </c>
      <c r="AG12" s="12">
        <v>0</v>
      </c>
      <c r="AH12" s="12">
        <v>0</v>
      </c>
      <c r="AI12" s="12">
        <v>0</v>
      </c>
      <c r="AJ12" s="12">
        <v>0</v>
      </c>
      <c r="AK12" s="12">
        <v>0</v>
      </c>
      <c r="AL12" s="12">
        <v>0</v>
      </c>
      <c r="AM12" s="12">
        <v>0</v>
      </c>
      <c r="AN12" s="12">
        <v>0</v>
      </c>
      <c r="AO12" s="12">
        <v>0</v>
      </c>
      <c r="AP12" s="12">
        <v>0</v>
      </c>
      <c r="AQ12" s="12">
        <v>0</v>
      </c>
      <c r="AR12" s="12">
        <v>0</v>
      </c>
      <c r="AS12" s="12">
        <v>0</v>
      </c>
      <c r="AT12" s="12">
        <v>0</v>
      </c>
      <c r="AU12" s="12">
        <v>0</v>
      </c>
      <c r="AV12" s="12">
        <v>0</v>
      </c>
      <c r="AW12" s="12">
        <v>0</v>
      </c>
      <c r="AX12" s="12">
        <v>0</v>
      </c>
      <c r="AY12" s="12">
        <v>0</v>
      </c>
      <c r="AZ12" s="12">
        <v>0</v>
      </c>
      <c r="BA12" s="12">
        <v>0</v>
      </c>
      <c r="BB12" s="12">
        <v>0</v>
      </c>
      <c r="BC12" s="12">
        <v>0</v>
      </c>
      <c r="BD12" s="12">
        <v>0</v>
      </c>
      <c r="BE12" s="12">
        <v>0</v>
      </c>
      <c r="BF12" s="12">
        <v>0</v>
      </c>
      <c r="BG12" s="12">
        <v>0</v>
      </c>
      <c r="BH12" s="12">
        <v>0</v>
      </c>
      <c r="BI12" s="12">
        <v>0</v>
      </c>
      <c r="BJ12" s="12">
        <v>0</v>
      </c>
      <c r="BK12" s="12">
        <v>0</v>
      </c>
      <c r="BL12" s="12">
        <v>0</v>
      </c>
      <c r="BM12" s="17">
        <v>6600</v>
      </c>
      <c r="BN12" s="9">
        <f t="shared" si="0"/>
        <v>6600</v>
      </c>
      <c r="BO12" s="9">
        <f t="shared" si="1"/>
        <v>4620</v>
      </c>
    </row>
    <row r="13" spans="1:69" ht="24">
      <c r="A13" s="8" t="s">
        <v>63</v>
      </c>
      <c r="B13" s="10" t="s">
        <v>59</v>
      </c>
      <c r="C13" s="10">
        <v>370935</v>
      </c>
      <c r="D13" s="11"/>
      <c r="E13" s="10" t="s">
        <v>16</v>
      </c>
      <c r="F13" s="10" t="s">
        <v>26</v>
      </c>
      <c r="G13" s="10" t="s">
        <v>11</v>
      </c>
      <c r="H13" s="12" t="s">
        <v>7</v>
      </c>
      <c r="I13" s="12" t="s">
        <v>60</v>
      </c>
      <c r="J13" s="12">
        <v>0</v>
      </c>
      <c r="K13" s="12">
        <v>0</v>
      </c>
      <c r="L13" s="12">
        <v>0</v>
      </c>
      <c r="M13" s="12">
        <v>0</v>
      </c>
      <c r="N13" s="12">
        <v>0</v>
      </c>
      <c r="O13" s="12">
        <v>0</v>
      </c>
      <c r="P13" s="12">
        <v>0</v>
      </c>
      <c r="Q13" s="12">
        <v>0</v>
      </c>
      <c r="R13" s="12">
        <v>0</v>
      </c>
      <c r="S13" s="12">
        <v>0</v>
      </c>
      <c r="T13" s="12">
        <v>0</v>
      </c>
      <c r="U13" s="12">
        <v>0</v>
      </c>
      <c r="V13" s="12">
        <v>0</v>
      </c>
      <c r="W13" s="12">
        <v>0</v>
      </c>
      <c r="X13" s="12">
        <v>0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2</v>
      </c>
      <c r="AF13" s="13">
        <v>6400</v>
      </c>
      <c r="AG13" s="12">
        <v>0</v>
      </c>
      <c r="AH13" s="12">
        <v>0</v>
      </c>
      <c r="AI13" s="12">
        <v>0</v>
      </c>
      <c r="AJ13" s="12">
        <v>0</v>
      </c>
      <c r="AK13" s="12">
        <v>0</v>
      </c>
      <c r="AL13" s="12">
        <v>0</v>
      </c>
      <c r="AM13" s="12">
        <v>0</v>
      </c>
      <c r="AN13" s="12">
        <v>0</v>
      </c>
      <c r="AO13" s="12">
        <v>0</v>
      </c>
      <c r="AP13" s="12">
        <v>0</v>
      </c>
      <c r="AQ13" s="12">
        <v>0</v>
      </c>
      <c r="AR13" s="12">
        <v>0</v>
      </c>
      <c r="AS13" s="12">
        <v>0</v>
      </c>
      <c r="AT13" s="12">
        <v>0</v>
      </c>
      <c r="AU13" s="12">
        <v>0</v>
      </c>
      <c r="AV13" s="12">
        <v>0</v>
      </c>
      <c r="AW13" s="12">
        <v>0</v>
      </c>
      <c r="AX13" s="12">
        <v>0</v>
      </c>
      <c r="AY13" s="12">
        <v>0</v>
      </c>
      <c r="AZ13" s="12">
        <v>0</v>
      </c>
      <c r="BA13" s="12">
        <v>0</v>
      </c>
      <c r="BB13" s="12">
        <v>0</v>
      </c>
      <c r="BC13" s="12">
        <v>0</v>
      </c>
      <c r="BD13" s="12">
        <v>0</v>
      </c>
      <c r="BE13" s="12">
        <v>0</v>
      </c>
      <c r="BF13" s="12">
        <v>0</v>
      </c>
      <c r="BG13" s="12">
        <v>0</v>
      </c>
      <c r="BH13" s="12">
        <v>0</v>
      </c>
      <c r="BI13" s="12">
        <v>0</v>
      </c>
      <c r="BJ13" s="12">
        <v>0</v>
      </c>
      <c r="BK13" s="12">
        <v>0</v>
      </c>
      <c r="BL13" s="12">
        <v>0</v>
      </c>
      <c r="BM13" s="17">
        <v>6400</v>
      </c>
      <c r="BN13" s="9">
        <f t="shared" si="0"/>
        <v>6400</v>
      </c>
      <c r="BO13" s="9">
        <f t="shared" si="1"/>
        <v>4480</v>
      </c>
    </row>
    <row r="14" spans="1:69" ht="24">
      <c r="A14" s="8" t="s">
        <v>63</v>
      </c>
      <c r="B14" s="10" t="s">
        <v>246</v>
      </c>
      <c r="C14" s="10">
        <v>473172</v>
      </c>
      <c r="D14" s="11"/>
      <c r="E14" s="10" t="s">
        <v>16</v>
      </c>
      <c r="F14" s="10" t="s">
        <v>247</v>
      </c>
      <c r="G14" s="10" t="s">
        <v>197</v>
      </c>
      <c r="H14" s="12" t="s">
        <v>10</v>
      </c>
      <c r="I14" s="12" t="s">
        <v>248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2</v>
      </c>
      <c r="AF14" s="13">
        <v>5400</v>
      </c>
      <c r="AG14" s="12">
        <v>0</v>
      </c>
      <c r="AH14" s="12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2">
        <v>0</v>
      </c>
      <c r="AU14" s="12">
        <v>0</v>
      </c>
      <c r="AV14" s="12">
        <v>0</v>
      </c>
      <c r="AW14" s="12">
        <v>0</v>
      </c>
      <c r="AX14" s="12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2">
        <v>0</v>
      </c>
      <c r="BK14" s="12">
        <v>0</v>
      </c>
      <c r="BL14" s="12">
        <v>0</v>
      </c>
      <c r="BM14" s="17">
        <v>5400</v>
      </c>
      <c r="BN14" s="9">
        <f t="shared" si="0"/>
        <v>5400</v>
      </c>
      <c r="BO14" s="9">
        <f t="shared" si="1"/>
        <v>3779.9999999999995</v>
      </c>
    </row>
    <row r="15" spans="1:69" ht="24">
      <c r="A15" s="8" t="s">
        <v>63</v>
      </c>
      <c r="B15" s="10" t="s">
        <v>188</v>
      </c>
      <c r="C15" s="10">
        <v>431783</v>
      </c>
      <c r="D15" s="11"/>
      <c r="E15" s="10" t="s">
        <v>16</v>
      </c>
      <c r="F15" s="10" t="s">
        <v>34</v>
      </c>
      <c r="G15" s="10" t="s">
        <v>29</v>
      </c>
      <c r="H15" s="12" t="s">
        <v>56</v>
      </c>
      <c r="I15" s="12" t="s">
        <v>165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1</v>
      </c>
      <c r="AF15" s="13">
        <v>4600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7">
        <v>4600</v>
      </c>
      <c r="BN15" s="9">
        <f t="shared" si="0"/>
        <v>4600</v>
      </c>
      <c r="BO15" s="9">
        <f t="shared" si="1"/>
        <v>3220</v>
      </c>
    </row>
    <row r="16" spans="1:69" ht="24">
      <c r="A16" s="8" t="s">
        <v>63</v>
      </c>
      <c r="B16" s="10" t="s">
        <v>249</v>
      </c>
      <c r="C16" s="10">
        <v>431781</v>
      </c>
      <c r="D16" s="11"/>
      <c r="E16" s="10" t="s">
        <v>16</v>
      </c>
      <c r="F16" s="10" t="s">
        <v>176</v>
      </c>
      <c r="G16" s="10" t="s">
        <v>29</v>
      </c>
      <c r="H16" s="12" t="s">
        <v>56</v>
      </c>
      <c r="I16" s="12" t="s">
        <v>250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1</v>
      </c>
      <c r="AF16" s="13">
        <v>4000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7">
        <v>4000</v>
      </c>
      <c r="BN16" s="9">
        <f t="shared" si="0"/>
        <v>4000</v>
      </c>
      <c r="BO16" s="9">
        <f t="shared" si="1"/>
        <v>2800</v>
      </c>
    </row>
    <row r="17" spans="1:67" ht="24">
      <c r="A17" s="8" t="s">
        <v>63</v>
      </c>
      <c r="B17" s="10" t="s">
        <v>251</v>
      </c>
      <c r="C17" s="10">
        <v>473173</v>
      </c>
      <c r="D17" s="11"/>
      <c r="E17" s="10" t="s">
        <v>16</v>
      </c>
      <c r="F17" s="10" t="s">
        <v>247</v>
      </c>
      <c r="G17" s="10" t="s">
        <v>197</v>
      </c>
      <c r="H17" s="12" t="s">
        <v>10</v>
      </c>
      <c r="I17" s="12" t="s">
        <v>248</v>
      </c>
      <c r="J17" s="12">
        <v>0</v>
      </c>
      <c r="K17" s="12">
        <v>0</v>
      </c>
      <c r="L17" s="12">
        <v>0</v>
      </c>
      <c r="M17" s="12">
        <v>0</v>
      </c>
      <c r="N17" s="12">
        <v>0</v>
      </c>
      <c r="O17" s="12">
        <v>0</v>
      </c>
      <c r="P17" s="12">
        <v>0</v>
      </c>
      <c r="Q17" s="12">
        <v>0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1</v>
      </c>
      <c r="AF17" s="13">
        <v>3700</v>
      </c>
      <c r="AG17" s="12">
        <v>0</v>
      </c>
      <c r="AH17" s="12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2">
        <v>0</v>
      </c>
      <c r="AU17" s="12">
        <v>0</v>
      </c>
      <c r="AV17" s="12">
        <v>0</v>
      </c>
      <c r="AW17" s="12">
        <v>0</v>
      </c>
      <c r="AX17" s="12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2">
        <v>0</v>
      </c>
      <c r="BK17" s="12">
        <v>0</v>
      </c>
      <c r="BL17" s="12">
        <v>0</v>
      </c>
      <c r="BM17" s="17">
        <v>3700</v>
      </c>
      <c r="BN17" s="9">
        <f t="shared" si="0"/>
        <v>3700</v>
      </c>
      <c r="BO17" s="9">
        <f t="shared" si="1"/>
        <v>2590</v>
      </c>
    </row>
    <row r="18" spans="1:67" ht="24">
      <c r="A18" s="8" t="s">
        <v>63</v>
      </c>
      <c r="B18" s="10" t="s">
        <v>252</v>
      </c>
      <c r="C18" s="10">
        <v>420420</v>
      </c>
      <c r="D18" s="11"/>
      <c r="E18" s="10" t="s">
        <v>16</v>
      </c>
      <c r="F18" s="10" t="s">
        <v>253</v>
      </c>
      <c r="G18" s="10" t="s">
        <v>29</v>
      </c>
      <c r="H18" s="12" t="s">
        <v>56</v>
      </c>
      <c r="I18" s="12" t="s">
        <v>254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1</v>
      </c>
      <c r="AF18" s="13">
        <v>2700</v>
      </c>
      <c r="AG18" s="12">
        <v>0</v>
      </c>
      <c r="AH18" s="12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1</v>
      </c>
      <c r="AR18" s="12">
        <v>900</v>
      </c>
      <c r="AS18" s="12">
        <v>0</v>
      </c>
      <c r="AT18" s="12">
        <v>0</v>
      </c>
      <c r="AU18" s="12">
        <v>0</v>
      </c>
      <c r="AV18" s="12">
        <v>0</v>
      </c>
      <c r="AW18" s="12">
        <v>0</v>
      </c>
      <c r="AX18" s="12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2">
        <v>0</v>
      </c>
      <c r="BK18" s="12">
        <v>0</v>
      </c>
      <c r="BL18" s="12">
        <v>0</v>
      </c>
      <c r="BM18" s="17">
        <v>3600</v>
      </c>
      <c r="BN18" s="9">
        <f t="shared" si="0"/>
        <v>3600</v>
      </c>
      <c r="BO18" s="9">
        <f t="shared" si="1"/>
        <v>2520</v>
      </c>
    </row>
    <row r="19" spans="1:67" ht="24">
      <c r="A19" s="8" t="s">
        <v>63</v>
      </c>
      <c r="B19" s="10" t="s">
        <v>65</v>
      </c>
      <c r="C19" s="10">
        <v>476003</v>
      </c>
      <c r="D19" s="11"/>
      <c r="E19" s="10" t="s">
        <v>16</v>
      </c>
      <c r="F19" s="10" t="s">
        <v>26</v>
      </c>
      <c r="G19" s="10" t="s">
        <v>11</v>
      </c>
      <c r="H19" s="12" t="s">
        <v>8</v>
      </c>
      <c r="I19" s="12" t="s">
        <v>64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0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1</v>
      </c>
      <c r="AR19" s="13">
        <v>3200</v>
      </c>
      <c r="AS19" s="12">
        <v>0</v>
      </c>
      <c r="AT19" s="12">
        <v>0</v>
      </c>
      <c r="AU19" s="12">
        <v>0</v>
      </c>
      <c r="AV19" s="12">
        <v>0</v>
      </c>
      <c r="AW19" s="12">
        <v>0</v>
      </c>
      <c r="AX19" s="12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2">
        <v>0</v>
      </c>
      <c r="BK19" s="12">
        <v>0</v>
      </c>
      <c r="BL19" s="12">
        <v>0</v>
      </c>
      <c r="BM19" s="17">
        <v>3200</v>
      </c>
      <c r="BN19" s="9">
        <f t="shared" si="0"/>
        <v>3200</v>
      </c>
      <c r="BO19" s="9">
        <f t="shared" si="1"/>
        <v>2240</v>
      </c>
    </row>
    <row r="20" spans="1:67" ht="24">
      <c r="A20" s="8" t="s">
        <v>63</v>
      </c>
      <c r="B20" s="10" t="s">
        <v>66</v>
      </c>
      <c r="C20" s="10">
        <v>458568</v>
      </c>
      <c r="D20" s="11"/>
      <c r="E20" s="10" t="s">
        <v>16</v>
      </c>
      <c r="F20" s="10" t="s">
        <v>26</v>
      </c>
      <c r="G20" s="10" t="s">
        <v>11</v>
      </c>
      <c r="H20" s="12" t="s">
        <v>7</v>
      </c>
      <c r="I20" s="12" t="s">
        <v>54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1</v>
      </c>
      <c r="AF20" s="13">
        <v>3200</v>
      </c>
      <c r="AG20" s="12">
        <v>0</v>
      </c>
      <c r="AH20" s="12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2">
        <v>0</v>
      </c>
      <c r="AU20" s="12">
        <v>0</v>
      </c>
      <c r="AV20" s="12">
        <v>0</v>
      </c>
      <c r="AW20" s="12">
        <v>0</v>
      </c>
      <c r="AX20" s="12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2">
        <v>0</v>
      </c>
      <c r="BK20" s="12">
        <v>0</v>
      </c>
      <c r="BL20" s="12">
        <v>0</v>
      </c>
      <c r="BM20" s="17">
        <v>3200</v>
      </c>
      <c r="BN20" s="9">
        <f t="shared" si="0"/>
        <v>3200</v>
      </c>
      <c r="BO20" s="9">
        <f t="shared" si="1"/>
        <v>2240</v>
      </c>
    </row>
    <row r="21" spans="1:67" ht="24">
      <c r="A21" s="8" t="s">
        <v>63</v>
      </c>
      <c r="B21" s="10" t="s">
        <v>200</v>
      </c>
      <c r="C21" s="10">
        <v>458566</v>
      </c>
      <c r="D21" s="11"/>
      <c r="E21" s="10" t="s">
        <v>16</v>
      </c>
      <c r="F21" s="10" t="s">
        <v>26</v>
      </c>
      <c r="G21" s="10" t="s">
        <v>11</v>
      </c>
      <c r="H21" s="12" t="s">
        <v>7</v>
      </c>
      <c r="I21" s="12" t="s">
        <v>54</v>
      </c>
      <c r="J21" s="12">
        <v>0</v>
      </c>
      <c r="K21" s="12">
        <v>0</v>
      </c>
      <c r="L21" s="12">
        <v>0</v>
      </c>
      <c r="M21" s="12">
        <v>0</v>
      </c>
      <c r="N21" s="12">
        <v>0</v>
      </c>
      <c r="O21" s="12">
        <v>0</v>
      </c>
      <c r="P21" s="12">
        <v>0</v>
      </c>
      <c r="Q21" s="12">
        <v>0</v>
      </c>
      <c r="R21" s="12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1</v>
      </c>
      <c r="AF21" s="13">
        <v>3200</v>
      </c>
      <c r="AG21" s="12">
        <v>0</v>
      </c>
      <c r="AH21" s="12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2">
        <v>0</v>
      </c>
      <c r="AU21" s="12">
        <v>0</v>
      </c>
      <c r="AV21" s="12">
        <v>0</v>
      </c>
      <c r="AW21" s="12">
        <v>0</v>
      </c>
      <c r="AX21" s="12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2">
        <v>0</v>
      </c>
      <c r="BK21" s="12">
        <v>0</v>
      </c>
      <c r="BL21" s="12">
        <v>0</v>
      </c>
      <c r="BM21" s="17">
        <v>3200</v>
      </c>
      <c r="BN21" s="9">
        <f t="shared" si="0"/>
        <v>3200</v>
      </c>
      <c r="BO21" s="9">
        <f t="shared" si="1"/>
        <v>2240</v>
      </c>
    </row>
    <row r="22" spans="1:67" ht="24">
      <c r="A22" s="8" t="s">
        <v>63</v>
      </c>
      <c r="B22" s="10" t="s">
        <v>35</v>
      </c>
      <c r="C22" s="10">
        <v>321812</v>
      </c>
      <c r="D22" s="11"/>
      <c r="E22" s="10" t="s">
        <v>16</v>
      </c>
      <c r="F22" s="10" t="s">
        <v>26</v>
      </c>
      <c r="G22" s="10" t="s">
        <v>11</v>
      </c>
      <c r="H22" s="12" t="s">
        <v>7</v>
      </c>
      <c r="I22" s="12" t="s">
        <v>36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16</v>
      </c>
      <c r="AF22" s="12">
        <v>500</v>
      </c>
      <c r="AG22" s="13">
        <v>1100</v>
      </c>
      <c r="AH22" s="12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8</v>
      </c>
      <c r="AR22" s="12">
        <v>800</v>
      </c>
      <c r="AS22" s="12">
        <v>0</v>
      </c>
      <c r="AT22" s="12">
        <v>0</v>
      </c>
      <c r="AU22" s="12">
        <v>0</v>
      </c>
      <c r="AV22" s="12">
        <v>0</v>
      </c>
      <c r="AW22" s="12">
        <v>2</v>
      </c>
      <c r="AX22" s="12">
        <v>240</v>
      </c>
      <c r="AY22" s="12">
        <v>0</v>
      </c>
      <c r="AZ22" s="12">
        <v>0</v>
      </c>
      <c r="BA22" s="12">
        <v>0</v>
      </c>
      <c r="BB22" s="12">
        <v>0</v>
      </c>
      <c r="BC22" s="12">
        <v>3</v>
      </c>
      <c r="BD22" s="12">
        <v>360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2">
        <v>0</v>
      </c>
      <c r="BK22" s="12">
        <v>0</v>
      </c>
      <c r="BL22" s="12">
        <v>45.6</v>
      </c>
      <c r="BM22" s="17">
        <v>3000</v>
      </c>
      <c r="BN22" s="9">
        <f t="shared" si="0"/>
        <v>2954.4</v>
      </c>
      <c r="BO22" s="9">
        <f t="shared" si="1"/>
        <v>2068.08</v>
      </c>
    </row>
    <row r="23" spans="1:67" ht="24">
      <c r="A23" s="8" t="s">
        <v>63</v>
      </c>
      <c r="B23" s="10" t="s">
        <v>40</v>
      </c>
      <c r="C23" s="10">
        <v>387417</v>
      </c>
      <c r="D23" s="11"/>
      <c r="E23" s="10" t="s">
        <v>16</v>
      </c>
      <c r="F23" s="10" t="s">
        <v>41</v>
      </c>
      <c r="G23" s="10" t="s">
        <v>11</v>
      </c>
      <c r="H23" s="12" t="s">
        <v>7</v>
      </c>
      <c r="I23" s="12" t="s">
        <v>234</v>
      </c>
      <c r="J23" s="12">
        <v>0</v>
      </c>
      <c r="K23" s="12">
        <v>86</v>
      </c>
      <c r="L23" s="12">
        <v>0</v>
      </c>
      <c r="M23" s="12">
        <v>0</v>
      </c>
      <c r="N23" s="12">
        <v>0</v>
      </c>
      <c r="O23" s="12">
        <v>0</v>
      </c>
      <c r="P23" s="12">
        <v>0</v>
      </c>
      <c r="Q23" s="12">
        <v>0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2">
        <v>0</v>
      </c>
      <c r="AE23" s="12">
        <v>21</v>
      </c>
      <c r="AF23" s="12">
        <v>700</v>
      </c>
      <c r="AG23" s="13">
        <v>1400</v>
      </c>
      <c r="AH23" s="12">
        <v>0</v>
      </c>
      <c r="AI23" s="12">
        <v>0</v>
      </c>
      <c r="AJ23" s="12">
        <v>0</v>
      </c>
      <c r="AK23" s="12">
        <v>2</v>
      </c>
      <c r="AL23" s="12">
        <v>240</v>
      </c>
      <c r="AM23" s="12">
        <v>0</v>
      </c>
      <c r="AN23" s="12">
        <v>0</v>
      </c>
      <c r="AO23" s="12">
        <v>0</v>
      </c>
      <c r="AP23" s="12">
        <v>0</v>
      </c>
      <c r="AQ23" s="12">
        <v>4</v>
      </c>
      <c r="AR23" s="12">
        <v>400</v>
      </c>
      <c r="AS23" s="12">
        <v>0</v>
      </c>
      <c r="AT23" s="12">
        <v>0</v>
      </c>
      <c r="AU23" s="12">
        <v>0</v>
      </c>
      <c r="AV23" s="12">
        <v>0</v>
      </c>
      <c r="AW23" s="12">
        <v>0</v>
      </c>
      <c r="AX23" s="12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1</v>
      </c>
      <c r="BD23" s="12">
        <v>120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2">
        <v>0</v>
      </c>
      <c r="BK23" s="12">
        <v>0</v>
      </c>
      <c r="BL23" s="12">
        <v>79.2</v>
      </c>
      <c r="BM23" s="17">
        <v>2860</v>
      </c>
      <c r="BN23" s="9">
        <f t="shared" si="0"/>
        <v>2780.8</v>
      </c>
      <c r="BO23" s="9">
        <f t="shared" si="1"/>
        <v>1946.56</v>
      </c>
    </row>
    <row r="24" spans="1:67" ht="24">
      <c r="A24" s="8" t="s">
        <v>63</v>
      </c>
      <c r="B24" s="10" t="s">
        <v>255</v>
      </c>
      <c r="C24" s="10">
        <v>449889</v>
      </c>
      <c r="D24" s="11"/>
      <c r="E24" s="10" t="s">
        <v>16</v>
      </c>
      <c r="F24" s="10" t="s">
        <v>23</v>
      </c>
      <c r="G24" s="10" t="s">
        <v>11</v>
      </c>
      <c r="H24" s="12" t="s">
        <v>7</v>
      </c>
      <c r="I24" s="12" t="s">
        <v>24</v>
      </c>
      <c r="J24" s="12">
        <v>0</v>
      </c>
      <c r="K24" s="12">
        <v>815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17</v>
      </c>
      <c r="AF24" s="13">
        <v>1800</v>
      </c>
      <c r="AG24" s="12">
        <v>100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4</v>
      </c>
      <c r="AR24" s="12">
        <v>400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1</v>
      </c>
      <c r="BD24" s="12">
        <v>120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7.2</v>
      </c>
      <c r="BM24" s="17">
        <v>2420</v>
      </c>
      <c r="BN24" s="9">
        <f t="shared" si="0"/>
        <v>2412.8000000000002</v>
      </c>
      <c r="BO24" s="9">
        <f t="shared" si="1"/>
        <v>1688.96</v>
      </c>
    </row>
    <row r="25" spans="1:67" ht="24">
      <c r="A25" s="8" t="s">
        <v>63</v>
      </c>
      <c r="B25" s="10" t="s">
        <v>156</v>
      </c>
      <c r="C25" s="10">
        <v>478744</v>
      </c>
      <c r="D25" s="11"/>
      <c r="E25" s="10" t="s">
        <v>16</v>
      </c>
      <c r="F25" s="10" t="s">
        <v>157</v>
      </c>
      <c r="G25" s="10" t="s">
        <v>11</v>
      </c>
      <c r="H25" s="12" t="s">
        <v>7</v>
      </c>
      <c r="I25" s="12" t="s">
        <v>245</v>
      </c>
      <c r="J25" s="12">
        <v>0</v>
      </c>
      <c r="K25" s="12">
        <v>153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13</v>
      </c>
      <c r="AF25" s="13">
        <v>1300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9</v>
      </c>
      <c r="AR25" s="12">
        <v>900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7">
        <v>2200</v>
      </c>
      <c r="BN25" s="9">
        <f t="shared" si="0"/>
        <v>2200</v>
      </c>
      <c r="BO25" s="9">
        <f t="shared" si="1"/>
        <v>1540</v>
      </c>
    </row>
    <row r="26" spans="1:67" ht="24">
      <c r="A26" s="8" t="s">
        <v>63</v>
      </c>
      <c r="B26" s="10" t="s">
        <v>256</v>
      </c>
      <c r="C26" s="10">
        <v>489720</v>
      </c>
      <c r="D26" s="11"/>
      <c r="E26" s="10" t="s">
        <v>16</v>
      </c>
      <c r="F26" s="10" t="s">
        <v>257</v>
      </c>
      <c r="G26" s="10" t="s">
        <v>11</v>
      </c>
      <c r="H26" s="12" t="s">
        <v>7</v>
      </c>
      <c r="I26" s="12" t="s">
        <v>258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16</v>
      </c>
      <c r="AF26" s="13">
        <v>1600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5</v>
      </c>
      <c r="AR26" s="12">
        <v>500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7">
        <v>2100</v>
      </c>
      <c r="BN26" s="9">
        <f t="shared" si="0"/>
        <v>2100</v>
      </c>
      <c r="BO26" s="9">
        <f t="shared" si="1"/>
        <v>1470</v>
      </c>
    </row>
    <row r="27" spans="1:67" ht="24">
      <c r="A27" s="8" t="s">
        <v>63</v>
      </c>
      <c r="B27" s="10" t="s">
        <v>31</v>
      </c>
      <c r="C27" s="10">
        <v>178856</v>
      </c>
      <c r="D27" s="11"/>
      <c r="E27" s="10" t="s">
        <v>16</v>
      </c>
      <c r="F27" s="10" t="s">
        <v>26</v>
      </c>
      <c r="G27" s="10" t="s">
        <v>11</v>
      </c>
      <c r="H27" s="12" t="s">
        <v>10</v>
      </c>
      <c r="I27" s="12" t="s">
        <v>32</v>
      </c>
      <c r="J27" s="12">
        <v>0</v>
      </c>
      <c r="K27" s="12">
        <v>0</v>
      </c>
      <c r="L27" s="12">
        <v>0</v>
      </c>
      <c r="M27" s="12">
        <v>0</v>
      </c>
      <c r="N27" s="12">
        <v>0</v>
      </c>
      <c r="O27" s="12">
        <v>0</v>
      </c>
      <c r="P27" s="12">
        <v>0</v>
      </c>
      <c r="Q27" s="12">
        <v>0</v>
      </c>
      <c r="R27" s="12">
        <v>0</v>
      </c>
      <c r="S27" s="12">
        <v>0</v>
      </c>
      <c r="T27" s="12">
        <v>11</v>
      </c>
      <c r="U27" s="12">
        <v>0</v>
      </c>
      <c r="V27" s="12">
        <v>0</v>
      </c>
      <c r="W27" s="12">
        <v>0</v>
      </c>
      <c r="X27" s="12">
        <v>0</v>
      </c>
      <c r="Y27" s="12">
        <v>0</v>
      </c>
      <c r="Z27" s="12">
        <v>0</v>
      </c>
      <c r="AA27" s="12">
        <v>0</v>
      </c>
      <c r="AB27" s="12">
        <v>0</v>
      </c>
      <c r="AC27" s="12">
        <v>0</v>
      </c>
      <c r="AD27" s="12">
        <v>0</v>
      </c>
      <c r="AE27" s="12">
        <v>15</v>
      </c>
      <c r="AF27" s="13">
        <v>1000</v>
      </c>
      <c r="AG27" s="12">
        <v>500</v>
      </c>
      <c r="AH27" s="12">
        <v>0</v>
      </c>
      <c r="AI27" s="12">
        <v>0</v>
      </c>
      <c r="AJ27" s="12">
        <v>0</v>
      </c>
      <c r="AK27" s="12">
        <v>1</v>
      </c>
      <c r="AL27" s="12">
        <v>0</v>
      </c>
      <c r="AM27" s="12">
        <v>100</v>
      </c>
      <c r="AN27" s="12">
        <v>0</v>
      </c>
      <c r="AO27" s="12">
        <v>0</v>
      </c>
      <c r="AP27" s="12">
        <v>0</v>
      </c>
      <c r="AQ27" s="12">
        <v>4</v>
      </c>
      <c r="AR27" s="12">
        <v>400</v>
      </c>
      <c r="AS27" s="12">
        <v>0</v>
      </c>
      <c r="AT27" s="12">
        <v>0</v>
      </c>
      <c r="AU27" s="12">
        <v>0</v>
      </c>
      <c r="AV27" s="12">
        <v>0</v>
      </c>
      <c r="AW27" s="12">
        <v>0</v>
      </c>
      <c r="AX27" s="12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2">
        <v>0</v>
      </c>
      <c r="BK27" s="12">
        <v>0</v>
      </c>
      <c r="BL27" s="12">
        <v>0</v>
      </c>
      <c r="BM27" s="17">
        <v>2000</v>
      </c>
      <c r="BN27" s="9">
        <f t="shared" si="0"/>
        <v>2000</v>
      </c>
      <c r="BO27" s="9">
        <f t="shared" si="1"/>
        <v>1400</v>
      </c>
    </row>
    <row r="28" spans="1:67" ht="24">
      <c r="A28" s="8" t="s">
        <v>63</v>
      </c>
      <c r="B28" s="10" t="s">
        <v>70</v>
      </c>
      <c r="C28" s="10">
        <v>476783</v>
      </c>
      <c r="D28" s="11"/>
      <c r="E28" s="10" t="s">
        <v>16</v>
      </c>
      <c r="F28" s="10" t="s">
        <v>71</v>
      </c>
      <c r="G28" s="10" t="s">
        <v>29</v>
      </c>
      <c r="H28" s="12" t="s">
        <v>8</v>
      </c>
      <c r="I28" s="12" t="s">
        <v>72</v>
      </c>
      <c r="J28" s="12">
        <v>3</v>
      </c>
      <c r="K28" s="12">
        <v>47</v>
      </c>
      <c r="L28" s="12">
        <v>300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13</v>
      </c>
      <c r="AF28" s="13">
        <v>1300</v>
      </c>
      <c r="AG28" s="12">
        <v>0</v>
      </c>
      <c r="AH28" s="12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2">
        <v>0</v>
      </c>
      <c r="AU28" s="12">
        <v>0</v>
      </c>
      <c r="AV28" s="12">
        <v>0</v>
      </c>
      <c r="AW28" s="12">
        <v>0</v>
      </c>
      <c r="AX28" s="12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2">
        <v>0</v>
      </c>
      <c r="BK28" s="12">
        <v>0</v>
      </c>
      <c r="BL28" s="12">
        <v>0</v>
      </c>
      <c r="BM28" s="17">
        <v>1600</v>
      </c>
      <c r="BN28" s="9">
        <f t="shared" si="0"/>
        <v>1600</v>
      </c>
      <c r="BO28" s="9">
        <f t="shared" si="1"/>
        <v>1120</v>
      </c>
    </row>
    <row r="29" spans="1:67" ht="36">
      <c r="A29" s="8" t="s">
        <v>63</v>
      </c>
      <c r="B29" s="10" t="s">
        <v>259</v>
      </c>
      <c r="C29" s="10">
        <v>488806</v>
      </c>
      <c r="D29" s="11"/>
      <c r="E29" s="10" t="s">
        <v>16</v>
      </c>
      <c r="F29" s="10" t="s">
        <v>242</v>
      </c>
      <c r="G29" s="10" t="s">
        <v>29</v>
      </c>
      <c r="H29" s="12" t="s">
        <v>56</v>
      </c>
      <c r="I29" s="12" t="s">
        <v>236</v>
      </c>
      <c r="J29" s="12">
        <v>0</v>
      </c>
      <c r="K29" s="12">
        <v>0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2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0</v>
      </c>
      <c r="Z29" s="12">
        <v>0</v>
      </c>
      <c r="AA29" s="12">
        <v>0</v>
      </c>
      <c r="AB29" s="12">
        <v>0</v>
      </c>
      <c r="AC29" s="12">
        <v>0</v>
      </c>
      <c r="AD29" s="12">
        <v>0</v>
      </c>
      <c r="AE29" s="12">
        <v>1</v>
      </c>
      <c r="AF29" s="13">
        <v>1600</v>
      </c>
      <c r="AG29" s="12">
        <v>0</v>
      </c>
      <c r="AH29" s="12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2">
        <v>0</v>
      </c>
      <c r="AU29" s="12">
        <v>0</v>
      </c>
      <c r="AV29" s="12">
        <v>0</v>
      </c>
      <c r="AW29" s="12">
        <v>0</v>
      </c>
      <c r="AX29" s="12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2">
        <v>0</v>
      </c>
      <c r="BK29" s="12">
        <v>0</v>
      </c>
      <c r="BL29" s="12">
        <v>0</v>
      </c>
      <c r="BM29" s="17">
        <v>1600</v>
      </c>
      <c r="BN29" s="9">
        <f t="shared" si="0"/>
        <v>1600</v>
      </c>
      <c r="BO29" s="9">
        <f t="shared" si="1"/>
        <v>1120</v>
      </c>
    </row>
    <row r="30" spans="1:67" ht="24">
      <c r="A30" s="8" t="s">
        <v>63</v>
      </c>
      <c r="B30" s="10" t="s">
        <v>260</v>
      </c>
      <c r="C30" s="10">
        <v>490220</v>
      </c>
      <c r="D30" s="11"/>
      <c r="E30" s="10" t="s">
        <v>16</v>
      </c>
      <c r="F30" s="10" t="s">
        <v>261</v>
      </c>
      <c r="G30" s="10" t="s">
        <v>29</v>
      </c>
      <c r="H30" s="12" t="s">
        <v>8</v>
      </c>
      <c r="I30" s="12" t="s">
        <v>262</v>
      </c>
      <c r="J30" s="12">
        <v>0</v>
      </c>
      <c r="K30" s="12">
        <v>39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10</v>
      </c>
      <c r="AF30" s="12">
        <v>900</v>
      </c>
      <c r="AG30" s="12">
        <v>100</v>
      </c>
      <c r="AH30" s="12">
        <v>0</v>
      </c>
      <c r="AI30" s="12">
        <v>0</v>
      </c>
      <c r="AJ30" s="12">
        <v>0</v>
      </c>
      <c r="AK30" s="12">
        <v>1</v>
      </c>
      <c r="AL30" s="12">
        <v>0</v>
      </c>
      <c r="AM30" s="12">
        <v>100</v>
      </c>
      <c r="AN30" s="12">
        <v>0</v>
      </c>
      <c r="AO30" s="12">
        <v>0</v>
      </c>
      <c r="AP30" s="12">
        <v>0</v>
      </c>
      <c r="AQ30" s="12">
        <v>2</v>
      </c>
      <c r="AR30" s="12">
        <v>200</v>
      </c>
      <c r="AS30" s="12">
        <v>0</v>
      </c>
      <c r="AT30" s="12">
        <v>0</v>
      </c>
      <c r="AU30" s="12">
        <v>0</v>
      </c>
      <c r="AV30" s="12">
        <v>0</v>
      </c>
      <c r="AW30" s="12">
        <v>0</v>
      </c>
      <c r="AX30" s="12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1</v>
      </c>
      <c r="BD30" s="12">
        <v>120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2">
        <v>0</v>
      </c>
      <c r="BK30" s="12">
        <v>0</v>
      </c>
      <c r="BL30" s="12">
        <v>7.2</v>
      </c>
      <c r="BM30" s="17">
        <v>1420</v>
      </c>
      <c r="BN30" s="9">
        <f t="shared" si="0"/>
        <v>1412.8</v>
      </c>
      <c r="BO30" s="9">
        <f t="shared" si="1"/>
        <v>988.95999999999992</v>
      </c>
    </row>
    <row r="31" spans="1:67" ht="24">
      <c r="A31" s="8" t="s">
        <v>63</v>
      </c>
      <c r="B31" s="10" t="s">
        <v>263</v>
      </c>
      <c r="C31" s="10">
        <v>490131</v>
      </c>
      <c r="D31" s="11"/>
      <c r="E31" s="10" t="s">
        <v>16</v>
      </c>
      <c r="F31" s="10" t="s">
        <v>264</v>
      </c>
      <c r="G31" s="10" t="s">
        <v>67</v>
      </c>
      <c r="H31" s="12" t="s">
        <v>56</v>
      </c>
      <c r="I31" s="12" t="s">
        <v>262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2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2">
        <v>0</v>
      </c>
      <c r="AE31" s="12">
        <v>1</v>
      </c>
      <c r="AF31" s="13">
        <v>1300</v>
      </c>
      <c r="AG31" s="12">
        <v>0</v>
      </c>
      <c r="AH31" s="12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2">
        <v>0</v>
      </c>
      <c r="AU31" s="12">
        <v>0</v>
      </c>
      <c r="AV31" s="12">
        <v>0</v>
      </c>
      <c r="AW31" s="12">
        <v>0</v>
      </c>
      <c r="AX31" s="12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2">
        <v>0</v>
      </c>
      <c r="BK31" s="12">
        <v>0</v>
      </c>
      <c r="BL31" s="12">
        <v>0</v>
      </c>
      <c r="BM31" s="17">
        <v>1300</v>
      </c>
      <c r="BN31" s="9">
        <f t="shared" si="0"/>
        <v>1300</v>
      </c>
      <c r="BO31" s="9">
        <f t="shared" si="1"/>
        <v>909.99999999999989</v>
      </c>
    </row>
    <row r="32" spans="1:67" ht="24">
      <c r="A32" s="8" t="s">
        <v>63</v>
      </c>
      <c r="B32" s="10" t="s">
        <v>205</v>
      </c>
      <c r="C32" s="10">
        <v>487308</v>
      </c>
      <c r="D32" s="11"/>
      <c r="E32" s="10" t="s">
        <v>16</v>
      </c>
      <c r="F32" s="10" t="s">
        <v>206</v>
      </c>
      <c r="G32" s="10" t="s">
        <v>67</v>
      </c>
      <c r="H32" s="12" t="s">
        <v>8</v>
      </c>
      <c r="I32" s="12" t="s">
        <v>265</v>
      </c>
      <c r="J32" s="12">
        <v>0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2">
        <v>0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12</v>
      </c>
      <c r="AR32" s="13">
        <v>1200</v>
      </c>
      <c r="AS32" s="12">
        <v>0</v>
      </c>
      <c r="AT32" s="12">
        <v>0</v>
      </c>
      <c r="AU32" s="12">
        <v>0</v>
      </c>
      <c r="AV32" s="12">
        <v>0</v>
      </c>
      <c r="AW32" s="12">
        <v>0</v>
      </c>
      <c r="AX32" s="12">
        <v>0</v>
      </c>
      <c r="AY32" s="12">
        <v>0</v>
      </c>
      <c r="AZ32" s="12">
        <v>0</v>
      </c>
      <c r="BA32" s="12">
        <v>0</v>
      </c>
      <c r="BB32" s="12">
        <v>0</v>
      </c>
      <c r="BC32" s="12">
        <v>0</v>
      </c>
      <c r="BD32" s="12">
        <v>0</v>
      </c>
      <c r="BE32" s="12">
        <v>0</v>
      </c>
      <c r="BF32" s="12">
        <v>0</v>
      </c>
      <c r="BG32" s="12">
        <v>0</v>
      </c>
      <c r="BH32" s="12">
        <v>0</v>
      </c>
      <c r="BI32" s="12">
        <v>0</v>
      </c>
      <c r="BJ32" s="12">
        <v>0</v>
      </c>
      <c r="BK32" s="12">
        <v>0</v>
      </c>
      <c r="BL32" s="12">
        <v>0</v>
      </c>
      <c r="BM32" s="17">
        <v>1200</v>
      </c>
      <c r="BN32" s="9">
        <f t="shared" si="0"/>
        <v>1200</v>
      </c>
      <c r="BO32" s="9">
        <f t="shared" si="1"/>
        <v>840</v>
      </c>
    </row>
    <row r="33" spans="1:67" ht="24">
      <c r="A33" s="8" t="s">
        <v>63</v>
      </c>
      <c r="B33" s="10" t="s">
        <v>266</v>
      </c>
      <c r="C33" s="10">
        <v>464146</v>
      </c>
      <c r="D33" s="11"/>
      <c r="E33" s="10" t="s">
        <v>16</v>
      </c>
      <c r="F33" s="10" t="s">
        <v>239</v>
      </c>
      <c r="G33" s="10" t="s">
        <v>29</v>
      </c>
      <c r="H33" s="12" t="s">
        <v>56</v>
      </c>
      <c r="I33" s="12" t="s">
        <v>267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1</v>
      </c>
      <c r="AF33" s="13">
        <v>1100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7">
        <v>1100</v>
      </c>
      <c r="BN33" s="9">
        <f t="shared" si="0"/>
        <v>1100</v>
      </c>
      <c r="BO33" s="9">
        <f t="shared" si="1"/>
        <v>770</v>
      </c>
    </row>
    <row r="34" spans="1:67" ht="24">
      <c r="A34" s="8" t="s">
        <v>63</v>
      </c>
      <c r="B34" s="10" t="s">
        <v>37</v>
      </c>
      <c r="C34" s="10">
        <v>412919</v>
      </c>
      <c r="D34" s="11"/>
      <c r="E34" s="10" t="s">
        <v>16</v>
      </c>
      <c r="F34" s="10" t="s">
        <v>38</v>
      </c>
      <c r="G34" s="10" t="s">
        <v>29</v>
      </c>
      <c r="H34" s="12" t="s">
        <v>8</v>
      </c>
      <c r="I34" s="12" t="s">
        <v>39</v>
      </c>
      <c r="J34" s="12">
        <v>0</v>
      </c>
      <c r="K34" s="12">
        <v>12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6</v>
      </c>
      <c r="AF34" s="12">
        <v>600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4</v>
      </c>
      <c r="AR34" s="12">
        <v>400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7">
        <v>1000</v>
      </c>
      <c r="BN34" s="9">
        <f t="shared" si="0"/>
        <v>1000</v>
      </c>
      <c r="BO34" s="9">
        <f t="shared" si="1"/>
        <v>700</v>
      </c>
    </row>
    <row r="35" spans="1:67" ht="24">
      <c r="A35" s="8" t="s">
        <v>63</v>
      </c>
      <c r="B35" s="10" t="s">
        <v>268</v>
      </c>
      <c r="C35" s="10">
        <v>489266</v>
      </c>
      <c r="D35" s="11"/>
      <c r="E35" s="10" t="s">
        <v>16</v>
      </c>
      <c r="F35" s="10" t="s">
        <v>269</v>
      </c>
      <c r="G35" s="10" t="s">
        <v>29</v>
      </c>
      <c r="H35" s="12" t="s">
        <v>8</v>
      </c>
      <c r="I35" s="12" t="s">
        <v>196</v>
      </c>
      <c r="J35" s="12">
        <v>0</v>
      </c>
      <c r="K35" s="12">
        <v>0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8</v>
      </c>
      <c r="AF35" s="12">
        <v>800</v>
      </c>
      <c r="AG35" s="12">
        <v>0</v>
      </c>
      <c r="AH35" s="12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2">
        <v>0</v>
      </c>
      <c r="AU35" s="12">
        <v>0</v>
      </c>
      <c r="AV35" s="12">
        <v>0</v>
      </c>
      <c r="AW35" s="12">
        <v>0</v>
      </c>
      <c r="AX35" s="12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2">
        <v>0</v>
      </c>
      <c r="BK35" s="12">
        <v>0</v>
      </c>
      <c r="BL35" s="12">
        <v>0</v>
      </c>
      <c r="BM35" s="18">
        <v>800</v>
      </c>
      <c r="BN35" s="9">
        <f t="shared" si="0"/>
        <v>800</v>
      </c>
      <c r="BO35" s="9">
        <f t="shared" si="1"/>
        <v>560</v>
      </c>
    </row>
    <row r="36" spans="1:67" ht="24">
      <c r="A36" s="8" t="s">
        <v>63</v>
      </c>
      <c r="B36" s="10" t="s">
        <v>148</v>
      </c>
      <c r="C36" s="10">
        <v>482098</v>
      </c>
      <c r="D36" s="11"/>
      <c r="E36" s="10" t="s">
        <v>16</v>
      </c>
      <c r="F36" s="10" t="s">
        <v>34</v>
      </c>
      <c r="G36" s="10" t="s">
        <v>67</v>
      </c>
      <c r="H36" s="12" t="s">
        <v>8</v>
      </c>
      <c r="I36" s="12" t="s">
        <v>165</v>
      </c>
      <c r="J36" s="12">
        <v>0</v>
      </c>
      <c r="K36" s="12">
        <v>80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5</v>
      </c>
      <c r="AF36" s="12">
        <v>500</v>
      </c>
      <c r="AG36" s="12">
        <v>0</v>
      </c>
      <c r="AH36" s="12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1</v>
      </c>
      <c r="AR36" s="12">
        <v>100</v>
      </c>
      <c r="AS36" s="12">
        <v>0</v>
      </c>
      <c r="AT36" s="12">
        <v>0</v>
      </c>
      <c r="AU36" s="12">
        <v>0</v>
      </c>
      <c r="AV36" s="12">
        <v>0</v>
      </c>
      <c r="AW36" s="12">
        <v>0</v>
      </c>
      <c r="AX36" s="12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1</v>
      </c>
      <c r="BD36" s="12">
        <v>120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2">
        <v>0</v>
      </c>
      <c r="BK36" s="12">
        <v>0</v>
      </c>
      <c r="BL36" s="12">
        <v>7.2</v>
      </c>
      <c r="BM36" s="18">
        <v>720</v>
      </c>
      <c r="BN36" s="9">
        <f t="shared" si="0"/>
        <v>712.8</v>
      </c>
      <c r="BO36" s="9">
        <f t="shared" si="1"/>
        <v>498.95999999999992</v>
      </c>
    </row>
    <row r="37" spans="1:67" ht="24">
      <c r="A37" s="8" t="s">
        <v>63</v>
      </c>
      <c r="B37" s="10" t="s">
        <v>137</v>
      </c>
      <c r="C37" s="10">
        <v>473533</v>
      </c>
      <c r="D37" s="11"/>
      <c r="E37" s="10" t="s">
        <v>16</v>
      </c>
      <c r="F37" s="10" t="s">
        <v>138</v>
      </c>
      <c r="G37" s="10" t="s">
        <v>11</v>
      </c>
      <c r="H37" s="12" t="s">
        <v>7</v>
      </c>
      <c r="I37" s="12" t="s">
        <v>245</v>
      </c>
      <c r="J37" s="12">
        <v>0</v>
      </c>
      <c r="K37" s="12">
        <v>46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6</v>
      </c>
      <c r="AF37" s="12">
        <v>600</v>
      </c>
      <c r="AG37" s="12">
        <v>0</v>
      </c>
      <c r="AH37" s="12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2">
        <v>0</v>
      </c>
      <c r="AU37" s="12">
        <v>0</v>
      </c>
      <c r="AV37" s="12">
        <v>0</v>
      </c>
      <c r="AW37" s="12">
        <v>0</v>
      </c>
      <c r="AX37" s="12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2">
        <v>0</v>
      </c>
      <c r="BK37" s="12">
        <v>0</v>
      </c>
      <c r="BL37" s="12">
        <v>0</v>
      </c>
      <c r="BM37" s="18">
        <v>600</v>
      </c>
      <c r="BN37" s="9">
        <f t="shared" si="0"/>
        <v>600</v>
      </c>
      <c r="BO37" s="9">
        <f t="shared" si="1"/>
        <v>420</v>
      </c>
    </row>
    <row r="38" spans="1:67" ht="24">
      <c r="A38" s="8" t="s">
        <v>63</v>
      </c>
      <c r="B38" s="10" t="s">
        <v>140</v>
      </c>
      <c r="C38" s="10">
        <v>364724</v>
      </c>
      <c r="D38" s="11"/>
      <c r="E38" s="10" t="s">
        <v>16</v>
      </c>
      <c r="F38" s="10" t="s">
        <v>45</v>
      </c>
      <c r="G38" s="10" t="s">
        <v>11</v>
      </c>
      <c r="H38" s="12" t="s">
        <v>7</v>
      </c>
      <c r="I38" s="12" t="s">
        <v>141</v>
      </c>
      <c r="J38" s="12">
        <v>0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0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6</v>
      </c>
      <c r="AF38" s="12">
        <v>300</v>
      </c>
      <c r="AG38" s="12">
        <v>300</v>
      </c>
      <c r="AH38" s="12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</v>
      </c>
      <c r="BL38" s="12">
        <v>0</v>
      </c>
      <c r="BM38" s="18">
        <v>600</v>
      </c>
      <c r="BN38" s="9">
        <f t="shared" si="0"/>
        <v>600</v>
      </c>
      <c r="BO38" s="9">
        <f t="shared" si="1"/>
        <v>420</v>
      </c>
    </row>
    <row r="39" spans="1:67" ht="24">
      <c r="A39" s="8" t="s">
        <v>63</v>
      </c>
      <c r="B39" s="10" t="s">
        <v>15</v>
      </c>
      <c r="C39" s="10">
        <v>465248</v>
      </c>
      <c r="D39" s="11"/>
      <c r="E39" s="10" t="s">
        <v>16</v>
      </c>
      <c r="F39" s="10" t="s">
        <v>17</v>
      </c>
      <c r="G39" s="10" t="s">
        <v>67</v>
      </c>
      <c r="H39" s="12" t="s">
        <v>10</v>
      </c>
      <c r="I39" s="12" t="s">
        <v>18</v>
      </c>
      <c r="J39" s="12">
        <v>0</v>
      </c>
      <c r="K39" s="12">
        <v>48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2">
        <v>0</v>
      </c>
      <c r="AE39" s="12">
        <v>5</v>
      </c>
      <c r="AF39" s="12">
        <v>200</v>
      </c>
      <c r="AG39" s="12">
        <v>300</v>
      </c>
      <c r="AH39" s="12">
        <v>0</v>
      </c>
      <c r="AI39" s="12">
        <v>0</v>
      </c>
      <c r="AJ39" s="12">
        <v>0</v>
      </c>
      <c r="AK39" s="12">
        <v>1</v>
      </c>
      <c r="AL39" s="12">
        <v>0</v>
      </c>
      <c r="AM39" s="12">
        <v>100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2">
        <v>0</v>
      </c>
      <c r="AU39" s="12">
        <v>0</v>
      </c>
      <c r="AV39" s="12">
        <v>0</v>
      </c>
      <c r="AW39" s="12">
        <v>0</v>
      </c>
      <c r="AX39" s="12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2">
        <v>0</v>
      </c>
      <c r="BK39" s="12">
        <v>0</v>
      </c>
      <c r="BL39" s="12">
        <v>0</v>
      </c>
      <c r="BM39" s="18">
        <v>600</v>
      </c>
      <c r="BN39" s="9">
        <f t="shared" si="0"/>
        <v>600</v>
      </c>
      <c r="BO39" s="9">
        <f t="shared" si="1"/>
        <v>420</v>
      </c>
    </row>
    <row r="40" spans="1:67" ht="24">
      <c r="A40" s="8" t="s">
        <v>63</v>
      </c>
      <c r="B40" s="10" t="s">
        <v>19</v>
      </c>
      <c r="C40" s="10">
        <v>463799</v>
      </c>
      <c r="D40" s="11"/>
      <c r="E40" s="10" t="s">
        <v>16</v>
      </c>
      <c r="F40" s="10" t="s">
        <v>20</v>
      </c>
      <c r="G40" s="10" t="s">
        <v>11</v>
      </c>
      <c r="H40" s="12" t="s">
        <v>7</v>
      </c>
      <c r="I40" s="12" t="s">
        <v>21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2</v>
      </c>
      <c r="AF40" s="12">
        <v>0</v>
      </c>
      <c r="AG40" s="12">
        <v>200</v>
      </c>
      <c r="AH40" s="12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3</v>
      </c>
      <c r="AR40" s="12">
        <v>200</v>
      </c>
      <c r="AS40" s="12">
        <v>100</v>
      </c>
      <c r="AT40" s="12">
        <v>0</v>
      </c>
      <c r="AU40" s="12">
        <v>0</v>
      </c>
      <c r="AV40" s="12">
        <v>0</v>
      </c>
      <c r="AW40" s="12">
        <v>0</v>
      </c>
      <c r="AX40" s="12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2">
        <v>0</v>
      </c>
      <c r="BK40" s="12">
        <v>0</v>
      </c>
      <c r="BL40" s="12">
        <v>0</v>
      </c>
      <c r="BM40" s="18">
        <v>500</v>
      </c>
      <c r="BN40" s="9">
        <f t="shared" si="0"/>
        <v>500</v>
      </c>
      <c r="BO40" s="9">
        <f t="shared" si="1"/>
        <v>350</v>
      </c>
    </row>
    <row r="41" spans="1:67" ht="24">
      <c r="A41" s="8" t="s">
        <v>63</v>
      </c>
      <c r="B41" s="10" t="s">
        <v>270</v>
      </c>
      <c r="C41" s="10">
        <v>487321</v>
      </c>
      <c r="D41" s="11"/>
      <c r="E41" s="10" t="s">
        <v>16</v>
      </c>
      <c r="F41" s="10" t="s">
        <v>33</v>
      </c>
      <c r="G41" s="10" t="s">
        <v>11</v>
      </c>
      <c r="H41" s="12" t="s">
        <v>7</v>
      </c>
      <c r="I41" s="12" t="s">
        <v>207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5</v>
      </c>
      <c r="AF41" s="12">
        <v>500</v>
      </c>
      <c r="AG41" s="12">
        <v>0</v>
      </c>
      <c r="AH41" s="12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2">
        <v>0</v>
      </c>
      <c r="AU41" s="12">
        <v>0</v>
      </c>
      <c r="AV41" s="12">
        <v>0</v>
      </c>
      <c r="AW41" s="12">
        <v>0</v>
      </c>
      <c r="AX41" s="12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2">
        <v>0</v>
      </c>
      <c r="BK41" s="12">
        <v>0</v>
      </c>
      <c r="BL41" s="12">
        <v>0</v>
      </c>
      <c r="BM41" s="18">
        <v>500</v>
      </c>
      <c r="BN41" s="9">
        <f t="shared" si="0"/>
        <v>500</v>
      </c>
      <c r="BO41" s="9">
        <f t="shared" si="1"/>
        <v>350</v>
      </c>
    </row>
    <row r="42" spans="1:67" ht="48">
      <c r="A42" s="8" t="s">
        <v>63</v>
      </c>
      <c r="B42" s="10" t="s">
        <v>191</v>
      </c>
      <c r="C42" s="10">
        <v>469072</v>
      </c>
      <c r="D42" s="11"/>
      <c r="E42" s="10" t="s">
        <v>16</v>
      </c>
      <c r="F42" s="10" t="s">
        <v>161</v>
      </c>
      <c r="G42" s="10" t="s">
        <v>29</v>
      </c>
      <c r="H42" s="12" t="s">
        <v>8</v>
      </c>
      <c r="I42" s="12" t="s">
        <v>192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5</v>
      </c>
      <c r="AF42" s="12">
        <v>500</v>
      </c>
      <c r="AG42" s="12">
        <v>0</v>
      </c>
      <c r="AH42" s="12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2">
        <v>0</v>
      </c>
      <c r="AU42" s="12">
        <v>0</v>
      </c>
      <c r="AV42" s="12">
        <v>0</v>
      </c>
      <c r="AW42" s="12">
        <v>0</v>
      </c>
      <c r="AX42" s="12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2">
        <v>0</v>
      </c>
      <c r="BK42" s="12">
        <v>0</v>
      </c>
      <c r="BL42" s="12">
        <v>0</v>
      </c>
      <c r="BM42" s="18">
        <v>500</v>
      </c>
      <c r="BN42" s="9">
        <f t="shared" si="0"/>
        <v>500</v>
      </c>
      <c r="BO42" s="9">
        <f t="shared" si="1"/>
        <v>350</v>
      </c>
    </row>
    <row r="43" spans="1:67" ht="24">
      <c r="A43" s="8" t="s">
        <v>63</v>
      </c>
      <c r="B43" s="10" t="s">
        <v>271</v>
      </c>
      <c r="C43" s="10">
        <v>369220</v>
      </c>
      <c r="D43" s="11"/>
      <c r="E43" s="10" t="s">
        <v>16</v>
      </c>
      <c r="F43" s="10" t="s">
        <v>26</v>
      </c>
      <c r="G43" s="10" t="s">
        <v>11</v>
      </c>
      <c r="H43" s="12" t="s">
        <v>7</v>
      </c>
      <c r="I43" s="12" t="s">
        <v>27</v>
      </c>
      <c r="J43" s="12">
        <v>0</v>
      </c>
      <c r="K43" s="12">
        <v>0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1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2">
        <v>0</v>
      </c>
      <c r="AE43" s="12">
        <v>4</v>
      </c>
      <c r="AF43" s="12">
        <v>400</v>
      </c>
      <c r="AG43" s="12">
        <v>0</v>
      </c>
      <c r="AH43" s="12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2">
        <v>0</v>
      </c>
      <c r="AU43" s="12">
        <v>0</v>
      </c>
      <c r="AV43" s="12">
        <v>0</v>
      </c>
      <c r="AW43" s="12">
        <v>0</v>
      </c>
      <c r="AX43" s="12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2">
        <v>0</v>
      </c>
      <c r="BK43" s="12">
        <v>0</v>
      </c>
      <c r="BL43" s="12">
        <v>0</v>
      </c>
      <c r="BM43" s="18">
        <v>400</v>
      </c>
      <c r="BN43" s="9">
        <f t="shared" ref="BN43:BN105" si="2">BM43-BL43</f>
        <v>400</v>
      </c>
      <c r="BO43" s="9">
        <f t="shared" ref="BO43:BO105" si="3">BN43*70%</f>
        <v>280</v>
      </c>
    </row>
    <row r="44" spans="1:67" ht="24">
      <c r="A44" s="8" t="s">
        <v>63</v>
      </c>
      <c r="B44" s="10" t="s">
        <v>231</v>
      </c>
      <c r="C44" s="10">
        <v>428379</v>
      </c>
      <c r="D44" s="11"/>
      <c r="E44" s="10" t="s">
        <v>16</v>
      </c>
      <c r="F44" s="10" t="s">
        <v>193</v>
      </c>
      <c r="G44" s="10" t="s">
        <v>67</v>
      </c>
      <c r="H44" s="12" t="s">
        <v>8</v>
      </c>
      <c r="I44" s="12" t="s">
        <v>232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4</v>
      </c>
      <c r="AR44" s="12">
        <v>400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8">
        <v>400</v>
      </c>
      <c r="BN44" s="9">
        <f t="shared" si="2"/>
        <v>400</v>
      </c>
      <c r="BO44" s="9">
        <f t="shared" si="3"/>
        <v>280</v>
      </c>
    </row>
    <row r="45" spans="1:67" ht="24">
      <c r="A45" s="8" t="s">
        <v>63</v>
      </c>
      <c r="B45" s="10" t="s">
        <v>220</v>
      </c>
      <c r="C45" s="10">
        <v>387942</v>
      </c>
      <c r="D45" s="11"/>
      <c r="E45" s="10" t="s">
        <v>16</v>
      </c>
      <c r="F45" s="10" t="s">
        <v>221</v>
      </c>
      <c r="G45" s="10" t="s">
        <v>11</v>
      </c>
      <c r="H45" s="12" t="s">
        <v>7</v>
      </c>
      <c r="I45" s="12" t="s">
        <v>222</v>
      </c>
      <c r="J45" s="12">
        <v>0</v>
      </c>
      <c r="K45" s="12">
        <v>0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4</v>
      </c>
      <c r="AR45" s="12">
        <v>400</v>
      </c>
      <c r="AS45" s="12">
        <v>0</v>
      </c>
      <c r="AT45" s="12">
        <v>0</v>
      </c>
      <c r="AU45" s="12">
        <v>0</v>
      </c>
      <c r="AV45" s="12">
        <v>0</v>
      </c>
      <c r="AW45" s="12">
        <v>0</v>
      </c>
      <c r="AX45" s="12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2">
        <v>0</v>
      </c>
      <c r="BK45" s="12">
        <v>0</v>
      </c>
      <c r="BL45" s="12">
        <v>0</v>
      </c>
      <c r="BM45" s="18">
        <v>400</v>
      </c>
      <c r="BN45" s="9">
        <f t="shared" si="2"/>
        <v>400</v>
      </c>
      <c r="BO45" s="9">
        <f t="shared" si="3"/>
        <v>280</v>
      </c>
    </row>
    <row r="46" spans="1:67" ht="24">
      <c r="A46" s="8" t="s">
        <v>63</v>
      </c>
      <c r="B46" s="10" t="s">
        <v>134</v>
      </c>
      <c r="C46" s="10">
        <v>478890</v>
      </c>
      <c r="D46" s="11"/>
      <c r="E46" s="10" t="s">
        <v>16</v>
      </c>
      <c r="F46" s="10" t="s">
        <v>135</v>
      </c>
      <c r="G46" s="10" t="s">
        <v>67</v>
      </c>
      <c r="H46" s="12" t="s">
        <v>8</v>
      </c>
      <c r="I46" s="12" t="s">
        <v>136</v>
      </c>
      <c r="J46" s="12">
        <v>3</v>
      </c>
      <c r="K46" s="12">
        <v>0</v>
      </c>
      <c r="L46" s="12">
        <v>300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2">
        <v>0</v>
      </c>
      <c r="AU46" s="12">
        <v>0</v>
      </c>
      <c r="AV46" s="12">
        <v>0</v>
      </c>
      <c r="AW46" s="12">
        <v>0</v>
      </c>
      <c r="AX46" s="12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2">
        <v>0</v>
      </c>
      <c r="BK46" s="12">
        <v>0</v>
      </c>
      <c r="BL46" s="12">
        <v>0</v>
      </c>
      <c r="BM46" s="18">
        <v>300</v>
      </c>
      <c r="BN46" s="9">
        <f t="shared" si="2"/>
        <v>300</v>
      </c>
      <c r="BO46" s="9">
        <f t="shared" si="3"/>
        <v>210</v>
      </c>
    </row>
    <row r="47" spans="1:67" ht="24">
      <c r="A47" s="8" t="s">
        <v>63</v>
      </c>
      <c r="B47" s="10" t="s">
        <v>272</v>
      </c>
      <c r="C47" s="10">
        <v>421669</v>
      </c>
      <c r="D47" s="11"/>
      <c r="E47" s="10" t="s">
        <v>16</v>
      </c>
      <c r="F47" s="10" t="s">
        <v>180</v>
      </c>
      <c r="G47" s="10" t="s">
        <v>29</v>
      </c>
      <c r="H47" s="12" t="s">
        <v>56</v>
      </c>
      <c r="I47" s="12" t="s">
        <v>236</v>
      </c>
      <c r="J47" s="12">
        <v>0</v>
      </c>
      <c r="K47" s="12">
        <v>0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1</v>
      </c>
      <c r="AF47" s="12">
        <v>300</v>
      </c>
      <c r="AG47" s="12">
        <v>0</v>
      </c>
      <c r="AH47" s="12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2">
        <v>0</v>
      </c>
      <c r="AU47" s="12">
        <v>0</v>
      </c>
      <c r="AV47" s="12">
        <v>0</v>
      </c>
      <c r="AW47" s="12">
        <v>0</v>
      </c>
      <c r="AX47" s="12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2">
        <v>0</v>
      </c>
      <c r="BK47" s="12">
        <v>0</v>
      </c>
      <c r="BL47" s="12">
        <v>0</v>
      </c>
      <c r="BM47" s="18">
        <v>300</v>
      </c>
      <c r="BN47" s="9">
        <f t="shared" si="2"/>
        <v>300</v>
      </c>
      <c r="BO47" s="9">
        <f t="shared" si="3"/>
        <v>210</v>
      </c>
    </row>
    <row r="48" spans="1:67" ht="24">
      <c r="A48" s="8" t="s">
        <v>63</v>
      </c>
      <c r="B48" s="10" t="s">
        <v>273</v>
      </c>
      <c r="C48" s="10">
        <v>325640</v>
      </c>
      <c r="D48" s="11"/>
      <c r="E48" s="10" t="s">
        <v>16</v>
      </c>
      <c r="F48" s="10" t="s">
        <v>274</v>
      </c>
      <c r="G48" s="10" t="s">
        <v>11</v>
      </c>
      <c r="H48" s="12" t="s">
        <v>7</v>
      </c>
      <c r="I48" s="12" t="s">
        <v>275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3</v>
      </c>
      <c r="AF48" s="12">
        <v>200</v>
      </c>
      <c r="AG48" s="12">
        <v>100</v>
      </c>
      <c r="AH48" s="12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2">
        <v>0</v>
      </c>
      <c r="AU48" s="12">
        <v>0</v>
      </c>
      <c r="AV48" s="12">
        <v>0</v>
      </c>
      <c r="AW48" s="12">
        <v>0</v>
      </c>
      <c r="AX48" s="12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2">
        <v>0</v>
      </c>
      <c r="BK48" s="12">
        <v>0</v>
      </c>
      <c r="BL48" s="12">
        <v>0</v>
      </c>
      <c r="BM48" s="18">
        <v>300</v>
      </c>
      <c r="BN48" s="9">
        <f t="shared" si="2"/>
        <v>300</v>
      </c>
      <c r="BO48" s="9">
        <f t="shared" si="3"/>
        <v>210</v>
      </c>
    </row>
    <row r="49" spans="1:67" ht="24">
      <c r="A49" s="8" t="s">
        <v>63</v>
      </c>
      <c r="B49" s="10" t="s">
        <v>181</v>
      </c>
      <c r="C49" s="10">
        <v>359912</v>
      </c>
      <c r="D49" s="11"/>
      <c r="E49" s="10" t="s">
        <v>16</v>
      </c>
      <c r="F49" s="10" t="s">
        <v>51</v>
      </c>
      <c r="G49" s="10" t="s">
        <v>29</v>
      </c>
      <c r="H49" s="12" t="s">
        <v>8</v>
      </c>
      <c r="I49" s="12" t="s">
        <v>182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1</v>
      </c>
      <c r="AF49" s="12">
        <v>100</v>
      </c>
      <c r="AG49" s="12">
        <v>0</v>
      </c>
      <c r="AH49" s="12">
        <v>0</v>
      </c>
      <c r="AI49" s="12">
        <v>0</v>
      </c>
      <c r="AJ49" s="12">
        <v>0</v>
      </c>
      <c r="AK49" s="12">
        <v>1</v>
      </c>
      <c r="AL49" s="12">
        <v>120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2">
        <v>0</v>
      </c>
      <c r="AU49" s="12">
        <v>0</v>
      </c>
      <c r="AV49" s="12">
        <v>0</v>
      </c>
      <c r="AW49" s="12">
        <v>0</v>
      </c>
      <c r="AX49" s="12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2">
        <v>0</v>
      </c>
      <c r="BK49" s="12">
        <v>0</v>
      </c>
      <c r="BL49" s="12">
        <v>36</v>
      </c>
      <c r="BM49" s="18">
        <v>220</v>
      </c>
      <c r="BN49" s="9">
        <f t="shared" si="2"/>
        <v>184</v>
      </c>
      <c r="BO49" s="9">
        <f t="shared" si="3"/>
        <v>128.79999999999998</v>
      </c>
    </row>
    <row r="50" spans="1:67" ht="24">
      <c r="A50" s="8" t="s">
        <v>63</v>
      </c>
      <c r="B50" s="10" t="s">
        <v>224</v>
      </c>
      <c r="C50" s="10">
        <v>316658</v>
      </c>
      <c r="D50" s="11"/>
      <c r="E50" s="10" t="s">
        <v>16</v>
      </c>
      <c r="F50" s="10" t="s">
        <v>41</v>
      </c>
      <c r="G50" s="10" t="s">
        <v>11</v>
      </c>
      <c r="H50" s="12" t="s">
        <v>7</v>
      </c>
      <c r="I50" s="12" t="s">
        <v>225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2</v>
      </c>
      <c r="AF50" s="12">
        <v>200</v>
      </c>
      <c r="AG50" s="12">
        <v>0</v>
      </c>
      <c r="AH50" s="12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2">
        <v>0</v>
      </c>
      <c r="AU50" s="12">
        <v>0</v>
      </c>
      <c r="AV50" s="12">
        <v>0</v>
      </c>
      <c r="AW50" s="12">
        <v>0</v>
      </c>
      <c r="AX50" s="12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2">
        <v>0</v>
      </c>
      <c r="BK50" s="12">
        <v>0</v>
      </c>
      <c r="BL50" s="12">
        <v>0</v>
      </c>
      <c r="BM50" s="18">
        <v>200</v>
      </c>
      <c r="BN50" s="9">
        <f t="shared" si="2"/>
        <v>200</v>
      </c>
      <c r="BO50" s="9">
        <f t="shared" si="3"/>
        <v>140</v>
      </c>
    </row>
    <row r="51" spans="1:67" ht="24">
      <c r="A51" s="8" t="s">
        <v>63</v>
      </c>
      <c r="B51" s="10" t="s">
        <v>276</v>
      </c>
      <c r="C51" s="10">
        <v>399034</v>
      </c>
      <c r="D51" s="11"/>
      <c r="E51" s="10" t="s">
        <v>16</v>
      </c>
      <c r="F51" s="10" t="s">
        <v>253</v>
      </c>
      <c r="G51" s="10" t="s">
        <v>29</v>
      </c>
      <c r="H51" s="12" t="s">
        <v>8</v>
      </c>
      <c r="I51" s="12" t="s">
        <v>277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0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2</v>
      </c>
      <c r="AF51" s="12">
        <v>200</v>
      </c>
      <c r="AG51" s="12">
        <v>0</v>
      </c>
      <c r="AH51" s="12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2">
        <v>0</v>
      </c>
      <c r="AU51" s="12">
        <v>0</v>
      </c>
      <c r="AV51" s="12">
        <v>0</v>
      </c>
      <c r="AW51" s="12">
        <v>0</v>
      </c>
      <c r="AX51" s="12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2">
        <v>0</v>
      </c>
      <c r="BK51" s="12">
        <v>0</v>
      </c>
      <c r="BL51" s="12">
        <v>0</v>
      </c>
      <c r="BM51" s="18">
        <v>200</v>
      </c>
      <c r="BN51" s="9">
        <f t="shared" si="2"/>
        <v>200</v>
      </c>
      <c r="BO51" s="9">
        <f t="shared" si="3"/>
        <v>140</v>
      </c>
    </row>
    <row r="52" spans="1:67" ht="24">
      <c r="A52" s="8" t="s">
        <v>63</v>
      </c>
      <c r="B52" s="10" t="s">
        <v>278</v>
      </c>
      <c r="C52" s="10">
        <v>455227</v>
      </c>
      <c r="D52" s="11"/>
      <c r="E52" s="10" t="s">
        <v>16</v>
      </c>
      <c r="F52" s="10" t="s">
        <v>279</v>
      </c>
      <c r="G52" s="10" t="s">
        <v>11</v>
      </c>
      <c r="H52" s="12" t="s">
        <v>8</v>
      </c>
      <c r="I52" s="12" t="s">
        <v>280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2</v>
      </c>
      <c r="AF52" s="12">
        <v>200</v>
      </c>
      <c r="AG52" s="12">
        <v>0</v>
      </c>
      <c r="AH52" s="12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2">
        <v>0</v>
      </c>
      <c r="AU52" s="12">
        <v>0</v>
      </c>
      <c r="AV52" s="12">
        <v>0</v>
      </c>
      <c r="AW52" s="12">
        <v>0</v>
      </c>
      <c r="AX52" s="12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2">
        <v>0</v>
      </c>
      <c r="BK52" s="12">
        <v>0</v>
      </c>
      <c r="BL52" s="12">
        <v>0</v>
      </c>
      <c r="BM52" s="18">
        <v>200</v>
      </c>
      <c r="BN52" s="9">
        <f t="shared" si="2"/>
        <v>200</v>
      </c>
      <c r="BO52" s="9">
        <f t="shared" si="3"/>
        <v>140</v>
      </c>
    </row>
    <row r="53" spans="1:67" ht="24">
      <c r="A53" s="8" t="s">
        <v>63</v>
      </c>
      <c r="B53" s="10" t="s">
        <v>177</v>
      </c>
      <c r="C53" s="10">
        <v>484300</v>
      </c>
      <c r="D53" s="11"/>
      <c r="E53" s="10" t="s">
        <v>16</v>
      </c>
      <c r="F53" s="10" t="s">
        <v>178</v>
      </c>
      <c r="G53" s="10" t="s">
        <v>11</v>
      </c>
      <c r="H53" s="12" t="s">
        <v>7</v>
      </c>
      <c r="I53" s="12" t="s">
        <v>179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2</v>
      </c>
      <c r="AF53" s="12">
        <v>200</v>
      </c>
      <c r="AG53" s="12">
        <v>0</v>
      </c>
      <c r="AH53" s="12">
        <v>0</v>
      </c>
      <c r="AI53" s="12">
        <v>0</v>
      </c>
      <c r="AJ53" s="12">
        <v>0</v>
      </c>
      <c r="AK53" s="12">
        <v>0</v>
      </c>
      <c r="AL53" s="12">
        <v>0</v>
      </c>
      <c r="AM53" s="12">
        <v>0</v>
      </c>
      <c r="AN53" s="12">
        <v>0</v>
      </c>
      <c r="AO53" s="12">
        <v>0</v>
      </c>
      <c r="AP53" s="12">
        <v>0</v>
      </c>
      <c r="AQ53" s="12">
        <v>0</v>
      </c>
      <c r="AR53" s="12">
        <v>0</v>
      </c>
      <c r="AS53" s="12">
        <v>0</v>
      </c>
      <c r="AT53" s="12">
        <v>0</v>
      </c>
      <c r="AU53" s="12">
        <v>0</v>
      </c>
      <c r="AV53" s="12">
        <v>0</v>
      </c>
      <c r="AW53" s="12">
        <v>0</v>
      </c>
      <c r="AX53" s="12">
        <v>0</v>
      </c>
      <c r="AY53" s="12">
        <v>0</v>
      </c>
      <c r="AZ53" s="12">
        <v>0</v>
      </c>
      <c r="BA53" s="12">
        <v>0</v>
      </c>
      <c r="BB53" s="12">
        <v>0</v>
      </c>
      <c r="BC53" s="12">
        <v>0</v>
      </c>
      <c r="BD53" s="12">
        <v>0</v>
      </c>
      <c r="BE53" s="12">
        <v>0</v>
      </c>
      <c r="BF53" s="12">
        <v>0</v>
      </c>
      <c r="BG53" s="12">
        <v>0</v>
      </c>
      <c r="BH53" s="12">
        <v>0</v>
      </c>
      <c r="BI53" s="12">
        <v>0</v>
      </c>
      <c r="BJ53" s="12">
        <v>0</v>
      </c>
      <c r="BK53" s="12">
        <v>0</v>
      </c>
      <c r="BL53" s="12">
        <v>0</v>
      </c>
      <c r="BM53" s="18">
        <v>200</v>
      </c>
      <c r="BN53" s="9">
        <f t="shared" si="2"/>
        <v>200</v>
      </c>
      <c r="BO53" s="9">
        <f t="shared" si="3"/>
        <v>140</v>
      </c>
    </row>
    <row r="54" spans="1:67" ht="24">
      <c r="A54" s="8" t="s">
        <v>63</v>
      </c>
      <c r="B54" s="10" t="s">
        <v>170</v>
      </c>
      <c r="C54" s="10">
        <v>484142</v>
      </c>
      <c r="D54" s="11"/>
      <c r="E54" s="10" t="s">
        <v>16</v>
      </c>
      <c r="F54" s="10" t="s">
        <v>171</v>
      </c>
      <c r="G54" s="10" t="s">
        <v>67</v>
      </c>
      <c r="H54" s="12" t="s">
        <v>8</v>
      </c>
      <c r="I54" s="12" t="s">
        <v>158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1</v>
      </c>
      <c r="AF54" s="12">
        <v>100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1</v>
      </c>
      <c r="AR54" s="12">
        <v>100</v>
      </c>
      <c r="AS54" s="12">
        <v>0</v>
      </c>
      <c r="AT54" s="12">
        <v>0</v>
      </c>
      <c r="AU54" s="12">
        <v>0</v>
      </c>
      <c r="AV54" s="12">
        <v>0</v>
      </c>
      <c r="AW54" s="12">
        <v>0</v>
      </c>
      <c r="AX54" s="12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2">
        <v>0</v>
      </c>
      <c r="BK54" s="12">
        <v>0</v>
      </c>
      <c r="BL54" s="12">
        <v>0</v>
      </c>
      <c r="BM54" s="18">
        <v>200</v>
      </c>
      <c r="BN54" s="9">
        <f t="shared" si="2"/>
        <v>200</v>
      </c>
      <c r="BO54" s="9">
        <f t="shared" si="3"/>
        <v>140</v>
      </c>
    </row>
    <row r="55" spans="1:67" ht="24">
      <c r="A55" s="8" t="s">
        <v>63</v>
      </c>
      <c r="B55" s="10" t="s">
        <v>281</v>
      </c>
      <c r="C55" s="10">
        <v>482273</v>
      </c>
      <c r="D55" s="11"/>
      <c r="E55" s="10" t="s">
        <v>16</v>
      </c>
      <c r="F55" s="10" t="s">
        <v>282</v>
      </c>
      <c r="G55" s="10" t="s">
        <v>11</v>
      </c>
      <c r="H55" s="12" t="s">
        <v>7</v>
      </c>
      <c r="I55" s="12" t="s">
        <v>283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0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2">
        <v>0</v>
      </c>
      <c r="AU55" s="12">
        <v>0</v>
      </c>
      <c r="AV55" s="12">
        <v>0</v>
      </c>
      <c r="AW55" s="12">
        <v>1</v>
      </c>
      <c r="AX55" s="12">
        <v>120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2">
        <v>0</v>
      </c>
      <c r="BK55" s="12">
        <v>0</v>
      </c>
      <c r="BL55" s="12">
        <v>12</v>
      </c>
      <c r="BM55" s="18">
        <v>120</v>
      </c>
      <c r="BN55" s="9">
        <f t="shared" si="2"/>
        <v>108</v>
      </c>
      <c r="BO55" s="9">
        <f t="shared" si="3"/>
        <v>75.599999999999994</v>
      </c>
    </row>
    <row r="56" spans="1:67" ht="24">
      <c r="A56" s="8" t="s">
        <v>63</v>
      </c>
      <c r="B56" s="10" t="s">
        <v>284</v>
      </c>
      <c r="C56" s="10">
        <v>490763</v>
      </c>
      <c r="D56" s="11"/>
      <c r="E56" s="10" t="s">
        <v>16</v>
      </c>
      <c r="F56" s="10" t="s">
        <v>285</v>
      </c>
      <c r="G56" s="10" t="s">
        <v>67</v>
      </c>
      <c r="H56" s="12" t="s">
        <v>8</v>
      </c>
      <c r="I56" s="12" t="s">
        <v>286</v>
      </c>
      <c r="J56" s="12">
        <v>0</v>
      </c>
      <c r="K56" s="12">
        <v>1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1</v>
      </c>
      <c r="AR56" s="12">
        <v>100</v>
      </c>
      <c r="AS56" s="12">
        <v>0</v>
      </c>
      <c r="AT56" s="12">
        <v>0</v>
      </c>
      <c r="AU56" s="12">
        <v>0</v>
      </c>
      <c r="AV56" s="12">
        <v>0</v>
      </c>
      <c r="AW56" s="12">
        <v>0</v>
      </c>
      <c r="AX56" s="12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2">
        <v>0</v>
      </c>
      <c r="BK56" s="12">
        <v>0</v>
      </c>
      <c r="BL56" s="12">
        <v>0</v>
      </c>
      <c r="BM56" s="18">
        <v>100</v>
      </c>
      <c r="BN56" s="9">
        <f t="shared" si="2"/>
        <v>100</v>
      </c>
      <c r="BO56" s="9">
        <f t="shared" si="3"/>
        <v>70</v>
      </c>
    </row>
    <row r="57" spans="1:67" ht="24">
      <c r="A57" s="8" t="s">
        <v>63</v>
      </c>
      <c r="B57" s="10" t="s">
        <v>61</v>
      </c>
      <c r="C57" s="10">
        <v>462353</v>
      </c>
      <c r="D57" s="11"/>
      <c r="E57" s="10" t="s">
        <v>16</v>
      </c>
      <c r="F57" s="10" t="s">
        <v>33</v>
      </c>
      <c r="G57" s="10" t="s">
        <v>11</v>
      </c>
      <c r="H57" s="12" t="s">
        <v>7</v>
      </c>
      <c r="I57" s="12" t="s">
        <v>62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2">
        <v>0</v>
      </c>
      <c r="AE57" s="12">
        <v>1</v>
      </c>
      <c r="AF57" s="12">
        <v>100</v>
      </c>
      <c r="AG57" s="12">
        <v>0</v>
      </c>
      <c r="AH57" s="12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2">
        <v>0</v>
      </c>
      <c r="AU57" s="12">
        <v>0</v>
      </c>
      <c r="AV57" s="12">
        <v>0</v>
      </c>
      <c r="AW57" s="12">
        <v>0</v>
      </c>
      <c r="AX57" s="12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2">
        <v>0</v>
      </c>
      <c r="BK57" s="12">
        <v>0</v>
      </c>
      <c r="BL57" s="12">
        <v>0</v>
      </c>
      <c r="BM57" s="18">
        <v>100</v>
      </c>
      <c r="BN57" s="9">
        <f t="shared" si="2"/>
        <v>100</v>
      </c>
      <c r="BO57" s="9">
        <f t="shared" si="3"/>
        <v>70</v>
      </c>
    </row>
    <row r="58" spans="1:67" ht="24">
      <c r="A58" s="8" t="s">
        <v>63</v>
      </c>
      <c r="B58" s="10" t="s">
        <v>149</v>
      </c>
      <c r="C58" s="10">
        <v>481322</v>
      </c>
      <c r="D58" s="11"/>
      <c r="E58" s="10" t="s">
        <v>16</v>
      </c>
      <c r="F58" s="10" t="s">
        <v>150</v>
      </c>
      <c r="G58" s="10" t="s">
        <v>11</v>
      </c>
      <c r="H58" s="12" t="s">
        <v>7</v>
      </c>
      <c r="I58" s="12" t="s">
        <v>144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1</v>
      </c>
      <c r="AR58" s="12">
        <v>100</v>
      </c>
      <c r="AS58" s="12">
        <v>0</v>
      </c>
      <c r="AT58" s="12">
        <v>0</v>
      </c>
      <c r="AU58" s="12">
        <v>0</v>
      </c>
      <c r="AV58" s="12">
        <v>0</v>
      </c>
      <c r="AW58" s="12">
        <v>0</v>
      </c>
      <c r="AX58" s="12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2">
        <v>0</v>
      </c>
      <c r="BK58" s="12">
        <v>0</v>
      </c>
      <c r="BL58" s="12">
        <v>0</v>
      </c>
      <c r="BM58" s="18">
        <v>100</v>
      </c>
      <c r="BN58" s="9">
        <f t="shared" si="2"/>
        <v>100</v>
      </c>
      <c r="BO58" s="9">
        <f t="shared" si="3"/>
        <v>70</v>
      </c>
    </row>
    <row r="59" spans="1:67" ht="24">
      <c r="A59" s="8" t="s">
        <v>63</v>
      </c>
      <c r="B59" s="10" t="s">
        <v>153</v>
      </c>
      <c r="C59" s="10">
        <v>355320</v>
      </c>
      <c r="D59" s="11"/>
      <c r="E59" s="10" t="s">
        <v>16</v>
      </c>
      <c r="F59" s="10" t="s">
        <v>154</v>
      </c>
      <c r="G59" s="10" t="s">
        <v>29</v>
      </c>
      <c r="H59" s="12" t="s">
        <v>8</v>
      </c>
      <c r="I59" s="12" t="s">
        <v>155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2">
        <v>0</v>
      </c>
      <c r="AE59" s="12">
        <v>1</v>
      </c>
      <c r="AF59" s="12">
        <v>100</v>
      </c>
      <c r="AG59" s="12">
        <v>0</v>
      </c>
      <c r="AH59" s="12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2">
        <v>0</v>
      </c>
      <c r="AU59" s="12">
        <v>0</v>
      </c>
      <c r="AV59" s="12">
        <v>0</v>
      </c>
      <c r="AW59" s="12">
        <v>0</v>
      </c>
      <c r="AX59" s="12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2">
        <v>0</v>
      </c>
      <c r="BK59" s="12">
        <v>0</v>
      </c>
      <c r="BL59" s="12">
        <v>0</v>
      </c>
      <c r="BM59" s="18">
        <v>100</v>
      </c>
      <c r="BN59" s="9">
        <f t="shared" si="2"/>
        <v>100</v>
      </c>
      <c r="BO59" s="9">
        <f t="shared" si="3"/>
        <v>70</v>
      </c>
    </row>
    <row r="60" spans="1:67" ht="24">
      <c r="A60" s="8" t="s">
        <v>63</v>
      </c>
      <c r="B60" s="10" t="s">
        <v>287</v>
      </c>
      <c r="C60" s="10">
        <v>328404</v>
      </c>
      <c r="D60" s="11"/>
      <c r="E60" s="10" t="s">
        <v>16</v>
      </c>
      <c r="F60" s="10" t="s">
        <v>28</v>
      </c>
      <c r="G60" s="10" t="s">
        <v>29</v>
      </c>
      <c r="H60" s="12" t="s">
        <v>8</v>
      </c>
      <c r="I60" s="12" t="s">
        <v>288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1</v>
      </c>
      <c r="AF60" s="12">
        <v>100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2">
        <v>0</v>
      </c>
      <c r="AU60" s="12">
        <v>0</v>
      </c>
      <c r="AV60" s="12">
        <v>0</v>
      </c>
      <c r="AW60" s="12">
        <v>0</v>
      </c>
      <c r="AX60" s="12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2">
        <v>0</v>
      </c>
      <c r="BK60" s="12">
        <v>0</v>
      </c>
      <c r="BL60" s="12">
        <v>0</v>
      </c>
      <c r="BM60" s="18">
        <v>100</v>
      </c>
      <c r="BN60" s="9">
        <f t="shared" si="2"/>
        <v>100</v>
      </c>
      <c r="BO60" s="9">
        <f t="shared" si="3"/>
        <v>70</v>
      </c>
    </row>
    <row r="61" spans="1:67" ht="24">
      <c r="A61" s="8" t="s">
        <v>63</v>
      </c>
      <c r="B61" s="10" t="s">
        <v>48</v>
      </c>
      <c r="C61" s="10">
        <v>383229</v>
      </c>
      <c r="D61" s="11"/>
      <c r="E61" s="10" t="s">
        <v>16</v>
      </c>
      <c r="F61" s="10" t="s">
        <v>49</v>
      </c>
      <c r="G61" s="10" t="s">
        <v>29</v>
      </c>
      <c r="H61" s="12" t="s">
        <v>8</v>
      </c>
      <c r="I61" s="12" t="s">
        <v>50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2">
        <v>0</v>
      </c>
      <c r="Y61" s="12">
        <v>0</v>
      </c>
      <c r="Z61" s="12">
        <v>0</v>
      </c>
      <c r="AA61" s="12">
        <v>0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12">
        <v>0</v>
      </c>
      <c r="AJ61" s="12">
        <v>0</v>
      </c>
      <c r="AK61" s="12">
        <v>1</v>
      </c>
      <c r="AL61" s="12">
        <v>0</v>
      </c>
      <c r="AM61" s="12">
        <v>100</v>
      </c>
      <c r="AN61" s="12">
        <v>0</v>
      </c>
      <c r="AO61" s="12">
        <v>0</v>
      </c>
      <c r="AP61" s="12">
        <v>0</v>
      </c>
      <c r="AQ61" s="12">
        <v>0</v>
      </c>
      <c r="AR61" s="12">
        <v>0</v>
      </c>
      <c r="AS61" s="12">
        <v>0</v>
      </c>
      <c r="AT61" s="12">
        <v>0</v>
      </c>
      <c r="AU61" s="12">
        <v>0</v>
      </c>
      <c r="AV61" s="12">
        <v>0</v>
      </c>
      <c r="AW61" s="12">
        <v>0</v>
      </c>
      <c r="AX61" s="12">
        <v>0</v>
      </c>
      <c r="AY61" s="12">
        <v>0</v>
      </c>
      <c r="AZ61" s="12">
        <v>0</v>
      </c>
      <c r="BA61" s="12">
        <v>0</v>
      </c>
      <c r="BB61" s="12">
        <v>0</v>
      </c>
      <c r="BC61" s="12">
        <v>0</v>
      </c>
      <c r="BD61" s="12">
        <v>0</v>
      </c>
      <c r="BE61" s="12">
        <v>0</v>
      </c>
      <c r="BF61" s="12">
        <v>0</v>
      </c>
      <c r="BG61" s="12">
        <v>0</v>
      </c>
      <c r="BH61" s="12">
        <v>0</v>
      </c>
      <c r="BI61" s="12">
        <v>0</v>
      </c>
      <c r="BJ61" s="12">
        <v>0</v>
      </c>
      <c r="BK61" s="12">
        <v>0</v>
      </c>
      <c r="BL61" s="12">
        <v>0</v>
      </c>
      <c r="BM61" s="18">
        <v>100</v>
      </c>
      <c r="BN61" s="9">
        <f t="shared" si="2"/>
        <v>100</v>
      </c>
      <c r="BO61" s="9">
        <f t="shared" si="3"/>
        <v>70</v>
      </c>
    </row>
    <row r="62" spans="1:67" ht="24">
      <c r="A62" s="8" t="s">
        <v>63</v>
      </c>
      <c r="B62" s="10" t="s">
        <v>210</v>
      </c>
      <c r="C62" s="10">
        <v>421661</v>
      </c>
      <c r="D62" s="11"/>
      <c r="E62" s="10" t="s">
        <v>16</v>
      </c>
      <c r="F62" s="10" t="s">
        <v>180</v>
      </c>
      <c r="G62" s="10" t="s">
        <v>29</v>
      </c>
      <c r="H62" s="12" t="s">
        <v>8</v>
      </c>
      <c r="I62" s="12" t="s">
        <v>211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1</v>
      </c>
      <c r="AF62" s="12">
        <v>100</v>
      </c>
      <c r="AG62" s="12">
        <v>0</v>
      </c>
      <c r="AH62" s="12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2">
        <v>0</v>
      </c>
      <c r="AU62" s="12">
        <v>0</v>
      </c>
      <c r="AV62" s="12">
        <v>0</v>
      </c>
      <c r="AW62" s="12">
        <v>0</v>
      </c>
      <c r="AX62" s="12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2">
        <v>0</v>
      </c>
      <c r="BK62" s="12">
        <v>0</v>
      </c>
      <c r="BL62" s="12">
        <v>0</v>
      </c>
      <c r="BM62" s="18">
        <v>100</v>
      </c>
      <c r="BN62" s="9">
        <f t="shared" si="2"/>
        <v>100</v>
      </c>
      <c r="BO62" s="9">
        <f t="shared" si="3"/>
        <v>70</v>
      </c>
    </row>
    <row r="63" spans="1:67" ht="24">
      <c r="A63" s="8" t="s">
        <v>63</v>
      </c>
      <c r="B63" s="10" t="s">
        <v>289</v>
      </c>
      <c r="C63" s="10">
        <v>476788</v>
      </c>
      <c r="D63" s="11"/>
      <c r="E63" s="10" t="s">
        <v>16</v>
      </c>
      <c r="F63" s="10" t="s">
        <v>139</v>
      </c>
      <c r="G63" s="10" t="s">
        <v>11</v>
      </c>
      <c r="H63" s="12" t="s">
        <v>7</v>
      </c>
      <c r="I63" s="12" t="s">
        <v>290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1</v>
      </c>
      <c r="AF63" s="12">
        <v>100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8">
        <v>100</v>
      </c>
      <c r="BN63" s="9">
        <f t="shared" si="2"/>
        <v>100</v>
      </c>
      <c r="BO63" s="9">
        <f t="shared" si="3"/>
        <v>70</v>
      </c>
    </row>
    <row r="64" spans="1:67" ht="24">
      <c r="A64" s="8" t="s">
        <v>63</v>
      </c>
      <c r="B64" s="10" t="s">
        <v>183</v>
      </c>
      <c r="C64" s="10">
        <v>379813</v>
      </c>
      <c r="D64" s="11"/>
      <c r="E64" s="10" t="s">
        <v>16</v>
      </c>
      <c r="F64" s="10" t="s">
        <v>26</v>
      </c>
      <c r="G64" s="10" t="s">
        <v>11</v>
      </c>
      <c r="H64" s="12" t="s">
        <v>7</v>
      </c>
      <c r="I64" s="12" t="s">
        <v>184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1</v>
      </c>
      <c r="AR64" s="12">
        <v>100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8">
        <v>100</v>
      </c>
      <c r="BN64" s="9">
        <f t="shared" si="2"/>
        <v>100</v>
      </c>
      <c r="BO64" s="9">
        <f t="shared" si="3"/>
        <v>70</v>
      </c>
    </row>
    <row r="65" spans="1:67" ht="24">
      <c r="A65" s="8" t="s">
        <v>63</v>
      </c>
      <c r="B65" s="10" t="s">
        <v>216</v>
      </c>
      <c r="C65" s="10">
        <v>464776</v>
      </c>
      <c r="D65" s="11"/>
      <c r="E65" s="10" t="s">
        <v>16</v>
      </c>
      <c r="F65" s="10" t="s">
        <v>217</v>
      </c>
      <c r="G65" s="10" t="s">
        <v>67</v>
      </c>
      <c r="H65" s="12" t="s">
        <v>10</v>
      </c>
      <c r="I65" s="12" t="s">
        <v>218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1</v>
      </c>
      <c r="AF65" s="12">
        <v>100</v>
      </c>
      <c r="AG65" s="12">
        <v>0</v>
      </c>
      <c r="AH65" s="12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2">
        <v>0</v>
      </c>
      <c r="AU65" s="12">
        <v>0</v>
      </c>
      <c r="AV65" s="12">
        <v>0</v>
      </c>
      <c r="AW65" s="12">
        <v>0</v>
      </c>
      <c r="AX65" s="12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2">
        <v>0</v>
      </c>
      <c r="BK65" s="12">
        <v>0</v>
      </c>
      <c r="BL65" s="12">
        <v>0</v>
      </c>
      <c r="BM65" s="18">
        <v>100</v>
      </c>
      <c r="BN65" s="9">
        <f t="shared" si="2"/>
        <v>100</v>
      </c>
      <c r="BO65" s="9">
        <f t="shared" si="3"/>
        <v>70</v>
      </c>
    </row>
    <row r="66" spans="1:67" ht="24">
      <c r="A66" s="8" t="s">
        <v>63</v>
      </c>
      <c r="B66" s="10" t="s">
        <v>203</v>
      </c>
      <c r="C66" s="10">
        <v>486624</v>
      </c>
      <c r="D66" s="11"/>
      <c r="E66" s="10" t="s">
        <v>16</v>
      </c>
      <c r="F66" s="10" t="s">
        <v>204</v>
      </c>
      <c r="G66" s="10" t="s">
        <v>29</v>
      </c>
      <c r="H66" s="12" t="s">
        <v>8</v>
      </c>
      <c r="I66" s="12" t="s">
        <v>166</v>
      </c>
      <c r="J66" s="12">
        <v>0</v>
      </c>
      <c r="K66" s="12">
        <v>9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2">
        <v>0</v>
      </c>
      <c r="AU66" s="12">
        <v>0</v>
      </c>
      <c r="AV66" s="12">
        <v>0</v>
      </c>
      <c r="AW66" s="12">
        <v>0</v>
      </c>
      <c r="AX66" s="12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2">
        <v>0</v>
      </c>
      <c r="BK66" s="12">
        <v>0</v>
      </c>
      <c r="BL66" s="12">
        <v>0</v>
      </c>
      <c r="BM66" s="18">
        <v>0</v>
      </c>
      <c r="BN66" s="9">
        <f t="shared" si="2"/>
        <v>0</v>
      </c>
      <c r="BO66" s="9">
        <f t="shared" si="3"/>
        <v>0</v>
      </c>
    </row>
    <row r="67" spans="1:67" ht="24">
      <c r="A67" s="8" t="s">
        <v>73</v>
      </c>
      <c r="B67" s="10" t="s">
        <v>198</v>
      </c>
      <c r="C67" s="10">
        <v>486613</v>
      </c>
      <c r="D67" s="11"/>
      <c r="E67" s="10" t="s">
        <v>16</v>
      </c>
      <c r="F67" s="10" t="s">
        <v>199</v>
      </c>
      <c r="G67" s="10" t="s">
        <v>67</v>
      </c>
      <c r="H67" s="12" t="s">
        <v>10</v>
      </c>
      <c r="I67" s="12" t="s">
        <v>166</v>
      </c>
      <c r="J67" s="12">
        <v>0</v>
      </c>
      <c r="K67" s="12">
        <v>969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</v>
      </c>
      <c r="Z67" s="12">
        <v>0</v>
      </c>
      <c r="AA67" s="12">
        <v>0</v>
      </c>
      <c r="AB67" s="12">
        <v>0</v>
      </c>
      <c r="AC67" s="12">
        <v>0</v>
      </c>
      <c r="AD67" s="12">
        <v>0</v>
      </c>
      <c r="AE67" s="13">
        <v>1251</v>
      </c>
      <c r="AF67" s="13">
        <v>112040</v>
      </c>
      <c r="AG67" s="13">
        <v>13300</v>
      </c>
      <c r="AH67" s="12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263</v>
      </c>
      <c r="AR67" s="13">
        <v>25100</v>
      </c>
      <c r="AS67" s="13">
        <v>1200</v>
      </c>
      <c r="AT67" s="12">
        <v>0</v>
      </c>
      <c r="AU67" s="12">
        <v>0</v>
      </c>
      <c r="AV67" s="12">
        <v>0</v>
      </c>
      <c r="AW67" s="12">
        <v>0</v>
      </c>
      <c r="AX67" s="12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44</v>
      </c>
      <c r="BD67" s="13">
        <v>5280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2">
        <v>0</v>
      </c>
      <c r="BK67" s="12">
        <v>0</v>
      </c>
      <c r="BL67" s="12">
        <v>316.8</v>
      </c>
      <c r="BM67" s="17">
        <v>156920</v>
      </c>
      <c r="BN67" s="9">
        <f t="shared" si="2"/>
        <v>156603.20000000001</v>
      </c>
      <c r="BO67" s="9">
        <f t="shared" si="3"/>
        <v>109622.24</v>
      </c>
    </row>
    <row r="68" spans="1:67" ht="24">
      <c r="A68" s="8" t="s">
        <v>73</v>
      </c>
      <c r="B68" s="10" t="s">
        <v>291</v>
      </c>
      <c r="C68" s="10">
        <v>488059</v>
      </c>
      <c r="D68" s="11"/>
      <c r="E68" s="10" t="s">
        <v>16</v>
      </c>
      <c r="F68" s="10" t="s">
        <v>20</v>
      </c>
      <c r="G68" s="10" t="s">
        <v>11</v>
      </c>
      <c r="H68" s="12" t="s">
        <v>7</v>
      </c>
      <c r="I68" s="12" t="s">
        <v>292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2">
        <v>0</v>
      </c>
      <c r="AE68" s="12">
        <v>38</v>
      </c>
      <c r="AF68" s="13">
        <v>121600</v>
      </c>
      <c r="AG68" s="12">
        <v>0</v>
      </c>
      <c r="AH68" s="12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2">
        <v>0</v>
      </c>
      <c r="AU68" s="12">
        <v>0</v>
      </c>
      <c r="AV68" s="12">
        <v>0</v>
      </c>
      <c r="AW68" s="12">
        <v>0</v>
      </c>
      <c r="AX68" s="12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2">
        <v>0</v>
      </c>
      <c r="BK68" s="12">
        <v>0</v>
      </c>
      <c r="BL68" s="12">
        <v>0</v>
      </c>
      <c r="BM68" s="17">
        <v>121600</v>
      </c>
      <c r="BN68" s="9">
        <f t="shared" si="2"/>
        <v>121600</v>
      </c>
      <c r="BO68" s="9">
        <f t="shared" si="3"/>
        <v>85120</v>
      </c>
    </row>
    <row r="69" spans="1:67" ht="24">
      <c r="A69" s="8" t="s">
        <v>73</v>
      </c>
      <c r="B69" s="10" t="s">
        <v>40</v>
      </c>
      <c r="C69" s="10">
        <v>387417</v>
      </c>
      <c r="D69" s="11"/>
      <c r="E69" s="10" t="s">
        <v>16</v>
      </c>
      <c r="F69" s="10" t="s">
        <v>41</v>
      </c>
      <c r="G69" s="10" t="s">
        <v>11</v>
      </c>
      <c r="H69" s="12" t="s">
        <v>7</v>
      </c>
      <c r="I69" s="12" t="s">
        <v>234</v>
      </c>
      <c r="J69" s="12">
        <v>0</v>
      </c>
      <c r="K69" s="12">
        <v>101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</v>
      </c>
      <c r="Z69" s="12">
        <v>0</v>
      </c>
      <c r="AA69" s="12">
        <v>0</v>
      </c>
      <c r="AB69" s="12">
        <v>0</v>
      </c>
      <c r="AC69" s="12">
        <v>0</v>
      </c>
      <c r="AD69" s="12">
        <v>0</v>
      </c>
      <c r="AE69" s="12">
        <v>309</v>
      </c>
      <c r="AF69" s="13">
        <v>28200</v>
      </c>
      <c r="AG69" s="13">
        <v>2700</v>
      </c>
      <c r="AH69" s="12">
        <v>0</v>
      </c>
      <c r="AI69" s="12">
        <v>0</v>
      </c>
      <c r="AJ69" s="12">
        <v>0</v>
      </c>
      <c r="AK69" s="12">
        <v>32</v>
      </c>
      <c r="AL69" s="13">
        <v>3840</v>
      </c>
      <c r="AM69" s="12">
        <v>0</v>
      </c>
      <c r="AN69" s="12">
        <v>0</v>
      </c>
      <c r="AO69" s="12">
        <v>0</v>
      </c>
      <c r="AP69" s="12">
        <v>0</v>
      </c>
      <c r="AQ69" s="12">
        <v>531</v>
      </c>
      <c r="AR69" s="13">
        <v>52000</v>
      </c>
      <c r="AS69" s="13">
        <v>1100</v>
      </c>
      <c r="AT69" s="12">
        <v>0</v>
      </c>
      <c r="AU69" s="12">
        <v>0</v>
      </c>
      <c r="AV69" s="12">
        <v>0</v>
      </c>
      <c r="AW69" s="12">
        <v>0</v>
      </c>
      <c r="AX69" s="12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174</v>
      </c>
      <c r="BD69" s="13">
        <v>20880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2">
        <v>0</v>
      </c>
      <c r="BK69" s="12">
        <v>0</v>
      </c>
      <c r="BL69" s="14">
        <v>2404.8000000000002</v>
      </c>
      <c r="BM69" s="17">
        <v>108720</v>
      </c>
      <c r="BN69" s="9">
        <f t="shared" si="2"/>
        <v>106315.2</v>
      </c>
      <c r="BO69" s="9">
        <f t="shared" si="3"/>
        <v>74420.639999999999</v>
      </c>
    </row>
    <row r="70" spans="1:67" ht="24">
      <c r="A70" s="8" t="s">
        <v>73</v>
      </c>
      <c r="B70" s="10" t="s">
        <v>58</v>
      </c>
      <c r="C70" s="10">
        <v>472512</v>
      </c>
      <c r="D70" s="11"/>
      <c r="E70" s="10" t="s">
        <v>16</v>
      </c>
      <c r="F70" s="10" t="s">
        <v>33</v>
      </c>
      <c r="G70" s="10" t="s">
        <v>11</v>
      </c>
      <c r="H70" s="12" t="s">
        <v>7</v>
      </c>
      <c r="I70" s="12" t="s">
        <v>245</v>
      </c>
      <c r="J70" s="12">
        <v>0</v>
      </c>
      <c r="K70" s="12">
        <v>103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234</v>
      </c>
      <c r="AF70" s="13">
        <v>20680</v>
      </c>
      <c r="AG70" s="13">
        <v>2800</v>
      </c>
      <c r="AH70" s="12">
        <v>0</v>
      </c>
      <c r="AI70" s="12">
        <v>0</v>
      </c>
      <c r="AJ70" s="12">
        <v>0</v>
      </c>
      <c r="AK70" s="12">
        <v>1</v>
      </c>
      <c r="AL70" s="12">
        <v>0</v>
      </c>
      <c r="AM70" s="12">
        <v>100</v>
      </c>
      <c r="AN70" s="12">
        <v>0</v>
      </c>
      <c r="AO70" s="12">
        <v>0</v>
      </c>
      <c r="AP70" s="12">
        <v>0</v>
      </c>
      <c r="AQ70" s="12">
        <v>572</v>
      </c>
      <c r="AR70" s="13">
        <v>55200</v>
      </c>
      <c r="AS70" s="13">
        <v>2000</v>
      </c>
      <c r="AT70" s="12">
        <v>0</v>
      </c>
      <c r="AU70" s="12">
        <v>0</v>
      </c>
      <c r="AV70" s="12">
        <v>0</v>
      </c>
      <c r="AW70" s="12">
        <v>0</v>
      </c>
      <c r="AX70" s="12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48</v>
      </c>
      <c r="BD70" s="13">
        <v>5760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2">
        <v>0</v>
      </c>
      <c r="BK70" s="12">
        <v>0</v>
      </c>
      <c r="BL70" s="12">
        <v>345.6</v>
      </c>
      <c r="BM70" s="17">
        <v>86540</v>
      </c>
      <c r="BN70" s="9">
        <f t="shared" si="2"/>
        <v>86194.4</v>
      </c>
      <c r="BO70" s="9">
        <f t="shared" si="3"/>
        <v>60336.079999999994</v>
      </c>
    </row>
    <row r="71" spans="1:67" ht="24">
      <c r="A71" s="8" t="s">
        <v>73</v>
      </c>
      <c r="B71" s="10" t="s">
        <v>131</v>
      </c>
      <c r="C71" s="10">
        <v>324335</v>
      </c>
      <c r="D71" s="11"/>
      <c r="E71" s="10" t="s">
        <v>16</v>
      </c>
      <c r="F71" s="10" t="s">
        <v>26</v>
      </c>
      <c r="G71" s="10" t="s">
        <v>11</v>
      </c>
      <c r="H71" s="12" t="s">
        <v>10</v>
      </c>
      <c r="I71" s="12" t="s">
        <v>132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26</v>
      </c>
      <c r="AF71" s="13">
        <v>83200</v>
      </c>
      <c r="AG71" s="12">
        <v>0</v>
      </c>
      <c r="AH71" s="12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2">
        <v>0</v>
      </c>
      <c r="AU71" s="12">
        <v>0</v>
      </c>
      <c r="AV71" s="12">
        <v>0</v>
      </c>
      <c r="AW71" s="12">
        <v>0</v>
      </c>
      <c r="AX71" s="12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2">
        <v>0</v>
      </c>
      <c r="BK71" s="12">
        <v>0</v>
      </c>
      <c r="BL71" s="12">
        <v>0</v>
      </c>
      <c r="BM71" s="17">
        <v>83200</v>
      </c>
      <c r="BN71" s="9">
        <f t="shared" si="2"/>
        <v>83200</v>
      </c>
      <c r="BO71" s="9">
        <f t="shared" si="3"/>
        <v>58239.999999999993</v>
      </c>
    </row>
    <row r="72" spans="1:67" ht="24">
      <c r="A72" s="8" t="s">
        <v>73</v>
      </c>
      <c r="B72" s="10" t="s">
        <v>271</v>
      </c>
      <c r="C72" s="10">
        <v>369220</v>
      </c>
      <c r="D72" s="11"/>
      <c r="E72" s="10" t="s">
        <v>16</v>
      </c>
      <c r="F72" s="10" t="s">
        <v>26</v>
      </c>
      <c r="G72" s="10" t="s">
        <v>11</v>
      </c>
      <c r="H72" s="12" t="s">
        <v>7</v>
      </c>
      <c r="I72" s="12" t="s">
        <v>27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1</v>
      </c>
      <c r="U72" s="12">
        <v>0</v>
      </c>
      <c r="V72" s="12">
        <v>0</v>
      </c>
      <c r="W72" s="12">
        <v>0</v>
      </c>
      <c r="X72" s="12">
        <v>0</v>
      </c>
      <c r="Y72" s="12">
        <v>0</v>
      </c>
      <c r="Z72" s="12">
        <v>0</v>
      </c>
      <c r="AA72" s="12">
        <v>0</v>
      </c>
      <c r="AB72" s="12">
        <v>0</v>
      </c>
      <c r="AC72" s="12">
        <v>0</v>
      </c>
      <c r="AD72" s="12">
        <v>0</v>
      </c>
      <c r="AE72" s="12">
        <v>554</v>
      </c>
      <c r="AF72" s="13">
        <v>58520</v>
      </c>
      <c r="AG72" s="12">
        <v>0</v>
      </c>
      <c r="AH72" s="12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167</v>
      </c>
      <c r="AR72" s="13">
        <v>16600</v>
      </c>
      <c r="AS72" s="12">
        <v>100</v>
      </c>
      <c r="AT72" s="12">
        <v>0</v>
      </c>
      <c r="AU72" s="12">
        <v>0</v>
      </c>
      <c r="AV72" s="12">
        <v>0</v>
      </c>
      <c r="AW72" s="12">
        <v>49</v>
      </c>
      <c r="AX72" s="13">
        <v>5586</v>
      </c>
      <c r="AY72" s="12">
        <v>0</v>
      </c>
      <c r="AZ72" s="12">
        <v>0</v>
      </c>
      <c r="BA72" s="12">
        <v>0</v>
      </c>
      <c r="BB72" s="12">
        <v>0</v>
      </c>
      <c r="BC72" s="12">
        <v>6</v>
      </c>
      <c r="BD72" s="12">
        <v>720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2">
        <v>0</v>
      </c>
      <c r="BK72" s="12">
        <v>0</v>
      </c>
      <c r="BL72" s="12">
        <v>601.79999999999995</v>
      </c>
      <c r="BM72" s="17">
        <v>81526</v>
      </c>
      <c r="BN72" s="9">
        <f t="shared" si="2"/>
        <v>80924.2</v>
      </c>
      <c r="BO72" s="9">
        <f t="shared" si="3"/>
        <v>56646.939999999995</v>
      </c>
    </row>
    <row r="73" spans="1:67" ht="24">
      <c r="A73" s="8" t="s">
        <v>73</v>
      </c>
      <c r="B73" s="10" t="s">
        <v>255</v>
      </c>
      <c r="C73" s="10">
        <v>449889</v>
      </c>
      <c r="D73" s="11"/>
      <c r="E73" s="10" t="s">
        <v>16</v>
      </c>
      <c r="F73" s="10" t="s">
        <v>23</v>
      </c>
      <c r="G73" s="10" t="s">
        <v>11</v>
      </c>
      <c r="H73" s="12" t="s">
        <v>7</v>
      </c>
      <c r="I73" s="12" t="s">
        <v>24</v>
      </c>
      <c r="J73" s="12">
        <v>0</v>
      </c>
      <c r="K73" s="13">
        <v>1511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454</v>
      </c>
      <c r="AF73" s="13">
        <v>43240</v>
      </c>
      <c r="AG73" s="13">
        <v>2200</v>
      </c>
      <c r="AH73" s="12">
        <v>0</v>
      </c>
      <c r="AI73" s="12">
        <v>0</v>
      </c>
      <c r="AJ73" s="12">
        <v>0</v>
      </c>
      <c r="AK73" s="12">
        <v>69</v>
      </c>
      <c r="AL73" s="13">
        <v>8073</v>
      </c>
      <c r="AM73" s="12">
        <v>0</v>
      </c>
      <c r="AN73" s="12">
        <v>0</v>
      </c>
      <c r="AO73" s="12">
        <v>0</v>
      </c>
      <c r="AP73" s="12">
        <v>0</v>
      </c>
      <c r="AQ73" s="12">
        <v>201</v>
      </c>
      <c r="AR73" s="13">
        <v>19800</v>
      </c>
      <c r="AS73" s="12">
        <v>300</v>
      </c>
      <c r="AT73" s="12">
        <v>0</v>
      </c>
      <c r="AU73" s="12">
        <v>0</v>
      </c>
      <c r="AV73" s="12">
        <v>0</v>
      </c>
      <c r="AW73" s="12">
        <v>0</v>
      </c>
      <c r="AX73" s="12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38</v>
      </c>
      <c r="BD73" s="13">
        <v>4560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2">
        <v>0</v>
      </c>
      <c r="BK73" s="12">
        <v>0</v>
      </c>
      <c r="BL73" s="14">
        <v>2695.5</v>
      </c>
      <c r="BM73" s="17">
        <v>78173</v>
      </c>
      <c r="BN73" s="9">
        <f t="shared" si="2"/>
        <v>75477.5</v>
      </c>
      <c r="BO73" s="9">
        <f t="shared" si="3"/>
        <v>52834.25</v>
      </c>
    </row>
    <row r="74" spans="1:67" ht="24">
      <c r="A74" s="8" t="s">
        <v>73</v>
      </c>
      <c r="B74" s="10" t="s">
        <v>31</v>
      </c>
      <c r="C74" s="10">
        <v>178856</v>
      </c>
      <c r="D74" s="11"/>
      <c r="E74" s="10" t="s">
        <v>16</v>
      </c>
      <c r="F74" s="10" t="s">
        <v>26</v>
      </c>
      <c r="G74" s="10" t="s">
        <v>11</v>
      </c>
      <c r="H74" s="12" t="s">
        <v>10</v>
      </c>
      <c r="I74" s="12" t="s">
        <v>32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101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407</v>
      </c>
      <c r="AF74" s="13">
        <v>35100</v>
      </c>
      <c r="AG74" s="13">
        <v>5600</v>
      </c>
      <c r="AH74" s="12">
        <v>0</v>
      </c>
      <c r="AI74" s="12">
        <v>0</v>
      </c>
      <c r="AJ74" s="12">
        <v>0</v>
      </c>
      <c r="AK74" s="12">
        <v>14</v>
      </c>
      <c r="AL74" s="13">
        <v>1680</v>
      </c>
      <c r="AM74" s="12">
        <v>0</v>
      </c>
      <c r="AN74" s="12">
        <v>0</v>
      </c>
      <c r="AO74" s="12">
        <v>0</v>
      </c>
      <c r="AP74" s="12">
        <v>0</v>
      </c>
      <c r="AQ74" s="12">
        <v>218</v>
      </c>
      <c r="AR74" s="13">
        <v>21700</v>
      </c>
      <c r="AS74" s="12">
        <v>100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2</v>
      </c>
      <c r="BD74" s="12">
        <v>240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518.4</v>
      </c>
      <c r="BM74" s="17">
        <v>64420</v>
      </c>
      <c r="BN74" s="9">
        <f t="shared" si="2"/>
        <v>63901.599999999999</v>
      </c>
      <c r="BO74" s="9">
        <f t="shared" si="3"/>
        <v>44731.119999999995</v>
      </c>
    </row>
    <row r="75" spans="1:67" ht="24">
      <c r="A75" s="8" t="s">
        <v>73</v>
      </c>
      <c r="B75" s="10" t="s">
        <v>25</v>
      </c>
      <c r="C75" s="10">
        <v>414278</v>
      </c>
      <c r="D75" s="11"/>
      <c r="E75" s="10" t="s">
        <v>16</v>
      </c>
      <c r="F75" s="10" t="s">
        <v>12</v>
      </c>
      <c r="G75" s="10" t="s">
        <v>11</v>
      </c>
      <c r="H75" s="12" t="s">
        <v>8</v>
      </c>
      <c r="I75" s="12" t="s">
        <v>64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12">
        <v>0</v>
      </c>
      <c r="AJ75" s="12">
        <v>0</v>
      </c>
      <c r="AK75" s="12">
        <v>12</v>
      </c>
      <c r="AL75" s="13">
        <v>45312</v>
      </c>
      <c r="AM75" s="12">
        <v>0</v>
      </c>
      <c r="AN75" s="12">
        <v>0</v>
      </c>
      <c r="AO75" s="12">
        <v>0</v>
      </c>
      <c r="AP75" s="12">
        <v>0</v>
      </c>
      <c r="AQ75" s="12">
        <v>4</v>
      </c>
      <c r="AR75" s="13">
        <v>12800</v>
      </c>
      <c r="AS75" s="12">
        <v>0</v>
      </c>
      <c r="AT75" s="12">
        <v>0</v>
      </c>
      <c r="AU75" s="12">
        <v>0</v>
      </c>
      <c r="AV75" s="12">
        <v>0</v>
      </c>
      <c r="AW75" s="12">
        <v>0</v>
      </c>
      <c r="AX75" s="12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1</v>
      </c>
      <c r="BD75" s="13">
        <v>3840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2">
        <v>0</v>
      </c>
      <c r="BK75" s="12">
        <v>0</v>
      </c>
      <c r="BL75" s="14">
        <v>13824</v>
      </c>
      <c r="BM75" s="17">
        <v>61952</v>
      </c>
      <c r="BN75" s="9">
        <f t="shared" si="2"/>
        <v>48128</v>
      </c>
      <c r="BO75" s="9">
        <f t="shared" si="3"/>
        <v>33689.599999999999</v>
      </c>
    </row>
    <row r="76" spans="1:67" ht="24">
      <c r="A76" s="8" t="s">
        <v>73</v>
      </c>
      <c r="B76" s="10" t="s">
        <v>256</v>
      </c>
      <c r="C76" s="10">
        <v>489720</v>
      </c>
      <c r="D76" s="11"/>
      <c r="E76" s="10" t="s">
        <v>16</v>
      </c>
      <c r="F76" s="10" t="s">
        <v>257</v>
      </c>
      <c r="G76" s="10" t="s">
        <v>11</v>
      </c>
      <c r="H76" s="12" t="s">
        <v>7</v>
      </c>
      <c r="I76" s="12" t="s">
        <v>258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2">
        <v>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452</v>
      </c>
      <c r="AF76" s="13">
        <v>45200</v>
      </c>
      <c r="AG76" s="12">
        <v>0</v>
      </c>
      <c r="AH76" s="12">
        <v>0</v>
      </c>
      <c r="AI76" s="12">
        <v>0</v>
      </c>
      <c r="AJ76" s="12">
        <v>0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149</v>
      </c>
      <c r="AR76" s="13">
        <v>14700</v>
      </c>
      <c r="AS76" s="12">
        <v>200</v>
      </c>
      <c r="AT76" s="12">
        <v>0</v>
      </c>
      <c r="AU76" s="12">
        <v>0</v>
      </c>
      <c r="AV76" s="12">
        <v>0</v>
      </c>
      <c r="AW76" s="12">
        <v>0</v>
      </c>
      <c r="AX76" s="12">
        <v>0</v>
      </c>
      <c r="AY76" s="12">
        <v>0</v>
      </c>
      <c r="AZ76" s="12">
        <v>0</v>
      </c>
      <c r="BA76" s="12">
        <v>0</v>
      </c>
      <c r="BB76" s="12">
        <v>0</v>
      </c>
      <c r="BC76" s="12">
        <v>0</v>
      </c>
      <c r="BD76" s="12">
        <v>0</v>
      </c>
      <c r="BE76" s="12">
        <v>0</v>
      </c>
      <c r="BF76" s="12">
        <v>0</v>
      </c>
      <c r="BG76" s="12">
        <v>0</v>
      </c>
      <c r="BH76" s="12">
        <v>0</v>
      </c>
      <c r="BI76" s="12">
        <v>0</v>
      </c>
      <c r="BJ76" s="12">
        <v>0</v>
      </c>
      <c r="BK76" s="12">
        <v>0</v>
      </c>
      <c r="BL76" s="12">
        <v>0</v>
      </c>
      <c r="BM76" s="17">
        <v>60100</v>
      </c>
      <c r="BN76" s="9">
        <f t="shared" si="2"/>
        <v>60100</v>
      </c>
      <c r="BO76" s="9">
        <f t="shared" si="3"/>
        <v>42070</v>
      </c>
    </row>
    <row r="77" spans="1:67" ht="24">
      <c r="A77" s="8" t="s">
        <v>73</v>
      </c>
      <c r="B77" s="10" t="s">
        <v>201</v>
      </c>
      <c r="C77" s="10">
        <v>479547</v>
      </c>
      <c r="D77" s="11"/>
      <c r="E77" s="10" t="s">
        <v>16</v>
      </c>
      <c r="F77" s="10" t="s">
        <v>202</v>
      </c>
      <c r="G77" s="10" t="s">
        <v>11</v>
      </c>
      <c r="H77" s="12" t="s">
        <v>7</v>
      </c>
      <c r="I77" s="12" t="s">
        <v>245</v>
      </c>
      <c r="J77" s="12">
        <v>0</v>
      </c>
      <c r="K77" s="12">
        <v>62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394</v>
      </c>
      <c r="AF77" s="13">
        <v>39200</v>
      </c>
      <c r="AG77" s="12">
        <v>200</v>
      </c>
      <c r="AH77" s="12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186</v>
      </c>
      <c r="AR77" s="13">
        <v>18600</v>
      </c>
      <c r="AS77" s="12">
        <v>0</v>
      </c>
      <c r="AT77" s="12">
        <v>0</v>
      </c>
      <c r="AU77" s="12">
        <v>0</v>
      </c>
      <c r="AV77" s="12">
        <v>0</v>
      </c>
      <c r="AW77" s="12">
        <v>1</v>
      </c>
      <c r="AX77" s="12">
        <v>120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2">
        <v>0</v>
      </c>
      <c r="BK77" s="12">
        <v>0</v>
      </c>
      <c r="BL77" s="12">
        <v>12</v>
      </c>
      <c r="BM77" s="17">
        <v>58120</v>
      </c>
      <c r="BN77" s="9">
        <f t="shared" si="2"/>
        <v>58108</v>
      </c>
      <c r="BO77" s="9">
        <f t="shared" si="3"/>
        <v>40675.599999999999</v>
      </c>
    </row>
    <row r="78" spans="1:67" ht="24">
      <c r="A78" s="8" t="s">
        <v>73</v>
      </c>
      <c r="B78" s="10" t="s">
        <v>65</v>
      </c>
      <c r="C78" s="10">
        <v>476003</v>
      </c>
      <c r="D78" s="11"/>
      <c r="E78" s="10" t="s">
        <v>16</v>
      </c>
      <c r="F78" s="10" t="s">
        <v>26</v>
      </c>
      <c r="G78" s="10" t="s">
        <v>11</v>
      </c>
      <c r="H78" s="12" t="s">
        <v>8</v>
      </c>
      <c r="I78" s="12" t="s">
        <v>64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9</v>
      </c>
      <c r="AR78" s="13">
        <v>28200</v>
      </c>
      <c r="AS78" s="12">
        <v>600</v>
      </c>
      <c r="AT78" s="12">
        <v>0</v>
      </c>
      <c r="AU78" s="12">
        <v>0</v>
      </c>
      <c r="AV78" s="12">
        <v>0</v>
      </c>
      <c r="AW78" s="12">
        <v>0</v>
      </c>
      <c r="AX78" s="12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2">
        <v>0</v>
      </c>
      <c r="BK78" s="12">
        <v>0</v>
      </c>
      <c r="BL78" s="12">
        <v>0</v>
      </c>
      <c r="BM78" s="17">
        <v>28800</v>
      </c>
      <c r="BN78" s="9">
        <f t="shared" si="2"/>
        <v>28800</v>
      </c>
      <c r="BO78" s="9">
        <f t="shared" si="3"/>
        <v>20160</v>
      </c>
    </row>
    <row r="79" spans="1:67" ht="24">
      <c r="A79" s="8" t="s">
        <v>73</v>
      </c>
      <c r="B79" s="10" t="s">
        <v>35</v>
      </c>
      <c r="C79" s="10">
        <v>321812</v>
      </c>
      <c r="D79" s="11"/>
      <c r="E79" s="10" t="s">
        <v>16</v>
      </c>
      <c r="F79" s="10" t="s">
        <v>26</v>
      </c>
      <c r="G79" s="10" t="s">
        <v>11</v>
      </c>
      <c r="H79" s="12" t="s">
        <v>7</v>
      </c>
      <c r="I79" s="12" t="s">
        <v>36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</v>
      </c>
      <c r="Z79" s="12">
        <v>0</v>
      </c>
      <c r="AA79" s="12">
        <v>0</v>
      </c>
      <c r="AB79" s="12">
        <v>0</v>
      </c>
      <c r="AC79" s="12">
        <v>0</v>
      </c>
      <c r="AD79" s="12">
        <v>0</v>
      </c>
      <c r="AE79" s="12">
        <v>127</v>
      </c>
      <c r="AF79" s="13">
        <v>6800</v>
      </c>
      <c r="AG79" s="13">
        <v>5900</v>
      </c>
      <c r="AH79" s="12">
        <v>0</v>
      </c>
      <c r="AI79" s="12">
        <v>0</v>
      </c>
      <c r="AJ79" s="12">
        <v>0</v>
      </c>
      <c r="AK79" s="12">
        <v>8</v>
      </c>
      <c r="AL79" s="12">
        <v>960</v>
      </c>
      <c r="AM79" s="12">
        <v>0</v>
      </c>
      <c r="AN79" s="12">
        <v>0</v>
      </c>
      <c r="AO79" s="12">
        <v>0</v>
      </c>
      <c r="AP79" s="12">
        <v>0</v>
      </c>
      <c r="AQ79" s="12">
        <v>60</v>
      </c>
      <c r="AR79" s="13">
        <v>6000</v>
      </c>
      <c r="AS79" s="12">
        <v>0</v>
      </c>
      <c r="AT79" s="12">
        <v>0</v>
      </c>
      <c r="AU79" s="12">
        <v>0</v>
      </c>
      <c r="AV79" s="12">
        <v>0</v>
      </c>
      <c r="AW79" s="12">
        <v>23</v>
      </c>
      <c r="AX79" s="13">
        <v>2760</v>
      </c>
      <c r="AY79" s="12">
        <v>0</v>
      </c>
      <c r="AZ79" s="12">
        <v>0</v>
      </c>
      <c r="BA79" s="12">
        <v>0</v>
      </c>
      <c r="BB79" s="12">
        <v>0</v>
      </c>
      <c r="BC79" s="12">
        <v>30</v>
      </c>
      <c r="BD79" s="13">
        <v>3600</v>
      </c>
      <c r="BE79" s="12">
        <v>0</v>
      </c>
      <c r="BF79" s="12">
        <v>0</v>
      </c>
      <c r="BG79" s="12">
        <v>0</v>
      </c>
      <c r="BH79" s="12">
        <v>0</v>
      </c>
      <c r="BI79" s="12">
        <v>17</v>
      </c>
      <c r="BJ79" s="13">
        <v>2040</v>
      </c>
      <c r="BK79" s="12">
        <v>0</v>
      </c>
      <c r="BL79" s="12">
        <v>882</v>
      </c>
      <c r="BM79" s="17">
        <v>28060</v>
      </c>
      <c r="BN79" s="9">
        <f t="shared" si="2"/>
        <v>27178</v>
      </c>
      <c r="BO79" s="9">
        <f t="shared" si="3"/>
        <v>19024.599999999999</v>
      </c>
    </row>
    <row r="80" spans="1:67" ht="24">
      <c r="A80" s="8" t="s">
        <v>73</v>
      </c>
      <c r="B80" s="10" t="s">
        <v>19</v>
      </c>
      <c r="C80" s="10">
        <v>463799</v>
      </c>
      <c r="D80" s="11"/>
      <c r="E80" s="10" t="s">
        <v>16</v>
      </c>
      <c r="F80" s="10" t="s">
        <v>20</v>
      </c>
      <c r="G80" s="10" t="s">
        <v>11</v>
      </c>
      <c r="H80" s="12" t="s">
        <v>7</v>
      </c>
      <c r="I80" s="12" t="s">
        <v>21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83</v>
      </c>
      <c r="AF80" s="13">
        <v>3600</v>
      </c>
      <c r="AG80" s="13">
        <v>4800</v>
      </c>
      <c r="AH80" s="12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165</v>
      </c>
      <c r="AR80" s="13">
        <v>15900</v>
      </c>
      <c r="AS80" s="12">
        <v>600</v>
      </c>
      <c r="AT80" s="12">
        <v>0</v>
      </c>
      <c r="AU80" s="12">
        <v>0</v>
      </c>
      <c r="AV80" s="12">
        <v>0</v>
      </c>
      <c r="AW80" s="12">
        <v>0</v>
      </c>
      <c r="AX80" s="12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2">
        <v>0</v>
      </c>
      <c r="BK80" s="12">
        <v>0</v>
      </c>
      <c r="BL80" s="12">
        <v>0</v>
      </c>
      <c r="BM80" s="17">
        <v>24900</v>
      </c>
      <c r="BN80" s="9">
        <f t="shared" si="2"/>
        <v>24900</v>
      </c>
      <c r="BO80" s="9">
        <f t="shared" si="3"/>
        <v>17430</v>
      </c>
    </row>
    <row r="81" spans="1:67" ht="24">
      <c r="A81" s="8" t="s">
        <v>73</v>
      </c>
      <c r="B81" s="10" t="s">
        <v>156</v>
      </c>
      <c r="C81" s="10">
        <v>478744</v>
      </c>
      <c r="D81" s="11"/>
      <c r="E81" s="10" t="s">
        <v>16</v>
      </c>
      <c r="F81" s="10" t="s">
        <v>157</v>
      </c>
      <c r="G81" s="10" t="s">
        <v>11</v>
      </c>
      <c r="H81" s="12" t="s">
        <v>7</v>
      </c>
      <c r="I81" s="12" t="s">
        <v>245</v>
      </c>
      <c r="J81" s="12">
        <v>0</v>
      </c>
      <c r="K81" s="12">
        <v>10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2">
        <v>0</v>
      </c>
      <c r="AE81" s="12">
        <v>69</v>
      </c>
      <c r="AF81" s="13">
        <v>6900</v>
      </c>
      <c r="AG81" s="12">
        <v>0</v>
      </c>
      <c r="AH81" s="12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160</v>
      </c>
      <c r="AR81" s="13">
        <v>15600</v>
      </c>
      <c r="AS81" s="12">
        <v>400</v>
      </c>
      <c r="AT81" s="12">
        <v>0</v>
      </c>
      <c r="AU81" s="12">
        <v>0</v>
      </c>
      <c r="AV81" s="12">
        <v>0</v>
      </c>
      <c r="AW81" s="12">
        <v>0</v>
      </c>
      <c r="AX81" s="12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2">
        <v>0</v>
      </c>
      <c r="BK81" s="12">
        <v>0</v>
      </c>
      <c r="BL81" s="12">
        <v>0</v>
      </c>
      <c r="BM81" s="17">
        <v>22900</v>
      </c>
      <c r="BN81" s="9">
        <f t="shared" si="2"/>
        <v>22900</v>
      </c>
      <c r="BO81" s="9">
        <f t="shared" si="3"/>
        <v>16029.999999999998</v>
      </c>
    </row>
    <row r="82" spans="1:67" ht="24">
      <c r="A82" s="8" t="s">
        <v>73</v>
      </c>
      <c r="B82" s="10" t="s">
        <v>15</v>
      </c>
      <c r="C82" s="10">
        <v>465248</v>
      </c>
      <c r="D82" s="11"/>
      <c r="E82" s="10" t="s">
        <v>16</v>
      </c>
      <c r="F82" s="10" t="s">
        <v>17</v>
      </c>
      <c r="G82" s="10" t="s">
        <v>67</v>
      </c>
      <c r="H82" s="12" t="s">
        <v>10</v>
      </c>
      <c r="I82" s="12" t="s">
        <v>18</v>
      </c>
      <c r="J82" s="12">
        <v>0</v>
      </c>
      <c r="K82" s="12">
        <v>70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73</v>
      </c>
      <c r="AF82" s="13">
        <v>5200</v>
      </c>
      <c r="AG82" s="13">
        <v>2100</v>
      </c>
      <c r="AH82" s="12">
        <v>0</v>
      </c>
      <c r="AI82" s="12">
        <v>0</v>
      </c>
      <c r="AJ82" s="12">
        <v>0</v>
      </c>
      <c r="AK82" s="12">
        <v>1</v>
      </c>
      <c r="AL82" s="12">
        <v>0</v>
      </c>
      <c r="AM82" s="12">
        <v>100</v>
      </c>
      <c r="AN82" s="12">
        <v>0</v>
      </c>
      <c r="AO82" s="12">
        <v>0</v>
      </c>
      <c r="AP82" s="12">
        <v>0</v>
      </c>
      <c r="AQ82" s="12">
        <v>57</v>
      </c>
      <c r="AR82" s="13">
        <v>5700</v>
      </c>
      <c r="AS82" s="12">
        <v>0</v>
      </c>
      <c r="AT82" s="12">
        <v>0</v>
      </c>
      <c r="AU82" s="12">
        <v>0</v>
      </c>
      <c r="AV82" s="12">
        <v>0</v>
      </c>
      <c r="AW82" s="12">
        <v>0</v>
      </c>
      <c r="AX82" s="12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60</v>
      </c>
      <c r="BD82" s="13">
        <v>7200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2">
        <v>0</v>
      </c>
      <c r="BK82" s="12">
        <v>0</v>
      </c>
      <c r="BL82" s="12">
        <v>432</v>
      </c>
      <c r="BM82" s="17">
        <v>20300</v>
      </c>
      <c r="BN82" s="9">
        <f t="shared" si="2"/>
        <v>19868</v>
      </c>
      <c r="BO82" s="9">
        <f t="shared" si="3"/>
        <v>13907.599999999999</v>
      </c>
    </row>
    <row r="83" spans="1:67" ht="24">
      <c r="A83" s="8" t="s">
        <v>73</v>
      </c>
      <c r="B83" s="10" t="s">
        <v>273</v>
      </c>
      <c r="C83" s="10">
        <v>325640</v>
      </c>
      <c r="D83" s="11"/>
      <c r="E83" s="10" t="s">
        <v>16</v>
      </c>
      <c r="F83" s="10" t="s">
        <v>274</v>
      </c>
      <c r="G83" s="10" t="s">
        <v>11</v>
      </c>
      <c r="H83" s="12" t="s">
        <v>7</v>
      </c>
      <c r="I83" s="12" t="s">
        <v>275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200</v>
      </c>
      <c r="AF83" s="13">
        <v>15200</v>
      </c>
      <c r="AG83" s="13">
        <v>4800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7">
        <v>20000</v>
      </c>
      <c r="BN83" s="9">
        <f t="shared" si="2"/>
        <v>20000</v>
      </c>
      <c r="BO83" s="9">
        <f t="shared" si="3"/>
        <v>14000</v>
      </c>
    </row>
    <row r="84" spans="1:67" ht="24">
      <c r="A84" s="8" t="s">
        <v>73</v>
      </c>
      <c r="B84" s="10" t="s">
        <v>233</v>
      </c>
      <c r="C84" s="10">
        <v>490073</v>
      </c>
      <c r="D84" s="11"/>
      <c r="E84" s="10" t="s">
        <v>16</v>
      </c>
      <c r="F84" s="10" t="s">
        <v>33</v>
      </c>
      <c r="G84" s="10" t="s">
        <v>11</v>
      </c>
      <c r="H84" s="12" t="s">
        <v>7</v>
      </c>
      <c r="I84" s="12" t="s">
        <v>234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3</v>
      </c>
      <c r="AF84" s="13">
        <v>9600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3</v>
      </c>
      <c r="AR84" s="13">
        <v>9400</v>
      </c>
      <c r="AS84" s="12">
        <v>200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7">
        <v>19200</v>
      </c>
      <c r="BN84" s="9">
        <f t="shared" si="2"/>
        <v>19200</v>
      </c>
      <c r="BO84" s="9">
        <f t="shared" si="3"/>
        <v>13440</v>
      </c>
    </row>
    <row r="85" spans="1:67" ht="24">
      <c r="A85" s="8" t="s">
        <v>73</v>
      </c>
      <c r="B85" s="10" t="s">
        <v>293</v>
      </c>
      <c r="C85" s="10">
        <v>389857</v>
      </c>
      <c r="D85" s="11"/>
      <c r="E85" s="10" t="s">
        <v>16</v>
      </c>
      <c r="F85" s="10" t="s">
        <v>33</v>
      </c>
      <c r="G85" s="10" t="s">
        <v>11</v>
      </c>
      <c r="H85" s="12" t="s">
        <v>7</v>
      </c>
      <c r="I85" s="12" t="s">
        <v>294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2">
        <v>0</v>
      </c>
      <c r="AE85" s="12">
        <v>5</v>
      </c>
      <c r="AF85" s="13">
        <v>16000</v>
      </c>
      <c r="AG85" s="12">
        <v>0</v>
      </c>
      <c r="AH85" s="12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2">
        <v>0</v>
      </c>
      <c r="AU85" s="12">
        <v>0</v>
      </c>
      <c r="AV85" s="12">
        <v>0</v>
      </c>
      <c r="AW85" s="12">
        <v>0</v>
      </c>
      <c r="AX85" s="12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2">
        <v>0</v>
      </c>
      <c r="BK85" s="12">
        <v>0</v>
      </c>
      <c r="BL85" s="12">
        <v>0</v>
      </c>
      <c r="BM85" s="17">
        <v>16000</v>
      </c>
      <c r="BN85" s="9">
        <f t="shared" si="2"/>
        <v>16000</v>
      </c>
      <c r="BO85" s="9">
        <f t="shared" si="3"/>
        <v>11200</v>
      </c>
    </row>
    <row r="86" spans="1:67" ht="24">
      <c r="A86" s="8" t="s">
        <v>73</v>
      </c>
      <c r="B86" s="10" t="s">
        <v>59</v>
      </c>
      <c r="C86" s="10">
        <v>370935</v>
      </c>
      <c r="D86" s="11"/>
      <c r="E86" s="10" t="s">
        <v>16</v>
      </c>
      <c r="F86" s="10" t="s">
        <v>26</v>
      </c>
      <c r="G86" s="10" t="s">
        <v>11</v>
      </c>
      <c r="H86" s="12" t="s">
        <v>7</v>
      </c>
      <c r="I86" s="12" t="s">
        <v>60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1</v>
      </c>
      <c r="AF86" s="13">
        <v>3200</v>
      </c>
      <c r="AG86" s="12">
        <v>0</v>
      </c>
      <c r="AH86" s="12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4</v>
      </c>
      <c r="AR86" s="13">
        <v>11900</v>
      </c>
      <c r="AS86" s="12">
        <v>900</v>
      </c>
      <c r="AT86" s="12">
        <v>0</v>
      </c>
      <c r="AU86" s="12">
        <v>0</v>
      </c>
      <c r="AV86" s="12">
        <v>0</v>
      </c>
      <c r="AW86" s="12">
        <v>0</v>
      </c>
      <c r="AX86" s="12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2">
        <v>0</v>
      </c>
      <c r="BK86" s="12">
        <v>0</v>
      </c>
      <c r="BL86" s="12">
        <v>0</v>
      </c>
      <c r="BM86" s="17">
        <v>16000</v>
      </c>
      <c r="BN86" s="9">
        <f t="shared" si="2"/>
        <v>16000</v>
      </c>
      <c r="BO86" s="9">
        <f t="shared" si="3"/>
        <v>11200</v>
      </c>
    </row>
    <row r="87" spans="1:67" ht="24">
      <c r="A87" s="8" t="s">
        <v>73</v>
      </c>
      <c r="B87" s="10" t="s">
        <v>200</v>
      </c>
      <c r="C87" s="10">
        <v>458566</v>
      </c>
      <c r="D87" s="11"/>
      <c r="E87" s="10" t="s">
        <v>16</v>
      </c>
      <c r="F87" s="10" t="s">
        <v>26</v>
      </c>
      <c r="G87" s="10" t="s">
        <v>11</v>
      </c>
      <c r="H87" s="12" t="s">
        <v>7</v>
      </c>
      <c r="I87" s="12" t="s">
        <v>54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2">
        <v>0</v>
      </c>
      <c r="AE87" s="12">
        <v>4</v>
      </c>
      <c r="AF87" s="13">
        <v>12800</v>
      </c>
      <c r="AG87" s="12">
        <v>0</v>
      </c>
      <c r="AH87" s="12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2">
        <v>0</v>
      </c>
      <c r="AU87" s="12">
        <v>0</v>
      </c>
      <c r="AV87" s="12">
        <v>0</v>
      </c>
      <c r="AW87" s="12">
        <v>0</v>
      </c>
      <c r="AX87" s="12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2">
        <v>0</v>
      </c>
      <c r="BK87" s="12">
        <v>0</v>
      </c>
      <c r="BL87" s="12">
        <v>0</v>
      </c>
      <c r="BM87" s="17">
        <v>12800</v>
      </c>
      <c r="BN87" s="9">
        <f t="shared" si="2"/>
        <v>12800</v>
      </c>
      <c r="BO87" s="9">
        <f t="shared" si="3"/>
        <v>8960</v>
      </c>
    </row>
    <row r="88" spans="1:67" ht="24">
      <c r="A88" s="8" t="s">
        <v>73</v>
      </c>
      <c r="B88" s="10" t="s">
        <v>140</v>
      </c>
      <c r="C88" s="10">
        <v>364724</v>
      </c>
      <c r="D88" s="11"/>
      <c r="E88" s="10" t="s">
        <v>16</v>
      </c>
      <c r="F88" s="10" t="s">
        <v>45</v>
      </c>
      <c r="G88" s="10" t="s">
        <v>11</v>
      </c>
      <c r="H88" s="12" t="s">
        <v>7</v>
      </c>
      <c r="I88" s="12" t="s">
        <v>141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127</v>
      </c>
      <c r="AF88" s="13">
        <v>4100</v>
      </c>
      <c r="AG88" s="13">
        <v>8600</v>
      </c>
      <c r="AH88" s="12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2">
        <v>0</v>
      </c>
      <c r="AU88" s="12">
        <v>0</v>
      </c>
      <c r="AV88" s="12">
        <v>0</v>
      </c>
      <c r="AW88" s="12">
        <v>0</v>
      </c>
      <c r="AX88" s="12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2">
        <v>0</v>
      </c>
      <c r="BK88" s="12">
        <v>0</v>
      </c>
      <c r="BL88" s="12">
        <v>0</v>
      </c>
      <c r="BM88" s="17">
        <v>12700</v>
      </c>
      <c r="BN88" s="9">
        <f t="shared" si="2"/>
        <v>12700</v>
      </c>
      <c r="BO88" s="9">
        <f t="shared" si="3"/>
        <v>8890</v>
      </c>
    </row>
    <row r="89" spans="1:67" ht="24">
      <c r="A89" s="8" t="s">
        <v>73</v>
      </c>
      <c r="B89" s="10" t="s">
        <v>148</v>
      </c>
      <c r="C89" s="10">
        <v>482098</v>
      </c>
      <c r="D89" s="11"/>
      <c r="E89" s="10" t="s">
        <v>16</v>
      </c>
      <c r="F89" s="10" t="s">
        <v>34</v>
      </c>
      <c r="G89" s="10" t="s">
        <v>67</v>
      </c>
      <c r="H89" s="12" t="s">
        <v>8</v>
      </c>
      <c r="I89" s="12" t="s">
        <v>165</v>
      </c>
      <c r="J89" s="12">
        <v>0</v>
      </c>
      <c r="K89" s="12">
        <v>65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2">
        <v>0</v>
      </c>
      <c r="AE89" s="12">
        <v>83</v>
      </c>
      <c r="AF89" s="13">
        <v>8300</v>
      </c>
      <c r="AG89" s="12">
        <v>0</v>
      </c>
      <c r="AH89" s="12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32</v>
      </c>
      <c r="AR89" s="13">
        <v>3200</v>
      </c>
      <c r="AS89" s="12">
        <v>0</v>
      </c>
      <c r="AT89" s="12">
        <v>0</v>
      </c>
      <c r="AU89" s="12">
        <v>0</v>
      </c>
      <c r="AV89" s="12">
        <v>0</v>
      </c>
      <c r="AW89" s="12">
        <v>0</v>
      </c>
      <c r="AX89" s="12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7</v>
      </c>
      <c r="BD89" s="12">
        <v>840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2">
        <v>0</v>
      </c>
      <c r="BK89" s="12">
        <v>0</v>
      </c>
      <c r="BL89" s="12">
        <v>50.4</v>
      </c>
      <c r="BM89" s="17">
        <v>12340</v>
      </c>
      <c r="BN89" s="9">
        <f t="shared" si="2"/>
        <v>12289.6</v>
      </c>
      <c r="BO89" s="9">
        <f t="shared" si="3"/>
        <v>8602.7199999999993</v>
      </c>
    </row>
    <row r="90" spans="1:67" ht="24">
      <c r="A90" s="8" t="s">
        <v>73</v>
      </c>
      <c r="B90" s="10" t="s">
        <v>260</v>
      </c>
      <c r="C90" s="10">
        <v>490220</v>
      </c>
      <c r="D90" s="11"/>
      <c r="E90" s="10" t="s">
        <v>16</v>
      </c>
      <c r="F90" s="10" t="s">
        <v>261</v>
      </c>
      <c r="G90" s="10" t="s">
        <v>29</v>
      </c>
      <c r="H90" s="12" t="s">
        <v>8</v>
      </c>
      <c r="I90" s="12" t="s">
        <v>262</v>
      </c>
      <c r="J90" s="12">
        <v>0</v>
      </c>
      <c r="K90" s="12">
        <v>22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89</v>
      </c>
      <c r="AF90" s="13">
        <v>8900</v>
      </c>
      <c r="AG90" s="12">
        <v>0</v>
      </c>
      <c r="AH90" s="12">
        <v>0</v>
      </c>
      <c r="AI90" s="12">
        <v>0</v>
      </c>
      <c r="AJ90" s="12">
        <v>0</v>
      </c>
      <c r="AK90" s="12">
        <v>11</v>
      </c>
      <c r="AL90" s="12">
        <v>360</v>
      </c>
      <c r="AM90" s="12">
        <v>800</v>
      </c>
      <c r="AN90" s="12">
        <v>0</v>
      </c>
      <c r="AO90" s="12">
        <v>0</v>
      </c>
      <c r="AP90" s="12">
        <v>0</v>
      </c>
      <c r="AQ90" s="12">
        <v>4</v>
      </c>
      <c r="AR90" s="12">
        <v>400</v>
      </c>
      <c r="AS90" s="12">
        <v>0</v>
      </c>
      <c r="AT90" s="12">
        <v>0</v>
      </c>
      <c r="AU90" s="12">
        <v>0</v>
      </c>
      <c r="AV90" s="12">
        <v>0</v>
      </c>
      <c r="AW90" s="12">
        <v>0</v>
      </c>
      <c r="AX90" s="12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1</v>
      </c>
      <c r="BD90" s="12">
        <v>120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2">
        <v>0</v>
      </c>
      <c r="BK90" s="12">
        <v>0</v>
      </c>
      <c r="BL90" s="12">
        <v>115.2</v>
      </c>
      <c r="BM90" s="17">
        <v>10580</v>
      </c>
      <c r="BN90" s="9">
        <f t="shared" si="2"/>
        <v>10464.799999999999</v>
      </c>
      <c r="BO90" s="9">
        <f t="shared" si="3"/>
        <v>7325.3599999999988</v>
      </c>
    </row>
    <row r="91" spans="1:67" ht="24">
      <c r="A91" s="8" t="s">
        <v>73</v>
      </c>
      <c r="B91" s="10" t="s">
        <v>278</v>
      </c>
      <c r="C91" s="10">
        <v>455227</v>
      </c>
      <c r="D91" s="11"/>
      <c r="E91" s="10" t="s">
        <v>16</v>
      </c>
      <c r="F91" s="10" t="s">
        <v>279</v>
      </c>
      <c r="G91" s="10" t="s">
        <v>11</v>
      </c>
      <c r="H91" s="12" t="s">
        <v>8</v>
      </c>
      <c r="I91" s="12" t="s">
        <v>280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0</v>
      </c>
      <c r="AC91" s="12">
        <v>0</v>
      </c>
      <c r="AD91" s="12">
        <v>0</v>
      </c>
      <c r="AE91" s="12">
        <v>76</v>
      </c>
      <c r="AF91" s="13">
        <v>7600</v>
      </c>
      <c r="AG91" s="12">
        <v>0</v>
      </c>
      <c r="AH91" s="12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2">
        <v>0</v>
      </c>
      <c r="AU91" s="12">
        <v>0</v>
      </c>
      <c r="AV91" s="12">
        <v>0</v>
      </c>
      <c r="AW91" s="12">
        <v>0</v>
      </c>
      <c r="AX91" s="12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2">
        <v>0</v>
      </c>
      <c r="BK91" s="12">
        <v>0</v>
      </c>
      <c r="BL91" s="12">
        <v>0</v>
      </c>
      <c r="BM91" s="17">
        <v>7600</v>
      </c>
      <c r="BN91" s="9">
        <f t="shared" si="2"/>
        <v>7600</v>
      </c>
      <c r="BO91" s="9">
        <f t="shared" si="3"/>
        <v>5320</v>
      </c>
    </row>
    <row r="92" spans="1:67" ht="24">
      <c r="A92" s="8" t="s">
        <v>73</v>
      </c>
      <c r="B92" s="10" t="s">
        <v>46</v>
      </c>
      <c r="C92" s="10">
        <v>290890</v>
      </c>
      <c r="D92" s="11"/>
      <c r="E92" s="10" t="s">
        <v>16</v>
      </c>
      <c r="F92" s="10" t="s">
        <v>26</v>
      </c>
      <c r="G92" s="10" t="s">
        <v>11</v>
      </c>
      <c r="H92" s="12" t="s">
        <v>7</v>
      </c>
      <c r="I92" s="12" t="s">
        <v>47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6</v>
      </c>
      <c r="AC92" s="13">
        <v>6480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2">
        <v>0</v>
      </c>
      <c r="AU92" s="12">
        <v>0</v>
      </c>
      <c r="AV92" s="12">
        <v>0</v>
      </c>
      <c r="AW92" s="12">
        <v>0</v>
      </c>
      <c r="AX92" s="12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2">
        <v>0</v>
      </c>
      <c r="BK92" s="12">
        <v>0</v>
      </c>
      <c r="BL92" s="12">
        <v>0</v>
      </c>
      <c r="BM92" s="17">
        <v>6480</v>
      </c>
      <c r="BN92" s="9">
        <f t="shared" si="2"/>
        <v>6480</v>
      </c>
      <c r="BO92" s="9">
        <f t="shared" si="3"/>
        <v>4536</v>
      </c>
    </row>
    <row r="93" spans="1:67" ht="24">
      <c r="A93" s="8" t="s">
        <v>73</v>
      </c>
      <c r="B93" s="10" t="s">
        <v>66</v>
      </c>
      <c r="C93" s="10">
        <v>458568</v>
      </c>
      <c r="D93" s="11"/>
      <c r="E93" s="10" t="s">
        <v>16</v>
      </c>
      <c r="F93" s="10" t="s">
        <v>26</v>
      </c>
      <c r="G93" s="10" t="s">
        <v>11</v>
      </c>
      <c r="H93" s="12" t="s">
        <v>7</v>
      </c>
      <c r="I93" s="12" t="s">
        <v>54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2">
        <v>0</v>
      </c>
      <c r="AE93" s="12">
        <v>2</v>
      </c>
      <c r="AF93" s="13">
        <v>6400</v>
      </c>
      <c r="AG93" s="12">
        <v>0</v>
      </c>
      <c r="AH93" s="12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2">
        <v>0</v>
      </c>
      <c r="AU93" s="12">
        <v>0</v>
      </c>
      <c r="AV93" s="12">
        <v>0</v>
      </c>
      <c r="AW93" s="12">
        <v>0</v>
      </c>
      <c r="AX93" s="12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2">
        <v>0</v>
      </c>
      <c r="BK93" s="12">
        <v>0</v>
      </c>
      <c r="BL93" s="12">
        <v>0</v>
      </c>
      <c r="BM93" s="17">
        <v>6400</v>
      </c>
      <c r="BN93" s="9">
        <f t="shared" si="2"/>
        <v>6400</v>
      </c>
      <c r="BO93" s="9">
        <f t="shared" si="3"/>
        <v>4480</v>
      </c>
    </row>
    <row r="94" spans="1:67" ht="24">
      <c r="A94" s="8" t="s">
        <v>73</v>
      </c>
      <c r="B94" s="10" t="s">
        <v>295</v>
      </c>
      <c r="C94" s="10">
        <v>462361</v>
      </c>
      <c r="D94" s="11"/>
      <c r="E94" s="10" t="s">
        <v>16</v>
      </c>
      <c r="F94" s="10" t="s">
        <v>33</v>
      </c>
      <c r="G94" s="10" t="s">
        <v>11</v>
      </c>
      <c r="H94" s="12" t="s">
        <v>7</v>
      </c>
      <c r="I94" s="12" t="s">
        <v>296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2</v>
      </c>
      <c r="AF94" s="13">
        <v>4500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1</v>
      </c>
      <c r="AR94" s="13">
        <v>1900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7">
        <v>6400</v>
      </c>
      <c r="BN94" s="9">
        <f t="shared" si="2"/>
        <v>6400</v>
      </c>
      <c r="BO94" s="9">
        <f t="shared" si="3"/>
        <v>4480</v>
      </c>
    </row>
    <row r="95" spans="1:67" ht="24">
      <c r="A95" s="8" t="s">
        <v>73</v>
      </c>
      <c r="B95" s="10" t="s">
        <v>187</v>
      </c>
      <c r="C95" s="10">
        <v>395270</v>
      </c>
      <c r="D95" s="11"/>
      <c r="E95" s="10" t="s">
        <v>16</v>
      </c>
      <c r="F95" s="10" t="s">
        <v>28</v>
      </c>
      <c r="G95" s="10" t="s">
        <v>29</v>
      </c>
      <c r="H95" s="12" t="s">
        <v>8</v>
      </c>
      <c r="I95" s="12" t="s">
        <v>30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2">
        <v>0</v>
      </c>
      <c r="AE95" s="12">
        <v>23</v>
      </c>
      <c r="AF95" s="13">
        <v>2300</v>
      </c>
      <c r="AG95" s="12">
        <v>0</v>
      </c>
      <c r="AH95" s="12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30</v>
      </c>
      <c r="AR95" s="13">
        <v>3000</v>
      </c>
      <c r="AS95" s="12">
        <v>0</v>
      </c>
      <c r="AT95" s="12">
        <v>0</v>
      </c>
      <c r="AU95" s="12">
        <v>0</v>
      </c>
      <c r="AV95" s="12">
        <v>0</v>
      </c>
      <c r="AW95" s="12">
        <v>0</v>
      </c>
      <c r="AX95" s="12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4</v>
      </c>
      <c r="BD95" s="12">
        <v>480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2">
        <v>0</v>
      </c>
      <c r="BK95" s="12">
        <v>0</v>
      </c>
      <c r="BL95" s="12">
        <v>28.8</v>
      </c>
      <c r="BM95" s="17">
        <v>5780</v>
      </c>
      <c r="BN95" s="9">
        <f t="shared" si="2"/>
        <v>5751.2</v>
      </c>
      <c r="BO95" s="9">
        <f t="shared" si="3"/>
        <v>4025.8399999999997</v>
      </c>
    </row>
    <row r="96" spans="1:67" ht="48">
      <c r="A96" s="8" t="s">
        <v>73</v>
      </c>
      <c r="B96" s="10" t="s">
        <v>191</v>
      </c>
      <c r="C96" s="10">
        <v>469072</v>
      </c>
      <c r="D96" s="11"/>
      <c r="E96" s="10" t="s">
        <v>16</v>
      </c>
      <c r="F96" s="10" t="s">
        <v>161</v>
      </c>
      <c r="G96" s="10" t="s">
        <v>29</v>
      </c>
      <c r="H96" s="12" t="s">
        <v>8</v>
      </c>
      <c r="I96" s="12" t="s">
        <v>192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55</v>
      </c>
      <c r="AF96" s="13">
        <v>5500</v>
      </c>
      <c r="AG96" s="12">
        <v>0</v>
      </c>
      <c r="AH96" s="12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2">
        <v>0</v>
      </c>
      <c r="AU96" s="12">
        <v>0</v>
      </c>
      <c r="AV96" s="12">
        <v>0</v>
      </c>
      <c r="AW96" s="12">
        <v>0</v>
      </c>
      <c r="AX96" s="12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2">
        <v>0</v>
      </c>
      <c r="BK96" s="12">
        <v>0</v>
      </c>
      <c r="BL96" s="12">
        <v>0</v>
      </c>
      <c r="BM96" s="17">
        <v>5500</v>
      </c>
      <c r="BN96" s="9">
        <f t="shared" si="2"/>
        <v>5500</v>
      </c>
      <c r="BO96" s="9">
        <f t="shared" si="3"/>
        <v>3849.9999999999995</v>
      </c>
    </row>
    <row r="97" spans="1:67" ht="24">
      <c r="A97" s="8" t="s">
        <v>73</v>
      </c>
      <c r="B97" s="10" t="s">
        <v>284</v>
      </c>
      <c r="C97" s="10">
        <v>490763</v>
      </c>
      <c r="D97" s="11"/>
      <c r="E97" s="10" t="s">
        <v>16</v>
      </c>
      <c r="F97" s="10" t="s">
        <v>285</v>
      </c>
      <c r="G97" s="10" t="s">
        <v>67</v>
      </c>
      <c r="H97" s="12" t="s">
        <v>8</v>
      </c>
      <c r="I97" s="12" t="s">
        <v>286</v>
      </c>
      <c r="J97" s="12">
        <v>0</v>
      </c>
      <c r="K97" s="12">
        <v>3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2">
        <v>0</v>
      </c>
      <c r="AE97" s="12">
        <v>11</v>
      </c>
      <c r="AF97" s="13">
        <v>1100</v>
      </c>
      <c r="AG97" s="12">
        <v>0</v>
      </c>
      <c r="AH97" s="12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43</v>
      </c>
      <c r="AR97" s="13">
        <v>4300</v>
      </c>
      <c r="AS97" s="12">
        <v>0</v>
      </c>
      <c r="AT97" s="12">
        <v>0</v>
      </c>
      <c r="AU97" s="12">
        <v>0</v>
      </c>
      <c r="AV97" s="12">
        <v>0</v>
      </c>
      <c r="AW97" s="12">
        <v>0</v>
      </c>
      <c r="AX97" s="12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2">
        <v>0</v>
      </c>
      <c r="BK97" s="12">
        <v>0</v>
      </c>
      <c r="BL97" s="12">
        <v>0</v>
      </c>
      <c r="BM97" s="17">
        <v>5400</v>
      </c>
      <c r="BN97" s="9">
        <f t="shared" si="2"/>
        <v>5400</v>
      </c>
      <c r="BO97" s="9">
        <f t="shared" si="3"/>
        <v>3779.9999999999995</v>
      </c>
    </row>
    <row r="98" spans="1:67" ht="24">
      <c r="A98" s="8" t="s">
        <v>73</v>
      </c>
      <c r="B98" s="10" t="s">
        <v>241</v>
      </c>
      <c r="C98" s="10">
        <v>488804</v>
      </c>
      <c r="D98" s="11"/>
      <c r="E98" s="10" t="s">
        <v>16</v>
      </c>
      <c r="F98" s="10" t="s">
        <v>242</v>
      </c>
      <c r="G98" s="10" t="s">
        <v>29</v>
      </c>
      <c r="H98" s="12" t="s">
        <v>8</v>
      </c>
      <c r="I98" s="12" t="s">
        <v>236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2</v>
      </c>
      <c r="AF98" s="13">
        <v>5400</v>
      </c>
      <c r="AG98" s="12">
        <v>0</v>
      </c>
      <c r="AH98" s="12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2">
        <v>0</v>
      </c>
      <c r="AU98" s="12">
        <v>0</v>
      </c>
      <c r="AV98" s="12">
        <v>0</v>
      </c>
      <c r="AW98" s="12">
        <v>0</v>
      </c>
      <c r="AX98" s="12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2">
        <v>0</v>
      </c>
      <c r="BK98" s="12">
        <v>0</v>
      </c>
      <c r="BL98" s="12">
        <v>0</v>
      </c>
      <c r="BM98" s="17">
        <v>5400</v>
      </c>
      <c r="BN98" s="9">
        <f t="shared" si="2"/>
        <v>5400</v>
      </c>
      <c r="BO98" s="9">
        <f t="shared" si="3"/>
        <v>3779.9999999999995</v>
      </c>
    </row>
    <row r="99" spans="1:67" ht="24">
      <c r="A99" s="8" t="s">
        <v>73</v>
      </c>
      <c r="B99" s="10" t="s">
        <v>177</v>
      </c>
      <c r="C99" s="10">
        <v>484300</v>
      </c>
      <c r="D99" s="11"/>
      <c r="E99" s="10" t="s">
        <v>16</v>
      </c>
      <c r="F99" s="10" t="s">
        <v>178</v>
      </c>
      <c r="G99" s="10" t="s">
        <v>11</v>
      </c>
      <c r="H99" s="12" t="s">
        <v>7</v>
      </c>
      <c r="I99" s="12" t="s">
        <v>179</v>
      </c>
      <c r="J99" s="12">
        <v>1</v>
      </c>
      <c r="K99" s="12">
        <v>0</v>
      </c>
      <c r="L99" s="12">
        <v>100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2">
        <v>0</v>
      </c>
      <c r="AB99" s="12">
        <v>0</v>
      </c>
      <c r="AC99" s="12">
        <v>0</v>
      </c>
      <c r="AD99" s="12">
        <v>0</v>
      </c>
      <c r="AE99" s="12">
        <v>50</v>
      </c>
      <c r="AF99" s="13">
        <v>5000</v>
      </c>
      <c r="AG99" s="12">
        <v>0</v>
      </c>
      <c r="AH99" s="12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2">
        <v>0</v>
      </c>
      <c r="AU99" s="12">
        <v>0</v>
      </c>
      <c r="AV99" s="12">
        <v>0</v>
      </c>
      <c r="AW99" s="12">
        <v>0</v>
      </c>
      <c r="AX99" s="12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2">
        <v>0</v>
      </c>
      <c r="BK99" s="12">
        <v>0</v>
      </c>
      <c r="BL99" s="12">
        <v>0</v>
      </c>
      <c r="BM99" s="17">
        <v>5100</v>
      </c>
      <c r="BN99" s="9">
        <f t="shared" si="2"/>
        <v>5100</v>
      </c>
      <c r="BO99" s="9">
        <f t="shared" si="3"/>
        <v>3570</v>
      </c>
    </row>
    <row r="100" spans="1:67" ht="24">
      <c r="A100" s="8" t="s">
        <v>73</v>
      </c>
      <c r="B100" s="10" t="s">
        <v>289</v>
      </c>
      <c r="C100" s="10">
        <v>476788</v>
      </c>
      <c r="D100" s="11"/>
      <c r="E100" s="10" t="s">
        <v>16</v>
      </c>
      <c r="F100" s="10" t="s">
        <v>139</v>
      </c>
      <c r="G100" s="10" t="s">
        <v>11</v>
      </c>
      <c r="H100" s="12" t="s">
        <v>7</v>
      </c>
      <c r="I100" s="12" t="s">
        <v>290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25</v>
      </c>
      <c r="AF100" s="13">
        <v>2500</v>
      </c>
      <c r="AG100" s="12">
        <v>0</v>
      </c>
      <c r="AH100" s="12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25</v>
      </c>
      <c r="AR100" s="13">
        <v>2500</v>
      </c>
      <c r="AS100" s="12">
        <v>0</v>
      </c>
      <c r="AT100" s="12">
        <v>0</v>
      </c>
      <c r="AU100" s="12">
        <v>0</v>
      </c>
      <c r="AV100" s="12">
        <v>0</v>
      </c>
      <c r="AW100" s="12">
        <v>0</v>
      </c>
      <c r="AX100" s="12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2">
        <v>0</v>
      </c>
      <c r="BK100" s="12">
        <v>0</v>
      </c>
      <c r="BL100" s="12">
        <v>0</v>
      </c>
      <c r="BM100" s="17">
        <v>5000</v>
      </c>
      <c r="BN100" s="9">
        <f t="shared" si="2"/>
        <v>5000</v>
      </c>
      <c r="BO100" s="9">
        <f t="shared" si="3"/>
        <v>3500</v>
      </c>
    </row>
    <row r="101" spans="1:67" ht="24">
      <c r="A101" s="8" t="s">
        <v>73</v>
      </c>
      <c r="B101" s="10" t="s">
        <v>37</v>
      </c>
      <c r="C101" s="10">
        <v>412919</v>
      </c>
      <c r="D101" s="11"/>
      <c r="E101" s="10" t="s">
        <v>16</v>
      </c>
      <c r="F101" s="10" t="s">
        <v>38</v>
      </c>
      <c r="G101" s="10" t="s">
        <v>29</v>
      </c>
      <c r="H101" s="12" t="s">
        <v>8</v>
      </c>
      <c r="I101" s="12" t="s">
        <v>39</v>
      </c>
      <c r="J101" s="12">
        <v>0</v>
      </c>
      <c r="K101" s="12">
        <v>22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2">
        <v>0</v>
      </c>
      <c r="AB101" s="12">
        <v>0</v>
      </c>
      <c r="AC101" s="12">
        <v>0</v>
      </c>
      <c r="AD101" s="12">
        <v>0</v>
      </c>
      <c r="AE101" s="12">
        <v>27</v>
      </c>
      <c r="AF101" s="13">
        <v>2700</v>
      </c>
      <c r="AG101" s="12">
        <v>0</v>
      </c>
      <c r="AH101" s="12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13</v>
      </c>
      <c r="AR101" s="13">
        <v>1000</v>
      </c>
      <c r="AS101" s="12">
        <v>300</v>
      </c>
      <c r="AT101" s="12">
        <v>0</v>
      </c>
      <c r="AU101" s="12">
        <v>0</v>
      </c>
      <c r="AV101" s="12">
        <v>0</v>
      </c>
      <c r="AW101" s="12">
        <v>0</v>
      </c>
      <c r="AX101" s="12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2">
        <v>0</v>
      </c>
      <c r="BK101" s="12">
        <v>0</v>
      </c>
      <c r="BL101" s="12">
        <v>0</v>
      </c>
      <c r="BM101" s="17">
        <v>4000</v>
      </c>
      <c r="BN101" s="9">
        <f t="shared" si="2"/>
        <v>4000</v>
      </c>
      <c r="BO101" s="9">
        <f t="shared" si="3"/>
        <v>2800</v>
      </c>
    </row>
    <row r="102" spans="1:67" ht="24">
      <c r="A102" s="8" t="s">
        <v>73</v>
      </c>
      <c r="B102" s="10" t="s">
        <v>249</v>
      </c>
      <c r="C102" s="10">
        <v>431781</v>
      </c>
      <c r="D102" s="11"/>
      <c r="E102" s="10" t="s">
        <v>16</v>
      </c>
      <c r="F102" s="10" t="s">
        <v>176</v>
      </c>
      <c r="G102" s="10" t="s">
        <v>29</v>
      </c>
      <c r="H102" s="12" t="s">
        <v>56</v>
      </c>
      <c r="I102" s="12" t="s">
        <v>250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1</v>
      </c>
      <c r="AF102" s="13">
        <v>4000</v>
      </c>
      <c r="AG102" s="12">
        <v>0</v>
      </c>
      <c r="AH102" s="12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2">
        <v>0</v>
      </c>
      <c r="AU102" s="12">
        <v>0</v>
      </c>
      <c r="AV102" s="12">
        <v>0</v>
      </c>
      <c r="AW102" s="12">
        <v>0</v>
      </c>
      <c r="AX102" s="12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2">
        <v>0</v>
      </c>
      <c r="BK102" s="12">
        <v>0</v>
      </c>
      <c r="BL102" s="12">
        <v>0</v>
      </c>
      <c r="BM102" s="17">
        <v>4000</v>
      </c>
      <c r="BN102" s="9">
        <f t="shared" si="2"/>
        <v>4000</v>
      </c>
      <c r="BO102" s="9">
        <f t="shared" si="3"/>
        <v>2800</v>
      </c>
    </row>
    <row r="103" spans="1:67" ht="24">
      <c r="A103" s="8" t="s">
        <v>73</v>
      </c>
      <c r="B103" s="10" t="s">
        <v>227</v>
      </c>
      <c r="C103" s="10">
        <v>416208</v>
      </c>
      <c r="D103" s="11"/>
      <c r="E103" s="10" t="s">
        <v>16</v>
      </c>
      <c r="F103" s="10" t="s">
        <v>55</v>
      </c>
      <c r="G103" s="10" t="s">
        <v>29</v>
      </c>
      <c r="H103" s="12" t="s">
        <v>56</v>
      </c>
      <c r="I103" s="12" t="s">
        <v>228</v>
      </c>
      <c r="J103" s="12">
        <v>0</v>
      </c>
      <c r="K103" s="12">
        <v>0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2">
        <v>0</v>
      </c>
      <c r="AE103" s="12">
        <v>0</v>
      </c>
      <c r="AF103" s="12">
        <v>0</v>
      </c>
      <c r="AG103" s="12">
        <v>0</v>
      </c>
      <c r="AH103" s="12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1</v>
      </c>
      <c r="AR103" s="13">
        <v>3500</v>
      </c>
      <c r="AS103" s="12">
        <v>0</v>
      </c>
      <c r="AT103" s="12">
        <v>0</v>
      </c>
      <c r="AU103" s="12">
        <v>0</v>
      </c>
      <c r="AV103" s="12">
        <v>0</v>
      </c>
      <c r="AW103" s="12">
        <v>0</v>
      </c>
      <c r="AX103" s="12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2">
        <v>0</v>
      </c>
      <c r="BK103" s="12">
        <v>0</v>
      </c>
      <c r="BL103" s="12">
        <v>0</v>
      </c>
      <c r="BM103" s="17">
        <v>3500</v>
      </c>
      <c r="BN103" s="9">
        <f t="shared" si="2"/>
        <v>3500</v>
      </c>
      <c r="BO103" s="9">
        <f t="shared" si="3"/>
        <v>2450</v>
      </c>
    </row>
    <row r="104" spans="1:67" ht="24">
      <c r="A104" s="8" t="s">
        <v>73</v>
      </c>
      <c r="B104" s="10" t="s">
        <v>224</v>
      </c>
      <c r="C104" s="10">
        <v>316658</v>
      </c>
      <c r="D104" s="11"/>
      <c r="E104" s="10" t="s">
        <v>16</v>
      </c>
      <c r="F104" s="10" t="s">
        <v>41</v>
      </c>
      <c r="G104" s="10" t="s">
        <v>11</v>
      </c>
      <c r="H104" s="12" t="s">
        <v>7</v>
      </c>
      <c r="I104" s="12" t="s">
        <v>225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34</v>
      </c>
      <c r="AF104" s="13">
        <v>3400</v>
      </c>
      <c r="AG104" s="12">
        <v>0</v>
      </c>
      <c r="AH104" s="12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1</v>
      </c>
      <c r="AR104" s="12">
        <v>100</v>
      </c>
      <c r="AS104" s="12">
        <v>0</v>
      </c>
      <c r="AT104" s="12">
        <v>0</v>
      </c>
      <c r="AU104" s="12">
        <v>0</v>
      </c>
      <c r="AV104" s="12">
        <v>0</v>
      </c>
      <c r="AW104" s="12">
        <v>0</v>
      </c>
      <c r="AX104" s="12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2">
        <v>0</v>
      </c>
      <c r="BK104" s="12">
        <v>0</v>
      </c>
      <c r="BL104" s="12">
        <v>0</v>
      </c>
      <c r="BM104" s="17">
        <v>3500</v>
      </c>
      <c r="BN104" s="9">
        <f t="shared" si="2"/>
        <v>3500</v>
      </c>
      <c r="BO104" s="9">
        <f t="shared" si="3"/>
        <v>2450</v>
      </c>
    </row>
    <row r="105" spans="1:67" ht="24">
      <c r="A105" s="8" t="s">
        <v>73</v>
      </c>
      <c r="B105" s="10" t="s">
        <v>297</v>
      </c>
      <c r="C105" s="10">
        <v>481369</v>
      </c>
      <c r="D105" s="11"/>
      <c r="E105" s="10" t="s">
        <v>16</v>
      </c>
      <c r="F105" s="10" t="s">
        <v>22</v>
      </c>
      <c r="G105" s="10" t="s">
        <v>11</v>
      </c>
      <c r="H105" s="12" t="s">
        <v>7</v>
      </c>
      <c r="I105" s="12" t="s">
        <v>144</v>
      </c>
      <c r="J105" s="12">
        <v>0</v>
      </c>
      <c r="K105" s="12">
        <v>0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2">
        <v>0</v>
      </c>
      <c r="AE105" s="12">
        <v>1</v>
      </c>
      <c r="AF105" s="13">
        <v>3200</v>
      </c>
      <c r="AG105" s="12">
        <v>0</v>
      </c>
      <c r="AH105" s="12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2">
        <v>0</v>
      </c>
      <c r="AU105" s="12">
        <v>0</v>
      </c>
      <c r="AV105" s="12">
        <v>0</v>
      </c>
      <c r="AW105" s="12">
        <v>0</v>
      </c>
      <c r="AX105" s="12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2">
        <v>0</v>
      </c>
      <c r="BK105" s="12">
        <v>0</v>
      </c>
      <c r="BL105" s="12">
        <v>0</v>
      </c>
      <c r="BM105" s="17">
        <v>3200</v>
      </c>
      <c r="BN105" s="9">
        <f t="shared" si="2"/>
        <v>3200</v>
      </c>
      <c r="BO105" s="9">
        <f t="shared" si="3"/>
        <v>2240</v>
      </c>
    </row>
    <row r="106" spans="1:67" ht="24">
      <c r="A106" s="8" t="s">
        <v>73</v>
      </c>
      <c r="B106" s="10" t="s">
        <v>243</v>
      </c>
      <c r="C106" s="10">
        <v>392777</v>
      </c>
      <c r="D106" s="11"/>
      <c r="E106" s="10" t="s">
        <v>16</v>
      </c>
      <c r="F106" s="10" t="s">
        <v>45</v>
      </c>
      <c r="G106" s="10" t="s">
        <v>11</v>
      </c>
      <c r="H106" s="12" t="s">
        <v>7</v>
      </c>
      <c r="I106" s="12" t="s">
        <v>244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2">
        <v>0</v>
      </c>
      <c r="AK106" s="12">
        <v>0</v>
      </c>
      <c r="AL106" s="12">
        <v>0</v>
      </c>
      <c r="AM106" s="12">
        <v>0</v>
      </c>
      <c r="AN106" s="12">
        <v>0</v>
      </c>
      <c r="AO106" s="12">
        <v>0</v>
      </c>
      <c r="AP106" s="12">
        <v>0</v>
      </c>
      <c r="AQ106" s="12">
        <v>1</v>
      </c>
      <c r="AR106" s="13">
        <v>3200</v>
      </c>
      <c r="AS106" s="12">
        <v>0</v>
      </c>
      <c r="AT106" s="12">
        <v>0</v>
      </c>
      <c r="AU106" s="12">
        <v>0</v>
      </c>
      <c r="AV106" s="12">
        <v>0</v>
      </c>
      <c r="AW106" s="12">
        <v>0</v>
      </c>
      <c r="AX106" s="12">
        <v>0</v>
      </c>
      <c r="AY106" s="12">
        <v>0</v>
      </c>
      <c r="AZ106" s="12">
        <v>0</v>
      </c>
      <c r="BA106" s="12">
        <v>0</v>
      </c>
      <c r="BB106" s="12">
        <v>0</v>
      </c>
      <c r="BC106" s="12">
        <v>0</v>
      </c>
      <c r="BD106" s="12">
        <v>0</v>
      </c>
      <c r="BE106" s="12">
        <v>0</v>
      </c>
      <c r="BF106" s="12">
        <v>0</v>
      </c>
      <c r="BG106" s="12">
        <v>0</v>
      </c>
      <c r="BH106" s="12">
        <v>0</v>
      </c>
      <c r="BI106" s="12">
        <v>0</v>
      </c>
      <c r="BJ106" s="12">
        <v>0</v>
      </c>
      <c r="BK106" s="12">
        <v>0</v>
      </c>
      <c r="BL106" s="12">
        <v>0</v>
      </c>
      <c r="BM106" s="17">
        <v>3200</v>
      </c>
      <c r="BN106" s="9">
        <f t="shared" ref="BN106:BN130" si="4">BM106-BL106</f>
        <v>3200</v>
      </c>
      <c r="BO106" s="9">
        <f t="shared" ref="BO106:BO130" si="5">BN106*70%</f>
        <v>2240</v>
      </c>
    </row>
    <row r="107" spans="1:67" ht="24">
      <c r="A107" s="8" t="s">
        <v>73</v>
      </c>
      <c r="B107" s="10" t="s">
        <v>298</v>
      </c>
      <c r="C107" s="10">
        <v>391329</v>
      </c>
      <c r="D107" s="11"/>
      <c r="E107" s="10" t="s">
        <v>16</v>
      </c>
      <c r="F107" s="10" t="s">
        <v>41</v>
      </c>
      <c r="G107" s="10" t="s">
        <v>11</v>
      </c>
      <c r="H107" s="12" t="s">
        <v>7</v>
      </c>
      <c r="I107" s="12" t="s">
        <v>299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1</v>
      </c>
      <c r="AR107" s="13">
        <v>3200</v>
      </c>
      <c r="AS107" s="12">
        <v>0</v>
      </c>
      <c r="AT107" s="12">
        <v>0</v>
      </c>
      <c r="AU107" s="12">
        <v>0</v>
      </c>
      <c r="AV107" s="12">
        <v>0</v>
      </c>
      <c r="AW107" s="12">
        <v>0</v>
      </c>
      <c r="AX107" s="12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2">
        <v>0</v>
      </c>
      <c r="BK107" s="12">
        <v>0</v>
      </c>
      <c r="BL107" s="12">
        <v>0</v>
      </c>
      <c r="BM107" s="17">
        <v>3200</v>
      </c>
      <c r="BN107" s="9">
        <f t="shared" si="4"/>
        <v>3200</v>
      </c>
      <c r="BO107" s="9">
        <f t="shared" si="5"/>
        <v>2240</v>
      </c>
    </row>
    <row r="108" spans="1:67" ht="24">
      <c r="A108" s="8" t="s">
        <v>73</v>
      </c>
      <c r="B108" s="10" t="s">
        <v>300</v>
      </c>
      <c r="C108" s="10">
        <v>445688</v>
      </c>
      <c r="D108" s="11"/>
      <c r="E108" s="10" t="s">
        <v>16</v>
      </c>
      <c r="F108" s="10" t="s">
        <v>22</v>
      </c>
      <c r="G108" s="10" t="s">
        <v>11</v>
      </c>
      <c r="H108" s="12" t="s">
        <v>7</v>
      </c>
      <c r="I108" s="12" t="s">
        <v>219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29</v>
      </c>
      <c r="AF108" s="13">
        <v>2900</v>
      </c>
      <c r="AG108" s="12">
        <v>0</v>
      </c>
      <c r="AH108" s="12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2">
        <v>0</v>
      </c>
      <c r="AU108" s="12">
        <v>0</v>
      </c>
      <c r="AV108" s="12">
        <v>0</v>
      </c>
      <c r="AW108" s="12">
        <v>0</v>
      </c>
      <c r="AX108" s="12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2">
        <v>0</v>
      </c>
      <c r="BK108" s="12">
        <v>0</v>
      </c>
      <c r="BL108" s="12">
        <v>0</v>
      </c>
      <c r="BM108" s="17">
        <v>2900</v>
      </c>
      <c r="BN108" s="9">
        <f t="shared" si="4"/>
        <v>2900</v>
      </c>
      <c r="BO108" s="9">
        <f t="shared" si="5"/>
        <v>2029.9999999999998</v>
      </c>
    </row>
    <row r="109" spans="1:67" ht="24">
      <c r="A109" s="8" t="s">
        <v>73</v>
      </c>
      <c r="B109" s="10" t="s">
        <v>270</v>
      </c>
      <c r="C109" s="10">
        <v>487321</v>
      </c>
      <c r="D109" s="11"/>
      <c r="E109" s="10" t="s">
        <v>16</v>
      </c>
      <c r="F109" s="10" t="s">
        <v>33</v>
      </c>
      <c r="G109" s="10" t="s">
        <v>11</v>
      </c>
      <c r="H109" s="12" t="s">
        <v>7</v>
      </c>
      <c r="I109" s="12" t="s">
        <v>207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2">
        <v>0</v>
      </c>
      <c r="AE109" s="12">
        <v>27</v>
      </c>
      <c r="AF109" s="13">
        <v>2700</v>
      </c>
      <c r="AG109" s="12">
        <v>0</v>
      </c>
      <c r="AH109" s="12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2">
        <v>0</v>
      </c>
      <c r="AU109" s="12">
        <v>0</v>
      </c>
      <c r="AV109" s="12">
        <v>0</v>
      </c>
      <c r="AW109" s="12">
        <v>0</v>
      </c>
      <c r="AX109" s="12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2">
        <v>0</v>
      </c>
      <c r="BK109" s="12">
        <v>0</v>
      </c>
      <c r="BL109" s="12">
        <v>0</v>
      </c>
      <c r="BM109" s="17">
        <v>2700</v>
      </c>
      <c r="BN109" s="9">
        <f t="shared" si="4"/>
        <v>2700</v>
      </c>
      <c r="BO109" s="9">
        <f t="shared" si="5"/>
        <v>1889.9999999999998</v>
      </c>
    </row>
    <row r="110" spans="1:67" ht="24">
      <c r="A110" s="8" t="s">
        <v>73</v>
      </c>
      <c r="B110" s="10" t="s">
        <v>170</v>
      </c>
      <c r="C110" s="10">
        <v>484142</v>
      </c>
      <c r="D110" s="11"/>
      <c r="E110" s="10" t="s">
        <v>16</v>
      </c>
      <c r="F110" s="10" t="s">
        <v>171</v>
      </c>
      <c r="G110" s="10" t="s">
        <v>67</v>
      </c>
      <c r="H110" s="12" t="s">
        <v>8</v>
      </c>
      <c r="I110" s="12" t="s">
        <v>158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15</v>
      </c>
      <c r="AF110" s="13">
        <v>1300</v>
      </c>
      <c r="AG110" s="12">
        <v>200</v>
      </c>
      <c r="AH110" s="12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9</v>
      </c>
      <c r="AR110" s="12">
        <v>900</v>
      </c>
      <c r="AS110" s="12">
        <v>0</v>
      </c>
      <c r="AT110" s="12">
        <v>0</v>
      </c>
      <c r="AU110" s="12">
        <v>0</v>
      </c>
      <c r="AV110" s="12">
        <v>0</v>
      </c>
      <c r="AW110" s="12">
        <v>0</v>
      </c>
      <c r="AX110" s="12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2">
        <v>0</v>
      </c>
      <c r="BK110" s="12">
        <v>0</v>
      </c>
      <c r="BL110" s="12">
        <v>0</v>
      </c>
      <c r="BM110" s="17">
        <v>2400</v>
      </c>
      <c r="BN110" s="9">
        <f t="shared" si="4"/>
        <v>2400</v>
      </c>
      <c r="BO110" s="9">
        <f t="shared" si="5"/>
        <v>1680</v>
      </c>
    </row>
    <row r="111" spans="1:67" ht="24">
      <c r="A111" s="8" t="s">
        <v>73</v>
      </c>
      <c r="B111" s="10" t="s">
        <v>220</v>
      </c>
      <c r="C111" s="10">
        <v>387942</v>
      </c>
      <c r="D111" s="11"/>
      <c r="E111" s="10" t="s">
        <v>16</v>
      </c>
      <c r="F111" s="10" t="s">
        <v>221</v>
      </c>
      <c r="G111" s="10" t="s">
        <v>11</v>
      </c>
      <c r="H111" s="12" t="s">
        <v>7</v>
      </c>
      <c r="I111" s="12" t="s">
        <v>222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2">
        <v>0</v>
      </c>
      <c r="AB111" s="12">
        <v>0</v>
      </c>
      <c r="AC111" s="12">
        <v>0</v>
      </c>
      <c r="AD111" s="12">
        <v>0</v>
      </c>
      <c r="AE111" s="12">
        <v>0</v>
      </c>
      <c r="AF111" s="12">
        <v>0</v>
      </c>
      <c r="AG111" s="12">
        <v>0</v>
      </c>
      <c r="AH111" s="12">
        <v>0</v>
      </c>
      <c r="AI111" s="12">
        <v>0</v>
      </c>
      <c r="AJ111" s="12">
        <v>0</v>
      </c>
      <c r="AK111" s="12">
        <v>0</v>
      </c>
      <c r="AL111" s="12">
        <v>0</v>
      </c>
      <c r="AM111" s="12">
        <v>0</v>
      </c>
      <c r="AN111" s="12">
        <v>0</v>
      </c>
      <c r="AO111" s="12">
        <v>0</v>
      </c>
      <c r="AP111" s="12">
        <v>0</v>
      </c>
      <c r="AQ111" s="12">
        <v>19</v>
      </c>
      <c r="AR111" s="13">
        <v>1900</v>
      </c>
      <c r="AS111" s="12">
        <v>0</v>
      </c>
      <c r="AT111" s="12">
        <v>0</v>
      </c>
      <c r="AU111" s="12">
        <v>0</v>
      </c>
      <c r="AV111" s="12">
        <v>0</v>
      </c>
      <c r="AW111" s="12">
        <v>0</v>
      </c>
      <c r="AX111" s="12">
        <v>0</v>
      </c>
      <c r="AY111" s="12">
        <v>0</v>
      </c>
      <c r="AZ111" s="12">
        <v>0</v>
      </c>
      <c r="BA111" s="12">
        <v>0</v>
      </c>
      <c r="BB111" s="12">
        <v>0</v>
      </c>
      <c r="BC111" s="12">
        <v>0</v>
      </c>
      <c r="BD111" s="12">
        <v>0</v>
      </c>
      <c r="BE111" s="12">
        <v>0</v>
      </c>
      <c r="BF111" s="12">
        <v>0</v>
      </c>
      <c r="BG111" s="12">
        <v>0</v>
      </c>
      <c r="BH111" s="12">
        <v>0</v>
      </c>
      <c r="BI111" s="12">
        <v>0</v>
      </c>
      <c r="BJ111" s="12">
        <v>0</v>
      </c>
      <c r="BK111" s="12">
        <v>0</v>
      </c>
      <c r="BL111" s="12">
        <v>0</v>
      </c>
      <c r="BM111" s="17">
        <v>1900</v>
      </c>
      <c r="BN111" s="9">
        <f t="shared" si="4"/>
        <v>1900</v>
      </c>
      <c r="BO111" s="9">
        <f t="shared" si="5"/>
        <v>1330</v>
      </c>
    </row>
    <row r="112" spans="1:67" ht="24">
      <c r="A112" s="8" t="s">
        <v>73</v>
      </c>
      <c r="B112" s="10" t="s">
        <v>137</v>
      </c>
      <c r="C112" s="10">
        <v>473533</v>
      </c>
      <c r="D112" s="11"/>
      <c r="E112" s="10" t="s">
        <v>16</v>
      </c>
      <c r="F112" s="10" t="s">
        <v>138</v>
      </c>
      <c r="G112" s="10" t="s">
        <v>11</v>
      </c>
      <c r="H112" s="12" t="s">
        <v>7</v>
      </c>
      <c r="I112" s="12" t="s">
        <v>245</v>
      </c>
      <c r="J112" s="12">
        <v>0</v>
      </c>
      <c r="K112" s="12">
        <v>6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3</v>
      </c>
      <c r="AF112" s="12">
        <v>300</v>
      </c>
      <c r="AG112" s="12">
        <v>0</v>
      </c>
      <c r="AH112" s="12">
        <v>0</v>
      </c>
      <c r="AI112" s="12">
        <v>0</v>
      </c>
      <c r="AJ112" s="12">
        <v>0</v>
      </c>
      <c r="AK112" s="12">
        <v>0</v>
      </c>
      <c r="AL112" s="12">
        <v>0</v>
      </c>
      <c r="AM112" s="12">
        <v>0</v>
      </c>
      <c r="AN112" s="12">
        <v>0</v>
      </c>
      <c r="AO112" s="12">
        <v>0</v>
      </c>
      <c r="AP112" s="12">
        <v>0</v>
      </c>
      <c r="AQ112" s="12">
        <v>15</v>
      </c>
      <c r="AR112" s="13">
        <v>1500</v>
      </c>
      <c r="AS112" s="12">
        <v>0</v>
      </c>
      <c r="AT112" s="12">
        <v>0</v>
      </c>
      <c r="AU112" s="12">
        <v>0</v>
      </c>
      <c r="AV112" s="12">
        <v>0</v>
      </c>
      <c r="AW112" s="12">
        <v>0</v>
      </c>
      <c r="AX112" s="12">
        <v>0</v>
      </c>
      <c r="AY112" s="12">
        <v>0</v>
      </c>
      <c r="AZ112" s="12">
        <v>0</v>
      </c>
      <c r="BA112" s="12">
        <v>0</v>
      </c>
      <c r="BB112" s="12">
        <v>0</v>
      </c>
      <c r="BC112" s="12">
        <v>0</v>
      </c>
      <c r="BD112" s="12">
        <v>0</v>
      </c>
      <c r="BE112" s="12">
        <v>0</v>
      </c>
      <c r="BF112" s="12">
        <v>0</v>
      </c>
      <c r="BG112" s="12">
        <v>0</v>
      </c>
      <c r="BH112" s="12">
        <v>0</v>
      </c>
      <c r="BI112" s="12">
        <v>0</v>
      </c>
      <c r="BJ112" s="12">
        <v>0</v>
      </c>
      <c r="BK112" s="12">
        <v>0</v>
      </c>
      <c r="BL112" s="12">
        <v>0</v>
      </c>
      <c r="BM112" s="17">
        <v>1800</v>
      </c>
      <c r="BN112" s="9">
        <f t="shared" si="4"/>
        <v>1800</v>
      </c>
      <c r="BO112" s="9">
        <f t="shared" si="5"/>
        <v>1260</v>
      </c>
    </row>
    <row r="113" spans="1:67" ht="24">
      <c r="A113" s="8" t="s">
        <v>73</v>
      </c>
      <c r="B113" s="10" t="s">
        <v>181</v>
      </c>
      <c r="C113" s="10">
        <v>359912</v>
      </c>
      <c r="D113" s="11"/>
      <c r="E113" s="10" t="s">
        <v>16</v>
      </c>
      <c r="F113" s="10" t="s">
        <v>51</v>
      </c>
      <c r="G113" s="10" t="s">
        <v>29</v>
      </c>
      <c r="H113" s="12" t="s">
        <v>8</v>
      </c>
      <c r="I113" s="12" t="s">
        <v>182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0</v>
      </c>
      <c r="AC113" s="12">
        <v>0</v>
      </c>
      <c r="AD113" s="12">
        <v>0</v>
      </c>
      <c r="AE113" s="12">
        <v>6</v>
      </c>
      <c r="AF113" s="12">
        <v>600</v>
      </c>
      <c r="AG113" s="12">
        <v>0</v>
      </c>
      <c r="AH113" s="12">
        <v>0</v>
      </c>
      <c r="AI113" s="12">
        <v>0</v>
      </c>
      <c r="AJ113" s="12">
        <v>0</v>
      </c>
      <c r="AK113" s="12">
        <v>8</v>
      </c>
      <c r="AL113" s="12">
        <v>960</v>
      </c>
      <c r="AM113" s="12">
        <v>0</v>
      </c>
      <c r="AN113" s="12">
        <v>0</v>
      </c>
      <c r="AO113" s="12">
        <v>0</v>
      </c>
      <c r="AP113" s="12">
        <v>0</v>
      </c>
      <c r="AQ113" s="12">
        <v>0</v>
      </c>
      <c r="AR113" s="12">
        <v>0</v>
      </c>
      <c r="AS113" s="12">
        <v>0</v>
      </c>
      <c r="AT113" s="12">
        <v>0</v>
      </c>
      <c r="AU113" s="12">
        <v>0</v>
      </c>
      <c r="AV113" s="12">
        <v>0</v>
      </c>
      <c r="AW113" s="12">
        <v>0</v>
      </c>
      <c r="AX113" s="12">
        <v>0</v>
      </c>
      <c r="AY113" s="12">
        <v>0</v>
      </c>
      <c r="AZ113" s="12">
        <v>0</v>
      </c>
      <c r="BA113" s="12">
        <v>0</v>
      </c>
      <c r="BB113" s="12">
        <v>0</v>
      </c>
      <c r="BC113" s="12">
        <v>0</v>
      </c>
      <c r="BD113" s="12">
        <v>0</v>
      </c>
      <c r="BE113" s="12">
        <v>0</v>
      </c>
      <c r="BF113" s="12">
        <v>0</v>
      </c>
      <c r="BG113" s="12">
        <v>0</v>
      </c>
      <c r="BH113" s="12">
        <v>0</v>
      </c>
      <c r="BI113" s="12">
        <v>0</v>
      </c>
      <c r="BJ113" s="12">
        <v>0</v>
      </c>
      <c r="BK113" s="12">
        <v>0</v>
      </c>
      <c r="BL113" s="12">
        <v>288</v>
      </c>
      <c r="BM113" s="17">
        <v>1560</v>
      </c>
      <c r="BN113" s="9">
        <f t="shared" si="4"/>
        <v>1272</v>
      </c>
      <c r="BO113" s="9">
        <f t="shared" si="5"/>
        <v>890.4</v>
      </c>
    </row>
    <row r="114" spans="1:67" ht="24">
      <c r="A114" s="8" t="s">
        <v>73</v>
      </c>
      <c r="B114" s="10" t="s">
        <v>276</v>
      </c>
      <c r="C114" s="10">
        <v>399034</v>
      </c>
      <c r="D114" s="11"/>
      <c r="E114" s="10" t="s">
        <v>16</v>
      </c>
      <c r="F114" s="10" t="s">
        <v>253</v>
      </c>
      <c r="G114" s="10" t="s">
        <v>29</v>
      </c>
      <c r="H114" s="12" t="s">
        <v>8</v>
      </c>
      <c r="I114" s="12" t="s">
        <v>277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14</v>
      </c>
      <c r="AF114" s="13">
        <v>1400</v>
      </c>
      <c r="AG114" s="12">
        <v>0</v>
      </c>
      <c r="AH114" s="12">
        <v>0</v>
      </c>
      <c r="AI114" s="12">
        <v>0</v>
      </c>
      <c r="AJ114" s="12">
        <v>0</v>
      </c>
      <c r="AK114" s="12">
        <v>0</v>
      </c>
      <c r="AL114" s="12">
        <v>0</v>
      </c>
      <c r="AM114" s="12">
        <v>0</v>
      </c>
      <c r="AN114" s="12">
        <v>0</v>
      </c>
      <c r="AO114" s="12">
        <v>0</v>
      </c>
      <c r="AP114" s="12">
        <v>0</v>
      </c>
      <c r="AQ114" s="12">
        <v>0</v>
      </c>
      <c r="AR114" s="12">
        <v>0</v>
      </c>
      <c r="AS114" s="12">
        <v>0</v>
      </c>
      <c r="AT114" s="12">
        <v>0</v>
      </c>
      <c r="AU114" s="12">
        <v>0</v>
      </c>
      <c r="AV114" s="12">
        <v>0</v>
      </c>
      <c r="AW114" s="12">
        <v>0</v>
      </c>
      <c r="AX114" s="12">
        <v>0</v>
      </c>
      <c r="AY114" s="12">
        <v>0</v>
      </c>
      <c r="AZ114" s="12">
        <v>0</v>
      </c>
      <c r="BA114" s="12">
        <v>0</v>
      </c>
      <c r="BB114" s="12">
        <v>0</v>
      </c>
      <c r="BC114" s="12">
        <v>0</v>
      </c>
      <c r="BD114" s="12">
        <v>0</v>
      </c>
      <c r="BE114" s="12">
        <v>0</v>
      </c>
      <c r="BF114" s="12">
        <v>0</v>
      </c>
      <c r="BG114" s="12">
        <v>0</v>
      </c>
      <c r="BH114" s="12">
        <v>0</v>
      </c>
      <c r="BI114" s="12">
        <v>0</v>
      </c>
      <c r="BJ114" s="12">
        <v>0</v>
      </c>
      <c r="BK114" s="12">
        <v>0</v>
      </c>
      <c r="BL114" s="12">
        <v>0</v>
      </c>
      <c r="BM114" s="17">
        <v>1400</v>
      </c>
      <c r="BN114" s="9">
        <f t="shared" si="4"/>
        <v>1400</v>
      </c>
      <c r="BO114" s="9">
        <f t="shared" si="5"/>
        <v>979.99999999999989</v>
      </c>
    </row>
    <row r="115" spans="1:67" ht="24">
      <c r="A115" s="8" t="s">
        <v>73</v>
      </c>
      <c r="B115" s="10" t="s">
        <v>301</v>
      </c>
      <c r="C115" s="10">
        <v>454534</v>
      </c>
      <c r="D115" s="11"/>
      <c r="E115" s="10" t="s">
        <v>16</v>
      </c>
      <c r="F115" s="10" t="s">
        <v>33</v>
      </c>
      <c r="G115" s="10" t="s">
        <v>11</v>
      </c>
      <c r="H115" s="12" t="s">
        <v>7</v>
      </c>
      <c r="I115" s="12" t="s">
        <v>133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2">
        <v>0</v>
      </c>
      <c r="AD115" s="12">
        <v>0</v>
      </c>
      <c r="AE115" s="12">
        <v>10</v>
      </c>
      <c r="AF115" s="13">
        <v>1000</v>
      </c>
      <c r="AG115" s="12">
        <v>0</v>
      </c>
      <c r="AH115" s="12">
        <v>0</v>
      </c>
      <c r="AI115" s="12">
        <v>0</v>
      </c>
      <c r="AJ115" s="12">
        <v>0</v>
      </c>
      <c r="AK115" s="12">
        <v>0</v>
      </c>
      <c r="AL115" s="12">
        <v>0</v>
      </c>
      <c r="AM115" s="12">
        <v>0</v>
      </c>
      <c r="AN115" s="12">
        <v>0</v>
      </c>
      <c r="AO115" s="12">
        <v>0</v>
      </c>
      <c r="AP115" s="12">
        <v>0</v>
      </c>
      <c r="AQ115" s="12">
        <v>0</v>
      </c>
      <c r="AR115" s="12">
        <v>0</v>
      </c>
      <c r="AS115" s="12">
        <v>0</v>
      </c>
      <c r="AT115" s="12">
        <v>0</v>
      </c>
      <c r="AU115" s="12">
        <v>0</v>
      </c>
      <c r="AV115" s="12">
        <v>0</v>
      </c>
      <c r="AW115" s="12">
        <v>0</v>
      </c>
      <c r="AX115" s="12">
        <v>0</v>
      </c>
      <c r="AY115" s="12">
        <v>0</v>
      </c>
      <c r="AZ115" s="12">
        <v>0</v>
      </c>
      <c r="BA115" s="12">
        <v>0</v>
      </c>
      <c r="BB115" s="12">
        <v>0</v>
      </c>
      <c r="BC115" s="12">
        <v>0</v>
      </c>
      <c r="BD115" s="12">
        <v>0</v>
      </c>
      <c r="BE115" s="12">
        <v>0</v>
      </c>
      <c r="BF115" s="12">
        <v>0</v>
      </c>
      <c r="BG115" s="12">
        <v>0</v>
      </c>
      <c r="BH115" s="12">
        <v>0</v>
      </c>
      <c r="BI115" s="12">
        <v>0</v>
      </c>
      <c r="BJ115" s="12">
        <v>0</v>
      </c>
      <c r="BK115" s="12">
        <v>0</v>
      </c>
      <c r="BL115" s="12">
        <v>0</v>
      </c>
      <c r="BM115" s="17">
        <v>1000</v>
      </c>
      <c r="BN115" s="9">
        <f t="shared" si="4"/>
        <v>1000</v>
      </c>
      <c r="BO115" s="9">
        <f t="shared" si="5"/>
        <v>700</v>
      </c>
    </row>
    <row r="116" spans="1:67" ht="24">
      <c r="A116" s="8" t="s">
        <v>73</v>
      </c>
      <c r="B116" s="10" t="s">
        <v>302</v>
      </c>
      <c r="C116" s="10">
        <v>489946</v>
      </c>
      <c r="D116" s="11"/>
      <c r="E116" s="10" t="s">
        <v>16</v>
      </c>
      <c r="F116" s="10" t="s">
        <v>303</v>
      </c>
      <c r="G116" s="10" t="s">
        <v>11</v>
      </c>
      <c r="H116" s="12" t="s">
        <v>7</v>
      </c>
      <c r="I116" s="12" t="s">
        <v>280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10</v>
      </c>
      <c r="AF116" s="13">
        <v>1000</v>
      </c>
      <c r="AG116" s="12">
        <v>0</v>
      </c>
      <c r="AH116" s="12">
        <v>0</v>
      </c>
      <c r="AI116" s="12">
        <v>0</v>
      </c>
      <c r="AJ116" s="12">
        <v>0</v>
      </c>
      <c r="AK116" s="12">
        <v>0</v>
      </c>
      <c r="AL116" s="12">
        <v>0</v>
      </c>
      <c r="AM116" s="12">
        <v>0</v>
      </c>
      <c r="AN116" s="12">
        <v>0</v>
      </c>
      <c r="AO116" s="12">
        <v>0</v>
      </c>
      <c r="AP116" s="12">
        <v>0</v>
      </c>
      <c r="AQ116" s="12">
        <v>0</v>
      </c>
      <c r="AR116" s="12">
        <v>0</v>
      </c>
      <c r="AS116" s="12">
        <v>0</v>
      </c>
      <c r="AT116" s="12">
        <v>0</v>
      </c>
      <c r="AU116" s="12">
        <v>0</v>
      </c>
      <c r="AV116" s="12">
        <v>0</v>
      </c>
      <c r="AW116" s="12">
        <v>0</v>
      </c>
      <c r="AX116" s="12">
        <v>0</v>
      </c>
      <c r="AY116" s="12">
        <v>0</v>
      </c>
      <c r="AZ116" s="12">
        <v>0</v>
      </c>
      <c r="BA116" s="12">
        <v>0</v>
      </c>
      <c r="BB116" s="12">
        <v>0</v>
      </c>
      <c r="BC116" s="12">
        <v>0</v>
      </c>
      <c r="BD116" s="12">
        <v>0</v>
      </c>
      <c r="BE116" s="12">
        <v>0</v>
      </c>
      <c r="BF116" s="12">
        <v>0</v>
      </c>
      <c r="BG116" s="12">
        <v>0</v>
      </c>
      <c r="BH116" s="12">
        <v>0</v>
      </c>
      <c r="BI116" s="12">
        <v>0</v>
      </c>
      <c r="BJ116" s="12">
        <v>0</v>
      </c>
      <c r="BK116" s="12">
        <v>0</v>
      </c>
      <c r="BL116" s="12">
        <v>0</v>
      </c>
      <c r="BM116" s="17">
        <v>1000</v>
      </c>
      <c r="BN116" s="9">
        <f t="shared" si="4"/>
        <v>1000</v>
      </c>
      <c r="BO116" s="9">
        <f t="shared" si="5"/>
        <v>700</v>
      </c>
    </row>
    <row r="117" spans="1:67" ht="24">
      <c r="A117" s="8" t="s">
        <v>73</v>
      </c>
      <c r="B117" s="10" t="s">
        <v>42</v>
      </c>
      <c r="C117" s="10">
        <v>219203</v>
      </c>
      <c r="D117" s="11"/>
      <c r="E117" s="10" t="s">
        <v>16</v>
      </c>
      <c r="F117" s="10" t="s">
        <v>43</v>
      </c>
      <c r="G117" s="10" t="s">
        <v>11</v>
      </c>
      <c r="H117" s="12" t="s">
        <v>7</v>
      </c>
      <c r="I117" s="12" t="s">
        <v>44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8</v>
      </c>
      <c r="AC117" s="12">
        <v>800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12">
        <v>0</v>
      </c>
      <c r="AJ117" s="12">
        <v>0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0</v>
      </c>
      <c r="AQ117" s="12">
        <v>0</v>
      </c>
      <c r="AR117" s="12">
        <v>0</v>
      </c>
      <c r="AS117" s="12">
        <v>0</v>
      </c>
      <c r="AT117" s="12">
        <v>0</v>
      </c>
      <c r="AU117" s="12">
        <v>0</v>
      </c>
      <c r="AV117" s="12">
        <v>0</v>
      </c>
      <c r="AW117" s="12">
        <v>0</v>
      </c>
      <c r="AX117" s="12">
        <v>0</v>
      </c>
      <c r="AY117" s="12">
        <v>0</v>
      </c>
      <c r="AZ117" s="12">
        <v>0</v>
      </c>
      <c r="BA117" s="12">
        <v>0</v>
      </c>
      <c r="BB117" s="12">
        <v>0</v>
      </c>
      <c r="BC117" s="12">
        <v>0</v>
      </c>
      <c r="BD117" s="12">
        <v>0</v>
      </c>
      <c r="BE117" s="12">
        <v>0</v>
      </c>
      <c r="BF117" s="12">
        <v>0</v>
      </c>
      <c r="BG117" s="12">
        <v>0</v>
      </c>
      <c r="BH117" s="12">
        <v>0</v>
      </c>
      <c r="BI117" s="12">
        <v>0</v>
      </c>
      <c r="BJ117" s="12">
        <v>0</v>
      </c>
      <c r="BK117" s="12">
        <v>0</v>
      </c>
      <c r="BL117" s="12">
        <v>0</v>
      </c>
      <c r="BM117" s="18">
        <v>800</v>
      </c>
      <c r="BN117" s="9">
        <f t="shared" si="4"/>
        <v>800</v>
      </c>
      <c r="BO117" s="9">
        <f t="shared" si="5"/>
        <v>560</v>
      </c>
    </row>
    <row r="118" spans="1:67" ht="24">
      <c r="A118" s="8" t="s">
        <v>73</v>
      </c>
      <c r="B118" s="10" t="s">
        <v>205</v>
      </c>
      <c r="C118" s="10">
        <v>487308</v>
      </c>
      <c r="D118" s="11"/>
      <c r="E118" s="10" t="s">
        <v>16</v>
      </c>
      <c r="F118" s="10" t="s">
        <v>206</v>
      </c>
      <c r="G118" s="10" t="s">
        <v>67</v>
      </c>
      <c r="H118" s="12" t="s">
        <v>8</v>
      </c>
      <c r="I118" s="12" t="s">
        <v>265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2">
        <v>0</v>
      </c>
      <c r="AK118" s="12">
        <v>0</v>
      </c>
      <c r="AL118" s="12">
        <v>0</v>
      </c>
      <c r="AM118" s="12">
        <v>0</v>
      </c>
      <c r="AN118" s="12">
        <v>0</v>
      </c>
      <c r="AO118" s="12">
        <v>0</v>
      </c>
      <c r="AP118" s="12">
        <v>0</v>
      </c>
      <c r="AQ118" s="12">
        <v>8</v>
      </c>
      <c r="AR118" s="12">
        <v>800</v>
      </c>
      <c r="AS118" s="12">
        <v>0</v>
      </c>
      <c r="AT118" s="12">
        <v>0</v>
      </c>
      <c r="AU118" s="12">
        <v>0</v>
      </c>
      <c r="AV118" s="12">
        <v>0</v>
      </c>
      <c r="AW118" s="12">
        <v>0</v>
      </c>
      <c r="AX118" s="12">
        <v>0</v>
      </c>
      <c r="AY118" s="12">
        <v>0</v>
      </c>
      <c r="AZ118" s="12">
        <v>0</v>
      </c>
      <c r="BA118" s="12">
        <v>0</v>
      </c>
      <c r="BB118" s="12">
        <v>0</v>
      </c>
      <c r="BC118" s="12">
        <v>0</v>
      </c>
      <c r="BD118" s="12">
        <v>0</v>
      </c>
      <c r="BE118" s="12">
        <v>0</v>
      </c>
      <c r="BF118" s="12">
        <v>0</v>
      </c>
      <c r="BG118" s="12">
        <v>0</v>
      </c>
      <c r="BH118" s="12">
        <v>0</v>
      </c>
      <c r="BI118" s="12">
        <v>0</v>
      </c>
      <c r="BJ118" s="12">
        <v>0</v>
      </c>
      <c r="BK118" s="12">
        <v>0</v>
      </c>
      <c r="BL118" s="12">
        <v>0</v>
      </c>
      <c r="BM118" s="18">
        <v>800</v>
      </c>
      <c r="BN118" s="9">
        <f t="shared" si="4"/>
        <v>800</v>
      </c>
      <c r="BO118" s="9">
        <f t="shared" si="5"/>
        <v>560</v>
      </c>
    </row>
    <row r="119" spans="1:67" ht="24">
      <c r="A119" s="8" t="s">
        <v>73</v>
      </c>
      <c r="B119" s="10" t="s">
        <v>304</v>
      </c>
      <c r="C119" s="10">
        <v>486615</v>
      </c>
      <c r="D119" s="11"/>
      <c r="E119" s="10" t="s">
        <v>16</v>
      </c>
      <c r="F119" s="10" t="s">
        <v>305</v>
      </c>
      <c r="G119" s="10" t="s">
        <v>67</v>
      </c>
      <c r="H119" s="12" t="s">
        <v>8</v>
      </c>
      <c r="I119" s="12" t="s">
        <v>166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2">
        <v>0</v>
      </c>
      <c r="AD119" s="12">
        <v>0</v>
      </c>
      <c r="AE119" s="12">
        <v>8</v>
      </c>
      <c r="AF119" s="12">
        <v>800</v>
      </c>
      <c r="AG119" s="12">
        <v>0</v>
      </c>
      <c r="AH119" s="12">
        <v>0</v>
      </c>
      <c r="AI119" s="12">
        <v>0</v>
      </c>
      <c r="AJ119" s="12">
        <v>0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0</v>
      </c>
      <c r="AR119" s="12">
        <v>0</v>
      </c>
      <c r="AS119" s="12">
        <v>0</v>
      </c>
      <c r="AT119" s="12">
        <v>0</v>
      </c>
      <c r="AU119" s="12">
        <v>0</v>
      </c>
      <c r="AV119" s="12">
        <v>0</v>
      </c>
      <c r="AW119" s="12">
        <v>0</v>
      </c>
      <c r="AX119" s="12">
        <v>0</v>
      </c>
      <c r="AY119" s="12">
        <v>0</v>
      </c>
      <c r="AZ119" s="12">
        <v>0</v>
      </c>
      <c r="BA119" s="12">
        <v>0</v>
      </c>
      <c r="BB119" s="12">
        <v>0</v>
      </c>
      <c r="BC119" s="12">
        <v>0</v>
      </c>
      <c r="BD119" s="12">
        <v>0</v>
      </c>
      <c r="BE119" s="12">
        <v>0</v>
      </c>
      <c r="BF119" s="12">
        <v>0</v>
      </c>
      <c r="BG119" s="12">
        <v>0</v>
      </c>
      <c r="BH119" s="12">
        <v>0</v>
      </c>
      <c r="BI119" s="12">
        <v>0</v>
      </c>
      <c r="BJ119" s="12">
        <v>0</v>
      </c>
      <c r="BK119" s="12">
        <v>0</v>
      </c>
      <c r="BL119" s="12">
        <v>0</v>
      </c>
      <c r="BM119" s="18">
        <v>800</v>
      </c>
      <c r="BN119" s="9">
        <f t="shared" si="4"/>
        <v>800</v>
      </c>
      <c r="BO119" s="9">
        <f t="shared" si="5"/>
        <v>560</v>
      </c>
    </row>
    <row r="120" spans="1:67" ht="24">
      <c r="A120" s="8" t="s">
        <v>73</v>
      </c>
      <c r="B120" s="10" t="s">
        <v>70</v>
      </c>
      <c r="C120" s="10">
        <v>476783</v>
      </c>
      <c r="D120" s="11"/>
      <c r="E120" s="10" t="s">
        <v>16</v>
      </c>
      <c r="F120" s="10" t="s">
        <v>71</v>
      </c>
      <c r="G120" s="10" t="s">
        <v>29</v>
      </c>
      <c r="H120" s="12" t="s">
        <v>8</v>
      </c>
      <c r="I120" s="12" t="s">
        <v>72</v>
      </c>
      <c r="J120" s="12">
        <v>0</v>
      </c>
      <c r="K120" s="12">
        <v>9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8</v>
      </c>
      <c r="AF120" s="12">
        <v>400</v>
      </c>
      <c r="AG120" s="12">
        <v>400</v>
      </c>
      <c r="AH120" s="12">
        <v>0</v>
      </c>
      <c r="AI120" s="12">
        <v>0</v>
      </c>
      <c r="AJ120" s="12">
        <v>0</v>
      </c>
      <c r="AK120" s="12">
        <v>0</v>
      </c>
      <c r="AL120" s="12">
        <v>0</v>
      </c>
      <c r="AM120" s="12">
        <v>0</v>
      </c>
      <c r="AN120" s="12">
        <v>0</v>
      </c>
      <c r="AO120" s="12">
        <v>0</v>
      </c>
      <c r="AP120" s="12">
        <v>0</v>
      </c>
      <c r="AQ120" s="12">
        <v>0</v>
      </c>
      <c r="AR120" s="12">
        <v>0</v>
      </c>
      <c r="AS120" s="12">
        <v>0</v>
      </c>
      <c r="AT120" s="12">
        <v>0</v>
      </c>
      <c r="AU120" s="12">
        <v>0</v>
      </c>
      <c r="AV120" s="12">
        <v>0</v>
      </c>
      <c r="AW120" s="12">
        <v>0</v>
      </c>
      <c r="AX120" s="12">
        <v>0</v>
      </c>
      <c r="AY120" s="12">
        <v>0</v>
      </c>
      <c r="AZ120" s="12">
        <v>0</v>
      </c>
      <c r="BA120" s="12">
        <v>0</v>
      </c>
      <c r="BB120" s="12">
        <v>0</v>
      </c>
      <c r="BC120" s="12">
        <v>0</v>
      </c>
      <c r="BD120" s="12">
        <v>0</v>
      </c>
      <c r="BE120" s="12">
        <v>0</v>
      </c>
      <c r="BF120" s="12">
        <v>0</v>
      </c>
      <c r="BG120" s="12">
        <v>0</v>
      </c>
      <c r="BH120" s="12">
        <v>0</v>
      </c>
      <c r="BI120" s="12">
        <v>0</v>
      </c>
      <c r="BJ120" s="12">
        <v>0</v>
      </c>
      <c r="BK120" s="12">
        <v>0</v>
      </c>
      <c r="BL120" s="12">
        <v>0</v>
      </c>
      <c r="BM120" s="18">
        <v>800</v>
      </c>
      <c r="BN120" s="9">
        <f t="shared" si="4"/>
        <v>800</v>
      </c>
      <c r="BO120" s="9">
        <f t="shared" si="5"/>
        <v>560</v>
      </c>
    </row>
    <row r="121" spans="1:67" ht="24">
      <c r="A121" s="8" t="s">
        <v>73</v>
      </c>
      <c r="B121" s="10" t="s">
        <v>210</v>
      </c>
      <c r="C121" s="10">
        <v>421661</v>
      </c>
      <c r="D121" s="11"/>
      <c r="E121" s="10" t="s">
        <v>16</v>
      </c>
      <c r="F121" s="10" t="s">
        <v>180</v>
      </c>
      <c r="G121" s="10" t="s">
        <v>29</v>
      </c>
      <c r="H121" s="12" t="s">
        <v>8</v>
      </c>
      <c r="I121" s="12" t="s">
        <v>211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2">
        <v>0</v>
      </c>
      <c r="AD121" s="12">
        <v>0</v>
      </c>
      <c r="AE121" s="12">
        <v>7</v>
      </c>
      <c r="AF121" s="12">
        <v>700</v>
      </c>
      <c r="AG121" s="12">
        <v>0</v>
      </c>
      <c r="AH121" s="12">
        <v>0</v>
      </c>
      <c r="AI121" s="12">
        <v>0</v>
      </c>
      <c r="AJ121" s="12">
        <v>0</v>
      </c>
      <c r="AK121" s="12">
        <v>0</v>
      </c>
      <c r="AL121" s="12">
        <v>0</v>
      </c>
      <c r="AM121" s="12">
        <v>0</v>
      </c>
      <c r="AN121" s="12">
        <v>0</v>
      </c>
      <c r="AO121" s="12">
        <v>0</v>
      </c>
      <c r="AP121" s="12">
        <v>0</v>
      </c>
      <c r="AQ121" s="12">
        <v>0</v>
      </c>
      <c r="AR121" s="12">
        <v>0</v>
      </c>
      <c r="AS121" s="12">
        <v>0</v>
      </c>
      <c r="AT121" s="12">
        <v>0</v>
      </c>
      <c r="AU121" s="12">
        <v>0</v>
      </c>
      <c r="AV121" s="12">
        <v>0</v>
      </c>
      <c r="AW121" s="12">
        <v>0</v>
      </c>
      <c r="AX121" s="12">
        <v>0</v>
      </c>
      <c r="AY121" s="12">
        <v>0</v>
      </c>
      <c r="AZ121" s="12">
        <v>0</v>
      </c>
      <c r="BA121" s="12">
        <v>0</v>
      </c>
      <c r="BB121" s="12">
        <v>0</v>
      </c>
      <c r="BC121" s="12">
        <v>0</v>
      </c>
      <c r="BD121" s="12">
        <v>0</v>
      </c>
      <c r="BE121" s="12">
        <v>0</v>
      </c>
      <c r="BF121" s="12">
        <v>0</v>
      </c>
      <c r="BG121" s="12">
        <v>0</v>
      </c>
      <c r="BH121" s="12">
        <v>0</v>
      </c>
      <c r="BI121" s="12">
        <v>0</v>
      </c>
      <c r="BJ121" s="12">
        <v>0</v>
      </c>
      <c r="BK121" s="12">
        <v>0</v>
      </c>
      <c r="BL121" s="12">
        <v>0</v>
      </c>
      <c r="BM121" s="18">
        <v>700</v>
      </c>
      <c r="BN121" s="9">
        <f t="shared" si="4"/>
        <v>700</v>
      </c>
      <c r="BO121" s="9">
        <f t="shared" si="5"/>
        <v>489.99999999999994</v>
      </c>
    </row>
    <row r="122" spans="1:67" ht="24">
      <c r="A122" s="8" t="s">
        <v>73</v>
      </c>
      <c r="B122" s="10" t="s">
        <v>185</v>
      </c>
      <c r="C122" s="10">
        <v>381176</v>
      </c>
      <c r="D122" s="11"/>
      <c r="E122" s="10" t="s">
        <v>16</v>
      </c>
      <c r="F122" s="10" t="s">
        <v>33</v>
      </c>
      <c r="G122" s="10" t="s">
        <v>11</v>
      </c>
      <c r="H122" s="12" t="s">
        <v>7</v>
      </c>
      <c r="I122" s="12" t="s">
        <v>186</v>
      </c>
      <c r="J122" s="12">
        <v>0</v>
      </c>
      <c r="K122" s="12">
        <v>5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7</v>
      </c>
      <c r="AF122" s="12">
        <v>700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8">
        <v>700</v>
      </c>
      <c r="BN122" s="9">
        <f t="shared" si="4"/>
        <v>700</v>
      </c>
      <c r="BO122" s="9">
        <f t="shared" si="5"/>
        <v>489.99999999999994</v>
      </c>
    </row>
    <row r="123" spans="1:67" ht="24">
      <c r="A123" s="8" t="s">
        <v>73</v>
      </c>
      <c r="B123" s="10" t="s">
        <v>153</v>
      </c>
      <c r="C123" s="10">
        <v>355320</v>
      </c>
      <c r="D123" s="11"/>
      <c r="E123" s="10" t="s">
        <v>16</v>
      </c>
      <c r="F123" s="10" t="s">
        <v>154</v>
      </c>
      <c r="G123" s="10" t="s">
        <v>29</v>
      </c>
      <c r="H123" s="12" t="s">
        <v>8</v>
      </c>
      <c r="I123" s="12" t="s">
        <v>155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2">
        <v>0</v>
      </c>
      <c r="AE123" s="12">
        <v>4</v>
      </c>
      <c r="AF123" s="12">
        <v>400</v>
      </c>
      <c r="AG123" s="12">
        <v>0</v>
      </c>
      <c r="AH123" s="12">
        <v>0</v>
      </c>
      <c r="AI123" s="12">
        <v>0</v>
      </c>
      <c r="AJ123" s="12">
        <v>0</v>
      </c>
      <c r="AK123" s="12">
        <v>0</v>
      </c>
      <c r="AL123" s="12">
        <v>0</v>
      </c>
      <c r="AM123" s="12">
        <v>0</v>
      </c>
      <c r="AN123" s="12">
        <v>0</v>
      </c>
      <c r="AO123" s="12">
        <v>0</v>
      </c>
      <c r="AP123" s="12">
        <v>0</v>
      </c>
      <c r="AQ123" s="12">
        <v>0</v>
      </c>
      <c r="AR123" s="12">
        <v>0</v>
      </c>
      <c r="AS123" s="12">
        <v>0</v>
      </c>
      <c r="AT123" s="12">
        <v>0</v>
      </c>
      <c r="AU123" s="12">
        <v>0</v>
      </c>
      <c r="AV123" s="12">
        <v>0</v>
      </c>
      <c r="AW123" s="12">
        <v>0</v>
      </c>
      <c r="AX123" s="12">
        <v>0</v>
      </c>
      <c r="AY123" s="12">
        <v>0</v>
      </c>
      <c r="AZ123" s="12">
        <v>0</v>
      </c>
      <c r="BA123" s="12">
        <v>0</v>
      </c>
      <c r="BB123" s="12">
        <v>0</v>
      </c>
      <c r="BC123" s="12">
        <v>0</v>
      </c>
      <c r="BD123" s="12">
        <v>0</v>
      </c>
      <c r="BE123" s="12">
        <v>0</v>
      </c>
      <c r="BF123" s="12">
        <v>0</v>
      </c>
      <c r="BG123" s="12">
        <v>0</v>
      </c>
      <c r="BH123" s="12">
        <v>0</v>
      </c>
      <c r="BI123" s="12">
        <v>0</v>
      </c>
      <c r="BJ123" s="12">
        <v>0</v>
      </c>
      <c r="BK123" s="12">
        <v>0</v>
      </c>
      <c r="BL123" s="12">
        <v>0</v>
      </c>
      <c r="BM123" s="18">
        <v>400</v>
      </c>
      <c r="BN123" s="9">
        <f t="shared" si="4"/>
        <v>400</v>
      </c>
      <c r="BO123" s="9">
        <f t="shared" si="5"/>
        <v>280</v>
      </c>
    </row>
    <row r="124" spans="1:67" ht="24">
      <c r="A124" s="8" t="s">
        <v>73</v>
      </c>
      <c r="B124" s="10" t="s">
        <v>306</v>
      </c>
      <c r="C124" s="10">
        <v>463946</v>
      </c>
      <c r="D124" s="11"/>
      <c r="E124" s="10" t="s">
        <v>16</v>
      </c>
      <c r="F124" s="10" t="s">
        <v>307</v>
      </c>
      <c r="G124" s="10" t="s">
        <v>11</v>
      </c>
      <c r="H124" s="12" t="s">
        <v>7</v>
      </c>
      <c r="I124" s="12" t="s">
        <v>308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4</v>
      </c>
      <c r="AF124" s="12">
        <v>400</v>
      </c>
      <c r="AG124" s="12">
        <v>0</v>
      </c>
      <c r="AH124" s="12">
        <v>0</v>
      </c>
      <c r="AI124" s="12">
        <v>0</v>
      </c>
      <c r="AJ124" s="12">
        <v>0</v>
      </c>
      <c r="AK124" s="12">
        <v>0</v>
      </c>
      <c r="AL124" s="12">
        <v>0</v>
      </c>
      <c r="AM124" s="12">
        <v>0</v>
      </c>
      <c r="AN124" s="12">
        <v>0</v>
      </c>
      <c r="AO124" s="12">
        <v>0</v>
      </c>
      <c r="AP124" s="12">
        <v>0</v>
      </c>
      <c r="AQ124" s="12">
        <v>0</v>
      </c>
      <c r="AR124" s="12">
        <v>0</v>
      </c>
      <c r="AS124" s="12">
        <v>0</v>
      </c>
      <c r="AT124" s="12">
        <v>0</v>
      </c>
      <c r="AU124" s="12">
        <v>0</v>
      </c>
      <c r="AV124" s="12">
        <v>0</v>
      </c>
      <c r="AW124" s="12">
        <v>0</v>
      </c>
      <c r="AX124" s="12">
        <v>0</v>
      </c>
      <c r="AY124" s="12">
        <v>0</v>
      </c>
      <c r="AZ124" s="12">
        <v>0</v>
      </c>
      <c r="BA124" s="12">
        <v>0</v>
      </c>
      <c r="BB124" s="12">
        <v>0</v>
      </c>
      <c r="BC124" s="12">
        <v>0</v>
      </c>
      <c r="BD124" s="12">
        <v>0</v>
      </c>
      <c r="BE124" s="12">
        <v>0</v>
      </c>
      <c r="BF124" s="12">
        <v>0</v>
      </c>
      <c r="BG124" s="12">
        <v>0</v>
      </c>
      <c r="BH124" s="12">
        <v>0</v>
      </c>
      <c r="BI124" s="12">
        <v>0</v>
      </c>
      <c r="BJ124" s="12">
        <v>0</v>
      </c>
      <c r="BK124" s="12">
        <v>0</v>
      </c>
      <c r="BL124" s="12">
        <v>0</v>
      </c>
      <c r="BM124" s="18">
        <v>400</v>
      </c>
      <c r="BN124" s="9">
        <f t="shared" si="4"/>
        <v>400</v>
      </c>
      <c r="BO124" s="9">
        <f t="shared" si="5"/>
        <v>280</v>
      </c>
    </row>
    <row r="125" spans="1:67" ht="24">
      <c r="A125" s="8" t="s">
        <v>73</v>
      </c>
      <c r="B125" s="10" t="s">
        <v>309</v>
      </c>
      <c r="C125" s="10">
        <v>434877</v>
      </c>
      <c r="D125" s="11"/>
      <c r="E125" s="10" t="s">
        <v>16</v>
      </c>
      <c r="F125" s="10" t="s">
        <v>310</v>
      </c>
      <c r="G125" s="10" t="s">
        <v>11</v>
      </c>
      <c r="H125" s="12" t="s">
        <v>7</v>
      </c>
      <c r="I125" s="12" t="s">
        <v>311</v>
      </c>
      <c r="J125" s="12">
        <v>0</v>
      </c>
      <c r="K125" s="12">
        <v>0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2">
        <v>0</v>
      </c>
      <c r="AE125" s="12">
        <v>0</v>
      </c>
      <c r="AF125" s="12">
        <v>0</v>
      </c>
      <c r="AG125" s="12">
        <v>0</v>
      </c>
      <c r="AH125" s="12">
        <v>0</v>
      </c>
      <c r="AI125" s="12">
        <v>0</v>
      </c>
      <c r="AJ125" s="12">
        <v>0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0</v>
      </c>
      <c r="AQ125" s="12">
        <v>4</v>
      </c>
      <c r="AR125" s="12">
        <v>400</v>
      </c>
      <c r="AS125" s="12">
        <v>0</v>
      </c>
      <c r="AT125" s="12">
        <v>0</v>
      </c>
      <c r="AU125" s="12">
        <v>0</v>
      </c>
      <c r="AV125" s="12">
        <v>0</v>
      </c>
      <c r="AW125" s="12">
        <v>0</v>
      </c>
      <c r="AX125" s="12">
        <v>0</v>
      </c>
      <c r="AY125" s="12">
        <v>0</v>
      </c>
      <c r="AZ125" s="12">
        <v>0</v>
      </c>
      <c r="BA125" s="12">
        <v>0</v>
      </c>
      <c r="BB125" s="12">
        <v>0</v>
      </c>
      <c r="BC125" s="12">
        <v>0</v>
      </c>
      <c r="BD125" s="12">
        <v>0</v>
      </c>
      <c r="BE125" s="12">
        <v>0</v>
      </c>
      <c r="BF125" s="12">
        <v>0</v>
      </c>
      <c r="BG125" s="12">
        <v>0</v>
      </c>
      <c r="BH125" s="12">
        <v>0</v>
      </c>
      <c r="BI125" s="12">
        <v>0</v>
      </c>
      <c r="BJ125" s="12">
        <v>0</v>
      </c>
      <c r="BK125" s="12">
        <v>0</v>
      </c>
      <c r="BL125" s="12">
        <v>0</v>
      </c>
      <c r="BM125" s="18">
        <v>400</v>
      </c>
      <c r="BN125" s="9">
        <f t="shared" si="4"/>
        <v>400</v>
      </c>
      <c r="BO125" s="9">
        <f t="shared" si="5"/>
        <v>280</v>
      </c>
    </row>
    <row r="126" spans="1:67" ht="24">
      <c r="A126" s="8" t="s">
        <v>73</v>
      </c>
      <c r="B126" s="10" t="s">
        <v>214</v>
      </c>
      <c r="C126" s="10">
        <v>376361</v>
      </c>
      <c r="D126" s="11"/>
      <c r="E126" s="10" t="s">
        <v>16</v>
      </c>
      <c r="F126" s="10" t="s">
        <v>38</v>
      </c>
      <c r="G126" s="10" t="s">
        <v>29</v>
      </c>
      <c r="H126" s="12" t="s">
        <v>8</v>
      </c>
      <c r="I126" s="12" t="s">
        <v>215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2">
        <v>0</v>
      </c>
      <c r="AE126" s="12">
        <v>3</v>
      </c>
      <c r="AF126" s="12">
        <v>300</v>
      </c>
      <c r="AG126" s="12">
        <v>0</v>
      </c>
      <c r="AH126" s="12">
        <v>0</v>
      </c>
      <c r="AI126" s="12">
        <v>0</v>
      </c>
      <c r="AJ126" s="12">
        <v>0</v>
      </c>
      <c r="AK126" s="12">
        <v>0</v>
      </c>
      <c r="AL126" s="12">
        <v>0</v>
      </c>
      <c r="AM126" s="12">
        <v>0</v>
      </c>
      <c r="AN126" s="12">
        <v>0</v>
      </c>
      <c r="AO126" s="12">
        <v>0</v>
      </c>
      <c r="AP126" s="12">
        <v>0</v>
      </c>
      <c r="AQ126" s="12">
        <v>0</v>
      </c>
      <c r="AR126" s="12">
        <v>0</v>
      </c>
      <c r="AS126" s="12">
        <v>0</v>
      </c>
      <c r="AT126" s="12">
        <v>0</v>
      </c>
      <c r="AU126" s="12">
        <v>0</v>
      </c>
      <c r="AV126" s="12">
        <v>0</v>
      </c>
      <c r="AW126" s="12">
        <v>0</v>
      </c>
      <c r="AX126" s="12">
        <v>0</v>
      </c>
      <c r="AY126" s="12">
        <v>0</v>
      </c>
      <c r="AZ126" s="12">
        <v>0</v>
      </c>
      <c r="BA126" s="12">
        <v>0</v>
      </c>
      <c r="BB126" s="12">
        <v>0</v>
      </c>
      <c r="BC126" s="12">
        <v>0</v>
      </c>
      <c r="BD126" s="12">
        <v>0</v>
      </c>
      <c r="BE126" s="12">
        <v>0</v>
      </c>
      <c r="BF126" s="12">
        <v>0</v>
      </c>
      <c r="BG126" s="12">
        <v>0</v>
      </c>
      <c r="BH126" s="12">
        <v>0</v>
      </c>
      <c r="BI126" s="12">
        <v>0</v>
      </c>
      <c r="BJ126" s="12">
        <v>0</v>
      </c>
      <c r="BK126" s="12">
        <v>0</v>
      </c>
      <c r="BL126" s="12">
        <v>0</v>
      </c>
      <c r="BM126" s="18">
        <v>300</v>
      </c>
      <c r="BN126" s="9">
        <f t="shared" si="4"/>
        <v>300</v>
      </c>
      <c r="BO126" s="9">
        <f t="shared" si="5"/>
        <v>210</v>
      </c>
    </row>
    <row r="127" spans="1:67" ht="24">
      <c r="A127" s="8" t="s">
        <v>73</v>
      </c>
      <c r="B127" s="10" t="s">
        <v>312</v>
      </c>
      <c r="C127" s="10">
        <v>489732</v>
      </c>
      <c r="D127" s="11"/>
      <c r="E127" s="10" t="s">
        <v>16</v>
      </c>
      <c r="F127" s="10" t="s">
        <v>313</v>
      </c>
      <c r="G127" s="10" t="s">
        <v>11</v>
      </c>
      <c r="H127" s="12" t="s">
        <v>7</v>
      </c>
      <c r="I127" s="12" t="s">
        <v>314</v>
      </c>
      <c r="J127" s="12">
        <v>0</v>
      </c>
      <c r="K127" s="12">
        <v>0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2">
        <v>0</v>
      </c>
      <c r="AE127" s="12">
        <v>2</v>
      </c>
      <c r="AF127" s="12">
        <v>200</v>
      </c>
      <c r="AG127" s="12">
        <v>0</v>
      </c>
      <c r="AH127" s="12">
        <v>0</v>
      </c>
      <c r="AI127" s="12">
        <v>0</v>
      </c>
      <c r="AJ127" s="12">
        <v>0</v>
      </c>
      <c r="AK127" s="12">
        <v>0</v>
      </c>
      <c r="AL127" s="12">
        <v>0</v>
      </c>
      <c r="AM127" s="12">
        <v>0</v>
      </c>
      <c r="AN127" s="12">
        <v>0</v>
      </c>
      <c r="AO127" s="12">
        <v>0</v>
      </c>
      <c r="AP127" s="12">
        <v>0</v>
      </c>
      <c r="AQ127" s="12">
        <v>0</v>
      </c>
      <c r="AR127" s="12">
        <v>0</v>
      </c>
      <c r="AS127" s="12">
        <v>0</v>
      </c>
      <c r="AT127" s="12">
        <v>0</v>
      </c>
      <c r="AU127" s="12">
        <v>0</v>
      </c>
      <c r="AV127" s="12">
        <v>0</v>
      </c>
      <c r="AW127" s="12">
        <v>0</v>
      </c>
      <c r="AX127" s="12">
        <v>0</v>
      </c>
      <c r="AY127" s="12">
        <v>0</v>
      </c>
      <c r="AZ127" s="12">
        <v>0</v>
      </c>
      <c r="BA127" s="12">
        <v>0</v>
      </c>
      <c r="BB127" s="12">
        <v>0</v>
      </c>
      <c r="BC127" s="12">
        <v>0</v>
      </c>
      <c r="BD127" s="12">
        <v>0</v>
      </c>
      <c r="BE127" s="12">
        <v>0</v>
      </c>
      <c r="BF127" s="12">
        <v>0</v>
      </c>
      <c r="BG127" s="12">
        <v>0</v>
      </c>
      <c r="BH127" s="12">
        <v>0</v>
      </c>
      <c r="BI127" s="12">
        <v>0</v>
      </c>
      <c r="BJ127" s="12">
        <v>0</v>
      </c>
      <c r="BK127" s="12">
        <v>0</v>
      </c>
      <c r="BL127" s="12">
        <v>0</v>
      </c>
      <c r="BM127" s="18">
        <v>200</v>
      </c>
      <c r="BN127" s="9">
        <f t="shared" si="4"/>
        <v>200</v>
      </c>
      <c r="BO127" s="9">
        <f t="shared" si="5"/>
        <v>140</v>
      </c>
    </row>
    <row r="128" spans="1:67" ht="24">
      <c r="A128" s="8" t="s">
        <v>73</v>
      </c>
      <c r="B128" s="10" t="s">
        <v>61</v>
      </c>
      <c r="C128" s="10">
        <v>462353</v>
      </c>
      <c r="D128" s="11"/>
      <c r="E128" s="10" t="s">
        <v>16</v>
      </c>
      <c r="F128" s="10" t="s">
        <v>33</v>
      </c>
      <c r="G128" s="10" t="s">
        <v>11</v>
      </c>
      <c r="H128" s="12" t="s">
        <v>7</v>
      </c>
      <c r="I128" s="12" t="s">
        <v>62</v>
      </c>
      <c r="J128" s="12">
        <v>0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2</v>
      </c>
      <c r="AF128" s="12">
        <v>200</v>
      </c>
      <c r="AG128" s="12">
        <v>0</v>
      </c>
      <c r="AH128" s="12">
        <v>0</v>
      </c>
      <c r="AI128" s="12">
        <v>0</v>
      </c>
      <c r="AJ128" s="12">
        <v>0</v>
      </c>
      <c r="AK128" s="12">
        <v>0</v>
      </c>
      <c r="AL128" s="12">
        <v>0</v>
      </c>
      <c r="AM128" s="12">
        <v>0</v>
      </c>
      <c r="AN128" s="12">
        <v>0</v>
      </c>
      <c r="AO128" s="12">
        <v>0</v>
      </c>
      <c r="AP128" s="12">
        <v>0</v>
      </c>
      <c r="AQ128" s="12">
        <v>0</v>
      </c>
      <c r="AR128" s="12">
        <v>0</v>
      </c>
      <c r="AS128" s="12">
        <v>0</v>
      </c>
      <c r="AT128" s="12">
        <v>0</v>
      </c>
      <c r="AU128" s="12">
        <v>0</v>
      </c>
      <c r="AV128" s="12">
        <v>0</v>
      </c>
      <c r="AW128" s="12">
        <v>0</v>
      </c>
      <c r="AX128" s="12">
        <v>0</v>
      </c>
      <c r="AY128" s="12">
        <v>0</v>
      </c>
      <c r="AZ128" s="12">
        <v>0</v>
      </c>
      <c r="BA128" s="12">
        <v>0</v>
      </c>
      <c r="BB128" s="12">
        <v>0</v>
      </c>
      <c r="BC128" s="12">
        <v>0</v>
      </c>
      <c r="BD128" s="12">
        <v>0</v>
      </c>
      <c r="BE128" s="12">
        <v>0</v>
      </c>
      <c r="BF128" s="12">
        <v>0</v>
      </c>
      <c r="BG128" s="12">
        <v>0</v>
      </c>
      <c r="BH128" s="12">
        <v>0</v>
      </c>
      <c r="BI128" s="12">
        <v>0</v>
      </c>
      <c r="BJ128" s="12">
        <v>0</v>
      </c>
      <c r="BK128" s="12">
        <v>0</v>
      </c>
      <c r="BL128" s="12">
        <v>0</v>
      </c>
      <c r="BM128" s="18">
        <v>200</v>
      </c>
      <c r="BN128" s="9">
        <f t="shared" si="4"/>
        <v>200</v>
      </c>
      <c r="BO128" s="9">
        <f t="shared" si="5"/>
        <v>140</v>
      </c>
    </row>
    <row r="129" spans="1:67" ht="24">
      <c r="A129" s="8" t="s">
        <v>73</v>
      </c>
      <c r="B129" s="10" t="s">
        <v>287</v>
      </c>
      <c r="C129" s="10">
        <v>328404</v>
      </c>
      <c r="D129" s="11"/>
      <c r="E129" s="10" t="s">
        <v>16</v>
      </c>
      <c r="F129" s="10" t="s">
        <v>28</v>
      </c>
      <c r="G129" s="10" t="s">
        <v>29</v>
      </c>
      <c r="H129" s="12" t="s">
        <v>8</v>
      </c>
      <c r="I129" s="12" t="s">
        <v>288</v>
      </c>
      <c r="J129" s="12">
        <v>0</v>
      </c>
      <c r="K129" s="12">
        <v>0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2">
        <v>0</v>
      </c>
      <c r="AE129" s="12">
        <v>1</v>
      </c>
      <c r="AF129" s="12">
        <v>100</v>
      </c>
      <c r="AG129" s="12">
        <v>0</v>
      </c>
      <c r="AH129" s="12">
        <v>0</v>
      </c>
      <c r="AI129" s="12">
        <v>0</v>
      </c>
      <c r="AJ129" s="12">
        <v>0</v>
      </c>
      <c r="AK129" s="12">
        <v>0</v>
      </c>
      <c r="AL129" s="12">
        <v>0</v>
      </c>
      <c r="AM129" s="12">
        <v>0</v>
      </c>
      <c r="AN129" s="12">
        <v>0</v>
      </c>
      <c r="AO129" s="12">
        <v>0</v>
      </c>
      <c r="AP129" s="12">
        <v>0</v>
      </c>
      <c r="AQ129" s="12">
        <v>0</v>
      </c>
      <c r="AR129" s="12">
        <v>0</v>
      </c>
      <c r="AS129" s="12">
        <v>0</v>
      </c>
      <c r="AT129" s="12">
        <v>0</v>
      </c>
      <c r="AU129" s="12">
        <v>0</v>
      </c>
      <c r="AV129" s="12">
        <v>0</v>
      </c>
      <c r="AW129" s="12">
        <v>0</v>
      </c>
      <c r="AX129" s="12">
        <v>0</v>
      </c>
      <c r="AY129" s="12">
        <v>0</v>
      </c>
      <c r="AZ129" s="12">
        <v>0</v>
      </c>
      <c r="BA129" s="12">
        <v>0</v>
      </c>
      <c r="BB129" s="12">
        <v>0</v>
      </c>
      <c r="BC129" s="12">
        <v>0</v>
      </c>
      <c r="BD129" s="12">
        <v>0</v>
      </c>
      <c r="BE129" s="12">
        <v>0</v>
      </c>
      <c r="BF129" s="12">
        <v>0</v>
      </c>
      <c r="BG129" s="12">
        <v>0</v>
      </c>
      <c r="BH129" s="12">
        <v>0</v>
      </c>
      <c r="BI129" s="12">
        <v>0</v>
      </c>
      <c r="BJ129" s="12">
        <v>0</v>
      </c>
      <c r="BK129" s="12">
        <v>0</v>
      </c>
      <c r="BL129" s="12">
        <v>0</v>
      </c>
      <c r="BM129" s="18">
        <v>100</v>
      </c>
      <c r="BN129" s="9">
        <f t="shared" si="4"/>
        <v>100</v>
      </c>
      <c r="BO129" s="9">
        <f t="shared" si="5"/>
        <v>70</v>
      </c>
    </row>
    <row r="130" spans="1:67" ht="24">
      <c r="A130" s="8" t="s">
        <v>73</v>
      </c>
      <c r="B130" s="10" t="s">
        <v>212</v>
      </c>
      <c r="C130" s="10">
        <v>486824</v>
      </c>
      <c r="D130" s="11"/>
      <c r="E130" s="10" t="s">
        <v>16</v>
      </c>
      <c r="F130" s="10" t="s">
        <v>213</v>
      </c>
      <c r="G130" s="10" t="s">
        <v>67</v>
      </c>
      <c r="H130" s="12" t="s">
        <v>8</v>
      </c>
      <c r="I130" s="12" t="s">
        <v>207</v>
      </c>
      <c r="J130" s="12">
        <v>0</v>
      </c>
      <c r="K130" s="12">
        <v>3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2">
        <v>0</v>
      </c>
      <c r="AK130" s="12">
        <v>0</v>
      </c>
      <c r="AL130" s="12">
        <v>0</v>
      </c>
      <c r="AM130" s="12">
        <v>0</v>
      </c>
      <c r="AN130" s="12">
        <v>0</v>
      </c>
      <c r="AO130" s="12">
        <v>0</v>
      </c>
      <c r="AP130" s="12">
        <v>0</v>
      </c>
      <c r="AQ130" s="12">
        <v>0</v>
      </c>
      <c r="AR130" s="12">
        <v>0</v>
      </c>
      <c r="AS130" s="12">
        <v>0</v>
      </c>
      <c r="AT130" s="12">
        <v>0</v>
      </c>
      <c r="AU130" s="12">
        <v>0</v>
      </c>
      <c r="AV130" s="12">
        <v>0</v>
      </c>
      <c r="AW130" s="12">
        <v>0</v>
      </c>
      <c r="AX130" s="12">
        <v>0</v>
      </c>
      <c r="AY130" s="12">
        <v>0</v>
      </c>
      <c r="AZ130" s="12">
        <v>0</v>
      </c>
      <c r="BA130" s="12">
        <v>0</v>
      </c>
      <c r="BB130" s="12">
        <v>0</v>
      </c>
      <c r="BC130" s="12">
        <v>0</v>
      </c>
      <c r="BD130" s="12">
        <v>0</v>
      </c>
      <c r="BE130" s="12">
        <v>0</v>
      </c>
      <c r="BF130" s="12">
        <v>0</v>
      </c>
      <c r="BG130" s="12">
        <v>0</v>
      </c>
      <c r="BH130" s="12">
        <v>0</v>
      </c>
      <c r="BI130" s="12">
        <v>0</v>
      </c>
      <c r="BJ130" s="12">
        <v>0</v>
      </c>
      <c r="BK130" s="12">
        <v>0</v>
      </c>
      <c r="BL130" s="12">
        <v>0</v>
      </c>
      <c r="BM130" s="18">
        <v>0</v>
      </c>
      <c r="BN130" s="9">
        <f t="shared" si="4"/>
        <v>0</v>
      </c>
      <c r="BO130" s="9">
        <f t="shared" si="5"/>
        <v>0</v>
      </c>
    </row>
    <row r="131" spans="1:67" ht="24">
      <c r="A131" s="8" t="s">
        <v>73</v>
      </c>
      <c r="B131" s="10" t="s">
        <v>203</v>
      </c>
      <c r="C131" s="10">
        <v>486624</v>
      </c>
      <c r="D131" s="11"/>
      <c r="E131" s="10" t="s">
        <v>16</v>
      </c>
      <c r="F131" s="10" t="s">
        <v>204</v>
      </c>
      <c r="G131" s="10" t="s">
        <v>29</v>
      </c>
      <c r="H131" s="12" t="s">
        <v>8</v>
      </c>
      <c r="I131" s="12" t="s">
        <v>166</v>
      </c>
      <c r="J131" s="12">
        <v>0</v>
      </c>
      <c r="K131" s="12">
        <v>3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0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0</v>
      </c>
      <c r="AS131" s="12">
        <v>0</v>
      </c>
      <c r="AT131" s="12">
        <v>0</v>
      </c>
      <c r="AU131" s="12">
        <v>0</v>
      </c>
      <c r="AV131" s="12">
        <v>0</v>
      </c>
      <c r="AW131" s="12">
        <v>0</v>
      </c>
      <c r="AX131" s="12">
        <v>0</v>
      </c>
      <c r="AY131" s="12">
        <v>0</v>
      </c>
      <c r="AZ131" s="12">
        <v>0</v>
      </c>
      <c r="BA131" s="12">
        <v>0</v>
      </c>
      <c r="BB131" s="12">
        <v>0</v>
      </c>
      <c r="BC131" s="12">
        <v>0</v>
      </c>
      <c r="BD131" s="12">
        <v>0</v>
      </c>
      <c r="BE131" s="12">
        <v>0</v>
      </c>
      <c r="BF131" s="12">
        <v>0</v>
      </c>
      <c r="BG131" s="12">
        <v>0</v>
      </c>
      <c r="BH131" s="12">
        <v>0</v>
      </c>
      <c r="BI131" s="12">
        <v>0</v>
      </c>
      <c r="BJ131" s="12">
        <v>0</v>
      </c>
      <c r="BK131" s="12">
        <v>0</v>
      </c>
      <c r="BL131" s="12">
        <v>0</v>
      </c>
      <c r="BM131" s="18">
        <v>0</v>
      </c>
      <c r="BN131" s="9">
        <f t="shared" ref="BN131:BN180" si="6">BM131-BL131</f>
        <v>0</v>
      </c>
      <c r="BO131" s="9">
        <f t="shared" ref="BO131:BO180" si="7">BN131*70%</f>
        <v>0</v>
      </c>
    </row>
    <row r="132" spans="1:67" ht="24">
      <c r="A132" s="8" t="s">
        <v>73</v>
      </c>
      <c r="B132" s="10" t="s">
        <v>68</v>
      </c>
      <c r="C132" s="10">
        <v>476035</v>
      </c>
      <c r="D132" s="11"/>
      <c r="E132" s="10" t="s">
        <v>16</v>
      </c>
      <c r="F132" s="10" t="s">
        <v>69</v>
      </c>
      <c r="G132" s="10" t="s">
        <v>67</v>
      </c>
      <c r="H132" s="12" t="s">
        <v>10</v>
      </c>
      <c r="I132" s="12" t="s">
        <v>64</v>
      </c>
      <c r="J132" s="12">
        <v>0</v>
      </c>
      <c r="K132" s="12">
        <v>5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2">
        <v>0</v>
      </c>
      <c r="AK132" s="12">
        <v>0</v>
      </c>
      <c r="AL132" s="12">
        <v>0</v>
      </c>
      <c r="AM132" s="12">
        <v>0</v>
      </c>
      <c r="AN132" s="12">
        <v>0</v>
      </c>
      <c r="AO132" s="12">
        <v>0</v>
      </c>
      <c r="AP132" s="12">
        <v>0</v>
      </c>
      <c r="AQ132" s="12">
        <v>0</v>
      </c>
      <c r="AR132" s="12">
        <v>0</v>
      </c>
      <c r="AS132" s="12">
        <v>0</v>
      </c>
      <c r="AT132" s="12">
        <v>0</v>
      </c>
      <c r="AU132" s="12">
        <v>0</v>
      </c>
      <c r="AV132" s="12">
        <v>0</v>
      </c>
      <c r="AW132" s="12">
        <v>0</v>
      </c>
      <c r="AX132" s="12">
        <v>0</v>
      </c>
      <c r="AY132" s="12">
        <v>0</v>
      </c>
      <c r="AZ132" s="12">
        <v>0</v>
      </c>
      <c r="BA132" s="12">
        <v>0</v>
      </c>
      <c r="BB132" s="12">
        <v>0</v>
      </c>
      <c r="BC132" s="12">
        <v>0</v>
      </c>
      <c r="BD132" s="12">
        <v>0</v>
      </c>
      <c r="BE132" s="12">
        <v>0</v>
      </c>
      <c r="BF132" s="12">
        <v>0</v>
      </c>
      <c r="BG132" s="12">
        <v>0</v>
      </c>
      <c r="BH132" s="12">
        <v>0</v>
      </c>
      <c r="BI132" s="12">
        <v>0</v>
      </c>
      <c r="BJ132" s="12">
        <v>0</v>
      </c>
      <c r="BK132" s="12">
        <v>0</v>
      </c>
      <c r="BL132" s="12">
        <v>0</v>
      </c>
      <c r="BM132" s="18">
        <v>0</v>
      </c>
      <c r="BN132" s="9">
        <f t="shared" si="6"/>
        <v>0</v>
      </c>
      <c r="BO132" s="9">
        <f t="shared" si="7"/>
        <v>0</v>
      </c>
    </row>
    <row r="133" spans="1:67" ht="24">
      <c r="A133" s="8" t="s">
        <v>57</v>
      </c>
      <c r="B133" s="10" t="s">
        <v>237</v>
      </c>
      <c r="C133" s="10">
        <v>418302</v>
      </c>
      <c r="D133" s="11"/>
      <c r="E133" s="10" t="s">
        <v>16</v>
      </c>
      <c r="F133" s="10" t="s">
        <v>28</v>
      </c>
      <c r="G133" s="10" t="s">
        <v>29</v>
      </c>
      <c r="H133" s="12" t="s">
        <v>56</v>
      </c>
      <c r="I133" s="12" t="s">
        <v>30</v>
      </c>
      <c r="J133" s="12">
        <v>0</v>
      </c>
      <c r="K133" s="12">
        <v>0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2">
        <v>0</v>
      </c>
      <c r="AE133" s="12">
        <v>12</v>
      </c>
      <c r="AF133" s="13">
        <v>32200</v>
      </c>
      <c r="AG133" s="13">
        <v>12100</v>
      </c>
      <c r="AH133" s="12">
        <v>0</v>
      </c>
      <c r="AI133" s="12">
        <v>0</v>
      </c>
      <c r="AJ133" s="12">
        <v>0</v>
      </c>
      <c r="AK133" s="12">
        <v>2</v>
      </c>
      <c r="AL133" s="13">
        <v>5760</v>
      </c>
      <c r="AM133" s="13">
        <v>2200</v>
      </c>
      <c r="AN133" s="12">
        <v>0</v>
      </c>
      <c r="AO133" s="12">
        <v>0</v>
      </c>
      <c r="AP133" s="12">
        <v>0</v>
      </c>
      <c r="AQ133" s="12">
        <v>4</v>
      </c>
      <c r="AR133" s="13">
        <v>15900</v>
      </c>
      <c r="AS133" s="12">
        <v>0</v>
      </c>
      <c r="AT133" s="12">
        <v>0</v>
      </c>
      <c r="AU133" s="12">
        <v>0</v>
      </c>
      <c r="AV133" s="12">
        <v>0</v>
      </c>
      <c r="AW133" s="12">
        <v>0</v>
      </c>
      <c r="AX133" s="12">
        <v>0</v>
      </c>
      <c r="AY133" s="12">
        <v>0</v>
      </c>
      <c r="AZ133" s="12">
        <v>0</v>
      </c>
      <c r="BA133" s="12">
        <v>0</v>
      </c>
      <c r="BB133" s="12">
        <v>0</v>
      </c>
      <c r="BC133" s="12">
        <v>2</v>
      </c>
      <c r="BD133" s="13">
        <v>7920</v>
      </c>
      <c r="BE133" s="12">
        <v>0</v>
      </c>
      <c r="BF133" s="12">
        <v>0</v>
      </c>
      <c r="BG133" s="12">
        <v>0</v>
      </c>
      <c r="BH133" s="12">
        <v>0</v>
      </c>
      <c r="BI133" s="12">
        <v>0</v>
      </c>
      <c r="BJ133" s="12">
        <v>0</v>
      </c>
      <c r="BK133" s="12">
        <v>0</v>
      </c>
      <c r="BL133" s="14">
        <v>2203.1999999999998</v>
      </c>
      <c r="BM133" s="17">
        <v>76080</v>
      </c>
      <c r="BN133" s="9">
        <f t="shared" si="6"/>
        <v>73876.800000000003</v>
      </c>
      <c r="BO133" s="9">
        <f t="shared" si="7"/>
        <v>51713.760000000002</v>
      </c>
    </row>
    <row r="134" spans="1:67" ht="24">
      <c r="A134" s="8" t="s">
        <v>57</v>
      </c>
      <c r="B134" s="10" t="s">
        <v>235</v>
      </c>
      <c r="C134" s="10">
        <v>488792</v>
      </c>
      <c r="D134" s="11"/>
      <c r="E134" s="10" t="s">
        <v>16</v>
      </c>
      <c r="F134" s="10" t="s">
        <v>34</v>
      </c>
      <c r="G134" s="10" t="s">
        <v>29</v>
      </c>
      <c r="H134" s="12" t="s">
        <v>56</v>
      </c>
      <c r="I134" s="12" t="s">
        <v>236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3</v>
      </c>
      <c r="AF134" s="13">
        <v>11400</v>
      </c>
      <c r="AG134" s="12">
        <v>0</v>
      </c>
      <c r="AH134" s="12">
        <v>0</v>
      </c>
      <c r="AI134" s="12">
        <v>0</v>
      </c>
      <c r="AJ134" s="12">
        <v>0</v>
      </c>
      <c r="AK134" s="12">
        <v>2</v>
      </c>
      <c r="AL134" s="13">
        <v>4446</v>
      </c>
      <c r="AM134" s="13">
        <v>3800</v>
      </c>
      <c r="AN134" s="12">
        <v>0</v>
      </c>
      <c r="AO134" s="12">
        <v>0</v>
      </c>
      <c r="AP134" s="12">
        <v>0</v>
      </c>
      <c r="AQ134" s="12">
        <v>1</v>
      </c>
      <c r="AR134" s="13">
        <v>3800</v>
      </c>
      <c r="AS134" s="12">
        <v>0</v>
      </c>
      <c r="AT134" s="12">
        <v>0</v>
      </c>
      <c r="AU134" s="12">
        <v>0</v>
      </c>
      <c r="AV134" s="12">
        <v>0</v>
      </c>
      <c r="AW134" s="12">
        <v>0</v>
      </c>
      <c r="AX134" s="12">
        <v>0</v>
      </c>
      <c r="AY134" s="12">
        <v>0</v>
      </c>
      <c r="AZ134" s="12">
        <v>0</v>
      </c>
      <c r="BA134" s="12">
        <v>0</v>
      </c>
      <c r="BB134" s="12">
        <v>0</v>
      </c>
      <c r="BC134" s="12">
        <v>1</v>
      </c>
      <c r="BD134" s="13">
        <v>4560</v>
      </c>
      <c r="BE134" s="12">
        <v>0</v>
      </c>
      <c r="BF134" s="12">
        <v>0</v>
      </c>
      <c r="BG134" s="12">
        <v>0</v>
      </c>
      <c r="BH134" s="12">
        <v>0</v>
      </c>
      <c r="BI134" s="12">
        <v>0</v>
      </c>
      <c r="BJ134" s="12">
        <v>0</v>
      </c>
      <c r="BK134" s="12">
        <v>0</v>
      </c>
      <c r="BL134" s="14">
        <v>1607.4</v>
      </c>
      <c r="BM134" s="17">
        <v>28006</v>
      </c>
      <c r="BN134" s="9">
        <f t="shared" si="6"/>
        <v>26398.6</v>
      </c>
      <c r="BO134" s="9">
        <f t="shared" si="7"/>
        <v>18479.019999999997</v>
      </c>
    </row>
    <row r="135" spans="1:67" ht="24">
      <c r="A135" s="8" t="s">
        <v>57</v>
      </c>
      <c r="B135" s="10" t="s">
        <v>131</v>
      </c>
      <c r="C135" s="10">
        <v>324335</v>
      </c>
      <c r="D135" s="11"/>
      <c r="E135" s="10" t="s">
        <v>16</v>
      </c>
      <c r="F135" s="10" t="s">
        <v>26</v>
      </c>
      <c r="G135" s="10" t="s">
        <v>11</v>
      </c>
      <c r="H135" s="12" t="s">
        <v>10</v>
      </c>
      <c r="I135" s="12" t="s">
        <v>132</v>
      </c>
      <c r="J135" s="12">
        <v>0</v>
      </c>
      <c r="K135" s="12">
        <v>0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2">
        <v>3</v>
      </c>
      <c r="AF135" s="13">
        <v>9600</v>
      </c>
      <c r="AG135" s="12">
        <v>0</v>
      </c>
      <c r="AH135" s="12">
        <v>0</v>
      </c>
      <c r="AI135" s="12">
        <v>0</v>
      </c>
      <c r="AJ135" s="12">
        <v>0</v>
      </c>
      <c r="AK135" s="12">
        <v>0</v>
      </c>
      <c r="AL135" s="12">
        <v>0</v>
      </c>
      <c r="AM135" s="12">
        <v>0</v>
      </c>
      <c r="AN135" s="12">
        <v>0</v>
      </c>
      <c r="AO135" s="12">
        <v>0</v>
      </c>
      <c r="AP135" s="12">
        <v>0</v>
      </c>
      <c r="AQ135" s="12">
        <v>1</v>
      </c>
      <c r="AR135" s="12">
        <v>0</v>
      </c>
      <c r="AS135" s="13">
        <v>3200</v>
      </c>
      <c r="AT135" s="12">
        <v>0</v>
      </c>
      <c r="AU135" s="12">
        <v>0</v>
      </c>
      <c r="AV135" s="12">
        <v>0</v>
      </c>
      <c r="AW135" s="12">
        <v>0</v>
      </c>
      <c r="AX135" s="12">
        <v>0</v>
      </c>
      <c r="AY135" s="12">
        <v>0</v>
      </c>
      <c r="AZ135" s="12">
        <v>0</v>
      </c>
      <c r="BA135" s="12">
        <v>0</v>
      </c>
      <c r="BB135" s="12">
        <v>0</v>
      </c>
      <c r="BC135" s="12">
        <v>0</v>
      </c>
      <c r="BD135" s="12">
        <v>0</v>
      </c>
      <c r="BE135" s="12">
        <v>0</v>
      </c>
      <c r="BF135" s="12">
        <v>0</v>
      </c>
      <c r="BG135" s="12">
        <v>0</v>
      </c>
      <c r="BH135" s="12">
        <v>0</v>
      </c>
      <c r="BI135" s="12">
        <v>0</v>
      </c>
      <c r="BJ135" s="12">
        <v>0</v>
      </c>
      <c r="BK135" s="12">
        <v>0</v>
      </c>
      <c r="BL135" s="12">
        <v>0</v>
      </c>
      <c r="BM135" s="17">
        <v>12800</v>
      </c>
      <c r="BN135" s="9">
        <f t="shared" si="6"/>
        <v>12800</v>
      </c>
      <c r="BO135" s="9">
        <f t="shared" si="7"/>
        <v>8960</v>
      </c>
    </row>
    <row r="136" spans="1:67" ht="24">
      <c r="A136" s="8" t="s">
        <v>57</v>
      </c>
      <c r="B136" s="10" t="s">
        <v>315</v>
      </c>
      <c r="C136" s="10">
        <v>421665</v>
      </c>
      <c r="D136" s="11"/>
      <c r="E136" s="10" t="s">
        <v>16</v>
      </c>
      <c r="F136" s="10" t="s">
        <v>180</v>
      </c>
      <c r="G136" s="10" t="s">
        <v>29</v>
      </c>
      <c r="H136" s="12" t="s">
        <v>56</v>
      </c>
      <c r="I136" s="12" t="s">
        <v>236</v>
      </c>
      <c r="J136" s="12">
        <v>0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2</v>
      </c>
      <c r="AF136" s="13">
        <v>3000</v>
      </c>
      <c r="AG136" s="12">
        <v>200</v>
      </c>
      <c r="AH136" s="12">
        <v>0</v>
      </c>
      <c r="AI136" s="12">
        <v>0</v>
      </c>
      <c r="AJ136" s="12">
        <v>0</v>
      </c>
      <c r="AK136" s="12">
        <v>0</v>
      </c>
      <c r="AL136" s="12">
        <v>0</v>
      </c>
      <c r="AM136" s="12">
        <v>0</v>
      </c>
      <c r="AN136" s="12">
        <v>0</v>
      </c>
      <c r="AO136" s="12">
        <v>0</v>
      </c>
      <c r="AP136" s="12">
        <v>0</v>
      </c>
      <c r="AQ136" s="12">
        <v>2</v>
      </c>
      <c r="AR136" s="13">
        <v>6000</v>
      </c>
      <c r="AS136" s="12">
        <v>0</v>
      </c>
      <c r="AT136" s="12">
        <v>0</v>
      </c>
      <c r="AU136" s="12">
        <v>0</v>
      </c>
      <c r="AV136" s="12">
        <v>0</v>
      </c>
      <c r="AW136" s="12">
        <v>0</v>
      </c>
      <c r="AX136" s="12">
        <v>0</v>
      </c>
      <c r="AY136" s="12">
        <v>0</v>
      </c>
      <c r="AZ136" s="12">
        <v>0</v>
      </c>
      <c r="BA136" s="12">
        <v>0</v>
      </c>
      <c r="BB136" s="12">
        <v>0</v>
      </c>
      <c r="BC136" s="12">
        <v>1</v>
      </c>
      <c r="BD136" s="13">
        <v>3360</v>
      </c>
      <c r="BE136" s="12">
        <v>0</v>
      </c>
      <c r="BF136" s="12">
        <v>0</v>
      </c>
      <c r="BG136" s="12">
        <v>0</v>
      </c>
      <c r="BH136" s="12">
        <v>0</v>
      </c>
      <c r="BI136" s="12">
        <v>0</v>
      </c>
      <c r="BJ136" s="12">
        <v>0</v>
      </c>
      <c r="BK136" s="12">
        <v>0</v>
      </c>
      <c r="BL136" s="12">
        <v>201.6</v>
      </c>
      <c r="BM136" s="17">
        <v>12560</v>
      </c>
      <c r="BN136" s="9">
        <f t="shared" si="6"/>
        <v>12358.4</v>
      </c>
      <c r="BO136" s="9">
        <f t="shared" si="7"/>
        <v>8650.8799999999992</v>
      </c>
    </row>
    <row r="137" spans="1:67" ht="24">
      <c r="A137" s="8" t="s">
        <v>57</v>
      </c>
      <c r="B137" s="10" t="s">
        <v>168</v>
      </c>
      <c r="C137" s="10">
        <v>485655</v>
      </c>
      <c r="D137" s="11"/>
      <c r="E137" s="10" t="s">
        <v>16</v>
      </c>
      <c r="F137" s="10" t="s">
        <v>169</v>
      </c>
      <c r="G137" s="10" t="s">
        <v>29</v>
      </c>
      <c r="H137" s="12" t="s">
        <v>56</v>
      </c>
      <c r="I137" s="12" t="s">
        <v>165</v>
      </c>
      <c r="J137" s="12">
        <v>0</v>
      </c>
      <c r="K137" s="12">
        <v>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2">
        <v>3</v>
      </c>
      <c r="AF137" s="13">
        <v>7400</v>
      </c>
      <c r="AG137" s="13">
        <v>3700</v>
      </c>
      <c r="AH137" s="12">
        <v>0</v>
      </c>
      <c r="AI137" s="12">
        <v>0</v>
      </c>
      <c r="AJ137" s="12">
        <v>0</v>
      </c>
      <c r="AK137" s="12">
        <v>0</v>
      </c>
      <c r="AL137" s="12">
        <v>0</v>
      </c>
      <c r="AM137" s="12">
        <v>0</v>
      </c>
      <c r="AN137" s="12">
        <v>0</v>
      </c>
      <c r="AO137" s="12">
        <v>0</v>
      </c>
      <c r="AP137" s="12">
        <v>0</v>
      </c>
      <c r="AQ137" s="12">
        <v>0</v>
      </c>
      <c r="AR137" s="12">
        <v>0</v>
      </c>
      <c r="AS137" s="12">
        <v>0</v>
      </c>
      <c r="AT137" s="12">
        <v>0</v>
      </c>
      <c r="AU137" s="12">
        <v>0</v>
      </c>
      <c r="AV137" s="12">
        <v>0</v>
      </c>
      <c r="AW137" s="12">
        <v>0</v>
      </c>
      <c r="AX137" s="12">
        <v>0</v>
      </c>
      <c r="AY137" s="12">
        <v>0</v>
      </c>
      <c r="AZ137" s="12">
        <v>0</v>
      </c>
      <c r="BA137" s="12">
        <v>0</v>
      </c>
      <c r="BB137" s="12">
        <v>0</v>
      </c>
      <c r="BC137" s="12">
        <v>0</v>
      </c>
      <c r="BD137" s="12">
        <v>0</v>
      </c>
      <c r="BE137" s="12">
        <v>0</v>
      </c>
      <c r="BF137" s="12">
        <v>0</v>
      </c>
      <c r="BG137" s="12">
        <v>0</v>
      </c>
      <c r="BH137" s="12">
        <v>0</v>
      </c>
      <c r="BI137" s="12">
        <v>0</v>
      </c>
      <c r="BJ137" s="12">
        <v>0</v>
      </c>
      <c r="BK137" s="12">
        <v>0</v>
      </c>
      <c r="BL137" s="12">
        <v>0</v>
      </c>
      <c r="BM137" s="17">
        <v>11100</v>
      </c>
      <c r="BN137" s="9">
        <f t="shared" si="6"/>
        <v>11100</v>
      </c>
      <c r="BO137" s="9">
        <f t="shared" si="7"/>
        <v>7769.9999999999991</v>
      </c>
    </row>
    <row r="138" spans="1:67" ht="24">
      <c r="A138" s="8" t="s">
        <v>57</v>
      </c>
      <c r="B138" s="10" t="s">
        <v>316</v>
      </c>
      <c r="C138" s="10">
        <v>446880</v>
      </c>
      <c r="D138" s="11"/>
      <c r="E138" s="10" t="s">
        <v>16</v>
      </c>
      <c r="F138" s="10" t="s">
        <v>55</v>
      </c>
      <c r="G138" s="10" t="s">
        <v>29</v>
      </c>
      <c r="H138" s="12" t="s">
        <v>56</v>
      </c>
      <c r="I138" s="12" t="s">
        <v>317</v>
      </c>
      <c r="J138" s="12">
        <v>0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3</v>
      </c>
      <c r="AF138" s="13">
        <v>10500</v>
      </c>
      <c r="AG138" s="12">
        <v>0</v>
      </c>
      <c r="AH138" s="12">
        <v>0</v>
      </c>
      <c r="AI138" s="12">
        <v>0</v>
      </c>
      <c r="AJ138" s="12">
        <v>0</v>
      </c>
      <c r="AK138" s="12">
        <v>0</v>
      </c>
      <c r="AL138" s="12">
        <v>0</v>
      </c>
      <c r="AM138" s="12">
        <v>0</v>
      </c>
      <c r="AN138" s="12">
        <v>0</v>
      </c>
      <c r="AO138" s="12">
        <v>0</v>
      </c>
      <c r="AP138" s="12">
        <v>0</v>
      </c>
      <c r="AQ138" s="12">
        <v>0</v>
      </c>
      <c r="AR138" s="12">
        <v>0</v>
      </c>
      <c r="AS138" s="12">
        <v>0</v>
      </c>
      <c r="AT138" s="12">
        <v>0</v>
      </c>
      <c r="AU138" s="12">
        <v>0</v>
      </c>
      <c r="AV138" s="12">
        <v>0</v>
      </c>
      <c r="AW138" s="12">
        <v>0</v>
      </c>
      <c r="AX138" s="12">
        <v>0</v>
      </c>
      <c r="AY138" s="12">
        <v>0</v>
      </c>
      <c r="AZ138" s="12">
        <v>0</v>
      </c>
      <c r="BA138" s="12">
        <v>0</v>
      </c>
      <c r="BB138" s="12">
        <v>0</v>
      </c>
      <c r="BC138" s="12">
        <v>0</v>
      </c>
      <c r="BD138" s="12">
        <v>0</v>
      </c>
      <c r="BE138" s="12">
        <v>0</v>
      </c>
      <c r="BF138" s="12">
        <v>0</v>
      </c>
      <c r="BG138" s="12">
        <v>0</v>
      </c>
      <c r="BH138" s="12">
        <v>0</v>
      </c>
      <c r="BI138" s="12">
        <v>0</v>
      </c>
      <c r="BJ138" s="12">
        <v>0</v>
      </c>
      <c r="BK138" s="12">
        <v>0</v>
      </c>
      <c r="BL138" s="12">
        <v>0</v>
      </c>
      <c r="BM138" s="17">
        <v>10500</v>
      </c>
      <c r="BN138" s="9">
        <f t="shared" si="6"/>
        <v>10500</v>
      </c>
      <c r="BO138" s="9">
        <f t="shared" si="7"/>
        <v>7349.9999999999991</v>
      </c>
    </row>
    <row r="139" spans="1:67" ht="24">
      <c r="A139" s="8" t="s">
        <v>57</v>
      </c>
      <c r="B139" s="10" t="s">
        <v>145</v>
      </c>
      <c r="C139" s="10">
        <v>481170</v>
      </c>
      <c r="D139" s="11"/>
      <c r="E139" s="10" t="s">
        <v>16</v>
      </c>
      <c r="F139" s="10" t="s">
        <v>146</v>
      </c>
      <c r="G139" s="10" t="s">
        <v>29</v>
      </c>
      <c r="H139" s="12" t="s">
        <v>56</v>
      </c>
      <c r="I139" s="12" t="s">
        <v>147</v>
      </c>
      <c r="J139" s="12">
        <v>0</v>
      </c>
      <c r="K139" s="12">
        <v>0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2">
        <v>3</v>
      </c>
      <c r="AF139" s="13">
        <v>7800</v>
      </c>
      <c r="AG139" s="12">
        <v>0</v>
      </c>
      <c r="AH139" s="12">
        <v>0</v>
      </c>
      <c r="AI139" s="12">
        <v>0</v>
      </c>
      <c r="AJ139" s="12">
        <v>0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1</v>
      </c>
      <c r="AR139" s="13">
        <v>2600</v>
      </c>
      <c r="AS139" s="12">
        <v>0</v>
      </c>
      <c r="AT139" s="12">
        <v>0</v>
      </c>
      <c r="AU139" s="12">
        <v>0</v>
      </c>
      <c r="AV139" s="12">
        <v>0</v>
      </c>
      <c r="AW139" s="12">
        <v>0</v>
      </c>
      <c r="AX139" s="12">
        <v>0</v>
      </c>
      <c r="AY139" s="12">
        <v>0</v>
      </c>
      <c r="AZ139" s="12">
        <v>0</v>
      </c>
      <c r="BA139" s="12">
        <v>0</v>
      </c>
      <c r="BB139" s="12">
        <v>0</v>
      </c>
      <c r="BC139" s="12">
        <v>0</v>
      </c>
      <c r="BD139" s="12">
        <v>0</v>
      </c>
      <c r="BE139" s="12">
        <v>0</v>
      </c>
      <c r="BF139" s="12">
        <v>0</v>
      </c>
      <c r="BG139" s="12">
        <v>0</v>
      </c>
      <c r="BH139" s="12">
        <v>0</v>
      </c>
      <c r="BI139" s="12">
        <v>0</v>
      </c>
      <c r="BJ139" s="12">
        <v>0</v>
      </c>
      <c r="BK139" s="12">
        <v>0</v>
      </c>
      <c r="BL139" s="12">
        <v>0</v>
      </c>
      <c r="BM139" s="17">
        <v>10400</v>
      </c>
      <c r="BN139" s="9">
        <f t="shared" si="6"/>
        <v>10400</v>
      </c>
      <c r="BO139" s="9">
        <f t="shared" si="7"/>
        <v>7279.9999999999991</v>
      </c>
    </row>
    <row r="140" spans="1:67" ht="24">
      <c r="A140" s="8" t="s">
        <v>57</v>
      </c>
      <c r="B140" s="10" t="s">
        <v>188</v>
      </c>
      <c r="C140" s="10">
        <v>431783</v>
      </c>
      <c r="D140" s="11"/>
      <c r="E140" s="10" t="s">
        <v>16</v>
      </c>
      <c r="F140" s="10" t="s">
        <v>34</v>
      </c>
      <c r="G140" s="10" t="s">
        <v>29</v>
      </c>
      <c r="H140" s="12" t="s">
        <v>56</v>
      </c>
      <c r="I140" s="12" t="s">
        <v>165</v>
      </c>
      <c r="J140" s="12">
        <v>0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2</v>
      </c>
      <c r="AF140" s="13">
        <v>9100</v>
      </c>
      <c r="AG140" s="12">
        <v>0</v>
      </c>
      <c r="AH140" s="12">
        <v>0</v>
      </c>
      <c r="AI140" s="12">
        <v>0</v>
      </c>
      <c r="AJ140" s="12">
        <v>0</v>
      </c>
      <c r="AK140" s="12">
        <v>0</v>
      </c>
      <c r="AL140" s="12">
        <v>0</v>
      </c>
      <c r="AM140" s="12">
        <v>0</v>
      </c>
      <c r="AN140" s="12">
        <v>0</v>
      </c>
      <c r="AO140" s="12">
        <v>0</v>
      </c>
      <c r="AP140" s="12">
        <v>0</v>
      </c>
      <c r="AQ140" s="12">
        <v>0</v>
      </c>
      <c r="AR140" s="12">
        <v>0</v>
      </c>
      <c r="AS140" s="12">
        <v>0</v>
      </c>
      <c r="AT140" s="12">
        <v>0</v>
      </c>
      <c r="AU140" s="12">
        <v>0</v>
      </c>
      <c r="AV140" s="12">
        <v>0</v>
      </c>
      <c r="AW140" s="12">
        <v>0</v>
      </c>
      <c r="AX140" s="12">
        <v>0</v>
      </c>
      <c r="AY140" s="12">
        <v>0</v>
      </c>
      <c r="AZ140" s="12">
        <v>0</v>
      </c>
      <c r="BA140" s="12">
        <v>0</v>
      </c>
      <c r="BB140" s="12">
        <v>0</v>
      </c>
      <c r="BC140" s="12">
        <v>1</v>
      </c>
      <c r="BD140" s="12">
        <v>120</v>
      </c>
      <c r="BE140" s="12">
        <v>0</v>
      </c>
      <c r="BF140" s="12">
        <v>0</v>
      </c>
      <c r="BG140" s="12">
        <v>0</v>
      </c>
      <c r="BH140" s="12">
        <v>0</v>
      </c>
      <c r="BI140" s="12">
        <v>0</v>
      </c>
      <c r="BJ140" s="12">
        <v>0</v>
      </c>
      <c r="BK140" s="12">
        <v>0</v>
      </c>
      <c r="BL140" s="12">
        <v>7.2</v>
      </c>
      <c r="BM140" s="17">
        <v>9220</v>
      </c>
      <c r="BN140" s="9">
        <f t="shared" si="6"/>
        <v>9212.7999999999993</v>
      </c>
      <c r="BO140" s="9">
        <f t="shared" si="7"/>
        <v>6448.9599999999991</v>
      </c>
    </row>
    <row r="141" spans="1:67" ht="24">
      <c r="A141" s="8" t="s">
        <v>57</v>
      </c>
      <c r="B141" s="10" t="s">
        <v>263</v>
      </c>
      <c r="C141" s="10">
        <v>490131</v>
      </c>
      <c r="D141" s="11"/>
      <c r="E141" s="10" t="s">
        <v>16</v>
      </c>
      <c r="F141" s="10" t="s">
        <v>264</v>
      </c>
      <c r="G141" s="10" t="s">
        <v>67</v>
      </c>
      <c r="H141" s="12" t="s">
        <v>56</v>
      </c>
      <c r="I141" s="12" t="s">
        <v>262</v>
      </c>
      <c r="J141" s="12">
        <v>0</v>
      </c>
      <c r="K141" s="12">
        <v>0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2">
        <v>4</v>
      </c>
      <c r="AF141" s="13">
        <v>3900</v>
      </c>
      <c r="AG141" s="13">
        <v>1300</v>
      </c>
      <c r="AH141" s="12">
        <v>0</v>
      </c>
      <c r="AI141" s="12">
        <v>0</v>
      </c>
      <c r="AJ141" s="12">
        <v>0</v>
      </c>
      <c r="AK141" s="12">
        <v>0</v>
      </c>
      <c r="AL141" s="12">
        <v>0</v>
      </c>
      <c r="AM141" s="12">
        <v>0</v>
      </c>
      <c r="AN141" s="12">
        <v>0</v>
      </c>
      <c r="AO141" s="12">
        <v>0</v>
      </c>
      <c r="AP141" s="12">
        <v>0</v>
      </c>
      <c r="AQ141" s="12">
        <v>1</v>
      </c>
      <c r="AR141" s="13">
        <v>1300</v>
      </c>
      <c r="AS141" s="12">
        <v>0</v>
      </c>
      <c r="AT141" s="12">
        <v>0</v>
      </c>
      <c r="AU141" s="12">
        <v>0</v>
      </c>
      <c r="AV141" s="12">
        <v>0</v>
      </c>
      <c r="AW141" s="12">
        <v>0</v>
      </c>
      <c r="AX141" s="12">
        <v>0</v>
      </c>
      <c r="AY141" s="12">
        <v>0</v>
      </c>
      <c r="AZ141" s="12">
        <v>0</v>
      </c>
      <c r="BA141" s="12">
        <v>0</v>
      </c>
      <c r="BB141" s="12">
        <v>0</v>
      </c>
      <c r="BC141" s="12">
        <v>1</v>
      </c>
      <c r="BD141" s="13">
        <v>1560</v>
      </c>
      <c r="BE141" s="12">
        <v>0</v>
      </c>
      <c r="BF141" s="12">
        <v>0</v>
      </c>
      <c r="BG141" s="12">
        <v>0</v>
      </c>
      <c r="BH141" s="12">
        <v>0</v>
      </c>
      <c r="BI141" s="12">
        <v>0</v>
      </c>
      <c r="BJ141" s="12">
        <v>0</v>
      </c>
      <c r="BK141" s="12">
        <v>0</v>
      </c>
      <c r="BL141" s="12">
        <v>93.6</v>
      </c>
      <c r="BM141" s="17">
        <v>8060</v>
      </c>
      <c r="BN141" s="9">
        <f t="shared" si="6"/>
        <v>7966.4</v>
      </c>
      <c r="BO141" s="9">
        <f t="shared" si="7"/>
        <v>5576.48</v>
      </c>
    </row>
    <row r="142" spans="1:67" ht="24">
      <c r="A142" s="8" t="s">
        <v>57</v>
      </c>
      <c r="B142" s="10" t="s">
        <v>252</v>
      </c>
      <c r="C142" s="10">
        <v>420420</v>
      </c>
      <c r="D142" s="11"/>
      <c r="E142" s="10" t="s">
        <v>16</v>
      </c>
      <c r="F142" s="10" t="s">
        <v>253</v>
      </c>
      <c r="G142" s="10" t="s">
        <v>29</v>
      </c>
      <c r="H142" s="12" t="s">
        <v>56</v>
      </c>
      <c r="I142" s="12" t="s">
        <v>254</v>
      </c>
      <c r="J142" s="12">
        <v>0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1</v>
      </c>
      <c r="AF142" s="13">
        <v>2300</v>
      </c>
      <c r="AG142" s="13">
        <v>1300</v>
      </c>
      <c r="AH142" s="12">
        <v>0</v>
      </c>
      <c r="AI142" s="12">
        <v>0</v>
      </c>
      <c r="AJ142" s="12">
        <v>0</v>
      </c>
      <c r="AK142" s="12">
        <v>1</v>
      </c>
      <c r="AL142" s="13">
        <v>4320</v>
      </c>
      <c r="AM142" s="12">
        <v>0</v>
      </c>
      <c r="AN142" s="12">
        <v>0</v>
      </c>
      <c r="AO142" s="12">
        <v>0</v>
      </c>
      <c r="AP142" s="12">
        <v>0</v>
      </c>
      <c r="AQ142" s="12">
        <v>0</v>
      </c>
      <c r="AR142" s="12">
        <v>0</v>
      </c>
      <c r="AS142" s="12">
        <v>0</v>
      </c>
      <c r="AT142" s="12">
        <v>0</v>
      </c>
      <c r="AU142" s="12">
        <v>0</v>
      </c>
      <c r="AV142" s="12">
        <v>0</v>
      </c>
      <c r="AW142" s="12">
        <v>0</v>
      </c>
      <c r="AX142" s="12">
        <v>0</v>
      </c>
      <c r="AY142" s="12">
        <v>0</v>
      </c>
      <c r="AZ142" s="12">
        <v>0</v>
      </c>
      <c r="BA142" s="12">
        <v>0</v>
      </c>
      <c r="BB142" s="12">
        <v>0</v>
      </c>
      <c r="BC142" s="12">
        <v>0</v>
      </c>
      <c r="BD142" s="12">
        <v>0</v>
      </c>
      <c r="BE142" s="12">
        <v>0</v>
      </c>
      <c r="BF142" s="12">
        <v>0</v>
      </c>
      <c r="BG142" s="12">
        <v>0</v>
      </c>
      <c r="BH142" s="12">
        <v>0</v>
      </c>
      <c r="BI142" s="12">
        <v>0</v>
      </c>
      <c r="BJ142" s="12">
        <v>0</v>
      </c>
      <c r="BK142" s="12">
        <v>0</v>
      </c>
      <c r="BL142" s="14">
        <v>1296</v>
      </c>
      <c r="BM142" s="17">
        <v>7920</v>
      </c>
      <c r="BN142" s="9">
        <f t="shared" si="6"/>
        <v>6624</v>
      </c>
      <c r="BO142" s="9">
        <f t="shared" si="7"/>
        <v>4636.7999999999993</v>
      </c>
    </row>
    <row r="143" spans="1:67" ht="24">
      <c r="A143" s="8" t="s">
        <v>57</v>
      </c>
      <c r="B143" s="10" t="s">
        <v>318</v>
      </c>
      <c r="C143" s="10">
        <v>419231</v>
      </c>
      <c r="D143" s="11"/>
      <c r="E143" s="10" t="s">
        <v>16</v>
      </c>
      <c r="F143" s="10" t="s">
        <v>180</v>
      </c>
      <c r="G143" s="10" t="s">
        <v>29</v>
      </c>
      <c r="H143" s="12" t="s">
        <v>56</v>
      </c>
      <c r="I143" s="12" t="s">
        <v>319</v>
      </c>
      <c r="J143" s="12">
        <v>0</v>
      </c>
      <c r="K143" s="12">
        <v>0</v>
      </c>
      <c r="L143" s="12">
        <v>0</v>
      </c>
      <c r="M143" s="12">
        <v>0</v>
      </c>
      <c r="N143" s="12">
        <v>0</v>
      </c>
      <c r="O143" s="12">
        <v>0</v>
      </c>
      <c r="P143" s="12">
        <v>0</v>
      </c>
      <c r="Q143" s="12">
        <v>0</v>
      </c>
      <c r="R143" s="12">
        <v>0</v>
      </c>
      <c r="S143" s="12">
        <v>0</v>
      </c>
      <c r="T143" s="12">
        <v>0</v>
      </c>
      <c r="U143" s="12">
        <v>0</v>
      </c>
      <c r="V143" s="12">
        <v>0</v>
      </c>
      <c r="W143" s="12">
        <v>0</v>
      </c>
      <c r="X143" s="12">
        <v>0</v>
      </c>
      <c r="Y143" s="12">
        <v>0</v>
      </c>
      <c r="Z143" s="12">
        <v>0</v>
      </c>
      <c r="AA143" s="12">
        <v>0</v>
      </c>
      <c r="AB143" s="12">
        <v>0</v>
      </c>
      <c r="AC143" s="12">
        <v>0</v>
      </c>
      <c r="AD143" s="12">
        <v>0</v>
      </c>
      <c r="AE143" s="12">
        <v>1</v>
      </c>
      <c r="AF143" s="13">
        <v>3300</v>
      </c>
      <c r="AG143" s="12">
        <v>0</v>
      </c>
      <c r="AH143" s="12">
        <v>0</v>
      </c>
      <c r="AI143" s="12">
        <v>0</v>
      </c>
      <c r="AJ143" s="12">
        <v>0</v>
      </c>
      <c r="AK143" s="12">
        <v>1</v>
      </c>
      <c r="AL143" s="13">
        <v>4200</v>
      </c>
      <c r="AM143" s="12">
        <v>0</v>
      </c>
      <c r="AN143" s="12">
        <v>0</v>
      </c>
      <c r="AO143" s="12">
        <v>0</v>
      </c>
      <c r="AP143" s="12">
        <v>0</v>
      </c>
      <c r="AQ143" s="12">
        <v>0</v>
      </c>
      <c r="AR143" s="12">
        <v>0</v>
      </c>
      <c r="AS143" s="12">
        <v>0</v>
      </c>
      <c r="AT143" s="12">
        <v>0</v>
      </c>
      <c r="AU143" s="12">
        <v>0</v>
      </c>
      <c r="AV143" s="12">
        <v>0</v>
      </c>
      <c r="AW143" s="12">
        <v>0</v>
      </c>
      <c r="AX143" s="12">
        <v>0</v>
      </c>
      <c r="AY143" s="12">
        <v>0</v>
      </c>
      <c r="AZ143" s="12">
        <v>0</v>
      </c>
      <c r="BA143" s="12">
        <v>0</v>
      </c>
      <c r="BB143" s="12">
        <v>0</v>
      </c>
      <c r="BC143" s="12">
        <v>1</v>
      </c>
      <c r="BD143" s="12">
        <v>240</v>
      </c>
      <c r="BE143" s="12">
        <v>0</v>
      </c>
      <c r="BF143" s="12">
        <v>0</v>
      </c>
      <c r="BG143" s="12">
        <v>0</v>
      </c>
      <c r="BH143" s="12">
        <v>0</v>
      </c>
      <c r="BI143" s="12">
        <v>0</v>
      </c>
      <c r="BJ143" s="12">
        <v>0</v>
      </c>
      <c r="BK143" s="12">
        <v>0</v>
      </c>
      <c r="BL143" s="14">
        <v>1274.4000000000001</v>
      </c>
      <c r="BM143" s="17">
        <v>7740</v>
      </c>
      <c r="BN143" s="9">
        <f t="shared" si="6"/>
        <v>6465.6</v>
      </c>
      <c r="BO143" s="9">
        <f t="shared" si="7"/>
        <v>4525.92</v>
      </c>
    </row>
    <row r="144" spans="1:67" ht="24">
      <c r="A144" s="8" t="s">
        <v>57</v>
      </c>
      <c r="B144" s="10" t="s">
        <v>320</v>
      </c>
      <c r="C144" s="10">
        <v>462656</v>
      </c>
      <c r="D144" s="11"/>
      <c r="E144" s="10" t="s">
        <v>16</v>
      </c>
      <c r="F144" s="10" t="s">
        <v>55</v>
      </c>
      <c r="G144" s="10" t="s">
        <v>29</v>
      </c>
      <c r="H144" s="12" t="s">
        <v>56</v>
      </c>
      <c r="I144" s="12" t="s">
        <v>62</v>
      </c>
      <c r="J144" s="12">
        <v>0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12">
        <v>0</v>
      </c>
      <c r="U144" s="12">
        <v>0</v>
      </c>
      <c r="V144" s="12">
        <v>0</v>
      </c>
      <c r="W144" s="12">
        <v>0</v>
      </c>
      <c r="X144" s="12">
        <v>0</v>
      </c>
      <c r="Y144" s="12">
        <v>0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2</v>
      </c>
      <c r="AF144" s="13">
        <v>7600</v>
      </c>
      <c r="AG144" s="12">
        <v>0</v>
      </c>
      <c r="AH144" s="12">
        <v>0</v>
      </c>
      <c r="AI144" s="12">
        <v>0</v>
      </c>
      <c r="AJ144" s="12">
        <v>0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0</v>
      </c>
      <c r="AR144" s="12">
        <v>0</v>
      </c>
      <c r="AS144" s="12">
        <v>0</v>
      </c>
      <c r="AT144" s="12">
        <v>0</v>
      </c>
      <c r="AU144" s="12">
        <v>0</v>
      </c>
      <c r="AV144" s="12">
        <v>0</v>
      </c>
      <c r="AW144" s="12">
        <v>0</v>
      </c>
      <c r="AX144" s="12">
        <v>0</v>
      </c>
      <c r="AY144" s="12">
        <v>0</v>
      </c>
      <c r="AZ144" s="12">
        <v>0</v>
      </c>
      <c r="BA144" s="12">
        <v>0</v>
      </c>
      <c r="BB144" s="12">
        <v>0</v>
      </c>
      <c r="BC144" s="12">
        <v>0</v>
      </c>
      <c r="BD144" s="12">
        <v>0</v>
      </c>
      <c r="BE144" s="12">
        <v>0</v>
      </c>
      <c r="BF144" s="12">
        <v>0</v>
      </c>
      <c r="BG144" s="12">
        <v>0</v>
      </c>
      <c r="BH144" s="12">
        <v>0</v>
      </c>
      <c r="BI144" s="12">
        <v>0</v>
      </c>
      <c r="BJ144" s="12">
        <v>0</v>
      </c>
      <c r="BK144" s="12">
        <v>0</v>
      </c>
      <c r="BL144" s="12">
        <v>0</v>
      </c>
      <c r="BM144" s="17">
        <v>7600</v>
      </c>
      <c r="BN144" s="9">
        <f t="shared" si="6"/>
        <v>7600</v>
      </c>
      <c r="BO144" s="9">
        <f t="shared" si="7"/>
        <v>5320</v>
      </c>
    </row>
    <row r="145" spans="1:67" ht="24">
      <c r="A145" s="8" t="s">
        <v>57</v>
      </c>
      <c r="B145" s="10" t="s">
        <v>321</v>
      </c>
      <c r="C145" s="10">
        <v>428727</v>
      </c>
      <c r="D145" s="11"/>
      <c r="E145" s="10" t="s">
        <v>16</v>
      </c>
      <c r="F145" s="10" t="s">
        <v>162</v>
      </c>
      <c r="G145" s="10" t="s">
        <v>29</v>
      </c>
      <c r="H145" s="12" t="s">
        <v>56</v>
      </c>
      <c r="I145" s="12" t="s">
        <v>236</v>
      </c>
      <c r="J145" s="12">
        <v>0</v>
      </c>
      <c r="K145" s="12">
        <v>0</v>
      </c>
      <c r="L145" s="12">
        <v>0</v>
      </c>
      <c r="M145" s="12">
        <v>0</v>
      </c>
      <c r="N145" s="12">
        <v>0</v>
      </c>
      <c r="O145" s="12">
        <v>0</v>
      </c>
      <c r="P145" s="12">
        <v>0</v>
      </c>
      <c r="Q145" s="12">
        <v>0</v>
      </c>
      <c r="R145" s="12">
        <v>0</v>
      </c>
      <c r="S145" s="12">
        <v>0</v>
      </c>
      <c r="T145" s="12">
        <v>0</v>
      </c>
      <c r="U145" s="12">
        <v>0</v>
      </c>
      <c r="V145" s="12">
        <v>0</v>
      </c>
      <c r="W145" s="12">
        <v>0</v>
      </c>
      <c r="X145" s="12">
        <v>0</v>
      </c>
      <c r="Y145" s="12">
        <v>0</v>
      </c>
      <c r="Z145" s="12">
        <v>0</v>
      </c>
      <c r="AA145" s="12">
        <v>0</v>
      </c>
      <c r="AB145" s="12">
        <v>0</v>
      </c>
      <c r="AC145" s="12">
        <v>0</v>
      </c>
      <c r="AD145" s="12">
        <v>0</v>
      </c>
      <c r="AE145" s="12">
        <v>2</v>
      </c>
      <c r="AF145" s="13">
        <v>5000</v>
      </c>
      <c r="AG145" s="12">
        <v>0</v>
      </c>
      <c r="AH145" s="12">
        <v>0</v>
      </c>
      <c r="AI145" s="12">
        <v>0</v>
      </c>
      <c r="AJ145" s="12">
        <v>0</v>
      </c>
      <c r="AK145" s="12">
        <v>1</v>
      </c>
      <c r="AL145" s="13">
        <v>2225</v>
      </c>
      <c r="AM145" s="12">
        <v>0</v>
      </c>
      <c r="AN145" s="12">
        <v>0</v>
      </c>
      <c r="AO145" s="12">
        <v>0</v>
      </c>
      <c r="AP145" s="12">
        <v>0</v>
      </c>
      <c r="AQ145" s="12">
        <v>0</v>
      </c>
      <c r="AR145" s="12">
        <v>0</v>
      </c>
      <c r="AS145" s="12">
        <v>0</v>
      </c>
      <c r="AT145" s="12">
        <v>0</v>
      </c>
      <c r="AU145" s="12">
        <v>0</v>
      </c>
      <c r="AV145" s="12">
        <v>0</v>
      </c>
      <c r="AW145" s="12">
        <v>0</v>
      </c>
      <c r="AX145" s="12">
        <v>0</v>
      </c>
      <c r="AY145" s="12">
        <v>0</v>
      </c>
      <c r="AZ145" s="12">
        <v>0</v>
      </c>
      <c r="BA145" s="12">
        <v>0</v>
      </c>
      <c r="BB145" s="12">
        <v>0</v>
      </c>
      <c r="BC145" s="12">
        <v>0</v>
      </c>
      <c r="BD145" s="12">
        <v>0</v>
      </c>
      <c r="BE145" s="12">
        <v>0</v>
      </c>
      <c r="BF145" s="12">
        <v>0</v>
      </c>
      <c r="BG145" s="12">
        <v>0</v>
      </c>
      <c r="BH145" s="12">
        <v>0</v>
      </c>
      <c r="BI145" s="12">
        <v>0</v>
      </c>
      <c r="BJ145" s="12">
        <v>0</v>
      </c>
      <c r="BK145" s="12">
        <v>0</v>
      </c>
      <c r="BL145" s="12">
        <v>667.5</v>
      </c>
      <c r="BM145" s="17">
        <v>7225</v>
      </c>
      <c r="BN145" s="9">
        <f t="shared" si="6"/>
        <v>6557.5</v>
      </c>
      <c r="BO145" s="9">
        <f t="shared" si="7"/>
        <v>4590.25</v>
      </c>
    </row>
    <row r="146" spans="1:67" ht="24">
      <c r="A146" s="8" t="s">
        <v>57</v>
      </c>
      <c r="B146" s="10" t="s">
        <v>189</v>
      </c>
      <c r="C146" s="10">
        <v>411933</v>
      </c>
      <c r="D146" s="11"/>
      <c r="E146" s="10" t="s">
        <v>16</v>
      </c>
      <c r="F146" s="10" t="s">
        <v>162</v>
      </c>
      <c r="G146" s="10" t="s">
        <v>29</v>
      </c>
      <c r="H146" s="12" t="s">
        <v>56</v>
      </c>
      <c r="I146" s="12" t="s">
        <v>163</v>
      </c>
      <c r="J146" s="12">
        <v>0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12">
        <v>0</v>
      </c>
      <c r="U146" s="12">
        <v>0</v>
      </c>
      <c r="V146" s="12">
        <v>0</v>
      </c>
      <c r="W146" s="12">
        <v>0</v>
      </c>
      <c r="X146" s="12">
        <v>0</v>
      </c>
      <c r="Y146" s="12">
        <v>0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1</v>
      </c>
      <c r="AF146" s="13">
        <v>3000</v>
      </c>
      <c r="AG146" s="12">
        <v>0</v>
      </c>
      <c r="AH146" s="12">
        <v>0</v>
      </c>
      <c r="AI146" s="12">
        <v>0</v>
      </c>
      <c r="AJ146" s="12">
        <v>0</v>
      </c>
      <c r="AK146" s="12">
        <v>0</v>
      </c>
      <c r="AL146" s="12">
        <v>0</v>
      </c>
      <c r="AM146" s="12">
        <v>0</v>
      </c>
      <c r="AN146" s="12">
        <v>0</v>
      </c>
      <c r="AO146" s="12">
        <v>0</v>
      </c>
      <c r="AP146" s="12">
        <v>0</v>
      </c>
      <c r="AQ146" s="12">
        <v>0</v>
      </c>
      <c r="AR146" s="12">
        <v>0</v>
      </c>
      <c r="AS146" s="12">
        <v>0</v>
      </c>
      <c r="AT146" s="12">
        <v>0</v>
      </c>
      <c r="AU146" s="12">
        <v>0</v>
      </c>
      <c r="AV146" s="12">
        <v>0</v>
      </c>
      <c r="AW146" s="12">
        <v>0</v>
      </c>
      <c r="AX146" s="12">
        <v>0</v>
      </c>
      <c r="AY146" s="12">
        <v>0</v>
      </c>
      <c r="AZ146" s="12">
        <v>0</v>
      </c>
      <c r="BA146" s="12">
        <v>0</v>
      </c>
      <c r="BB146" s="12">
        <v>0</v>
      </c>
      <c r="BC146" s="12">
        <v>1</v>
      </c>
      <c r="BD146" s="13">
        <v>3600</v>
      </c>
      <c r="BE146" s="12">
        <v>0</v>
      </c>
      <c r="BF146" s="12">
        <v>0</v>
      </c>
      <c r="BG146" s="12">
        <v>0</v>
      </c>
      <c r="BH146" s="12">
        <v>0</v>
      </c>
      <c r="BI146" s="12">
        <v>0</v>
      </c>
      <c r="BJ146" s="12">
        <v>0</v>
      </c>
      <c r="BK146" s="12">
        <v>0</v>
      </c>
      <c r="BL146" s="12">
        <v>216</v>
      </c>
      <c r="BM146" s="17">
        <v>6600</v>
      </c>
      <c r="BN146" s="9">
        <f t="shared" si="6"/>
        <v>6384</v>
      </c>
      <c r="BO146" s="9">
        <f t="shared" si="7"/>
        <v>4468.7999999999993</v>
      </c>
    </row>
    <row r="147" spans="1:67" ht="24">
      <c r="A147" s="8" t="s">
        <v>57</v>
      </c>
      <c r="B147" s="10" t="s">
        <v>175</v>
      </c>
      <c r="C147" s="10">
        <v>428121</v>
      </c>
      <c r="D147" s="11"/>
      <c r="E147" s="10" t="s">
        <v>16</v>
      </c>
      <c r="F147" s="10" t="s">
        <v>176</v>
      </c>
      <c r="G147" s="10" t="s">
        <v>29</v>
      </c>
      <c r="H147" s="12" t="s">
        <v>56</v>
      </c>
      <c r="I147" s="12" t="s">
        <v>165</v>
      </c>
      <c r="J147" s="12">
        <v>0</v>
      </c>
      <c r="K147" s="12">
        <v>0</v>
      </c>
      <c r="L147" s="12">
        <v>0</v>
      </c>
      <c r="M147" s="12">
        <v>0</v>
      </c>
      <c r="N147" s="12">
        <v>0</v>
      </c>
      <c r="O147" s="12">
        <v>0</v>
      </c>
      <c r="P147" s="12">
        <v>0</v>
      </c>
      <c r="Q147" s="12">
        <v>0</v>
      </c>
      <c r="R147" s="12">
        <v>0</v>
      </c>
      <c r="S147" s="12">
        <v>0</v>
      </c>
      <c r="T147" s="12">
        <v>0</v>
      </c>
      <c r="U147" s="12">
        <v>0</v>
      </c>
      <c r="V147" s="12">
        <v>0</v>
      </c>
      <c r="W147" s="12">
        <v>0</v>
      </c>
      <c r="X147" s="12">
        <v>0</v>
      </c>
      <c r="Y147" s="12">
        <v>0</v>
      </c>
      <c r="Z147" s="12">
        <v>0</v>
      </c>
      <c r="AA147" s="12">
        <v>0</v>
      </c>
      <c r="AB147" s="12">
        <v>0</v>
      </c>
      <c r="AC147" s="12">
        <v>0</v>
      </c>
      <c r="AD147" s="12">
        <v>0</v>
      </c>
      <c r="AE147" s="12">
        <v>2</v>
      </c>
      <c r="AF147" s="13">
        <v>6600</v>
      </c>
      <c r="AG147" s="12">
        <v>0</v>
      </c>
      <c r="AH147" s="12">
        <v>0</v>
      </c>
      <c r="AI147" s="12">
        <v>0</v>
      </c>
      <c r="AJ147" s="12">
        <v>0</v>
      </c>
      <c r="AK147" s="12">
        <v>0</v>
      </c>
      <c r="AL147" s="12">
        <v>0</v>
      </c>
      <c r="AM147" s="12">
        <v>0</v>
      </c>
      <c r="AN147" s="12">
        <v>0</v>
      </c>
      <c r="AO147" s="12">
        <v>0</v>
      </c>
      <c r="AP147" s="12">
        <v>0</v>
      </c>
      <c r="AQ147" s="12">
        <v>0</v>
      </c>
      <c r="AR147" s="12">
        <v>0</v>
      </c>
      <c r="AS147" s="12">
        <v>0</v>
      </c>
      <c r="AT147" s="12">
        <v>0</v>
      </c>
      <c r="AU147" s="12">
        <v>0</v>
      </c>
      <c r="AV147" s="12">
        <v>0</v>
      </c>
      <c r="AW147" s="12">
        <v>0</v>
      </c>
      <c r="AX147" s="12">
        <v>0</v>
      </c>
      <c r="AY147" s="12">
        <v>0</v>
      </c>
      <c r="AZ147" s="12">
        <v>0</v>
      </c>
      <c r="BA147" s="12">
        <v>0</v>
      </c>
      <c r="BB147" s="12">
        <v>0</v>
      </c>
      <c r="BC147" s="12">
        <v>0</v>
      </c>
      <c r="BD147" s="12">
        <v>0</v>
      </c>
      <c r="BE147" s="12">
        <v>0</v>
      </c>
      <c r="BF147" s="12">
        <v>0</v>
      </c>
      <c r="BG147" s="12">
        <v>0</v>
      </c>
      <c r="BH147" s="12">
        <v>0</v>
      </c>
      <c r="BI147" s="12">
        <v>0</v>
      </c>
      <c r="BJ147" s="12">
        <v>0</v>
      </c>
      <c r="BK147" s="12">
        <v>0</v>
      </c>
      <c r="BL147" s="12">
        <v>0</v>
      </c>
      <c r="BM147" s="17">
        <v>6600</v>
      </c>
      <c r="BN147" s="9">
        <f t="shared" si="6"/>
        <v>6600</v>
      </c>
      <c r="BO147" s="9">
        <f t="shared" si="7"/>
        <v>4620</v>
      </c>
    </row>
    <row r="148" spans="1:67" ht="24">
      <c r="A148" s="8" t="s">
        <v>57</v>
      </c>
      <c r="B148" s="10" t="s">
        <v>172</v>
      </c>
      <c r="C148" s="10">
        <v>485792</v>
      </c>
      <c r="D148" s="11"/>
      <c r="E148" s="10" t="s">
        <v>16</v>
      </c>
      <c r="F148" s="10" t="s">
        <v>173</v>
      </c>
      <c r="G148" s="10" t="s">
        <v>67</v>
      </c>
      <c r="H148" s="12" t="s">
        <v>56</v>
      </c>
      <c r="I148" s="12" t="s">
        <v>174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1</v>
      </c>
      <c r="AF148" s="13">
        <v>1500</v>
      </c>
      <c r="AG148" s="12">
        <v>0</v>
      </c>
      <c r="AH148" s="12">
        <v>0</v>
      </c>
      <c r="AI148" s="12">
        <v>0</v>
      </c>
      <c r="AJ148" s="12">
        <v>0</v>
      </c>
      <c r="AK148" s="12">
        <v>2</v>
      </c>
      <c r="AL148" s="13">
        <v>1800</v>
      </c>
      <c r="AM148" s="13">
        <v>1500</v>
      </c>
      <c r="AN148" s="12">
        <v>0</v>
      </c>
      <c r="AO148" s="12">
        <v>0</v>
      </c>
      <c r="AP148" s="12">
        <v>0</v>
      </c>
      <c r="AQ148" s="12">
        <v>1</v>
      </c>
      <c r="AR148" s="13">
        <v>1500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540</v>
      </c>
      <c r="BM148" s="17">
        <v>6300</v>
      </c>
      <c r="BN148" s="9">
        <f t="shared" si="6"/>
        <v>5760</v>
      </c>
      <c r="BO148" s="9">
        <f t="shared" si="7"/>
        <v>4031.9999999999995</v>
      </c>
    </row>
    <row r="149" spans="1:67" ht="24">
      <c r="A149" s="8" t="s">
        <v>57</v>
      </c>
      <c r="B149" s="10" t="s">
        <v>322</v>
      </c>
      <c r="C149" s="10">
        <v>488826</v>
      </c>
      <c r="D149" s="11"/>
      <c r="E149" s="10" t="s">
        <v>16</v>
      </c>
      <c r="F149" s="10" t="s">
        <v>180</v>
      </c>
      <c r="G149" s="10" t="s">
        <v>29</v>
      </c>
      <c r="H149" s="12" t="s">
        <v>56</v>
      </c>
      <c r="I149" s="12" t="s">
        <v>223</v>
      </c>
      <c r="J149" s="12">
        <v>0</v>
      </c>
      <c r="K149" s="12">
        <v>0</v>
      </c>
      <c r="L149" s="12">
        <v>0</v>
      </c>
      <c r="M149" s="12">
        <v>0</v>
      </c>
      <c r="N149" s="12">
        <v>0</v>
      </c>
      <c r="O149" s="12">
        <v>0</v>
      </c>
      <c r="P149" s="12">
        <v>0</v>
      </c>
      <c r="Q149" s="12">
        <v>0</v>
      </c>
      <c r="R149" s="12">
        <v>0</v>
      </c>
      <c r="S149" s="12">
        <v>0</v>
      </c>
      <c r="T149" s="12">
        <v>0</v>
      </c>
      <c r="U149" s="12">
        <v>0</v>
      </c>
      <c r="V149" s="12">
        <v>0</v>
      </c>
      <c r="W149" s="12">
        <v>0</v>
      </c>
      <c r="X149" s="12">
        <v>0</v>
      </c>
      <c r="Y149" s="12">
        <v>0</v>
      </c>
      <c r="Z149" s="12">
        <v>0</v>
      </c>
      <c r="AA149" s="12">
        <v>0</v>
      </c>
      <c r="AB149" s="12">
        <v>0</v>
      </c>
      <c r="AC149" s="12">
        <v>0</v>
      </c>
      <c r="AD149" s="12">
        <v>0</v>
      </c>
      <c r="AE149" s="12">
        <v>0</v>
      </c>
      <c r="AF149" s="12">
        <v>0</v>
      </c>
      <c r="AG149" s="12">
        <v>0</v>
      </c>
      <c r="AH149" s="12">
        <v>0</v>
      </c>
      <c r="AI149" s="12">
        <v>0</v>
      </c>
      <c r="AJ149" s="12">
        <v>0</v>
      </c>
      <c r="AK149" s="12">
        <v>0</v>
      </c>
      <c r="AL149" s="12">
        <v>0</v>
      </c>
      <c r="AM149" s="12">
        <v>0</v>
      </c>
      <c r="AN149" s="12">
        <v>0</v>
      </c>
      <c r="AO149" s="12">
        <v>0</v>
      </c>
      <c r="AP149" s="12">
        <v>0</v>
      </c>
      <c r="AQ149" s="12">
        <v>0</v>
      </c>
      <c r="AR149" s="12">
        <v>0</v>
      </c>
      <c r="AS149" s="12">
        <v>0</v>
      </c>
      <c r="AT149" s="12">
        <v>0</v>
      </c>
      <c r="AU149" s="12">
        <v>0</v>
      </c>
      <c r="AV149" s="12">
        <v>0</v>
      </c>
      <c r="AW149" s="12">
        <v>0</v>
      </c>
      <c r="AX149" s="12">
        <v>0</v>
      </c>
      <c r="AY149" s="12">
        <v>0</v>
      </c>
      <c r="AZ149" s="12">
        <v>0</v>
      </c>
      <c r="BA149" s="12">
        <v>0</v>
      </c>
      <c r="BB149" s="12">
        <v>0</v>
      </c>
      <c r="BC149" s="12">
        <v>1</v>
      </c>
      <c r="BD149" s="13">
        <v>5040</v>
      </c>
      <c r="BE149" s="12">
        <v>0</v>
      </c>
      <c r="BF149" s="12">
        <v>0</v>
      </c>
      <c r="BG149" s="12">
        <v>0</v>
      </c>
      <c r="BH149" s="12">
        <v>0</v>
      </c>
      <c r="BI149" s="12">
        <v>0</v>
      </c>
      <c r="BJ149" s="12">
        <v>0</v>
      </c>
      <c r="BK149" s="12">
        <v>0</v>
      </c>
      <c r="BL149" s="12">
        <v>302.39999999999998</v>
      </c>
      <c r="BM149" s="17">
        <v>5040</v>
      </c>
      <c r="BN149" s="9">
        <f t="shared" si="6"/>
        <v>4737.6000000000004</v>
      </c>
      <c r="BO149" s="9">
        <f t="shared" si="7"/>
        <v>3316.32</v>
      </c>
    </row>
    <row r="150" spans="1:67" ht="24">
      <c r="A150" s="8" t="s">
        <v>57</v>
      </c>
      <c r="B150" s="10" t="s">
        <v>323</v>
      </c>
      <c r="C150" s="10">
        <v>423579</v>
      </c>
      <c r="D150" s="11"/>
      <c r="E150" s="10" t="s">
        <v>16</v>
      </c>
      <c r="F150" s="10" t="s">
        <v>324</v>
      </c>
      <c r="G150" s="10" t="s">
        <v>29</v>
      </c>
      <c r="H150" s="12" t="s">
        <v>56</v>
      </c>
      <c r="I150" s="12" t="s">
        <v>325</v>
      </c>
      <c r="J150" s="12">
        <v>0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12">
        <v>0</v>
      </c>
      <c r="U150" s="12">
        <v>0</v>
      </c>
      <c r="V150" s="12">
        <v>0</v>
      </c>
      <c r="W150" s="12">
        <v>0</v>
      </c>
      <c r="X150" s="12">
        <v>0</v>
      </c>
      <c r="Y150" s="12">
        <v>0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1</v>
      </c>
      <c r="AL150" s="13">
        <v>4212</v>
      </c>
      <c r="AM150" s="12">
        <v>0</v>
      </c>
      <c r="AN150" s="12">
        <v>0</v>
      </c>
      <c r="AO150" s="12">
        <v>0</v>
      </c>
      <c r="AP150" s="12">
        <v>0</v>
      </c>
      <c r="AQ150" s="12">
        <v>0</v>
      </c>
      <c r="AR150" s="12">
        <v>0</v>
      </c>
      <c r="AS150" s="12">
        <v>0</v>
      </c>
      <c r="AT150" s="12">
        <v>0</v>
      </c>
      <c r="AU150" s="12">
        <v>0</v>
      </c>
      <c r="AV150" s="12">
        <v>0</v>
      </c>
      <c r="AW150" s="12">
        <v>0</v>
      </c>
      <c r="AX150" s="12">
        <v>0</v>
      </c>
      <c r="AY150" s="12">
        <v>0</v>
      </c>
      <c r="AZ150" s="12">
        <v>0</v>
      </c>
      <c r="BA150" s="12">
        <v>0</v>
      </c>
      <c r="BB150" s="12">
        <v>0</v>
      </c>
      <c r="BC150" s="12">
        <v>0</v>
      </c>
      <c r="BD150" s="12">
        <v>0</v>
      </c>
      <c r="BE150" s="12">
        <v>0</v>
      </c>
      <c r="BF150" s="12">
        <v>0</v>
      </c>
      <c r="BG150" s="12">
        <v>0</v>
      </c>
      <c r="BH150" s="12">
        <v>0</v>
      </c>
      <c r="BI150" s="12">
        <v>0</v>
      </c>
      <c r="BJ150" s="12">
        <v>0</v>
      </c>
      <c r="BK150" s="12">
        <v>0</v>
      </c>
      <c r="BL150" s="14">
        <v>1263.5999999999999</v>
      </c>
      <c r="BM150" s="17">
        <v>4212</v>
      </c>
      <c r="BN150" s="9">
        <f t="shared" si="6"/>
        <v>2948.4</v>
      </c>
      <c r="BO150" s="9">
        <f t="shared" si="7"/>
        <v>2063.88</v>
      </c>
    </row>
    <row r="151" spans="1:67" ht="24">
      <c r="A151" s="8" t="s">
        <v>57</v>
      </c>
      <c r="B151" s="10" t="s">
        <v>226</v>
      </c>
      <c r="C151" s="10">
        <v>467494</v>
      </c>
      <c r="D151" s="11"/>
      <c r="E151" s="10" t="s">
        <v>16</v>
      </c>
      <c r="F151" s="10" t="s">
        <v>190</v>
      </c>
      <c r="G151" s="10" t="s">
        <v>29</v>
      </c>
      <c r="H151" s="12" t="s">
        <v>8</v>
      </c>
      <c r="I151" s="12" t="s">
        <v>21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1</v>
      </c>
      <c r="AF151" s="13">
        <v>3600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7">
        <v>3600</v>
      </c>
      <c r="BN151" s="9">
        <f t="shared" si="6"/>
        <v>3600</v>
      </c>
      <c r="BO151" s="9">
        <f t="shared" si="7"/>
        <v>2520</v>
      </c>
    </row>
    <row r="152" spans="1:67" ht="24">
      <c r="A152" s="8" t="s">
        <v>57</v>
      </c>
      <c r="B152" s="10" t="s">
        <v>159</v>
      </c>
      <c r="C152" s="10">
        <v>458432</v>
      </c>
      <c r="D152" s="11"/>
      <c r="E152" s="10" t="s">
        <v>16</v>
      </c>
      <c r="F152" s="10" t="s">
        <v>49</v>
      </c>
      <c r="G152" s="10" t="s">
        <v>29</v>
      </c>
      <c r="H152" s="12" t="s">
        <v>56</v>
      </c>
      <c r="I152" s="12" t="s">
        <v>160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1</v>
      </c>
      <c r="AL152" s="13">
        <v>3600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4">
        <v>1080</v>
      </c>
      <c r="BM152" s="17">
        <v>3600</v>
      </c>
      <c r="BN152" s="9">
        <f t="shared" si="6"/>
        <v>2520</v>
      </c>
      <c r="BO152" s="9">
        <f t="shared" si="7"/>
        <v>1764</v>
      </c>
    </row>
    <row r="153" spans="1:67" ht="24">
      <c r="A153" s="8" t="s">
        <v>57</v>
      </c>
      <c r="B153" s="10" t="s">
        <v>238</v>
      </c>
      <c r="C153" s="10">
        <v>454879</v>
      </c>
      <c r="D153" s="11"/>
      <c r="E153" s="10" t="s">
        <v>16</v>
      </c>
      <c r="F153" s="10" t="s">
        <v>239</v>
      </c>
      <c r="G153" s="10" t="s">
        <v>29</v>
      </c>
      <c r="H153" s="12" t="s">
        <v>56</v>
      </c>
      <c r="I153" s="12" t="s">
        <v>240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1</v>
      </c>
      <c r="AF153" s="13">
        <v>3600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7">
        <v>3600</v>
      </c>
      <c r="BN153" s="9">
        <f t="shared" si="6"/>
        <v>3600</v>
      </c>
      <c r="BO153" s="9">
        <f t="shared" si="7"/>
        <v>2520</v>
      </c>
    </row>
    <row r="154" spans="1:67" ht="24">
      <c r="A154" s="8" t="s">
        <v>57</v>
      </c>
      <c r="B154" s="10" t="s">
        <v>164</v>
      </c>
      <c r="C154" s="10">
        <v>485660</v>
      </c>
      <c r="D154" s="11"/>
      <c r="E154" s="10" t="s">
        <v>16</v>
      </c>
      <c r="F154" s="10" t="s">
        <v>49</v>
      </c>
      <c r="G154" s="10" t="s">
        <v>29</v>
      </c>
      <c r="H154" s="12" t="s">
        <v>56</v>
      </c>
      <c r="I154" s="12" t="s">
        <v>165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12">
        <v>0</v>
      </c>
      <c r="U154" s="12">
        <v>0</v>
      </c>
      <c r="V154" s="12">
        <v>0</v>
      </c>
      <c r="W154" s="12">
        <v>0</v>
      </c>
      <c r="X154" s="12">
        <v>0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0</v>
      </c>
      <c r="AR154" s="12">
        <v>0</v>
      </c>
      <c r="AS154" s="12">
        <v>0</v>
      </c>
      <c r="AT154" s="12">
        <v>0</v>
      </c>
      <c r="AU154" s="12">
        <v>0</v>
      </c>
      <c r="AV154" s="12">
        <v>0</v>
      </c>
      <c r="AW154" s="12">
        <v>0</v>
      </c>
      <c r="AX154" s="12">
        <v>0</v>
      </c>
      <c r="AY154" s="12">
        <v>0</v>
      </c>
      <c r="AZ154" s="12">
        <v>0</v>
      </c>
      <c r="BA154" s="12">
        <v>0</v>
      </c>
      <c r="BB154" s="12">
        <v>0</v>
      </c>
      <c r="BC154" s="12">
        <v>1</v>
      </c>
      <c r="BD154" s="13">
        <v>3360</v>
      </c>
      <c r="BE154" s="12">
        <v>0</v>
      </c>
      <c r="BF154" s="12">
        <v>0</v>
      </c>
      <c r="BG154" s="12">
        <v>0</v>
      </c>
      <c r="BH154" s="12">
        <v>0</v>
      </c>
      <c r="BI154" s="12">
        <v>0</v>
      </c>
      <c r="BJ154" s="12">
        <v>0</v>
      </c>
      <c r="BK154" s="12">
        <v>0</v>
      </c>
      <c r="BL154" s="12">
        <v>201.6</v>
      </c>
      <c r="BM154" s="17">
        <v>3360</v>
      </c>
      <c r="BN154" s="9">
        <f t="shared" si="6"/>
        <v>3158.4</v>
      </c>
      <c r="BO154" s="9">
        <f t="shared" si="7"/>
        <v>2210.88</v>
      </c>
    </row>
    <row r="155" spans="1:67" ht="24">
      <c r="A155" s="8" t="s">
        <v>57</v>
      </c>
      <c r="B155" s="10" t="s">
        <v>241</v>
      </c>
      <c r="C155" s="10">
        <v>488804</v>
      </c>
      <c r="D155" s="11"/>
      <c r="E155" s="10" t="s">
        <v>16</v>
      </c>
      <c r="F155" s="10" t="s">
        <v>242</v>
      </c>
      <c r="G155" s="10" t="s">
        <v>29</v>
      </c>
      <c r="H155" s="12" t="s">
        <v>8</v>
      </c>
      <c r="I155" s="12" t="s">
        <v>236</v>
      </c>
      <c r="J155" s="12">
        <v>0</v>
      </c>
      <c r="K155" s="12">
        <v>0</v>
      </c>
      <c r="L155" s="12">
        <v>0</v>
      </c>
      <c r="M155" s="12">
        <v>0</v>
      </c>
      <c r="N155" s="12">
        <v>0</v>
      </c>
      <c r="O155" s="12">
        <v>0</v>
      </c>
      <c r="P155" s="12">
        <v>0</v>
      </c>
      <c r="Q155" s="12">
        <v>0</v>
      </c>
      <c r="R155" s="12">
        <v>0</v>
      </c>
      <c r="S155" s="12">
        <v>0</v>
      </c>
      <c r="T155" s="12">
        <v>0</v>
      </c>
      <c r="U155" s="12">
        <v>0</v>
      </c>
      <c r="V155" s="12">
        <v>0</v>
      </c>
      <c r="W155" s="12">
        <v>0</v>
      </c>
      <c r="X155" s="12">
        <v>0</v>
      </c>
      <c r="Y155" s="12">
        <v>0</v>
      </c>
      <c r="Z155" s="12">
        <v>0</v>
      </c>
      <c r="AA155" s="12">
        <v>0</v>
      </c>
      <c r="AB155" s="12">
        <v>0</v>
      </c>
      <c r="AC155" s="12">
        <v>0</v>
      </c>
      <c r="AD155" s="12">
        <v>0</v>
      </c>
      <c r="AE155" s="12">
        <v>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1</v>
      </c>
      <c r="AL155" s="13">
        <v>3240</v>
      </c>
      <c r="AM155" s="12">
        <v>0</v>
      </c>
      <c r="AN155" s="12">
        <v>0</v>
      </c>
      <c r="AO155" s="12">
        <v>0</v>
      </c>
      <c r="AP155" s="12">
        <v>0</v>
      </c>
      <c r="AQ155" s="12">
        <v>0</v>
      </c>
      <c r="AR155" s="12">
        <v>0</v>
      </c>
      <c r="AS155" s="12">
        <v>0</v>
      </c>
      <c r="AT155" s="12">
        <v>0</v>
      </c>
      <c r="AU155" s="12">
        <v>0</v>
      </c>
      <c r="AV155" s="12">
        <v>0</v>
      </c>
      <c r="AW155" s="12">
        <v>0</v>
      </c>
      <c r="AX155" s="12">
        <v>0</v>
      </c>
      <c r="AY155" s="12">
        <v>0</v>
      </c>
      <c r="AZ155" s="12">
        <v>0</v>
      </c>
      <c r="BA155" s="12">
        <v>0</v>
      </c>
      <c r="BB155" s="12">
        <v>0</v>
      </c>
      <c r="BC155" s="12">
        <v>0</v>
      </c>
      <c r="BD155" s="12">
        <v>0</v>
      </c>
      <c r="BE155" s="12">
        <v>0</v>
      </c>
      <c r="BF155" s="12">
        <v>0</v>
      </c>
      <c r="BG155" s="12">
        <v>0</v>
      </c>
      <c r="BH155" s="12">
        <v>0</v>
      </c>
      <c r="BI155" s="12">
        <v>0</v>
      </c>
      <c r="BJ155" s="12">
        <v>0</v>
      </c>
      <c r="BK155" s="12">
        <v>0</v>
      </c>
      <c r="BL155" s="12">
        <v>972</v>
      </c>
      <c r="BM155" s="17">
        <v>3240</v>
      </c>
      <c r="BN155" s="9">
        <f t="shared" si="6"/>
        <v>2268</v>
      </c>
      <c r="BO155" s="9">
        <f t="shared" si="7"/>
        <v>1587.6</v>
      </c>
    </row>
    <row r="156" spans="1:67" ht="48">
      <c r="A156" s="8" t="s">
        <v>57</v>
      </c>
      <c r="B156" s="10" t="s">
        <v>326</v>
      </c>
      <c r="C156" s="10">
        <v>467503</v>
      </c>
      <c r="D156" s="11"/>
      <c r="E156" s="10" t="s">
        <v>16</v>
      </c>
      <c r="F156" s="10" t="s">
        <v>161</v>
      </c>
      <c r="G156" s="10" t="s">
        <v>29</v>
      </c>
      <c r="H156" s="12" t="s">
        <v>8</v>
      </c>
      <c r="I156" s="12" t="s">
        <v>24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12">
        <v>0</v>
      </c>
      <c r="U156" s="12">
        <v>0</v>
      </c>
      <c r="V156" s="12">
        <v>0</v>
      </c>
      <c r="W156" s="12">
        <v>0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1</v>
      </c>
      <c r="AF156" s="13">
        <v>3200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0</v>
      </c>
      <c r="AR156" s="12">
        <v>0</v>
      </c>
      <c r="AS156" s="12">
        <v>0</v>
      </c>
      <c r="AT156" s="12">
        <v>0</v>
      </c>
      <c r="AU156" s="12">
        <v>0</v>
      </c>
      <c r="AV156" s="12">
        <v>0</v>
      </c>
      <c r="AW156" s="12">
        <v>0</v>
      </c>
      <c r="AX156" s="12">
        <v>0</v>
      </c>
      <c r="AY156" s="12">
        <v>0</v>
      </c>
      <c r="AZ156" s="12">
        <v>0</v>
      </c>
      <c r="BA156" s="12">
        <v>0</v>
      </c>
      <c r="BB156" s="12">
        <v>0</v>
      </c>
      <c r="BC156" s="12">
        <v>0</v>
      </c>
      <c r="BD156" s="12">
        <v>0</v>
      </c>
      <c r="BE156" s="12">
        <v>0</v>
      </c>
      <c r="BF156" s="12">
        <v>0</v>
      </c>
      <c r="BG156" s="12">
        <v>0</v>
      </c>
      <c r="BH156" s="12">
        <v>0</v>
      </c>
      <c r="BI156" s="12">
        <v>0</v>
      </c>
      <c r="BJ156" s="12">
        <v>0</v>
      </c>
      <c r="BK156" s="12">
        <v>0</v>
      </c>
      <c r="BL156" s="12">
        <v>0</v>
      </c>
      <c r="BM156" s="17">
        <v>3200</v>
      </c>
      <c r="BN156" s="9">
        <f t="shared" si="6"/>
        <v>3200</v>
      </c>
      <c r="BO156" s="9">
        <f t="shared" si="7"/>
        <v>2240</v>
      </c>
    </row>
    <row r="157" spans="1:67" ht="24">
      <c r="A157" s="8" t="s">
        <v>57</v>
      </c>
      <c r="B157" s="10" t="s">
        <v>327</v>
      </c>
      <c r="C157" s="10">
        <v>377683</v>
      </c>
      <c r="D157" s="11"/>
      <c r="E157" s="10" t="s">
        <v>16</v>
      </c>
      <c r="F157" s="10" t="s">
        <v>28</v>
      </c>
      <c r="G157" s="10" t="s">
        <v>29</v>
      </c>
      <c r="H157" s="12" t="s">
        <v>56</v>
      </c>
      <c r="I157" s="12" t="s">
        <v>328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1</v>
      </c>
      <c r="AF157" s="12">
        <v>500</v>
      </c>
      <c r="AG157" s="12">
        <v>0</v>
      </c>
      <c r="AH157" s="12">
        <v>0</v>
      </c>
      <c r="AI157" s="12">
        <v>0</v>
      </c>
      <c r="AJ157" s="12">
        <v>0</v>
      </c>
      <c r="AK157" s="12">
        <v>1</v>
      </c>
      <c r="AL157" s="12">
        <v>0</v>
      </c>
      <c r="AM157" s="13">
        <v>2500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7">
        <v>3000</v>
      </c>
      <c r="BN157" s="9">
        <f t="shared" si="6"/>
        <v>3000</v>
      </c>
      <c r="BO157" s="9">
        <f t="shared" si="7"/>
        <v>2100</v>
      </c>
    </row>
    <row r="158" spans="1:67" ht="24">
      <c r="A158" s="8" t="s">
        <v>57</v>
      </c>
      <c r="B158" s="10" t="s">
        <v>329</v>
      </c>
      <c r="C158" s="10">
        <v>431788</v>
      </c>
      <c r="D158" s="11"/>
      <c r="E158" s="10" t="s">
        <v>16</v>
      </c>
      <c r="F158" s="10" t="s">
        <v>49</v>
      </c>
      <c r="G158" s="10" t="s">
        <v>29</v>
      </c>
      <c r="H158" s="12" t="s">
        <v>56</v>
      </c>
      <c r="I158" s="12" t="s">
        <v>330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12">
        <v>0</v>
      </c>
      <c r="U158" s="12">
        <v>0</v>
      </c>
      <c r="V158" s="12">
        <v>0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1</v>
      </c>
      <c r="AF158" s="12">
        <v>0</v>
      </c>
      <c r="AG158" s="13">
        <v>3000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0</v>
      </c>
      <c r="AS158" s="12">
        <v>0</v>
      </c>
      <c r="AT158" s="12">
        <v>0</v>
      </c>
      <c r="AU158" s="12">
        <v>0</v>
      </c>
      <c r="AV158" s="12">
        <v>0</v>
      </c>
      <c r="AW158" s="12">
        <v>0</v>
      </c>
      <c r="AX158" s="12">
        <v>0</v>
      </c>
      <c r="AY158" s="12">
        <v>0</v>
      </c>
      <c r="AZ158" s="12">
        <v>0</v>
      </c>
      <c r="BA158" s="12">
        <v>0</v>
      </c>
      <c r="BB158" s="12">
        <v>0</v>
      </c>
      <c r="BC158" s="12">
        <v>0</v>
      </c>
      <c r="BD158" s="12">
        <v>0</v>
      </c>
      <c r="BE158" s="12">
        <v>0</v>
      </c>
      <c r="BF158" s="12">
        <v>0</v>
      </c>
      <c r="BG158" s="12">
        <v>0</v>
      </c>
      <c r="BH158" s="12">
        <v>0</v>
      </c>
      <c r="BI158" s="12">
        <v>0</v>
      </c>
      <c r="BJ158" s="12">
        <v>0</v>
      </c>
      <c r="BK158" s="12">
        <v>0</v>
      </c>
      <c r="BL158" s="12">
        <v>0</v>
      </c>
      <c r="BM158" s="17">
        <v>3000</v>
      </c>
      <c r="BN158" s="9">
        <f t="shared" si="6"/>
        <v>3000</v>
      </c>
      <c r="BO158" s="9">
        <f t="shared" si="7"/>
        <v>2100</v>
      </c>
    </row>
    <row r="159" spans="1:67" ht="24">
      <c r="A159" s="8" t="s">
        <v>57</v>
      </c>
      <c r="B159" s="10" t="s">
        <v>229</v>
      </c>
      <c r="C159" s="10">
        <v>444217</v>
      </c>
      <c r="D159" s="11"/>
      <c r="E159" s="10" t="s">
        <v>16</v>
      </c>
      <c r="F159" s="10" t="s">
        <v>49</v>
      </c>
      <c r="G159" s="10" t="s">
        <v>29</v>
      </c>
      <c r="H159" s="12" t="s">
        <v>56</v>
      </c>
      <c r="I159" s="12" t="s">
        <v>230</v>
      </c>
      <c r="J159" s="12">
        <v>0</v>
      </c>
      <c r="K159" s="12">
        <v>0</v>
      </c>
      <c r="L159" s="12">
        <v>0</v>
      </c>
      <c r="M159" s="12">
        <v>0</v>
      </c>
      <c r="N159" s="12">
        <v>0</v>
      </c>
      <c r="O159" s="12">
        <v>0</v>
      </c>
      <c r="P159" s="12">
        <v>0</v>
      </c>
      <c r="Q159" s="12">
        <v>0</v>
      </c>
      <c r="R159" s="12">
        <v>0</v>
      </c>
      <c r="S159" s="12">
        <v>0</v>
      </c>
      <c r="T159" s="12">
        <v>0</v>
      </c>
      <c r="U159" s="12">
        <v>0</v>
      </c>
      <c r="V159" s="12">
        <v>0</v>
      </c>
      <c r="W159" s="12">
        <v>0</v>
      </c>
      <c r="X159" s="12">
        <v>0</v>
      </c>
      <c r="Y159" s="12">
        <v>0</v>
      </c>
      <c r="Z159" s="12">
        <v>0</v>
      </c>
      <c r="AA159" s="12">
        <v>0</v>
      </c>
      <c r="AB159" s="12">
        <v>0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0</v>
      </c>
      <c r="AI159" s="12">
        <v>0</v>
      </c>
      <c r="AJ159" s="12">
        <v>0</v>
      </c>
      <c r="AK159" s="12">
        <v>1</v>
      </c>
      <c r="AL159" s="13">
        <v>2925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0</v>
      </c>
      <c r="AS159" s="12">
        <v>0</v>
      </c>
      <c r="AT159" s="12">
        <v>0</v>
      </c>
      <c r="AU159" s="12">
        <v>0</v>
      </c>
      <c r="AV159" s="12">
        <v>0</v>
      </c>
      <c r="AW159" s="12">
        <v>0</v>
      </c>
      <c r="AX159" s="12">
        <v>0</v>
      </c>
      <c r="AY159" s="12">
        <v>0</v>
      </c>
      <c r="AZ159" s="12">
        <v>0</v>
      </c>
      <c r="BA159" s="12">
        <v>0</v>
      </c>
      <c r="BB159" s="12">
        <v>0</v>
      </c>
      <c r="BC159" s="12">
        <v>0</v>
      </c>
      <c r="BD159" s="12">
        <v>0</v>
      </c>
      <c r="BE159" s="12">
        <v>0</v>
      </c>
      <c r="BF159" s="12">
        <v>0</v>
      </c>
      <c r="BG159" s="12">
        <v>0</v>
      </c>
      <c r="BH159" s="12">
        <v>0</v>
      </c>
      <c r="BI159" s="12">
        <v>0</v>
      </c>
      <c r="BJ159" s="12">
        <v>0</v>
      </c>
      <c r="BK159" s="12">
        <v>0</v>
      </c>
      <c r="BL159" s="12">
        <v>877.5</v>
      </c>
      <c r="BM159" s="17">
        <v>2925</v>
      </c>
      <c r="BN159" s="9">
        <f t="shared" si="6"/>
        <v>2047.5</v>
      </c>
      <c r="BO159" s="9">
        <f t="shared" si="7"/>
        <v>1433.25</v>
      </c>
    </row>
    <row r="160" spans="1:67" ht="24">
      <c r="A160" s="8" t="s">
        <v>57</v>
      </c>
      <c r="B160" s="10" t="s">
        <v>167</v>
      </c>
      <c r="C160" s="10">
        <v>387975</v>
      </c>
      <c r="D160" s="11"/>
      <c r="E160" s="10" t="s">
        <v>16</v>
      </c>
      <c r="F160" s="10" t="s">
        <v>53</v>
      </c>
      <c r="G160" s="10" t="s">
        <v>29</v>
      </c>
      <c r="H160" s="12" t="s">
        <v>56</v>
      </c>
      <c r="I160" s="12" t="s">
        <v>52</v>
      </c>
      <c r="J160" s="12">
        <v>0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12">
        <v>0</v>
      </c>
      <c r="U160" s="12">
        <v>0</v>
      </c>
      <c r="V160" s="12">
        <v>0</v>
      </c>
      <c r="W160" s="12">
        <v>0</v>
      </c>
      <c r="X160" s="12">
        <v>0</v>
      </c>
      <c r="Y160" s="12">
        <v>0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1</v>
      </c>
      <c r="AF160" s="12">
        <v>0</v>
      </c>
      <c r="AG160" s="13">
        <v>2800</v>
      </c>
      <c r="AH160" s="12">
        <v>0</v>
      </c>
      <c r="AI160" s="12">
        <v>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0</v>
      </c>
      <c r="AS160" s="12">
        <v>0</v>
      </c>
      <c r="AT160" s="12">
        <v>0</v>
      </c>
      <c r="AU160" s="12">
        <v>0</v>
      </c>
      <c r="AV160" s="12">
        <v>0</v>
      </c>
      <c r="AW160" s="12">
        <v>0</v>
      </c>
      <c r="AX160" s="12">
        <v>0</v>
      </c>
      <c r="AY160" s="12">
        <v>0</v>
      </c>
      <c r="AZ160" s="12">
        <v>0</v>
      </c>
      <c r="BA160" s="12">
        <v>0</v>
      </c>
      <c r="BB160" s="12">
        <v>0</v>
      </c>
      <c r="BC160" s="12">
        <v>0</v>
      </c>
      <c r="BD160" s="12">
        <v>0</v>
      </c>
      <c r="BE160" s="12">
        <v>0</v>
      </c>
      <c r="BF160" s="12">
        <v>0</v>
      </c>
      <c r="BG160" s="12">
        <v>0</v>
      </c>
      <c r="BH160" s="12">
        <v>0</v>
      </c>
      <c r="BI160" s="12">
        <v>0</v>
      </c>
      <c r="BJ160" s="12">
        <v>0</v>
      </c>
      <c r="BK160" s="12">
        <v>0</v>
      </c>
      <c r="BL160" s="12">
        <v>0</v>
      </c>
      <c r="BM160" s="17">
        <v>2800</v>
      </c>
      <c r="BN160" s="9">
        <f t="shared" si="6"/>
        <v>2800</v>
      </c>
      <c r="BO160" s="9">
        <f t="shared" si="7"/>
        <v>1959.9999999999998</v>
      </c>
    </row>
    <row r="161" spans="1:67" ht="24">
      <c r="A161" s="8" t="s">
        <v>57</v>
      </c>
      <c r="B161" s="10" t="s">
        <v>331</v>
      </c>
      <c r="C161" s="10">
        <v>397392</v>
      </c>
      <c r="D161" s="11"/>
      <c r="E161" s="10" t="s">
        <v>16</v>
      </c>
      <c r="F161" s="10" t="s">
        <v>49</v>
      </c>
      <c r="G161" s="10" t="s">
        <v>29</v>
      </c>
      <c r="H161" s="12" t="s">
        <v>56</v>
      </c>
      <c r="I161" s="12" t="s">
        <v>332</v>
      </c>
      <c r="J161" s="12">
        <v>0</v>
      </c>
      <c r="K161" s="12">
        <v>0</v>
      </c>
      <c r="L161" s="12">
        <v>0</v>
      </c>
      <c r="M161" s="12">
        <v>0</v>
      </c>
      <c r="N161" s="12">
        <v>0</v>
      </c>
      <c r="O161" s="12">
        <v>0</v>
      </c>
      <c r="P161" s="12">
        <v>0</v>
      </c>
      <c r="Q161" s="12">
        <v>0</v>
      </c>
      <c r="R161" s="12">
        <v>0</v>
      </c>
      <c r="S161" s="12">
        <v>0</v>
      </c>
      <c r="T161" s="12">
        <v>0</v>
      </c>
      <c r="U161" s="12">
        <v>0</v>
      </c>
      <c r="V161" s="12">
        <v>0</v>
      </c>
      <c r="W161" s="12">
        <v>0</v>
      </c>
      <c r="X161" s="12">
        <v>0</v>
      </c>
      <c r="Y161" s="12">
        <v>0</v>
      </c>
      <c r="Z161" s="12">
        <v>0</v>
      </c>
      <c r="AA161" s="12">
        <v>0</v>
      </c>
      <c r="AB161" s="12">
        <v>0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0</v>
      </c>
      <c r="AK161" s="12">
        <v>1</v>
      </c>
      <c r="AL161" s="13">
        <v>2596</v>
      </c>
      <c r="AM161" s="12">
        <v>0</v>
      </c>
      <c r="AN161" s="12">
        <v>0</v>
      </c>
      <c r="AO161" s="12">
        <v>0</v>
      </c>
      <c r="AP161" s="12">
        <v>0</v>
      </c>
      <c r="AQ161" s="12">
        <v>0</v>
      </c>
      <c r="AR161" s="12">
        <v>0</v>
      </c>
      <c r="AS161" s="12">
        <v>0</v>
      </c>
      <c r="AT161" s="12">
        <v>0</v>
      </c>
      <c r="AU161" s="12">
        <v>0</v>
      </c>
      <c r="AV161" s="12">
        <v>0</v>
      </c>
      <c r="AW161" s="12">
        <v>0</v>
      </c>
      <c r="AX161" s="12">
        <v>0</v>
      </c>
      <c r="AY161" s="12">
        <v>0</v>
      </c>
      <c r="AZ161" s="12">
        <v>0</v>
      </c>
      <c r="BA161" s="12">
        <v>0</v>
      </c>
      <c r="BB161" s="12">
        <v>0</v>
      </c>
      <c r="BC161" s="12">
        <v>0</v>
      </c>
      <c r="BD161" s="12">
        <v>0</v>
      </c>
      <c r="BE161" s="12">
        <v>0</v>
      </c>
      <c r="BF161" s="12">
        <v>0</v>
      </c>
      <c r="BG161" s="12">
        <v>0</v>
      </c>
      <c r="BH161" s="12">
        <v>0</v>
      </c>
      <c r="BI161" s="12">
        <v>0</v>
      </c>
      <c r="BJ161" s="12">
        <v>0</v>
      </c>
      <c r="BK161" s="12">
        <v>0</v>
      </c>
      <c r="BL161" s="12">
        <v>778.8</v>
      </c>
      <c r="BM161" s="17">
        <v>2596</v>
      </c>
      <c r="BN161" s="9">
        <f t="shared" si="6"/>
        <v>1817.2</v>
      </c>
      <c r="BO161" s="9">
        <f t="shared" si="7"/>
        <v>1272.04</v>
      </c>
    </row>
    <row r="162" spans="1:67" ht="24">
      <c r="A162" s="8" t="s">
        <v>57</v>
      </c>
      <c r="B162" s="10" t="s">
        <v>58</v>
      </c>
      <c r="C162" s="10">
        <v>472512</v>
      </c>
      <c r="D162" s="11"/>
      <c r="E162" s="10" t="s">
        <v>16</v>
      </c>
      <c r="F162" s="10" t="s">
        <v>33</v>
      </c>
      <c r="G162" s="10" t="s">
        <v>11</v>
      </c>
      <c r="H162" s="12" t="s">
        <v>7</v>
      </c>
      <c r="I162" s="12" t="s">
        <v>245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21</v>
      </c>
      <c r="AF162" s="13">
        <v>1900</v>
      </c>
      <c r="AG162" s="12">
        <v>200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1</v>
      </c>
      <c r="AR162" s="12">
        <v>100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3</v>
      </c>
      <c r="BD162" s="12">
        <v>360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21.6</v>
      </c>
      <c r="BM162" s="17">
        <v>2560</v>
      </c>
      <c r="BN162" s="9">
        <f t="shared" si="6"/>
        <v>2538.4</v>
      </c>
      <c r="BO162" s="9">
        <f t="shared" si="7"/>
        <v>1776.8799999999999</v>
      </c>
    </row>
    <row r="163" spans="1:67" ht="24">
      <c r="A163" s="8" t="s">
        <v>57</v>
      </c>
      <c r="B163" s="10" t="s">
        <v>198</v>
      </c>
      <c r="C163" s="10">
        <v>486613</v>
      </c>
      <c r="D163" s="11"/>
      <c r="E163" s="10" t="s">
        <v>16</v>
      </c>
      <c r="F163" s="10" t="s">
        <v>199</v>
      </c>
      <c r="G163" s="10" t="s">
        <v>67</v>
      </c>
      <c r="H163" s="12" t="s">
        <v>10</v>
      </c>
      <c r="I163" s="12" t="s">
        <v>166</v>
      </c>
      <c r="J163" s="12">
        <v>0</v>
      </c>
      <c r="K163" s="12">
        <v>80</v>
      </c>
      <c r="L163" s="12">
        <v>0</v>
      </c>
      <c r="M163" s="12">
        <v>0</v>
      </c>
      <c r="N163" s="12">
        <v>0</v>
      </c>
      <c r="O163" s="12">
        <v>0</v>
      </c>
      <c r="P163" s="12">
        <v>0</v>
      </c>
      <c r="Q163" s="12">
        <v>0</v>
      </c>
      <c r="R163" s="12">
        <v>0</v>
      </c>
      <c r="S163" s="12">
        <v>0</v>
      </c>
      <c r="T163" s="12">
        <v>0</v>
      </c>
      <c r="U163" s="12">
        <v>0</v>
      </c>
      <c r="V163" s="12">
        <v>0</v>
      </c>
      <c r="W163" s="12">
        <v>0</v>
      </c>
      <c r="X163" s="12">
        <v>0</v>
      </c>
      <c r="Y163" s="12">
        <v>0</v>
      </c>
      <c r="Z163" s="12">
        <v>0</v>
      </c>
      <c r="AA163" s="12">
        <v>0</v>
      </c>
      <c r="AB163" s="12">
        <v>0</v>
      </c>
      <c r="AC163" s="12">
        <v>0</v>
      </c>
      <c r="AD163" s="12">
        <v>0</v>
      </c>
      <c r="AE163" s="12">
        <v>15</v>
      </c>
      <c r="AF163" s="13">
        <v>1500</v>
      </c>
      <c r="AG163" s="12">
        <v>0</v>
      </c>
      <c r="AH163" s="12">
        <v>0</v>
      </c>
      <c r="AI163" s="12">
        <v>0</v>
      </c>
      <c r="AJ163" s="12">
        <v>0</v>
      </c>
      <c r="AK163" s="12">
        <v>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1</v>
      </c>
      <c r="AR163" s="12">
        <v>100</v>
      </c>
      <c r="AS163" s="12">
        <v>0</v>
      </c>
      <c r="AT163" s="12">
        <v>0</v>
      </c>
      <c r="AU163" s="12">
        <v>0</v>
      </c>
      <c r="AV163" s="12">
        <v>0</v>
      </c>
      <c r="AW163" s="12">
        <v>0</v>
      </c>
      <c r="AX163" s="12">
        <v>0</v>
      </c>
      <c r="AY163" s="12">
        <v>0</v>
      </c>
      <c r="AZ163" s="12">
        <v>0</v>
      </c>
      <c r="BA163" s="12">
        <v>0</v>
      </c>
      <c r="BB163" s="12">
        <v>0</v>
      </c>
      <c r="BC163" s="12">
        <v>2</v>
      </c>
      <c r="BD163" s="12">
        <v>240</v>
      </c>
      <c r="BE163" s="12">
        <v>0</v>
      </c>
      <c r="BF163" s="12">
        <v>0</v>
      </c>
      <c r="BG163" s="12">
        <v>0</v>
      </c>
      <c r="BH163" s="12">
        <v>0</v>
      </c>
      <c r="BI163" s="12">
        <v>0</v>
      </c>
      <c r="BJ163" s="12">
        <v>0</v>
      </c>
      <c r="BK163" s="12">
        <v>0</v>
      </c>
      <c r="BL163" s="12">
        <v>14.4</v>
      </c>
      <c r="BM163" s="17">
        <v>1840</v>
      </c>
      <c r="BN163" s="9">
        <f t="shared" si="6"/>
        <v>1825.6</v>
      </c>
      <c r="BO163" s="9">
        <f t="shared" si="7"/>
        <v>1277.9199999999998</v>
      </c>
    </row>
    <row r="164" spans="1:67" ht="36">
      <c r="A164" s="8" t="s">
        <v>57</v>
      </c>
      <c r="B164" s="10" t="s">
        <v>259</v>
      </c>
      <c r="C164" s="10">
        <v>488806</v>
      </c>
      <c r="D164" s="11"/>
      <c r="E164" s="10" t="s">
        <v>16</v>
      </c>
      <c r="F164" s="10" t="s">
        <v>242</v>
      </c>
      <c r="G164" s="10" t="s">
        <v>29</v>
      </c>
      <c r="H164" s="12" t="s">
        <v>56</v>
      </c>
      <c r="I164" s="12" t="s">
        <v>236</v>
      </c>
      <c r="J164" s="12">
        <v>0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12">
        <v>0</v>
      </c>
      <c r="U164" s="12">
        <v>0</v>
      </c>
      <c r="V164" s="12">
        <v>0</v>
      </c>
      <c r="W164" s="12">
        <v>0</v>
      </c>
      <c r="X164" s="12">
        <v>0</v>
      </c>
      <c r="Y164" s="12">
        <v>0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1</v>
      </c>
      <c r="AF164" s="13">
        <v>1600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0</v>
      </c>
      <c r="AS164" s="12">
        <v>0</v>
      </c>
      <c r="AT164" s="12">
        <v>0</v>
      </c>
      <c r="AU164" s="12">
        <v>0</v>
      </c>
      <c r="AV164" s="12">
        <v>0</v>
      </c>
      <c r="AW164" s="12">
        <v>0</v>
      </c>
      <c r="AX164" s="12">
        <v>0</v>
      </c>
      <c r="AY164" s="12">
        <v>0</v>
      </c>
      <c r="AZ164" s="12">
        <v>0</v>
      </c>
      <c r="BA164" s="12">
        <v>0</v>
      </c>
      <c r="BB164" s="12">
        <v>0</v>
      </c>
      <c r="BC164" s="12">
        <v>0</v>
      </c>
      <c r="BD164" s="12">
        <v>0</v>
      </c>
      <c r="BE164" s="12">
        <v>0</v>
      </c>
      <c r="BF164" s="12">
        <v>0</v>
      </c>
      <c r="BG164" s="12">
        <v>0</v>
      </c>
      <c r="BH164" s="12">
        <v>0</v>
      </c>
      <c r="BI164" s="12">
        <v>0</v>
      </c>
      <c r="BJ164" s="12">
        <v>0</v>
      </c>
      <c r="BK164" s="12">
        <v>0</v>
      </c>
      <c r="BL164" s="12">
        <v>0</v>
      </c>
      <c r="BM164" s="17">
        <v>1600</v>
      </c>
      <c r="BN164" s="9">
        <f t="shared" si="6"/>
        <v>1600</v>
      </c>
      <c r="BO164" s="9">
        <f t="shared" si="7"/>
        <v>1120</v>
      </c>
    </row>
    <row r="165" spans="1:67" ht="24">
      <c r="A165" s="8" t="s">
        <v>57</v>
      </c>
      <c r="B165" s="10" t="s">
        <v>333</v>
      </c>
      <c r="C165" s="10">
        <v>481159</v>
      </c>
      <c r="D165" s="11"/>
      <c r="E165" s="10" t="s">
        <v>16</v>
      </c>
      <c r="F165" s="10" t="s">
        <v>264</v>
      </c>
      <c r="G165" s="10" t="s">
        <v>67</v>
      </c>
      <c r="H165" s="12" t="s">
        <v>56</v>
      </c>
      <c r="I165" s="12" t="s">
        <v>334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1</v>
      </c>
      <c r="AF165" s="13">
        <v>1500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7">
        <v>1500</v>
      </c>
      <c r="BN165" s="9">
        <f t="shared" si="6"/>
        <v>1500</v>
      </c>
      <c r="BO165" s="9">
        <f t="shared" si="7"/>
        <v>1050</v>
      </c>
    </row>
    <row r="166" spans="1:67" ht="24">
      <c r="A166" s="8" t="s">
        <v>57</v>
      </c>
      <c r="B166" s="10" t="s">
        <v>31</v>
      </c>
      <c r="C166" s="10">
        <v>178856</v>
      </c>
      <c r="D166" s="11"/>
      <c r="E166" s="10" t="s">
        <v>16</v>
      </c>
      <c r="F166" s="10" t="s">
        <v>26</v>
      </c>
      <c r="G166" s="10" t="s">
        <v>11</v>
      </c>
      <c r="H166" s="12" t="s">
        <v>10</v>
      </c>
      <c r="I166" s="12" t="s">
        <v>32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7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9</v>
      </c>
      <c r="AF166" s="12">
        <v>920</v>
      </c>
      <c r="AG166" s="12">
        <v>0</v>
      </c>
      <c r="AH166" s="12">
        <v>0</v>
      </c>
      <c r="AI166" s="12">
        <v>0</v>
      </c>
      <c r="AJ166" s="12">
        <v>0</v>
      </c>
      <c r="AK166" s="12">
        <v>1</v>
      </c>
      <c r="AL166" s="12">
        <v>120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2</v>
      </c>
      <c r="BD166" s="12">
        <v>240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50.4</v>
      </c>
      <c r="BM166" s="17">
        <v>1280</v>
      </c>
      <c r="BN166" s="9">
        <f t="shared" si="6"/>
        <v>1229.5999999999999</v>
      </c>
      <c r="BO166" s="9">
        <f t="shared" si="7"/>
        <v>860.71999999999991</v>
      </c>
    </row>
    <row r="167" spans="1:67" ht="24">
      <c r="A167" s="8" t="s">
        <v>57</v>
      </c>
      <c r="B167" s="10" t="s">
        <v>35</v>
      </c>
      <c r="C167" s="10">
        <v>321812</v>
      </c>
      <c r="D167" s="11"/>
      <c r="E167" s="10" t="s">
        <v>16</v>
      </c>
      <c r="F167" s="10" t="s">
        <v>26</v>
      </c>
      <c r="G167" s="10" t="s">
        <v>11</v>
      </c>
      <c r="H167" s="12" t="s">
        <v>7</v>
      </c>
      <c r="I167" s="12" t="s">
        <v>36</v>
      </c>
      <c r="J167" s="12">
        <v>0</v>
      </c>
      <c r="K167" s="12">
        <v>0</v>
      </c>
      <c r="L167" s="12">
        <v>0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0</v>
      </c>
      <c r="S167" s="12">
        <v>0</v>
      </c>
      <c r="T167" s="12">
        <v>0</v>
      </c>
      <c r="U167" s="12">
        <v>0</v>
      </c>
      <c r="V167" s="12">
        <v>0</v>
      </c>
      <c r="W167" s="12">
        <v>0</v>
      </c>
      <c r="X167" s="12">
        <v>0</v>
      </c>
      <c r="Y167" s="12">
        <v>0</v>
      </c>
      <c r="Z167" s="12">
        <v>0</v>
      </c>
      <c r="AA167" s="12">
        <v>0</v>
      </c>
      <c r="AB167" s="12">
        <v>0</v>
      </c>
      <c r="AC167" s="12">
        <v>0</v>
      </c>
      <c r="AD167" s="12">
        <v>0</v>
      </c>
      <c r="AE167" s="12">
        <v>9</v>
      </c>
      <c r="AF167" s="12">
        <v>720</v>
      </c>
      <c r="AG167" s="12">
        <v>200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0</v>
      </c>
      <c r="AN167" s="12">
        <v>0</v>
      </c>
      <c r="AO167" s="12">
        <v>0</v>
      </c>
      <c r="AP167" s="12">
        <v>0</v>
      </c>
      <c r="AQ167" s="12">
        <v>0</v>
      </c>
      <c r="AR167" s="12">
        <v>0</v>
      </c>
      <c r="AS167" s="12">
        <v>0</v>
      </c>
      <c r="AT167" s="12">
        <v>0</v>
      </c>
      <c r="AU167" s="12">
        <v>0</v>
      </c>
      <c r="AV167" s="12">
        <v>0</v>
      </c>
      <c r="AW167" s="12">
        <v>0</v>
      </c>
      <c r="AX167" s="12">
        <v>0</v>
      </c>
      <c r="AY167" s="12">
        <v>0</v>
      </c>
      <c r="AZ167" s="12">
        <v>0</v>
      </c>
      <c r="BA167" s="12">
        <v>0</v>
      </c>
      <c r="BB167" s="12">
        <v>0</v>
      </c>
      <c r="BC167" s="12">
        <v>1</v>
      </c>
      <c r="BD167" s="12">
        <v>120</v>
      </c>
      <c r="BE167" s="12">
        <v>0</v>
      </c>
      <c r="BF167" s="12">
        <v>0</v>
      </c>
      <c r="BG167" s="12">
        <v>0</v>
      </c>
      <c r="BH167" s="12">
        <v>0</v>
      </c>
      <c r="BI167" s="12">
        <v>0</v>
      </c>
      <c r="BJ167" s="12">
        <v>0</v>
      </c>
      <c r="BK167" s="12">
        <v>0</v>
      </c>
      <c r="BL167" s="12">
        <v>7.2</v>
      </c>
      <c r="BM167" s="17">
        <v>1040</v>
      </c>
      <c r="BN167" s="9">
        <f t="shared" si="6"/>
        <v>1032.8</v>
      </c>
      <c r="BO167" s="9">
        <f t="shared" si="7"/>
        <v>722.95999999999992</v>
      </c>
    </row>
    <row r="168" spans="1:67" ht="24">
      <c r="A168" s="8" t="s">
        <v>57</v>
      </c>
      <c r="B168" s="10" t="s">
        <v>335</v>
      </c>
      <c r="C168" s="10">
        <v>411934</v>
      </c>
      <c r="D168" s="11"/>
      <c r="E168" s="10" t="s">
        <v>16</v>
      </c>
      <c r="F168" s="10" t="s">
        <v>162</v>
      </c>
      <c r="G168" s="10" t="s">
        <v>29</v>
      </c>
      <c r="H168" s="12" t="s">
        <v>56</v>
      </c>
      <c r="I168" s="12" t="s">
        <v>163</v>
      </c>
      <c r="J168" s="12">
        <v>0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12">
        <v>0</v>
      </c>
      <c r="U168" s="12">
        <v>0</v>
      </c>
      <c r="V168" s="12">
        <v>0</v>
      </c>
      <c r="W168" s="12">
        <v>0</v>
      </c>
      <c r="X168" s="12">
        <v>0</v>
      </c>
      <c r="Y168" s="12">
        <v>0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1</v>
      </c>
      <c r="AF168" s="13">
        <v>1000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0</v>
      </c>
      <c r="AO168" s="12">
        <v>0</v>
      </c>
      <c r="AP168" s="12">
        <v>0</v>
      </c>
      <c r="AQ168" s="12">
        <v>0</v>
      </c>
      <c r="AR168" s="12">
        <v>0</v>
      </c>
      <c r="AS168" s="12">
        <v>0</v>
      </c>
      <c r="AT168" s="12">
        <v>0</v>
      </c>
      <c r="AU168" s="12">
        <v>0</v>
      </c>
      <c r="AV168" s="12">
        <v>0</v>
      </c>
      <c r="AW168" s="12">
        <v>0</v>
      </c>
      <c r="AX168" s="12">
        <v>0</v>
      </c>
      <c r="AY168" s="12">
        <v>0</v>
      </c>
      <c r="AZ168" s="12">
        <v>0</v>
      </c>
      <c r="BA168" s="12">
        <v>0</v>
      </c>
      <c r="BB168" s="12">
        <v>0</v>
      </c>
      <c r="BC168" s="12">
        <v>0</v>
      </c>
      <c r="BD168" s="12">
        <v>0</v>
      </c>
      <c r="BE168" s="12">
        <v>0</v>
      </c>
      <c r="BF168" s="12">
        <v>0</v>
      </c>
      <c r="BG168" s="12">
        <v>0</v>
      </c>
      <c r="BH168" s="12">
        <v>0</v>
      </c>
      <c r="BI168" s="12">
        <v>0</v>
      </c>
      <c r="BJ168" s="12">
        <v>0</v>
      </c>
      <c r="BK168" s="12">
        <v>0</v>
      </c>
      <c r="BL168" s="12">
        <v>0</v>
      </c>
      <c r="BM168" s="17">
        <v>1000</v>
      </c>
      <c r="BN168" s="9">
        <f t="shared" si="6"/>
        <v>1000</v>
      </c>
      <c r="BO168" s="9">
        <f t="shared" si="7"/>
        <v>700</v>
      </c>
    </row>
    <row r="169" spans="1:67" ht="24">
      <c r="A169" s="8" t="s">
        <v>57</v>
      </c>
      <c r="B169" s="10" t="s">
        <v>336</v>
      </c>
      <c r="C169" s="10">
        <v>446882</v>
      </c>
      <c r="D169" s="11"/>
      <c r="E169" s="10" t="s">
        <v>16</v>
      </c>
      <c r="F169" s="10" t="s">
        <v>55</v>
      </c>
      <c r="G169" s="10" t="s">
        <v>29</v>
      </c>
      <c r="H169" s="12" t="s">
        <v>56</v>
      </c>
      <c r="I169" s="12" t="s">
        <v>317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1</v>
      </c>
      <c r="AF169" s="13">
        <v>1000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7">
        <v>1000</v>
      </c>
      <c r="BN169" s="9">
        <f t="shared" si="6"/>
        <v>1000</v>
      </c>
      <c r="BO169" s="9">
        <f t="shared" si="7"/>
        <v>700</v>
      </c>
    </row>
    <row r="170" spans="1:67" ht="24">
      <c r="A170" s="8" t="s">
        <v>194</v>
      </c>
      <c r="B170" s="10" t="s">
        <v>337</v>
      </c>
      <c r="C170" s="10">
        <v>416211</v>
      </c>
      <c r="D170" s="11"/>
      <c r="E170" s="10" t="s">
        <v>16</v>
      </c>
      <c r="F170" s="10" t="s">
        <v>55</v>
      </c>
      <c r="G170" s="10" t="s">
        <v>29</v>
      </c>
      <c r="H170" s="12" t="s">
        <v>56</v>
      </c>
      <c r="I170" s="12" t="s">
        <v>228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1</v>
      </c>
      <c r="AF170" s="12">
        <v>400</v>
      </c>
      <c r="AG170" s="12">
        <v>0</v>
      </c>
      <c r="AH170" s="12">
        <v>0</v>
      </c>
      <c r="AI170" s="12">
        <v>0</v>
      </c>
      <c r="AJ170" s="12">
        <v>0</v>
      </c>
      <c r="AK170" s="12">
        <v>1</v>
      </c>
      <c r="AL170" s="12">
        <v>0</v>
      </c>
      <c r="AM170" s="12">
        <v>600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7">
        <v>1000</v>
      </c>
      <c r="BN170" s="9">
        <f t="shared" si="6"/>
        <v>1000</v>
      </c>
      <c r="BO170" s="9">
        <f t="shared" si="7"/>
        <v>700</v>
      </c>
    </row>
    <row r="171" spans="1:67" ht="24">
      <c r="A171" s="8" t="s">
        <v>194</v>
      </c>
      <c r="B171" s="10" t="s">
        <v>260</v>
      </c>
      <c r="C171" s="10">
        <v>490220</v>
      </c>
      <c r="D171" s="11"/>
      <c r="E171" s="10" t="s">
        <v>16</v>
      </c>
      <c r="F171" s="10" t="s">
        <v>261</v>
      </c>
      <c r="G171" s="10" t="s">
        <v>29</v>
      </c>
      <c r="H171" s="12" t="s">
        <v>8</v>
      </c>
      <c r="I171" s="12" t="s">
        <v>262</v>
      </c>
      <c r="J171" s="12">
        <v>0</v>
      </c>
      <c r="K171" s="12">
        <v>1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5</v>
      </c>
      <c r="AF171" s="12">
        <v>500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1</v>
      </c>
      <c r="AR171" s="12">
        <v>100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1</v>
      </c>
      <c r="BD171" s="12">
        <v>120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7.2</v>
      </c>
      <c r="BM171" s="18">
        <v>720</v>
      </c>
      <c r="BN171" s="9">
        <f t="shared" si="6"/>
        <v>712.8</v>
      </c>
      <c r="BO171" s="9">
        <f t="shared" si="7"/>
        <v>498.95999999999992</v>
      </c>
    </row>
    <row r="172" spans="1:67" ht="24">
      <c r="A172" s="8" t="s">
        <v>195</v>
      </c>
      <c r="B172" s="10" t="s">
        <v>272</v>
      </c>
      <c r="C172" s="10">
        <v>421669</v>
      </c>
      <c r="D172" s="11"/>
      <c r="E172" s="10" t="s">
        <v>16</v>
      </c>
      <c r="F172" s="10" t="s">
        <v>180</v>
      </c>
      <c r="G172" s="10" t="s">
        <v>29</v>
      </c>
      <c r="H172" s="12" t="s">
        <v>56</v>
      </c>
      <c r="I172" s="12" t="s">
        <v>236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12">
        <v>0</v>
      </c>
      <c r="U172" s="12">
        <v>0</v>
      </c>
      <c r="V172" s="12">
        <v>0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0</v>
      </c>
      <c r="AP172" s="12">
        <v>0</v>
      </c>
      <c r="AQ172" s="12">
        <v>1</v>
      </c>
      <c r="AR172" s="12">
        <v>300</v>
      </c>
      <c r="AS172" s="12">
        <v>0</v>
      </c>
      <c r="AT172" s="12">
        <v>0</v>
      </c>
      <c r="AU172" s="12">
        <v>0</v>
      </c>
      <c r="AV172" s="12">
        <v>0</v>
      </c>
      <c r="AW172" s="12">
        <v>0</v>
      </c>
      <c r="AX172" s="12">
        <v>0</v>
      </c>
      <c r="AY172" s="12">
        <v>0</v>
      </c>
      <c r="AZ172" s="12">
        <v>0</v>
      </c>
      <c r="BA172" s="12">
        <v>0</v>
      </c>
      <c r="BB172" s="12">
        <v>0</v>
      </c>
      <c r="BC172" s="12">
        <v>1</v>
      </c>
      <c r="BD172" s="12">
        <v>360</v>
      </c>
      <c r="BE172" s="12">
        <v>0</v>
      </c>
      <c r="BF172" s="12">
        <v>0</v>
      </c>
      <c r="BG172" s="12">
        <v>0</v>
      </c>
      <c r="BH172" s="12">
        <v>0</v>
      </c>
      <c r="BI172" s="12">
        <v>0</v>
      </c>
      <c r="BJ172" s="12">
        <v>0</v>
      </c>
      <c r="BK172" s="12">
        <v>0</v>
      </c>
      <c r="BL172" s="12">
        <v>21.6</v>
      </c>
      <c r="BM172" s="18">
        <v>660</v>
      </c>
      <c r="BN172" s="9">
        <f t="shared" si="6"/>
        <v>638.4</v>
      </c>
      <c r="BO172" s="9">
        <f t="shared" si="7"/>
        <v>446.87999999999994</v>
      </c>
    </row>
    <row r="173" spans="1:67" ht="24">
      <c r="A173" s="8" t="s">
        <v>195</v>
      </c>
      <c r="B173" s="10" t="s">
        <v>48</v>
      </c>
      <c r="C173" s="10">
        <v>383229</v>
      </c>
      <c r="D173" s="11"/>
      <c r="E173" s="10" t="s">
        <v>16</v>
      </c>
      <c r="F173" s="10" t="s">
        <v>49</v>
      </c>
      <c r="G173" s="10" t="s">
        <v>29</v>
      </c>
      <c r="H173" s="12" t="s">
        <v>8</v>
      </c>
      <c r="I173" s="12" t="s">
        <v>50</v>
      </c>
      <c r="J173" s="12">
        <v>0</v>
      </c>
      <c r="K173" s="12">
        <v>0</v>
      </c>
      <c r="L173" s="12">
        <v>0</v>
      </c>
      <c r="M173" s="12">
        <v>0</v>
      </c>
      <c r="N173" s="12">
        <v>0</v>
      </c>
      <c r="O173" s="12">
        <v>0</v>
      </c>
      <c r="P173" s="12">
        <v>0</v>
      </c>
      <c r="Q173" s="12">
        <v>0</v>
      </c>
      <c r="R173" s="12">
        <v>0</v>
      </c>
      <c r="S173" s="12">
        <v>0</v>
      </c>
      <c r="T173" s="12">
        <v>0</v>
      </c>
      <c r="U173" s="12">
        <v>0</v>
      </c>
      <c r="V173" s="12">
        <v>0</v>
      </c>
      <c r="W173" s="12">
        <v>0</v>
      </c>
      <c r="X173" s="12">
        <v>0</v>
      </c>
      <c r="Y173" s="12">
        <v>0</v>
      </c>
      <c r="Z173" s="12">
        <v>0</v>
      </c>
      <c r="AA173" s="12">
        <v>0</v>
      </c>
      <c r="AB173" s="12">
        <v>0</v>
      </c>
      <c r="AC173" s="12">
        <v>0</v>
      </c>
      <c r="AD173" s="12">
        <v>0</v>
      </c>
      <c r="AE173" s="12">
        <v>1</v>
      </c>
      <c r="AF173" s="12">
        <v>100</v>
      </c>
      <c r="AG173" s="12">
        <v>0</v>
      </c>
      <c r="AH173" s="12">
        <v>0</v>
      </c>
      <c r="AI173" s="12">
        <v>0</v>
      </c>
      <c r="AJ173" s="12">
        <v>0</v>
      </c>
      <c r="AK173" s="12">
        <v>4</v>
      </c>
      <c r="AL173" s="12">
        <v>0</v>
      </c>
      <c r="AM173" s="12">
        <v>400</v>
      </c>
      <c r="AN173" s="12">
        <v>0</v>
      </c>
      <c r="AO173" s="12">
        <v>0</v>
      </c>
      <c r="AP173" s="12">
        <v>0</v>
      </c>
      <c r="AQ173" s="12">
        <v>0</v>
      </c>
      <c r="AR173" s="12">
        <v>0</v>
      </c>
      <c r="AS173" s="12">
        <v>0</v>
      </c>
      <c r="AT173" s="12">
        <v>0</v>
      </c>
      <c r="AU173" s="12">
        <v>0</v>
      </c>
      <c r="AV173" s="12">
        <v>0</v>
      </c>
      <c r="AW173" s="12">
        <v>0</v>
      </c>
      <c r="AX173" s="12">
        <v>0</v>
      </c>
      <c r="AY173" s="12">
        <v>0</v>
      </c>
      <c r="AZ173" s="12">
        <v>0</v>
      </c>
      <c r="BA173" s="12">
        <v>0</v>
      </c>
      <c r="BB173" s="12">
        <v>0</v>
      </c>
      <c r="BC173" s="12">
        <v>1</v>
      </c>
      <c r="BD173" s="12">
        <v>120</v>
      </c>
      <c r="BE173" s="12">
        <v>0</v>
      </c>
      <c r="BF173" s="12">
        <v>0</v>
      </c>
      <c r="BG173" s="12">
        <v>0</v>
      </c>
      <c r="BH173" s="12">
        <v>0</v>
      </c>
      <c r="BI173" s="12">
        <v>0</v>
      </c>
      <c r="BJ173" s="12">
        <v>0</v>
      </c>
      <c r="BK173" s="12">
        <v>0</v>
      </c>
      <c r="BL173" s="12">
        <v>7.2</v>
      </c>
      <c r="BM173" s="18">
        <v>620</v>
      </c>
      <c r="BN173" s="9">
        <f t="shared" si="6"/>
        <v>612.79999999999995</v>
      </c>
      <c r="BO173" s="9">
        <f t="shared" si="7"/>
        <v>428.95999999999992</v>
      </c>
    </row>
    <row r="174" spans="1:67" ht="24">
      <c r="A174" s="8" t="s">
        <v>195</v>
      </c>
      <c r="B174" s="10" t="s">
        <v>40</v>
      </c>
      <c r="C174" s="10">
        <v>387417</v>
      </c>
      <c r="D174" s="11"/>
      <c r="E174" s="10" t="s">
        <v>16</v>
      </c>
      <c r="F174" s="10" t="s">
        <v>41</v>
      </c>
      <c r="G174" s="10" t="s">
        <v>11</v>
      </c>
      <c r="H174" s="12" t="s">
        <v>7</v>
      </c>
      <c r="I174" s="12" t="s">
        <v>234</v>
      </c>
      <c r="J174" s="12">
        <v>0</v>
      </c>
      <c r="K174" s="12">
        <v>2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5</v>
      </c>
      <c r="BD174" s="12">
        <v>600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36</v>
      </c>
      <c r="BM174" s="18">
        <v>600</v>
      </c>
      <c r="BN174" s="9">
        <f t="shared" si="6"/>
        <v>564</v>
      </c>
      <c r="BO174" s="9">
        <f t="shared" si="7"/>
        <v>394.79999999999995</v>
      </c>
    </row>
    <row r="175" spans="1:67" ht="24">
      <c r="A175" s="8" t="s">
        <v>195</v>
      </c>
      <c r="B175" s="10" t="s">
        <v>338</v>
      </c>
      <c r="C175" s="10">
        <v>426277</v>
      </c>
      <c r="D175" s="11"/>
      <c r="E175" s="10" t="s">
        <v>16</v>
      </c>
      <c r="F175" s="10" t="s">
        <v>162</v>
      </c>
      <c r="G175" s="10" t="s">
        <v>29</v>
      </c>
      <c r="H175" s="12" t="s">
        <v>56</v>
      </c>
      <c r="I175" s="12" t="s">
        <v>339</v>
      </c>
      <c r="J175" s="12">
        <v>0</v>
      </c>
      <c r="K175" s="12">
        <v>0</v>
      </c>
      <c r="L175" s="12">
        <v>0</v>
      </c>
      <c r="M175" s="12">
        <v>0</v>
      </c>
      <c r="N175" s="12">
        <v>0</v>
      </c>
      <c r="O175" s="12">
        <v>0</v>
      </c>
      <c r="P175" s="12">
        <v>0</v>
      </c>
      <c r="Q175" s="12">
        <v>0</v>
      </c>
      <c r="R175" s="12">
        <v>0</v>
      </c>
      <c r="S175" s="12">
        <v>0</v>
      </c>
      <c r="T175" s="12">
        <v>0</v>
      </c>
      <c r="U175" s="12">
        <v>0</v>
      </c>
      <c r="V175" s="12">
        <v>0</v>
      </c>
      <c r="W175" s="12">
        <v>0</v>
      </c>
      <c r="X175" s="12">
        <v>0</v>
      </c>
      <c r="Y175" s="12">
        <v>0</v>
      </c>
      <c r="Z175" s="12">
        <v>0</v>
      </c>
      <c r="AA175" s="12">
        <v>0</v>
      </c>
      <c r="AB175" s="12">
        <v>0</v>
      </c>
      <c r="AC175" s="12">
        <v>0</v>
      </c>
      <c r="AD175" s="12">
        <v>0</v>
      </c>
      <c r="AE175" s="12">
        <v>1</v>
      </c>
      <c r="AF175" s="12">
        <v>500</v>
      </c>
      <c r="AG175" s="12">
        <v>0</v>
      </c>
      <c r="AH175" s="12">
        <v>0</v>
      </c>
      <c r="AI175" s="12">
        <v>0</v>
      </c>
      <c r="AJ175" s="12">
        <v>0</v>
      </c>
      <c r="AK175" s="12">
        <v>0</v>
      </c>
      <c r="AL175" s="12">
        <v>0</v>
      </c>
      <c r="AM175" s="12">
        <v>0</v>
      </c>
      <c r="AN175" s="12">
        <v>0</v>
      </c>
      <c r="AO175" s="12">
        <v>0</v>
      </c>
      <c r="AP175" s="12">
        <v>0</v>
      </c>
      <c r="AQ175" s="12">
        <v>0</v>
      </c>
      <c r="AR175" s="12">
        <v>0</v>
      </c>
      <c r="AS175" s="12">
        <v>0</v>
      </c>
      <c r="AT175" s="12">
        <v>0</v>
      </c>
      <c r="AU175" s="12">
        <v>0</v>
      </c>
      <c r="AV175" s="12">
        <v>0</v>
      </c>
      <c r="AW175" s="12">
        <v>0</v>
      </c>
      <c r="AX175" s="12">
        <v>0</v>
      </c>
      <c r="AY175" s="12">
        <v>0</v>
      </c>
      <c r="AZ175" s="12">
        <v>0</v>
      </c>
      <c r="BA175" s="12">
        <v>0</v>
      </c>
      <c r="BB175" s="12">
        <v>0</v>
      </c>
      <c r="BC175" s="12">
        <v>0</v>
      </c>
      <c r="BD175" s="12">
        <v>0</v>
      </c>
      <c r="BE175" s="12">
        <v>0</v>
      </c>
      <c r="BF175" s="12">
        <v>0</v>
      </c>
      <c r="BG175" s="12">
        <v>0</v>
      </c>
      <c r="BH175" s="12">
        <v>0</v>
      </c>
      <c r="BI175" s="12">
        <v>0</v>
      </c>
      <c r="BJ175" s="12">
        <v>0</v>
      </c>
      <c r="BK175" s="12">
        <v>0</v>
      </c>
      <c r="BL175" s="12">
        <v>0</v>
      </c>
      <c r="BM175" s="18">
        <v>500</v>
      </c>
      <c r="BN175" s="9">
        <f t="shared" si="6"/>
        <v>500</v>
      </c>
      <c r="BO175" s="9">
        <f t="shared" si="7"/>
        <v>350</v>
      </c>
    </row>
    <row r="176" spans="1:67" ht="24">
      <c r="A176" s="8" t="s">
        <v>195</v>
      </c>
      <c r="B176" s="10" t="s">
        <v>340</v>
      </c>
      <c r="C176" s="10">
        <v>377684</v>
      </c>
      <c r="D176" s="11"/>
      <c r="E176" s="10" t="s">
        <v>16</v>
      </c>
      <c r="F176" s="10" t="s">
        <v>28</v>
      </c>
      <c r="G176" s="10" t="s">
        <v>29</v>
      </c>
      <c r="H176" s="12" t="s">
        <v>56</v>
      </c>
      <c r="I176" s="12" t="s">
        <v>328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12">
        <v>0</v>
      </c>
      <c r="U176" s="12">
        <v>0</v>
      </c>
      <c r="V176" s="12">
        <v>0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1</v>
      </c>
      <c r="AF176" s="12">
        <v>500</v>
      </c>
      <c r="AG176" s="12">
        <v>0</v>
      </c>
      <c r="AH176" s="12">
        <v>0</v>
      </c>
      <c r="AI176" s="12">
        <v>0</v>
      </c>
      <c r="AJ176" s="12">
        <v>0</v>
      </c>
      <c r="AK176" s="12">
        <v>0</v>
      </c>
      <c r="AL176" s="12">
        <v>0</v>
      </c>
      <c r="AM176" s="12">
        <v>0</v>
      </c>
      <c r="AN176" s="12">
        <v>0</v>
      </c>
      <c r="AO176" s="12">
        <v>0</v>
      </c>
      <c r="AP176" s="12">
        <v>0</v>
      </c>
      <c r="AQ176" s="12">
        <v>0</v>
      </c>
      <c r="AR176" s="12">
        <v>0</v>
      </c>
      <c r="AS176" s="12">
        <v>0</v>
      </c>
      <c r="AT176" s="12">
        <v>0</v>
      </c>
      <c r="AU176" s="12">
        <v>0</v>
      </c>
      <c r="AV176" s="12">
        <v>0</v>
      </c>
      <c r="AW176" s="12">
        <v>0</v>
      </c>
      <c r="AX176" s="12">
        <v>0</v>
      </c>
      <c r="AY176" s="12">
        <v>0</v>
      </c>
      <c r="AZ176" s="12">
        <v>0</v>
      </c>
      <c r="BA176" s="12">
        <v>0</v>
      </c>
      <c r="BB176" s="12">
        <v>0</v>
      </c>
      <c r="BC176" s="12">
        <v>0</v>
      </c>
      <c r="BD176" s="12">
        <v>0</v>
      </c>
      <c r="BE176" s="12">
        <v>0</v>
      </c>
      <c r="BF176" s="12">
        <v>0</v>
      </c>
      <c r="BG176" s="12">
        <v>0</v>
      </c>
      <c r="BH176" s="12">
        <v>0</v>
      </c>
      <c r="BI176" s="12">
        <v>0</v>
      </c>
      <c r="BJ176" s="12">
        <v>0</v>
      </c>
      <c r="BK176" s="12">
        <v>0</v>
      </c>
      <c r="BL176" s="12">
        <v>0</v>
      </c>
      <c r="BM176" s="18">
        <v>500</v>
      </c>
      <c r="BN176" s="9">
        <f t="shared" si="6"/>
        <v>500</v>
      </c>
      <c r="BO176" s="9">
        <f t="shared" si="7"/>
        <v>350</v>
      </c>
    </row>
    <row r="177" spans="1:67" ht="24">
      <c r="A177" s="8" t="s">
        <v>195</v>
      </c>
      <c r="B177" s="10" t="s">
        <v>42</v>
      </c>
      <c r="C177" s="10">
        <v>219203</v>
      </c>
      <c r="D177" s="11"/>
      <c r="E177" s="10" t="s">
        <v>16</v>
      </c>
      <c r="F177" s="10" t="s">
        <v>43</v>
      </c>
      <c r="G177" s="10" t="s">
        <v>11</v>
      </c>
      <c r="H177" s="12" t="s">
        <v>7</v>
      </c>
      <c r="I177" s="12" t="s">
        <v>44</v>
      </c>
      <c r="J177" s="12">
        <v>0</v>
      </c>
      <c r="K177" s="12">
        <v>0</v>
      </c>
      <c r="L177" s="12">
        <v>0</v>
      </c>
      <c r="M177" s="12">
        <v>0</v>
      </c>
      <c r="N177" s="12">
        <v>0</v>
      </c>
      <c r="O177" s="12">
        <v>0</v>
      </c>
      <c r="P177" s="12">
        <v>0</v>
      </c>
      <c r="Q177" s="12">
        <v>0</v>
      </c>
      <c r="R177" s="12">
        <v>0</v>
      </c>
      <c r="S177" s="12">
        <v>0</v>
      </c>
      <c r="T177" s="12">
        <v>0</v>
      </c>
      <c r="U177" s="12">
        <v>0</v>
      </c>
      <c r="V177" s="12">
        <v>0</v>
      </c>
      <c r="W177" s="12">
        <v>0</v>
      </c>
      <c r="X177" s="12">
        <v>0</v>
      </c>
      <c r="Y177" s="12">
        <v>0</v>
      </c>
      <c r="Z177" s="12">
        <v>0</v>
      </c>
      <c r="AA177" s="12">
        <v>0</v>
      </c>
      <c r="AB177" s="12">
        <v>0</v>
      </c>
      <c r="AC177" s="12">
        <v>0</v>
      </c>
      <c r="AD177" s="12">
        <v>0</v>
      </c>
      <c r="AE177" s="12">
        <v>0</v>
      </c>
      <c r="AF177" s="12">
        <v>0</v>
      </c>
      <c r="AG177" s="12">
        <v>0</v>
      </c>
      <c r="AH177" s="12">
        <v>0</v>
      </c>
      <c r="AI177" s="12">
        <v>0</v>
      </c>
      <c r="AJ177" s="12">
        <v>0</v>
      </c>
      <c r="AK177" s="12">
        <v>0</v>
      </c>
      <c r="AL177" s="12">
        <v>0</v>
      </c>
      <c r="AM177" s="12">
        <v>0</v>
      </c>
      <c r="AN177" s="12">
        <v>0</v>
      </c>
      <c r="AO177" s="12">
        <v>0</v>
      </c>
      <c r="AP177" s="12">
        <v>0</v>
      </c>
      <c r="AQ177" s="12">
        <v>0</v>
      </c>
      <c r="AR177" s="12">
        <v>0</v>
      </c>
      <c r="AS177" s="12">
        <v>0</v>
      </c>
      <c r="AT177" s="12">
        <v>0</v>
      </c>
      <c r="AU177" s="12">
        <v>0</v>
      </c>
      <c r="AV177" s="12">
        <v>0</v>
      </c>
      <c r="AW177" s="12">
        <v>0</v>
      </c>
      <c r="AX177" s="12">
        <v>0</v>
      </c>
      <c r="AY177" s="12">
        <v>0</v>
      </c>
      <c r="AZ177" s="12">
        <v>3</v>
      </c>
      <c r="BA177" s="12">
        <v>360</v>
      </c>
      <c r="BB177" s="12">
        <v>0</v>
      </c>
      <c r="BC177" s="12">
        <v>0</v>
      </c>
      <c r="BD177" s="12">
        <v>0</v>
      </c>
      <c r="BE177" s="12">
        <v>0</v>
      </c>
      <c r="BF177" s="12">
        <v>0</v>
      </c>
      <c r="BG177" s="12">
        <v>0</v>
      </c>
      <c r="BH177" s="12">
        <v>0</v>
      </c>
      <c r="BI177" s="12">
        <v>0</v>
      </c>
      <c r="BJ177" s="12">
        <v>0</v>
      </c>
      <c r="BK177" s="12">
        <v>0</v>
      </c>
      <c r="BL177" s="12">
        <v>21.6</v>
      </c>
      <c r="BM177" s="18">
        <v>360</v>
      </c>
      <c r="BN177" s="9">
        <f t="shared" si="6"/>
        <v>338.4</v>
      </c>
      <c r="BO177" s="9">
        <f t="shared" si="7"/>
        <v>236.87999999999997</v>
      </c>
    </row>
    <row r="178" spans="1:67" ht="24">
      <c r="A178" s="8" t="s">
        <v>194</v>
      </c>
      <c r="B178" s="10" t="s">
        <v>268</v>
      </c>
      <c r="C178" s="10">
        <v>489266</v>
      </c>
      <c r="D178" s="11"/>
      <c r="E178" s="10" t="s">
        <v>16</v>
      </c>
      <c r="F178" s="10" t="s">
        <v>269</v>
      </c>
      <c r="G178" s="10" t="s">
        <v>29</v>
      </c>
      <c r="H178" s="12" t="s">
        <v>8</v>
      </c>
      <c r="I178" s="12" t="s">
        <v>196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12">
        <v>0</v>
      </c>
      <c r="U178" s="12">
        <v>0</v>
      </c>
      <c r="V178" s="12">
        <v>0</v>
      </c>
      <c r="W178" s="12">
        <v>0</v>
      </c>
      <c r="X178" s="12">
        <v>0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1</v>
      </c>
      <c r="AF178" s="12">
        <v>100</v>
      </c>
      <c r="AG178" s="12">
        <v>0</v>
      </c>
      <c r="AH178" s="12">
        <v>0</v>
      </c>
      <c r="AI178" s="12">
        <v>0</v>
      </c>
      <c r="AJ178" s="12">
        <v>0</v>
      </c>
      <c r="AK178" s="12">
        <v>0</v>
      </c>
      <c r="AL178" s="12">
        <v>0</v>
      </c>
      <c r="AM178" s="12">
        <v>0</v>
      </c>
      <c r="AN178" s="12">
        <v>0</v>
      </c>
      <c r="AO178" s="12">
        <v>0</v>
      </c>
      <c r="AP178" s="12">
        <v>0</v>
      </c>
      <c r="AQ178" s="12">
        <v>0</v>
      </c>
      <c r="AR178" s="12">
        <v>0</v>
      </c>
      <c r="AS178" s="12">
        <v>0</v>
      </c>
      <c r="AT178" s="12">
        <v>0</v>
      </c>
      <c r="AU178" s="12">
        <v>0</v>
      </c>
      <c r="AV178" s="12">
        <v>0</v>
      </c>
      <c r="AW178" s="12">
        <v>0</v>
      </c>
      <c r="AX178" s="12">
        <v>0</v>
      </c>
      <c r="AY178" s="12">
        <v>0</v>
      </c>
      <c r="AZ178" s="12">
        <v>0</v>
      </c>
      <c r="BA178" s="12">
        <v>0</v>
      </c>
      <c r="BB178" s="12">
        <v>0</v>
      </c>
      <c r="BC178" s="12">
        <v>1</v>
      </c>
      <c r="BD178" s="12">
        <v>120</v>
      </c>
      <c r="BE178" s="12">
        <v>0</v>
      </c>
      <c r="BF178" s="12">
        <v>0</v>
      </c>
      <c r="BG178" s="12">
        <v>0</v>
      </c>
      <c r="BH178" s="12">
        <v>0</v>
      </c>
      <c r="BI178" s="12">
        <v>0</v>
      </c>
      <c r="BJ178" s="12">
        <v>0</v>
      </c>
      <c r="BK178" s="12">
        <v>0</v>
      </c>
      <c r="BL178" s="12">
        <v>7.2</v>
      </c>
      <c r="BM178" s="18">
        <v>220</v>
      </c>
      <c r="BN178" s="9">
        <f t="shared" si="6"/>
        <v>212.8</v>
      </c>
      <c r="BO178" s="9">
        <f t="shared" si="7"/>
        <v>148.96</v>
      </c>
    </row>
    <row r="179" spans="1:67" ht="24">
      <c r="A179" s="8" t="s">
        <v>195</v>
      </c>
      <c r="B179" s="10" t="s">
        <v>151</v>
      </c>
      <c r="C179" s="10">
        <v>483179</v>
      </c>
      <c r="D179" s="11"/>
      <c r="E179" s="10" t="s">
        <v>16</v>
      </c>
      <c r="F179" s="10" t="s">
        <v>146</v>
      </c>
      <c r="G179" s="10" t="s">
        <v>29</v>
      </c>
      <c r="H179" s="12" t="s">
        <v>8</v>
      </c>
      <c r="I179" s="12" t="s">
        <v>152</v>
      </c>
      <c r="J179" s="12">
        <v>0</v>
      </c>
      <c r="K179" s="12">
        <v>0</v>
      </c>
      <c r="L179" s="12">
        <v>0</v>
      </c>
      <c r="M179" s="12">
        <v>0</v>
      </c>
      <c r="N179" s="12">
        <v>0</v>
      </c>
      <c r="O179" s="12">
        <v>0</v>
      </c>
      <c r="P179" s="12">
        <v>0</v>
      </c>
      <c r="Q179" s="12">
        <v>0</v>
      </c>
      <c r="R179" s="12">
        <v>0</v>
      </c>
      <c r="S179" s="12">
        <v>0</v>
      </c>
      <c r="T179" s="12">
        <v>0</v>
      </c>
      <c r="U179" s="12">
        <v>0</v>
      </c>
      <c r="V179" s="12">
        <v>0</v>
      </c>
      <c r="W179" s="12">
        <v>0</v>
      </c>
      <c r="X179" s="12">
        <v>0</v>
      </c>
      <c r="Y179" s="12">
        <v>0</v>
      </c>
      <c r="Z179" s="12">
        <v>0</v>
      </c>
      <c r="AA179" s="12">
        <v>0</v>
      </c>
      <c r="AB179" s="12">
        <v>0</v>
      </c>
      <c r="AC179" s="12">
        <v>0</v>
      </c>
      <c r="AD179" s="12">
        <v>0</v>
      </c>
      <c r="AE179" s="12">
        <v>1</v>
      </c>
      <c r="AF179" s="12">
        <v>100</v>
      </c>
      <c r="AG179" s="12">
        <v>0</v>
      </c>
      <c r="AH179" s="12">
        <v>0</v>
      </c>
      <c r="AI179" s="12">
        <v>0</v>
      </c>
      <c r="AJ179" s="12">
        <v>0</v>
      </c>
      <c r="AK179" s="12">
        <v>1</v>
      </c>
      <c r="AL179" s="12">
        <v>0</v>
      </c>
      <c r="AM179" s="12">
        <v>100</v>
      </c>
      <c r="AN179" s="12">
        <v>0</v>
      </c>
      <c r="AO179" s="12">
        <v>0</v>
      </c>
      <c r="AP179" s="12">
        <v>0</v>
      </c>
      <c r="AQ179" s="12">
        <v>0</v>
      </c>
      <c r="AR179" s="12">
        <v>0</v>
      </c>
      <c r="AS179" s="12">
        <v>0</v>
      </c>
      <c r="AT179" s="12">
        <v>0</v>
      </c>
      <c r="AU179" s="12">
        <v>0</v>
      </c>
      <c r="AV179" s="12">
        <v>0</v>
      </c>
      <c r="AW179" s="12">
        <v>0</v>
      </c>
      <c r="AX179" s="12">
        <v>0</v>
      </c>
      <c r="AY179" s="12">
        <v>0</v>
      </c>
      <c r="AZ179" s="12">
        <v>0</v>
      </c>
      <c r="BA179" s="12">
        <v>0</v>
      </c>
      <c r="BB179" s="12">
        <v>0</v>
      </c>
      <c r="BC179" s="12">
        <v>0</v>
      </c>
      <c r="BD179" s="12">
        <v>0</v>
      </c>
      <c r="BE179" s="12">
        <v>0</v>
      </c>
      <c r="BF179" s="12">
        <v>0</v>
      </c>
      <c r="BG179" s="12">
        <v>0</v>
      </c>
      <c r="BH179" s="12">
        <v>0</v>
      </c>
      <c r="BI179" s="12">
        <v>0</v>
      </c>
      <c r="BJ179" s="12">
        <v>0</v>
      </c>
      <c r="BK179" s="12">
        <v>0</v>
      </c>
      <c r="BL179" s="12">
        <v>0</v>
      </c>
      <c r="BM179" s="18">
        <v>200</v>
      </c>
      <c r="BN179" s="9">
        <f t="shared" si="6"/>
        <v>200</v>
      </c>
      <c r="BO179" s="9">
        <f t="shared" si="7"/>
        <v>140</v>
      </c>
    </row>
    <row r="180" spans="1:67" ht="24">
      <c r="A180" s="8" t="s">
        <v>57</v>
      </c>
      <c r="B180" s="10" t="s">
        <v>15</v>
      </c>
      <c r="C180" s="10">
        <v>465248</v>
      </c>
      <c r="D180" s="11"/>
      <c r="E180" s="10" t="s">
        <v>16</v>
      </c>
      <c r="F180" s="10" t="s">
        <v>17</v>
      </c>
      <c r="G180" s="10" t="s">
        <v>67</v>
      </c>
      <c r="H180" s="12" t="s">
        <v>10</v>
      </c>
      <c r="I180" s="12" t="s">
        <v>18</v>
      </c>
      <c r="J180" s="12">
        <v>0</v>
      </c>
      <c r="K180" s="12">
        <v>1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12">
        <v>0</v>
      </c>
      <c r="U180" s="12">
        <v>0</v>
      </c>
      <c r="V180" s="12">
        <v>0</v>
      </c>
      <c r="W180" s="12">
        <v>0</v>
      </c>
      <c r="X180" s="12">
        <v>0</v>
      </c>
      <c r="Y180" s="12">
        <v>0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2</v>
      </c>
      <c r="AF180" s="12">
        <v>200</v>
      </c>
      <c r="AG180" s="12">
        <v>0</v>
      </c>
      <c r="AH180" s="12">
        <v>0</v>
      </c>
      <c r="AI180" s="12">
        <v>0</v>
      </c>
      <c r="AJ180" s="12">
        <v>0</v>
      </c>
      <c r="AK180" s="12">
        <v>0</v>
      </c>
      <c r="AL180" s="12">
        <v>0</v>
      </c>
      <c r="AM180" s="12">
        <v>0</v>
      </c>
      <c r="AN180" s="12">
        <v>0</v>
      </c>
      <c r="AO180" s="12">
        <v>0</v>
      </c>
      <c r="AP180" s="12">
        <v>0</v>
      </c>
      <c r="AQ180" s="12">
        <v>0</v>
      </c>
      <c r="AR180" s="12">
        <v>0</v>
      </c>
      <c r="AS180" s="12">
        <v>0</v>
      </c>
      <c r="AT180" s="12">
        <v>0</v>
      </c>
      <c r="AU180" s="12">
        <v>0</v>
      </c>
      <c r="AV180" s="12">
        <v>0</v>
      </c>
      <c r="AW180" s="12">
        <v>0</v>
      </c>
      <c r="AX180" s="12">
        <v>0</v>
      </c>
      <c r="AY180" s="12">
        <v>0</v>
      </c>
      <c r="AZ180" s="12">
        <v>0</v>
      </c>
      <c r="BA180" s="12">
        <v>0</v>
      </c>
      <c r="BB180" s="12">
        <v>0</v>
      </c>
      <c r="BC180" s="12">
        <v>0</v>
      </c>
      <c r="BD180" s="12">
        <v>0</v>
      </c>
      <c r="BE180" s="12">
        <v>0</v>
      </c>
      <c r="BF180" s="12">
        <v>0</v>
      </c>
      <c r="BG180" s="12">
        <v>0</v>
      </c>
      <c r="BH180" s="12">
        <v>0</v>
      </c>
      <c r="BI180" s="12">
        <v>0</v>
      </c>
      <c r="BJ180" s="12">
        <v>0</v>
      </c>
      <c r="BK180" s="12">
        <v>0</v>
      </c>
      <c r="BL180" s="12">
        <v>0</v>
      </c>
      <c r="BM180" s="18">
        <v>200</v>
      </c>
      <c r="BN180" s="9">
        <f t="shared" si="6"/>
        <v>200</v>
      </c>
      <c r="BO180" s="9">
        <f t="shared" si="7"/>
        <v>140</v>
      </c>
    </row>
    <row r="181" spans="1:67" ht="24">
      <c r="A181" s="8" t="s">
        <v>57</v>
      </c>
      <c r="B181" s="10" t="s">
        <v>341</v>
      </c>
      <c r="C181" s="10">
        <v>469950</v>
      </c>
      <c r="D181" s="11"/>
      <c r="E181" s="10" t="s">
        <v>16</v>
      </c>
      <c r="F181" s="10" t="s">
        <v>190</v>
      </c>
      <c r="G181" s="10" t="s">
        <v>29</v>
      </c>
      <c r="H181" s="12" t="s">
        <v>8</v>
      </c>
      <c r="I181" s="12" t="s">
        <v>342</v>
      </c>
      <c r="J181" s="12">
        <v>0</v>
      </c>
      <c r="K181" s="12">
        <v>0</v>
      </c>
      <c r="L181" s="12">
        <v>0</v>
      </c>
      <c r="M181" s="12">
        <v>0</v>
      </c>
      <c r="N181" s="12">
        <v>0</v>
      </c>
      <c r="O181" s="12">
        <v>0</v>
      </c>
      <c r="P181" s="12">
        <v>0</v>
      </c>
      <c r="Q181" s="12">
        <v>0</v>
      </c>
      <c r="R181" s="12">
        <v>0</v>
      </c>
      <c r="S181" s="12">
        <v>0</v>
      </c>
      <c r="T181" s="12">
        <v>0</v>
      </c>
      <c r="U181" s="12">
        <v>0</v>
      </c>
      <c r="V181" s="12">
        <v>0</v>
      </c>
      <c r="W181" s="12">
        <v>0</v>
      </c>
      <c r="X181" s="12">
        <v>0</v>
      </c>
      <c r="Y181" s="12">
        <v>0</v>
      </c>
      <c r="Z181" s="12">
        <v>0</v>
      </c>
      <c r="AA181" s="12">
        <v>0</v>
      </c>
      <c r="AB181" s="12">
        <v>0</v>
      </c>
      <c r="AC181" s="12">
        <v>0</v>
      </c>
      <c r="AD181" s="12">
        <v>0</v>
      </c>
      <c r="AE181" s="12">
        <v>1</v>
      </c>
      <c r="AF181" s="12">
        <v>100</v>
      </c>
      <c r="AG181" s="12">
        <v>0</v>
      </c>
      <c r="AH181" s="12">
        <v>0</v>
      </c>
      <c r="AI181" s="12">
        <v>0</v>
      </c>
      <c r="AJ181" s="12">
        <v>0</v>
      </c>
      <c r="AK181" s="12">
        <v>0</v>
      </c>
      <c r="AL181" s="12">
        <v>0</v>
      </c>
      <c r="AM181" s="12">
        <v>0</v>
      </c>
      <c r="AN181" s="12">
        <v>0</v>
      </c>
      <c r="AO181" s="12">
        <v>0</v>
      </c>
      <c r="AP181" s="12">
        <v>0</v>
      </c>
      <c r="AQ181" s="12">
        <v>0</v>
      </c>
      <c r="AR181" s="12">
        <v>0</v>
      </c>
      <c r="AS181" s="12">
        <v>0</v>
      </c>
      <c r="AT181" s="12">
        <v>0</v>
      </c>
      <c r="AU181" s="12">
        <v>0</v>
      </c>
      <c r="AV181" s="12">
        <v>0</v>
      </c>
      <c r="AW181" s="12">
        <v>0</v>
      </c>
      <c r="AX181" s="12">
        <v>0</v>
      </c>
      <c r="AY181" s="12">
        <v>0</v>
      </c>
      <c r="AZ181" s="12">
        <v>0</v>
      </c>
      <c r="BA181" s="12">
        <v>0</v>
      </c>
      <c r="BB181" s="12">
        <v>0</v>
      </c>
      <c r="BC181" s="12">
        <v>0</v>
      </c>
      <c r="BD181" s="12">
        <v>0</v>
      </c>
      <c r="BE181" s="12">
        <v>0</v>
      </c>
      <c r="BF181" s="12">
        <v>0</v>
      </c>
      <c r="BG181" s="12">
        <v>0</v>
      </c>
      <c r="BH181" s="12">
        <v>0</v>
      </c>
      <c r="BI181" s="12">
        <v>0</v>
      </c>
      <c r="BJ181" s="12">
        <v>0</v>
      </c>
      <c r="BK181" s="12">
        <v>0</v>
      </c>
      <c r="BL181" s="12">
        <v>0</v>
      </c>
      <c r="BM181" s="18">
        <v>100</v>
      </c>
      <c r="BN181" s="9">
        <f t="shared" ref="BN181:BN191" si="8">BM181-BL181</f>
        <v>100</v>
      </c>
      <c r="BO181" s="9">
        <f t="shared" ref="BO181:BO191" si="9">BN181*70%</f>
        <v>70</v>
      </c>
    </row>
    <row r="182" spans="1:67" ht="24">
      <c r="A182" s="8" t="s">
        <v>57</v>
      </c>
      <c r="B182" s="10" t="s">
        <v>214</v>
      </c>
      <c r="C182" s="10">
        <v>376361</v>
      </c>
      <c r="D182" s="11"/>
      <c r="E182" s="10" t="s">
        <v>16</v>
      </c>
      <c r="F182" s="10" t="s">
        <v>38</v>
      </c>
      <c r="G182" s="10" t="s">
        <v>29</v>
      </c>
      <c r="H182" s="12" t="s">
        <v>8</v>
      </c>
      <c r="I182" s="12" t="s">
        <v>215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12">
        <v>0</v>
      </c>
      <c r="U182" s="12">
        <v>0</v>
      </c>
      <c r="V182" s="12">
        <v>0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1</v>
      </c>
      <c r="AF182" s="12">
        <v>100</v>
      </c>
      <c r="AG182" s="12">
        <v>0</v>
      </c>
      <c r="AH182" s="12">
        <v>0</v>
      </c>
      <c r="AI182" s="12">
        <v>0</v>
      </c>
      <c r="AJ182" s="12">
        <v>0</v>
      </c>
      <c r="AK182" s="12">
        <v>0</v>
      </c>
      <c r="AL182" s="12">
        <v>0</v>
      </c>
      <c r="AM182" s="12">
        <v>0</v>
      </c>
      <c r="AN182" s="12">
        <v>0</v>
      </c>
      <c r="AO182" s="12">
        <v>0</v>
      </c>
      <c r="AP182" s="12">
        <v>0</v>
      </c>
      <c r="AQ182" s="12">
        <v>0</v>
      </c>
      <c r="AR182" s="12">
        <v>0</v>
      </c>
      <c r="AS182" s="12">
        <v>0</v>
      </c>
      <c r="AT182" s="12">
        <v>0</v>
      </c>
      <c r="AU182" s="12">
        <v>0</v>
      </c>
      <c r="AV182" s="12">
        <v>0</v>
      </c>
      <c r="AW182" s="12">
        <v>0</v>
      </c>
      <c r="AX182" s="12">
        <v>0</v>
      </c>
      <c r="AY182" s="12">
        <v>0</v>
      </c>
      <c r="AZ182" s="12">
        <v>0</v>
      </c>
      <c r="BA182" s="12">
        <v>0</v>
      </c>
      <c r="BB182" s="12">
        <v>0</v>
      </c>
      <c r="BC182" s="12">
        <v>0</v>
      </c>
      <c r="BD182" s="12">
        <v>0</v>
      </c>
      <c r="BE182" s="12">
        <v>0</v>
      </c>
      <c r="BF182" s="12">
        <v>0</v>
      </c>
      <c r="BG182" s="12">
        <v>0</v>
      </c>
      <c r="BH182" s="12">
        <v>0</v>
      </c>
      <c r="BI182" s="12">
        <v>0</v>
      </c>
      <c r="BJ182" s="12">
        <v>0</v>
      </c>
      <c r="BK182" s="12">
        <v>0</v>
      </c>
      <c r="BL182" s="12">
        <v>0</v>
      </c>
      <c r="BM182" s="18">
        <v>100</v>
      </c>
      <c r="BN182" s="9">
        <f t="shared" si="8"/>
        <v>100</v>
      </c>
      <c r="BO182" s="9">
        <f t="shared" si="9"/>
        <v>70</v>
      </c>
    </row>
    <row r="183" spans="1:67" ht="24">
      <c r="A183" s="8" t="s">
        <v>57</v>
      </c>
      <c r="B183" s="10" t="s">
        <v>271</v>
      </c>
      <c r="C183" s="10">
        <v>369220</v>
      </c>
      <c r="D183" s="11"/>
      <c r="E183" s="10" t="s">
        <v>16</v>
      </c>
      <c r="F183" s="10" t="s">
        <v>26</v>
      </c>
      <c r="G183" s="10" t="s">
        <v>11</v>
      </c>
      <c r="H183" s="12" t="s">
        <v>7</v>
      </c>
      <c r="I183" s="12" t="s">
        <v>27</v>
      </c>
      <c r="J183" s="12">
        <v>0</v>
      </c>
      <c r="K183" s="12">
        <v>0</v>
      </c>
      <c r="L183" s="12">
        <v>0</v>
      </c>
      <c r="M183" s="12">
        <v>0</v>
      </c>
      <c r="N183" s="12">
        <v>0</v>
      </c>
      <c r="O183" s="12">
        <v>0</v>
      </c>
      <c r="P183" s="12">
        <v>0</v>
      </c>
      <c r="Q183" s="12">
        <v>0</v>
      </c>
      <c r="R183" s="12">
        <v>0</v>
      </c>
      <c r="S183" s="12">
        <v>0</v>
      </c>
      <c r="T183" s="12">
        <v>0</v>
      </c>
      <c r="U183" s="12">
        <v>0</v>
      </c>
      <c r="V183" s="12">
        <v>0</v>
      </c>
      <c r="W183" s="12">
        <v>0</v>
      </c>
      <c r="X183" s="12">
        <v>0</v>
      </c>
      <c r="Y183" s="12">
        <v>0</v>
      </c>
      <c r="Z183" s="12">
        <v>0</v>
      </c>
      <c r="AA183" s="12">
        <v>0</v>
      </c>
      <c r="AB183" s="12">
        <v>0</v>
      </c>
      <c r="AC183" s="12">
        <v>0</v>
      </c>
      <c r="AD183" s="12">
        <v>0</v>
      </c>
      <c r="AE183" s="12">
        <v>0</v>
      </c>
      <c r="AF183" s="12">
        <v>0</v>
      </c>
      <c r="AG183" s="12">
        <v>0</v>
      </c>
      <c r="AH183" s="12">
        <v>0</v>
      </c>
      <c r="AI183" s="12">
        <v>0</v>
      </c>
      <c r="AJ183" s="12">
        <v>0</v>
      </c>
      <c r="AK183" s="12">
        <v>0</v>
      </c>
      <c r="AL183" s="12">
        <v>0</v>
      </c>
      <c r="AM183" s="12">
        <v>0</v>
      </c>
      <c r="AN183" s="12">
        <v>0</v>
      </c>
      <c r="AO183" s="12">
        <v>0</v>
      </c>
      <c r="AP183" s="12">
        <v>0</v>
      </c>
      <c r="AQ183" s="12">
        <v>1</v>
      </c>
      <c r="AR183" s="12">
        <v>0</v>
      </c>
      <c r="AS183" s="12">
        <v>100</v>
      </c>
      <c r="AT183" s="12">
        <v>0</v>
      </c>
      <c r="AU183" s="12">
        <v>0</v>
      </c>
      <c r="AV183" s="12">
        <v>0</v>
      </c>
      <c r="AW183" s="12">
        <v>0</v>
      </c>
      <c r="AX183" s="12">
        <v>0</v>
      </c>
      <c r="AY183" s="12">
        <v>0</v>
      </c>
      <c r="AZ183" s="12">
        <v>0</v>
      </c>
      <c r="BA183" s="12">
        <v>0</v>
      </c>
      <c r="BB183" s="12">
        <v>0</v>
      </c>
      <c r="BC183" s="12">
        <v>0</v>
      </c>
      <c r="BD183" s="12">
        <v>0</v>
      </c>
      <c r="BE183" s="12">
        <v>0</v>
      </c>
      <c r="BF183" s="12">
        <v>0</v>
      </c>
      <c r="BG183" s="12">
        <v>0</v>
      </c>
      <c r="BH183" s="12">
        <v>0</v>
      </c>
      <c r="BI183" s="12">
        <v>0</v>
      </c>
      <c r="BJ183" s="12">
        <v>0</v>
      </c>
      <c r="BK183" s="12">
        <v>0</v>
      </c>
      <c r="BL183" s="12">
        <v>0</v>
      </c>
      <c r="BM183" s="18">
        <v>100</v>
      </c>
      <c r="BN183" s="9">
        <f t="shared" si="8"/>
        <v>100</v>
      </c>
      <c r="BO183" s="9">
        <f t="shared" si="9"/>
        <v>70</v>
      </c>
    </row>
    <row r="184" spans="1:67" ht="24">
      <c r="A184" s="8" t="s">
        <v>57</v>
      </c>
      <c r="B184" s="10" t="s">
        <v>343</v>
      </c>
      <c r="C184" s="10">
        <v>337887</v>
      </c>
      <c r="D184" s="11"/>
      <c r="E184" s="10" t="s">
        <v>16</v>
      </c>
      <c r="F184" s="10" t="s">
        <v>51</v>
      </c>
      <c r="G184" s="10" t="s">
        <v>29</v>
      </c>
      <c r="H184" s="12" t="s">
        <v>8</v>
      </c>
      <c r="I184" s="12" t="s">
        <v>344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12">
        <v>0</v>
      </c>
      <c r="U184" s="12">
        <v>0</v>
      </c>
      <c r="V184" s="12">
        <v>0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1</v>
      </c>
      <c r="AF184" s="12">
        <v>0</v>
      </c>
      <c r="AG184" s="12">
        <v>100</v>
      </c>
      <c r="AH184" s="12">
        <v>0</v>
      </c>
      <c r="AI184" s="12">
        <v>0</v>
      </c>
      <c r="AJ184" s="12">
        <v>0</v>
      </c>
      <c r="AK184" s="12">
        <v>0</v>
      </c>
      <c r="AL184" s="12">
        <v>0</v>
      </c>
      <c r="AM184" s="12">
        <v>0</v>
      </c>
      <c r="AN184" s="12">
        <v>0</v>
      </c>
      <c r="AO184" s="12">
        <v>0</v>
      </c>
      <c r="AP184" s="12">
        <v>0</v>
      </c>
      <c r="AQ184" s="12">
        <v>0</v>
      </c>
      <c r="AR184" s="12">
        <v>0</v>
      </c>
      <c r="AS184" s="12">
        <v>0</v>
      </c>
      <c r="AT184" s="12">
        <v>0</v>
      </c>
      <c r="AU184" s="12">
        <v>0</v>
      </c>
      <c r="AV184" s="12">
        <v>0</v>
      </c>
      <c r="AW184" s="12">
        <v>0</v>
      </c>
      <c r="AX184" s="12">
        <v>0</v>
      </c>
      <c r="AY184" s="12">
        <v>0</v>
      </c>
      <c r="AZ184" s="12">
        <v>0</v>
      </c>
      <c r="BA184" s="12">
        <v>0</v>
      </c>
      <c r="BB184" s="12">
        <v>0</v>
      </c>
      <c r="BC184" s="12">
        <v>0</v>
      </c>
      <c r="BD184" s="12">
        <v>0</v>
      </c>
      <c r="BE184" s="12">
        <v>0</v>
      </c>
      <c r="BF184" s="12">
        <v>0</v>
      </c>
      <c r="BG184" s="12">
        <v>0</v>
      </c>
      <c r="BH184" s="12">
        <v>0</v>
      </c>
      <c r="BI184" s="12">
        <v>0</v>
      </c>
      <c r="BJ184" s="12">
        <v>0</v>
      </c>
      <c r="BK184" s="12">
        <v>0</v>
      </c>
      <c r="BL184" s="12">
        <v>0</v>
      </c>
      <c r="BM184" s="18">
        <v>100</v>
      </c>
      <c r="BN184" s="9">
        <f t="shared" si="8"/>
        <v>100</v>
      </c>
      <c r="BO184" s="9">
        <f t="shared" si="9"/>
        <v>70</v>
      </c>
    </row>
    <row r="185" spans="1:67" ht="24">
      <c r="A185" s="8" t="s">
        <v>57</v>
      </c>
      <c r="B185" s="10" t="s">
        <v>345</v>
      </c>
      <c r="C185" s="10">
        <v>389960</v>
      </c>
      <c r="D185" s="11"/>
      <c r="E185" s="10" t="s">
        <v>16</v>
      </c>
      <c r="F185" s="10" t="s">
        <v>193</v>
      </c>
      <c r="G185" s="10" t="s">
        <v>67</v>
      </c>
      <c r="H185" s="12" t="s">
        <v>10</v>
      </c>
      <c r="I185" s="12" t="s">
        <v>346</v>
      </c>
      <c r="J185" s="12">
        <v>0</v>
      </c>
      <c r="K185" s="12">
        <v>0</v>
      </c>
      <c r="L185" s="12">
        <v>0</v>
      </c>
      <c r="M185" s="12">
        <v>0</v>
      </c>
      <c r="N185" s="12">
        <v>0</v>
      </c>
      <c r="O185" s="12">
        <v>0</v>
      </c>
      <c r="P185" s="12">
        <v>0</v>
      </c>
      <c r="Q185" s="12">
        <v>0</v>
      </c>
      <c r="R185" s="12">
        <v>0</v>
      </c>
      <c r="S185" s="12">
        <v>0</v>
      </c>
      <c r="T185" s="12">
        <v>0</v>
      </c>
      <c r="U185" s="12">
        <v>0</v>
      </c>
      <c r="V185" s="12">
        <v>0</v>
      </c>
      <c r="W185" s="12">
        <v>0</v>
      </c>
      <c r="X185" s="12">
        <v>0</v>
      </c>
      <c r="Y185" s="12">
        <v>0</v>
      </c>
      <c r="Z185" s="12">
        <v>0</v>
      </c>
      <c r="AA185" s="12">
        <v>0</v>
      </c>
      <c r="AB185" s="12">
        <v>0</v>
      </c>
      <c r="AC185" s="12">
        <v>0</v>
      </c>
      <c r="AD185" s="12">
        <v>0</v>
      </c>
      <c r="AE185" s="12">
        <v>1</v>
      </c>
      <c r="AF185" s="12">
        <v>100</v>
      </c>
      <c r="AG185" s="12">
        <v>0</v>
      </c>
      <c r="AH185" s="12">
        <v>0</v>
      </c>
      <c r="AI185" s="12">
        <v>0</v>
      </c>
      <c r="AJ185" s="12">
        <v>0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</v>
      </c>
      <c r="AR185" s="12">
        <v>0</v>
      </c>
      <c r="AS185" s="12">
        <v>0</v>
      </c>
      <c r="AT185" s="12">
        <v>0</v>
      </c>
      <c r="AU185" s="12">
        <v>0</v>
      </c>
      <c r="AV185" s="12">
        <v>0</v>
      </c>
      <c r="AW185" s="12">
        <v>0</v>
      </c>
      <c r="AX185" s="12">
        <v>0</v>
      </c>
      <c r="AY185" s="12">
        <v>0</v>
      </c>
      <c r="AZ185" s="12">
        <v>0</v>
      </c>
      <c r="BA185" s="12">
        <v>0</v>
      </c>
      <c r="BB185" s="12">
        <v>0</v>
      </c>
      <c r="BC185" s="12">
        <v>0</v>
      </c>
      <c r="BD185" s="12">
        <v>0</v>
      </c>
      <c r="BE185" s="12">
        <v>0</v>
      </c>
      <c r="BF185" s="12">
        <v>0</v>
      </c>
      <c r="BG185" s="12">
        <v>0</v>
      </c>
      <c r="BH185" s="12">
        <v>0</v>
      </c>
      <c r="BI185" s="12">
        <v>0</v>
      </c>
      <c r="BJ185" s="12">
        <v>0</v>
      </c>
      <c r="BK185" s="12">
        <v>0</v>
      </c>
      <c r="BL185" s="12">
        <v>0</v>
      </c>
      <c r="BM185" s="18">
        <v>100</v>
      </c>
      <c r="BN185" s="9">
        <f t="shared" si="8"/>
        <v>100</v>
      </c>
      <c r="BO185" s="9">
        <f t="shared" si="9"/>
        <v>70</v>
      </c>
    </row>
    <row r="186" spans="1:67" ht="24">
      <c r="A186" s="8" t="s">
        <v>57</v>
      </c>
      <c r="B186" s="10" t="s">
        <v>216</v>
      </c>
      <c r="C186" s="10">
        <v>464776</v>
      </c>
      <c r="D186" s="11"/>
      <c r="E186" s="10" t="s">
        <v>16</v>
      </c>
      <c r="F186" s="10" t="s">
        <v>217</v>
      </c>
      <c r="G186" s="10" t="s">
        <v>67</v>
      </c>
      <c r="H186" s="12" t="s">
        <v>10</v>
      </c>
      <c r="I186" s="12" t="s">
        <v>218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12">
        <v>0</v>
      </c>
      <c r="U186" s="12">
        <v>0</v>
      </c>
      <c r="V186" s="12">
        <v>0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1</v>
      </c>
      <c r="AF186" s="12">
        <v>100</v>
      </c>
      <c r="AG186" s="12">
        <v>0</v>
      </c>
      <c r="AH186" s="12">
        <v>0</v>
      </c>
      <c r="AI186" s="12">
        <v>0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0</v>
      </c>
      <c r="AS186" s="12">
        <v>0</v>
      </c>
      <c r="AT186" s="12">
        <v>0</v>
      </c>
      <c r="AU186" s="12">
        <v>0</v>
      </c>
      <c r="AV186" s="12">
        <v>0</v>
      </c>
      <c r="AW186" s="12">
        <v>0</v>
      </c>
      <c r="AX186" s="12">
        <v>0</v>
      </c>
      <c r="AY186" s="12">
        <v>0</v>
      </c>
      <c r="AZ186" s="12">
        <v>0</v>
      </c>
      <c r="BA186" s="12">
        <v>0</v>
      </c>
      <c r="BB186" s="12">
        <v>0</v>
      </c>
      <c r="BC186" s="12">
        <v>0</v>
      </c>
      <c r="BD186" s="12">
        <v>0</v>
      </c>
      <c r="BE186" s="12">
        <v>0</v>
      </c>
      <c r="BF186" s="12">
        <v>0</v>
      </c>
      <c r="BG186" s="12">
        <v>0</v>
      </c>
      <c r="BH186" s="12">
        <v>0</v>
      </c>
      <c r="BI186" s="12">
        <v>0</v>
      </c>
      <c r="BJ186" s="12">
        <v>0</v>
      </c>
      <c r="BK186" s="12">
        <v>0</v>
      </c>
      <c r="BL186" s="12">
        <v>0</v>
      </c>
      <c r="BM186" s="18">
        <v>100</v>
      </c>
      <c r="BN186" s="9">
        <f t="shared" si="8"/>
        <v>100</v>
      </c>
      <c r="BO186" s="9">
        <f t="shared" si="9"/>
        <v>70</v>
      </c>
    </row>
    <row r="187" spans="1:67" ht="24">
      <c r="A187" s="8" t="s">
        <v>57</v>
      </c>
      <c r="B187" s="10" t="s">
        <v>212</v>
      </c>
      <c r="C187" s="10">
        <v>486824</v>
      </c>
      <c r="D187" s="11"/>
      <c r="E187" s="10" t="s">
        <v>16</v>
      </c>
      <c r="F187" s="10" t="s">
        <v>213</v>
      </c>
      <c r="G187" s="10" t="s">
        <v>67</v>
      </c>
      <c r="H187" s="12" t="s">
        <v>8</v>
      </c>
      <c r="I187" s="12" t="s">
        <v>207</v>
      </c>
      <c r="J187" s="12">
        <v>0</v>
      </c>
      <c r="K187" s="12">
        <v>0</v>
      </c>
      <c r="L187" s="12">
        <v>0</v>
      </c>
      <c r="M187" s="12">
        <v>0</v>
      </c>
      <c r="N187" s="12">
        <v>0</v>
      </c>
      <c r="O187" s="12">
        <v>0</v>
      </c>
      <c r="P187" s="12">
        <v>0</v>
      </c>
      <c r="Q187" s="12">
        <v>0</v>
      </c>
      <c r="R187" s="12">
        <v>0</v>
      </c>
      <c r="S187" s="12">
        <v>0</v>
      </c>
      <c r="T187" s="12">
        <v>0</v>
      </c>
      <c r="U187" s="12">
        <v>0</v>
      </c>
      <c r="V187" s="12">
        <v>0</v>
      </c>
      <c r="W187" s="12">
        <v>0</v>
      </c>
      <c r="X187" s="12">
        <v>0</v>
      </c>
      <c r="Y187" s="12">
        <v>0</v>
      </c>
      <c r="Z187" s="12">
        <v>0</v>
      </c>
      <c r="AA187" s="12">
        <v>0</v>
      </c>
      <c r="AB187" s="12">
        <v>0</v>
      </c>
      <c r="AC187" s="12">
        <v>0</v>
      </c>
      <c r="AD187" s="12">
        <v>0</v>
      </c>
      <c r="AE187" s="12">
        <v>1</v>
      </c>
      <c r="AF187" s="12">
        <v>0</v>
      </c>
      <c r="AG187" s="12">
        <v>100</v>
      </c>
      <c r="AH187" s="12">
        <v>0</v>
      </c>
      <c r="AI187" s="12">
        <v>0</v>
      </c>
      <c r="AJ187" s="12">
        <v>0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0</v>
      </c>
      <c r="AR187" s="12">
        <v>0</v>
      </c>
      <c r="AS187" s="12">
        <v>0</v>
      </c>
      <c r="AT187" s="12">
        <v>0</v>
      </c>
      <c r="AU187" s="12">
        <v>0</v>
      </c>
      <c r="AV187" s="12">
        <v>0</v>
      </c>
      <c r="AW187" s="12">
        <v>0</v>
      </c>
      <c r="AX187" s="12">
        <v>0</v>
      </c>
      <c r="AY187" s="12">
        <v>0</v>
      </c>
      <c r="AZ187" s="12">
        <v>0</v>
      </c>
      <c r="BA187" s="12">
        <v>0</v>
      </c>
      <c r="BB187" s="12">
        <v>0</v>
      </c>
      <c r="BC187" s="12">
        <v>0</v>
      </c>
      <c r="BD187" s="12">
        <v>0</v>
      </c>
      <c r="BE187" s="12">
        <v>0</v>
      </c>
      <c r="BF187" s="12">
        <v>0</v>
      </c>
      <c r="BG187" s="12">
        <v>0</v>
      </c>
      <c r="BH187" s="12">
        <v>0</v>
      </c>
      <c r="BI187" s="12">
        <v>0</v>
      </c>
      <c r="BJ187" s="12">
        <v>0</v>
      </c>
      <c r="BK187" s="12">
        <v>0</v>
      </c>
      <c r="BL187" s="12">
        <v>0</v>
      </c>
      <c r="BM187" s="18">
        <v>100</v>
      </c>
      <c r="BN187" s="9">
        <f t="shared" si="8"/>
        <v>100</v>
      </c>
      <c r="BO187" s="9">
        <f t="shared" si="9"/>
        <v>70</v>
      </c>
    </row>
    <row r="188" spans="1:67" ht="24">
      <c r="A188" s="8" t="s">
        <v>57</v>
      </c>
      <c r="B188" s="10" t="s">
        <v>284</v>
      </c>
      <c r="C188" s="10">
        <v>490763</v>
      </c>
      <c r="D188" s="11"/>
      <c r="E188" s="10" t="s">
        <v>16</v>
      </c>
      <c r="F188" s="10" t="s">
        <v>285</v>
      </c>
      <c r="G188" s="10" t="s">
        <v>67</v>
      </c>
      <c r="H188" s="12" t="s">
        <v>8</v>
      </c>
      <c r="I188" s="12" t="s">
        <v>286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12">
        <v>0</v>
      </c>
      <c r="U188" s="12">
        <v>0</v>
      </c>
      <c r="V188" s="12">
        <v>0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1</v>
      </c>
      <c r="AF188" s="12">
        <v>100</v>
      </c>
      <c r="AG188" s="12">
        <v>0</v>
      </c>
      <c r="AH188" s="12">
        <v>0</v>
      </c>
      <c r="AI188" s="12">
        <v>0</v>
      </c>
      <c r="AJ188" s="12">
        <v>0</v>
      </c>
      <c r="AK188" s="12">
        <v>0</v>
      </c>
      <c r="AL188" s="12">
        <v>0</v>
      </c>
      <c r="AM188" s="12">
        <v>0</v>
      </c>
      <c r="AN188" s="12">
        <v>0</v>
      </c>
      <c r="AO188" s="12">
        <v>0</v>
      </c>
      <c r="AP188" s="12">
        <v>0</v>
      </c>
      <c r="AQ188" s="12">
        <v>0</v>
      </c>
      <c r="AR188" s="12">
        <v>0</v>
      </c>
      <c r="AS188" s="12">
        <v>0</v>
      </c>
      <c r="AT188" s="12">
        <v>0</v>
      </c>
      <c r="AU188" s="12">
        <v>0</v>
      </c>
      <c r="AV188" s="12">
        <v>0</v>
      </c>
      <c r="AW188" s="12">
        <v>0</v>
      </c>
      <c r="AX188" s="12">
        <v>0</v>
      </c>
      <c r="AY188" s="12">
        <v>0</v>
      </c>
      <c r="AZ188" s="12">
        <v>0</v>
      </c>
      <c r="BA188" s="12">
        <v>0</v>
      </c>
      <c r="BB188" s="12">
        <v>0</v>
      </c>
      <c r="BC188" s="12">
        <v>0</v>
      </c>
      <c r="BD188" s="12">
        <v>0</v>
      </c>
      <c r="BE188" s="12">
        <v>0</v>
      </c>
      <c r="BF188" s="12">
        <v>0</v>
      </c>
      <c r="BG188" s="12">
        <v>0</v>
      </c>
      <c r="BH188" s="12">
        <v>0</v>
      </c>
      <c r="BI188" s="12">
        <v>0</v>
      </c>
      <c r="BJ188" s="12">
        <v>0</v>
      </c>
      <c r="BK188" s="12">
        <v>0</v>
      </c>
      <c r="BL188" s="12">
        <v>0</v>
      </c>
      <c r="BM188" s="18">
        <v>100</v>
      </c>
      <c r="BN188" s="9">
        <f t="shared" si="8"/>
        <v>100</v>
      </c>
      <c r="BO188" s="9">
        <f t="shared" si="9"/>
        <v>70</v>
      </c>
    </row>
    <row r="189" spans="1:67" ht="24">
      <c r="A189" s="8" t="s">
        <v>57</v>
      </c>
      <c r="B189" s="10" t="s">
        <v>208</v>
      </c>
      <c r="C189" s="10">
        <v>211158</v>
      </c>
      <c r="D189" s="11"/>
      <c r="E189" s="10" t="s">
        <v>16</v>
      </c>
      <c r="F189" s="10" t="s">
        <v>26</v>
      </c>
      <c r="G189" s="10" t="s">
        <v>11</v>
      </c>
      <c r="H189" s="12" t="s">
        <v>7</v>
      </c>
      <c r="I189" s="12" t="s">
        <v>209</v>
      </c>
      <c r="J189" s="12">
        <v>0</v>
      </c>
      <c r="K189" s="12">
        <v>0</v>
      </c>
      <c r="L189" s="12">
        <v>0</v>
      </c>
      <c r="M189" s="12">
        <v>0</v>
      </c>
      <c r="N189" s="12">
        <v>0</v>
      </c>
      <c r="O189" s="12">
        <v>0</v>
      </c>
      <c r="P189" s="12">
        <v>0</v>
      </c>
      <c r="Q189" s="12">
        <v>0</v>
      </c>
      <c r="R189" s="12">
        <v>0</v>
      </c>
      <c r="S189" s="12">
        <v>0</v>
      </c>
      <c r="T189" s="12">
        <v>0</v>
      </c>
      <c r="U189" s="12">
        <v>0</v>
      </c>
      <c r="V189" s="12">
        <v>0</v>
      </c>
      <c r="W189" s="12">
        <v>0</v>
      </c>
      <c r="X189" s="12">
        <v>0</v>
      </c>
      <c r="Y189" s="12">
        <v>0</v>
      </c>
      <c r="Z189" s="12">
        <v>0</v>
      </c>
      <c r="AA189" s="12">
        <v>0</v>
      </c>
      <c r="AB189" s="12">
        <v>0</v>
      </c>
      <c r="AC189" s="12">
        <v>0</v>
      </c>
      <c r="AD189" s="12">
        <v>0</v>
      </c>
      <c r="AE189" s="12">
        <v>1</v>
      </c>
      <c r="AF189" s="12">
        <v>100</v>
      </c>
      <c r="AG189" s="12">
        <v>0</v>
      </c>
      <c r="AH189" s="12">
        <v>0</v>
      </c>
      <c r="AI189" s="12">
        <v>0</v>
      </c>
      <c r="AJ189" s="12">
        <v>0</v>
      </c>
      <c r="AK189" s="12">
        <v>0</v>
      </c>
      <c r="AL189" s="12">
        <v>0</v>
      </c>
      <c r="AM189" s="12">
        <v>0</v>
      </c>
      <c r="AN189" s="12">
        <v>0</v>
      </c>
      <c r="AO189" s="12">
        <v>0</v>
      </c>
      <c r="AP189" s="12">
        <v>0</v>
      </c>
      <c r="AQ189" s="12">
        <v>0</v>
      </c>
      <c r="AR189" s="12">
        <v>0</v>
      </c>
      <c r="AS189" s="12">
        <v>0</v>
      </c>
      <c r="AT189" s="12">
        <v>0</v>
      </c>
      <c r="AU189" s="12">
        <v>0</v>
      </c>
      <c r="AV189" s="12">
        <v>0</v>
      </c>
      <c r="AW189" s="12">
        <v>0</v>
      </c>
      <c r="AX189" s="12">
        <v>0</v>
      </c>
      <c r="AY189" s="12">
        <v>0</v>
      </c>
      <c r="AZ189" s="12">
        <v>0</v>
      </c>
      <c r="BA189" s="12">
        <v>0</v>
      </c>
      <c r="BB189" s="12">
        <v>0</v>
      </c>
      <c r="BC189" s="12">
        <v>0</v>
      </c>
      <c r="BD189" s="12">
        <v>0</v>
      </c>
      <c r="BE189" s="12">
        <v>0</v>
      </c>
      <c r="BF189" s="12">
        <v>0</v>
      </c>
      <c r="BG189" s="12">
        <v>0</v>
      </c>
      <c r="BH189" s="12">
        <v>0</v>
      </c>
      <c r="BI189" s="12">
        <v>0</v>
      </c>
      <c r="BJ189" s="12">
        <v>0</v>
      </c>
      <c r="BK189" s="12">
        <v>0</v>
      </c>
      <c r="BL189" s="12">
        <v>0</v>
      </c>
      <c r="BM189" s="18">
        <v>100</v>
      </c>
      <c r="BN189" s="9">
        <f t="shared" si="8"/>
        <v>100</v>
      </c>
      <c r="BO189" s="9">
        <f t="shared" si="9"/>
        <v>70</v>
      </c>
    </row>
    <row r="190" spans="1:67" ht="24">
      <c r="A190" s="8" t="s">
        <v>57</v>
      </c>
      <c r="B190" s="10" t="s">
        <v>255</v>
      </c>
      <c r="C190" s="10">
        <v>449889</v>
      </c>
      <c r="D190" s="11"/>
      <c r="E190" s="10" t="s">
        <v>16</v>
      </c>
      <c r="F190" s="10" t="s">
        <v>23</v>
      </c>
      <c r="G190" s="10" t="s">
        <v>11</v>
      </c>
      <c r="H190" s="12" t="s">
        <v>7</v>
      </c>
      <c r="I190" s="12" t="s">
        <v>24</v>
      </c>
      <c r="J190" s="12">
        <v>0</v>
      </c>
      <c r="K190" s="12">
        <v>19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12">
        <v>0</v>
      </c>
      <c r="U190" s="12">
        <v>0</v>
      </c>
      <c r="V190" s="12">
        <v>0</v>
      </c>
      <c r="W190" s="12">
        <v>0</v>
      </c>
      <c r="X190" s="12">
        <v>0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2">
        <v>0</v>
      </c>
      <c r="AK190" s="12">
        <v>0</v>
      </c>
      <c r="AL190" s="12">
        <v>0</v>
      </c>
      <c r="AM190" s="12">
        <v>0</v>
      </c>
      <c r="AN190" s="12">
        <v>0</v>
      </c>
      <c r="AO190" s="12">
        <v>0</v>
      </c>
      <c r="AP190" s="12">
        <v>0</v>
      </c>
      <c r="AQ190" s="12">
        <v>0</v>
      </c>
      <c r="AR190" s="12">
        <v>0</v>
      </c>
      <c r="AS190" s="12">
        <v>0</v>
      </c>
      <c r="AT190" s="12">
        <v>0</v>
      </c>
      <c r="AU190" s="12">
        <v>0</v>
      </c>
      <c r="AV190" s="12">
        <v>0</v>
      </c>
      <c r="AW190" s="12">
        <v>0</v>
      </c>
      <c r="AX190" s="12">
        <v>0</v>
      </c>
      <c r="AY190" s="12">
        <v>0</v>
      </c>
      <c r="AZ190" s="12">
        <v>0</v>
      </c>
      <c r="BA190" s="12">
        <v>0</v>
      </c>
      <c r="BB190" s="12">
        <v>0</v>
      </c>
      <c r="BC190" s="12">
        <v>0</v>
      </c>
      <c r="BD190" s="12">
        <v>0</v>
      </c>
      <c r="BE190" s="12">
        <v>0</v>
      </c>
      <c r="BF190" s="12">
        <v>0</v>
      </c>
      <c r="BG190" s="12">
        <v>0</v>
      </c>
      <c r="BH190" s="12">
        <v>0</v>
      </c>
      <c r="BI190" s="12">
        <v>0</v>
      </c>
      <c r="BJ190" s="12">
        <v>0</v>
      </c>
      <c r="BK190" s="12">
        <v>0</v>
      </c>
      <c r="BL190" s="12">
        <v>0</v>
      </c>
      <c r="BM190" s="18">
        <v>0</v>
      </c>
      <c r="BN190" s="9">
        <f t="shared" si="8"/>
        <v>0</v>
      </c>
      <c r="BO190" s="9">
        <f t="shared" si="9"/>
        <v>0</v>
      </c>
    </row>
    <row r="191" spans="1:67" ht="24">
      <c r="A191" s="8" t="s">
        <v>57</v>
      </c>
      <c r="B191" s="10" t="s">
        <v>201</v>
      </c>
      <c r="C191" s="10">
        <v>479547</v>
      </c>
      <c r="D191" s="11"/>
      <c r="E191" s="10" t="s">
        <v>16</v>
      </c>
      <c r="F191" s="10" t="s">
        <v>202</v>
      </c>
      <c r="G191" s="10" t="s">
        <v>11</v>
      </c>
      <c r="H191" s="12" t="s">
        <v>7</v>
      </c>
      <c r="I191" s="12" t="s">
        <v>245</v>
      </c>
      <c r="J191" s="12">
        <v>0</v>
      </c>
      <c r="K191" s="12">
        <v>1</v>
      </c>
      <c r="L191" s="12">
        <v>0</v>
      </c>
      <c r="M191" s="12">
        <v>0</v>
      </c>
      <c r="N191" s="12">
        <v>0</v>
      </c>
      <c r="O191" s="12">
        <v>0</v>
      </c>
      <c r="P191" s="12">
        <v>0</v>
      </c>
      <c r="Q191" s="12">
        <v>0</v>
      </c>
      <c r="R191" s="12">
        <v>0</v>
      </c>
      <c r="S191" s="12">
        <v>0</v>
      </c>
      <c r="T191" s="12">
        <v>0</v>
      </c>
      <c r="U191" s="12">
        <v>0</v>
      </c>
      <c r="V191" s="12">
        <v>0</v>
      </c>
      <c r="W191" s="12">
        <v>0</v>
      </c>
      <c r="X191" s="12">
        <v>0</v>
      </c>
      <c r="Y191" s="12">
        <v>0</v>
      </c>
      <c r="Z191" s="12">
        <v>0</v>
      </c>
      <c r="AA191" s="12">
        <v>0</v>
      </c>
      <c r="AB191" s="12">
        <v>0</v>
      </c>
      <c r="AC191" s="12">
        <v>0</v>
      </c>
      <c r="AD191" s="12">
        <v>0</v>
      </c>
      <c r="AE191" s="12">
        <v>0</v>
      </c>
      <c r="AF191" s="12">
        <v>0</v>
      </c>
      <c r="AG191" s="12">
        <v>0</v>
      </c>
      <c r="AH191" s="12">
        <v>0</v>
      </c>
      <c r="AI191" s="12">
        <v>0</v>
      </c>
      <c r="AJ191" s="12">
        <v>0</v>
      </c>
      <c r="AK191" s="12">
        <v>0</v>
      </c>
      <c r="AL191" s="12">
        <v>0</v>
      </c>
      <c r="AM191" s="12">
        <v>0</v>
      </c>
      <c r="AN191" s="12">
        <v>0</v>
      </c>
      <c r="AO191" s="12">
        <v>0</v>
      </c>
      <c r="AP191" s="12">
        <v>0</v>
      </c>
      <c r="AQ191" s="12">
        <v>0</v>
      </c>
      <c r="AR191" s="12">
        <v>0</v>
      </c>
      <c r="AS191" s="12">
        <v>0</v>
      </c>
      <c r="AT191" s="12">
        <v>0</v>
      </c>
      <c r="AU191" s="12">
        <v>0</v>
      </c>
      <c r="AV191" s="12">
        <v>0</v>
      </c>
      <c r="AW191" s="12">
        <v>0</v>
      </c>
      <c r="AX191" s="12">
        <v>0</v>
      </c>
      <c r="AY191" s="12">
        <v>0</v>
      </c>
      <c r="AZ191" s="12">
        <v>0</v>
      </c>
      <c r="BA191" s="12">
        <v>0</v>
      </c>
      <c r="BB191" s="12">
        <v>0</v>
      </c>
      <c r="BC191" s="12">
        <v>0</v>
      </c>
      <c r="BD191" s="12">
        <v>0</v>
      </c>
      <c r="BE191" s="12">
        <v>0</v>
      </c>
      <c r="BF191" s="12">
        <v>0</v>
      </c>
      <c r="BG191" s="12">
        <v>0</v>
      </c>
      <c r="BH191" s="12">
        <v>0</v>
      </c>
      <c r="BI191" s="12">
        <v>0</v>
      </c>
      <c r="BJ191" s="12">
        <v>0</v>
      </c>
      <c r="BK191" s="12">
        <v>0</v>
      </c>
      <c r="BL191" s="12">
        <v>0</v>
      </c>
      <c r="BM191" s="18">
        <v>0</v>
      </c>
      <c r="BN191" s="9">
        <f t="shared" si="8"/>
        <v>0</v>
      </c>
      <c r="BO191" s="9">
        <f t="shared" si="9"/>
        <v>0</v>
      </c>
    </row>
    <row r="192" spans="1:67">
      <c r="BO192" s="15">
        <f>SUM(BO2:BO191)</f>
        <v>1253222.9499999988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합계(12)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storywiz</cp:lastModifiedBy>
  <dcterms:created xsi:type="dcterms:W3CDTF">2019-02-07T01:40:45Z</dcterms:created>
  <dcterms:modified xsi:type="dcterms:W3CDTF">2023-01-03T08:03:45Z</dcterms:modified>
</cp:coreProperties>
</file>