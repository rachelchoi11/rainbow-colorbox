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네이버\"/>
    </mc:Choice>
  </mc:AlternateContent>
  <bookViews>
    <workbookView xWindow="0" yWindow="0" windowWidth="23040" windowHeight="8955" tabRatio="766"/>
  </bookViews>
  <sheets>
    <sheet name="합계(12)" sheetId="412" r:id="rId1"/>
  </sheets>
  <definedNames>
    <definedName name="_xlnm._FilterDatabase" localSheetId="0" hidden="1">'합계(12)'!$A$1:$BQ$71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BO234" i="412" l="1"/>
  <c r="BN233" i="412"/>
  <c r="BO233" i="412" s="1"/>
  <c r="BN232" i="412"/>
  <c r="BO232" i="412" s="1"/>
  <c r="BN231" i="412"/>
  <c r="BO231" i="412" s="1"/>
  <c r="BN230" i="412"/>
  <c r="BO230" i="412" s="1"/>
  <c r="BN229" i="412"/>
  <c r="BO229" i="412" s="1"/>
  <c r="BN228" i="412"/>
  <c r="BO228" i="412" s="1"/>
  <c r="BN227" i="412"/>
  <c r="BO227" i="412" s="1"/>
  <c r="BN226" i="412"/>
  <c r="BO226" i="412" s="1"/>
  <c r="BN225" i="412"/>
  <c r="BO225" i="412" s="1"/>
  <c r="BN224" i="412"/>
  <c r="BO224" i="412" s="1"/>
  <c r="BN223" i="412"/>
  <c r="BO223" i="412" s="1"/>
  <c r="BN222" i="412"/>
  <c r="BO222" i="412" s="1"/>
  <c r="BN221" i="412"/>
  <c r="BO221" i="412" s="1"/>
  <c r="BN220" i="412"/>
  <c r="BO220" i="412" s="1"/>
  <c r="BN219" i="412"/>
  <c r="BO219" i="412" s="1"/>
  <c r="BN218" i="412"/>
  <c r="BO218" i="412" s="1"/>
  <c r="BN217" i="412"/>
  <c r="BO217" i="412" s="1"/>
  <c r="BN216" i="412"/>
  <c r="BO216" i="412" s="1"/>
  <c r="BN215" i="412"/>
  <c r="BO215" i="412" s="1"/>
  <c r="BN214" i="412"/>
  <c r="BO214" i="412" s="1"/>
  <c r="BN213" i="412"/>
  <c r="BO213" i="412" s="1"/>
  <c r="BN212" i="412"/>
  <c r="BO212" i="412" s="1"/>
  <c r="BN211" i="412"/>
  <c r="BO211" i="412" s="1"/>
  <c r="BN210" i="412"/>
  <c r="BO210" i="412" s="1"/>
  <c r="BN209" i="412"/>
  <c r="BO209" i="412" s="1"/>
  <c r="BN208" i="412"/>
  <c r="BO208" i="412" s="1"/>
  <c r="BN207" i="412"/>
  <c r="BO207" i="412" s="1"/>
  <c r="BN206" i="412"/>
  <c r="BO206" i="412" s="1"/>
  <c r="BN205" i="412"/>
  <c r="BO205" i="412" s="1"/>
  <c r="BN204" i="412"/>
  <c r="BO204" i="412" s="1"/>
  <c r="BN203" i="412"/>
  <c r="BO203" i="412" s="1"/>
  <c r="BN202" i="412"/>
  <c r="BO202" i="412" s="1"/>
  <c r="BN201" i="412" l="1"/>
  <c r="BO201" i="412" s="1"/>
  <c r="BN200" i="412"/>
  <c r="BO200" i="412" s="1"/>
  <c r="BN199" i="412"/>
  <c r="BO199" i="412" s="1"/>
  <c r="BN198" i="412"/>
  <c r="BO198" i="412" s="1"/>
  <c r="BN197" i="412"/>
  <c r="BO197" i="412" s="1"/>
  <c r="BN196" i="412"/>
  <c r="BO196" i="412" s="1"/>
  <c r="BN195" i="412"/>
  <c r="BO195" i="412" s="1"/>
  <c r="BN194" i="412"/>
  <c r="BO194" i="412" s="1"/>
  <c r="BN193" i="412"/>
  <c r="BO193" i="412" s="1"/>
  <c r="BN192" i="412"/>
  <c r="BO192" i="412" s="1"/>
  <c r="BN191" i="412"/>
  <c r="BO191" i="412" s="1"/>
  <c r="BN190" i="412"/>
  <c r="BO190" i="412" s="1"/>
  <c r="BN189" i="412"/>
  <c r="BO189" i="412" s="1"/>
  <c r="BN188" i="412"/>
  <c r="BO188" i="412" s="1"/>
  <c r="BN187" i="412"/>
  <c r="BO187" i="412" s="1"/>
  <c r="BN186" i="412"/>
  <c r="BO186" i="412" s="1"/>
  <c r="BN185" i="412"/>
  <c r="BO185" i="412" s="1"/>
  <c r="BN184" i="412"/>
  <c r="BO184" i="412" s="1"/>
  <c r="BN183" i="412"/>
  <c r="BO183" i="412" s="1"/>
  <c r="BN182" i="412"/>
  <c r="BO182" i="412" s="1"/>
  <c r="BN181" i="412"/>
  <c r="BO181" i="412" s="1"/>
  <c r="BN180" i="412"/>
  <c r="BO180" i="412" s="1"/>
  <c r="BN179" i="412"/>
  <c r="BO179" i="412" s="1"/>
  <c r="BN178" i="412"/>
  <c r="BO178" i="412" s="1"/>
  <c r="BN177" i="412"/>
  <c r="BO177" i="412" s="1"/>
  <c r="BN72" i="412" l="1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 s="1"/>
  <c r="BN135" i="412"/>
  <c r="BO135" i="412" s="1"/>
  <c r="BN136" i="412"/>
  <c r="BO136" i="412" s="1"/>
  <c r="BN137" i="412"/>
  <c r="BO137" i="412" s="1"/>
  <c r="BN138" i="412"/>
  <c r="BO138" i="412" s="1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 s="1"/>
  <c r="BN153" i="412"/>
  <c r="BO153" i="412" s="1"/>
  <c r="BN154" i="412"/>
  <c r="BO154" i="412" s="1"/>
  <c r="BN155" i="412"/>
  <c r="BO155" i="412" s="1"/>
  <c r="BN156" i="412"/>
  <c r="BO156" i="412" s="1"/>
  <c r="BN157" i="412"/>
  <c r="BO157" i="412" s="1"/>
  <c r="BN158" i="412"/>
  <c r="BO158" i="412" s="1"/>
  <c r="BN159" i="412"/>
  <c r="BO159" i="412" s="1"/>
  <c r="BN160" i="412"/>
  <c r="BO160" i="412" s="1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 s="1"/>
  <c r="BN167" i="412"/>
  <c r="BO167" i="412" s="1"/>
  <c r="BN168" i="412"/>
  <c r="BO168" i="412" s="1"/>
  <c r="BN169" i="412"/>
  <c r="BO169" i="412" s="1"/>
  <c r="BN170" i="412"/>
  <c r="BO170" i="412" s="1"/>
  <c r="BN171" i="412"/>
  <c r="BO171" i="412" s="1"/>
  <c r="BN172" i="412"/>
  <c r="BO172" i="412" s="1"/>
  <c r="BN173" i="412"/>
  <c r="BO173" i="412" s="1"/>
  <c r="BN174" i="412"/>
  <c r="BO174" i="412" s="1"/>
  <c r="BN175" i="412"/>
  <c r="BO175" i="412" s="1"/>
  <c r="BN176" i="412"/>
  <c r="BO176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2" i="412" l="1"/>
  <c r="BO2" i="412" l="1"/>
</calcChain>
</file>

<file path=xl/sharedStrings.xml><?xml version="1.0" encoding="utf-8"?>
<sst xmlns="http://schemas.openxmlformats.org/spreadsheetml/2006/main" count="1696" uniqueCount="385">
  <si>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</si>
  <si>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</si>
  <si>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</si>
  <si>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</si>
  <si>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</si>
  <si>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</si>
  <si>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</si>
  <si>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</si>
  <si>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</si>
  <si>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</si>
  <si>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</si>
  <si>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합계</t>
  </si>
  <si>
    <t>SW 매출</t>
    <phoneticPr fontId="20" type="noConversion"/>
  </si>
  <si>
    <t>앱마켓수수료</t>
  </si>
  <si>
    <t>2022.03.16</t>
  </si>
  <si>
    <t>법보다 주먹 [단행본]</t>
  </si>
  <si>
    <t>스토리위즈_2</t>
  </si>
  <si>
    <t>백범(白帆)</t>
  </si>
  <si>
    <t>에필로그</t>
  </si>
  <si>
    <t>2022.04.13</t>
  </si>
  <si>
    <t>법보다 주먹</t>
  </si>
  <si>
    <t>일교차 [단행본]</t>
  </si>
  <si>
    <t>해화</t>
  </si>
  <si>
    <t>밀리오리지널</t>
  </si>
  <si>
    <t>2022.04.08</t>
  </si>
  <si>
    <t>연애의 시작 [단행본]</t>
  </si>
  <si>
    <t>차크</t>
  </si>
  <si>
    <t>19세 이상 이용가능</t>
  </si>
  <si>
    <t>2022.02.18</t>
  </si>
  <si>
    <t>어딜 봐요? [외전증보판]</t>
  </si>
  <si>
    <t>주해나</t>
  </si>
  <si>
    <t>쉬즈노블</t>
  </si>
  <si>
    <t>2019.07.10</t>
  </si>
  <si>
    <t>더티독 [BL]</t>
  </si>
  <si>
    <t>용가리맛쿠키</t>
  </si>
  <si>
    <t>블러쉬</t>
  </si>
  <si>
    <t>2020.04.13</t>
  </si>
  <si>
    <t>악당의 리턴!</t>
  </si>
  <si>
    <t>354950</t>
  </si>
  <si>
    <t>2019.06.20</t>
  </si>
  <si>
    <t>전설이 돼라 [개정판]</t>
  </si>
  <si>
    <t>2022.03.02</t>
  </si>
  <si>
    <t>최현자</t>
  </si>
  <si>
    <t>반하는 세계 [BL]</t>
  </si>
  <si>
    <t>나나코</t>
  </si>
  <si>
    <t>히즈노블</t>
  </si>
  <si>
    <t>2019.08.17</t>
  </si>
  <si>
    <t>서혜은</t>
  </si>
  <si>
    <t>남창목가 [단행본]</t>
  </si>
  <si>
    <t>최재봉</t>
  </si>
  <si>
    <t>2020.05.18</t>
  </si>
  <si>
    <t>이세계 최강 군바리</t>
  </si>
  <si>
    <t>협행마</t>
  </si>
  <si>
    <t>2019.07.31</t>
  </si>
  <si>
    <t>집착의 맛</t>
  </si>
  <si>
    <t>sJessi</t>
  </si>
  <si>
    <t>쉬라즈</t>
  </si>
  <si>
    <t>2021.12.31</t>
  </si>
  <si>
    <t>브레이크 어웨이(Break Away) [단행본]</t>
  </si>
  <si>
    <t>서정윤</t>
  </si>
  <si>
    <t>2022.05.23</t>
  </si>
  <si>
    <t>남창목가 [외전 독점]</t>
  </si>
  <si>
    <t>2019.11.18</t>
  </si>
  <si>
    <t>다정한 내일을 위한 새벽 [BL]</t>
  </si>
  <si>
    <t>2019.08.13</t>
  </si>
  <si>
    <t>진짜 사나이 [단행본]</t>
  </si>
  <si>
    <t>2021.12.15</t>
  </si>
  <si>
    <t>사냥꾼은 마왕이 되기 싫다 [독점]</t>
  </si>
  <si>
    <t>강명운</t>
  </si>
  <si>
    <t>스토리아크</t>
  </si>
  <si>
    <t>2022.01.03</t>
  </si>
  <si>
    <t>이차적 일탈 [단행본]</t>
  </si>
  <si>
    <t>2022.03.04</t>
  </si>
  <si>
    <t>2020.09.10</t>
  </si>
  <si>
    <t>너만 보면 두근두근 [단행본]</t>
  </si>
  <si>
    <t>정경하</t>
  </si>
  <si>
    <t>2022.01.14</t>
  </si>
  <si>
    <t>이세계 최강 군바리 [단행본]</t>
  </si>
  <si>
    <t>2019.11.04</t>
  </si>
  <si>
    <t>2021.08.27</t>
  </si>
  <si>
    <t>더티독 [BL][단행본]</t>
  </si>
  <si>
    <t>2020.04.09</t>
  </si>
  <si>
    <t>더 캡틴</t>
  </si>
  <si>
    <t>2022.01.21</t>
  </si>
  <si>
    <t>사틴</t>
  </si>
  <si>
    <t>설국연가 [단행본]</t>
  </si>
  <si>
    <t>마뇽</t>
  </si>
  <si>
    <t>2022.01.17</t>
  </si>
  <si>
    <t>2021.09.14</t>
  </si>
  <si>
    <t>최강주</t>
  </si>
  <si>
    <t>SISSI</t>
  </si>
  <si>
    <t>너는 싱그러운 여름처럼 [단행본]</t>
  </si>
  <si>
    <t>박지영</t>
  </si>
  <si>
    <t>2022.04.25</t>
  </si>
  <si>
    <t>뉴욕 키스 스캔들 [BL][단행본]</t>
  </si>
  <si>
    <t>2018.06.12</t>
  </si>
  <si>
    <t>라이큐</t>
  </si>
  <si>
    <t>2022.02.17</t>
  </si>
  <si>
    <t>벗어 주세요</t>
  </si>
  <si>
    <t>2019.03.07</t>
  </si>
  <si>
    <t>무적살수 [단행본]</t>
  </si>
  <si>
    <t>2020.09.09</t>
  </si>
  <si>
    <t>2021.08.24</t>
  </si>
  <si>
    <t>그 순간, 별이 빛났다 [BL]</t>
  </si>
  <si>
    <t>성실</t>
  </si>
  <si>
    <t>2021.09.09</t>
  </si>
  <si>
    <t>계략적 관계 [독점]</t>
  </si>
  <si>
    <t>진태이</t>
  </si>
  <si>
    <t>2021.10.13</t>
  </si>
  <si>
    <t>남궁세가 건달공자 [단행본]</t>
  </si>
  <si>
    <t>2019.06.18</t>
  </si>
  <si>
    <t>더 캡틴 [단행본]</t>
  </si>
  <si>
    <t>사계(Four Season) [BL]</t>
  </si>
  <si>
    <t>2020.06.17</t>
  </si>
  <si>
    <t>2021.08.30</t>
  </si>
  <si>
    <t>만나러 갈게 [단행본]</t>
  </si>
  <si>
    <t>박샛별</t>
  </si>
  <si>
    <t>2022.02.04</t>
  </si>
  <si>
    <t>강호, 미치다</t>
  </si>
  <si>
    <t>2019.09.18</t>
  </si>
  <si>
    <t>이서윤</t>
  </si>
  <si>
    <t>무림병장 [단행본]</t>
  </si>
  <si>
    <t>2021.02.08</t>
  </si>
  <si>
    <t>미확인 사고</t>
  </si>
  <si>
    <t>2019.03.20</t>
  </si>
  <si>
    <t>이리 와 봐 외전 [단행본]</t>
  </si>
  <si>
    <t>2018.10.19</t>
  </si>
  <si>
    <t>위사무적</t>
  </si>
  <si>
    <t>위사무적 [단행본]</t>
  </si>
  <si>
    <t>2020.09.11</t>
  </si>
  <si>
    <t>끝도 없이 젖어드는</t>
  </si>
  <si>
    <t>2019.06.21</t>
  </si>
  <si>
    <t>짝사랑 중입니다 [단행본]</t>
  </si>
  <si>
    <t>진양</t>
  </si>
  <si>
    <t>2022.06.27</t>
  </si>
  <si>
    <t>베르사유의 장미 [BL]</t>
  </si>
  <si>
    <t>2020.04.21</t>
  </si>
  <si>
    <t>ARC곽도우</t>
  </si>
  <si>
    <t>무심코 [단행본]</t>
  </si>
  <si>
    <t>달로</t>
  </si>
  <si>
    <t>2022.06.03</t>
  </si>
  <si>
    <t>깃들다 [단행본]</t>
  </si>
  <si>
    <t>현진서</t>
  </si>
  <si>
    <t>2022.06.22</t>
  </si>
  <si>
    <t>테이크 백(Take Back) [단행본]</t>
  </si>
  <si>
    <t>일락</t>
  </si>
  <si>
    <t>2022.06.24</t>
  </si>
  <si>
    <t>근수저 오크는 근손실이 싫다 [독점]</t>
  </si>
  <si>
    <t>동대륙의 낭인무사 [단행본]</t>
  </si>
  <si>
    <t>2020.09.08</t>
  </si>
  <si>
    <t>바보가 만드는 멋진 세상 [개정판]</t>
  </si>
  <si>
    <t>공호</t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</si>
  <si>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</si>
  <si>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</si>
  <si>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</si>
  <si>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</si>
  <si>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</si>
  <si>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</si>
  <si>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</si>
  <si>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</si>
  <si>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</si>
  <si>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</si>
  <si>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</si>
  <si>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</si>
  <si>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</si>
  <si>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</si>
  <si>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</si>
  <si>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</si>
  <si>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</si>
  <si>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</si>
  <si>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</si>
  <si>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</si>
  <si>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</si>
  <si>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</si>
  <si>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</si>
  <si>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</si>
  <si>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</si>
  <si>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</si>
  <si>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</si>
  <si>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</si>
  <si>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</si>
  <si>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</si>
  <si>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</si>
  <si>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</si>
  <si>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</si>
  <si>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</si>
  <si>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</si>
  <si>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</si>
  <si>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</si>
  <si>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</si>
  <si>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</si>
  <si>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</si>
  <si>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</si>
  <si>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</si>
  <si>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</si>
  <si>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</si>
  <si>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</si>
  <si>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</si>
  <si>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</si>
  <si>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</si>
  <si>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</si>
  <si>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</si>
  <si>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</si>
  <si>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</si>
  <si>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</si>
  <si>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</si>
  <si>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</si>
  <si>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</si>
  <si>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시리즈(APP)</t>
    <phoneticPr fontId="20" type="noConversion"/>
  </si>
  <si>
    <t>티끌모아 대박 [단행본]</t>
  </si>
  <si>
    <t>2022.07.29</t>
  </si>
  <si>
    <t>티끌모아 대박</t>
  </si>
  <si>
    <t>2022.08.11</t>
  </si>
  <si>
    <t>너는 천사 [단행본]</t>
  </si>
  <si>
    <t>2022.08.25</t>
  </si>
  <si>
    <t>하루가</t>
  </si>
  <si>
    <t>불시착한 우주 [BL]</t>
  </si>
  <si>
    <t>시리즈 완전판(APP)</t>
    <phoneticPr fontId="20" type="noConversion"/>
  </si>
  <si>
    <t>시리즈 완전판(APP)</t>
    <phoneticPr fontId="20" type="noConversion"/>
  </si>
  <si>
    <t>연애의 끝 [단행본]</t>
  </si>
  <si>
    <t>2022.07.28</t>
  </si>
  <si>
    <t>작열감 [단행본]</t>
  </si>
  <si>
    <t>리밀</t>
  </si>
  <si>
    <t>시리즈 완전판(APP)</t>
    <phoneticPr fontId="20" type="noConversion"/>
  </si>
  <si>
    <t>더티독 외전 [BL][단행본]</t>
  </si>
  <si>
    <t>끝까지, 지독하게</t>
  </si>
  <si>
    <t>2021.09.17</t>
  </si>
  <si>
    <t>시리즈(iOS)</t>
    <phoneticPr fontId="20" type="noConversion"/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</si>
  <si>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</si>
  <si>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</si>
  <si>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용병수칙 [단행본]</t>
  </si>
  <si>
    <t>전장의 금기 [단행본]</t>
  </si>
  <si>
    <t>2020.09.13</t>
  </si>
  <si>
    <t>유일한 취미 [단행본]</t>
  </si>
  <si>
    <t>2022.05.06</t>
  </si>
  <si>
    <t>헌터 킹 [단행본]</t>
  </si>
  <si>
    <t>2021.12.10</t>
  </si>
  <si>
    <t>마티네(Matinée) [BL]</t>
  </si>
  <si>
    <t>눈부시게 아찔한 [단행본]</t>
  </si>
  <si>
    <t>적랑</t>
  </si>
  <si>
    <t>2022.09.15</t>
  </si>
  <si>
    <t>무림병장 [독점]</t>
  </si>
  <si>
    <t>2020.08.29</t>
  </si>
  <si>
    <t>소울 슈터</t>
  </si>
  <si>
    <t>진령군 도망기 [단행본]</t>
  </si>
  <si>
    <t>정은숙</t>
  </si>
  <si>
    <t>2022.09.01</t>
  </si>
  <si>
    <t>붉은 정자-살라댕 [단행본]</t>
  </si>
  <si>
    <t>라벤더블루</t>
  </si>
  <si>
    <t>2022.01.10</t>
  </si>
  <si>
    <t>익스클루시브(Exclusive) [BL][단행본]</t>
  </si>
  <si>
    <t>2021.08.13</t>
  </si>
  <si>
    <t>2022.10.19</t>
  </si>
  <si>
    <t>이별하기 좋은 계절 [단행본]</t>
  </si>
  <si>
    <t>송민선</t>
  </si>
  <si>
    <t>2022.10.06</t>
  </si>
  <si>
    <t>그린 라이트 [단행본]</t>
  </si>
  <si>
    <t>2022.10.20</t>
  </si>
  <si>
    <t>이번 생은 망한 줄 알았는데 [단행본]</t>
  </si>
  <si>
    <t>이윤미</t>
  </si>
  <si>
    <t>2022.10.26</t>
  </si>
  <si>
    <t>전장의 금기</t>
  </si>
  <si>
    <t>2020.09.12</t>
  </si>
  <si>
    <t>낯선 밤에 마주친 [단행본]</t>
  </si>
  <si>
    <t>춈춈</t>
  </si>
  <si>
    <t>2022.10.12</t>
  </si>
  <si>
    <t>꽃처럼 너를 안는다 [단행본]</t>
  </si>
  <si>
    <t>반지영</t>
  </si>
  <si>
    <t>여름, 밤의 사정 [단행본]</t>
  </si>
  <si>
    <t>기획에 산다</t>
  </si>
  <si>
    <t>바스락 [단행본]</t>
  </si>
  <si>
    <t>첫사랑을 종료하시겠습니까 [단행본]</t>
  </si>
  <si>
    <t>이파람</t>
  </si>
  <si>
    <t>2022.10.24</t>
  </si>
  <si>
    <t>비공개 열애 [단행본]</t>
  </si>
  <si>
    <t>엑스 비서 [단행본]</t>
  </si>
  <si>
    <t>비향</t>
  </si>
  <si>
    <t>사내 연애의 끝 [단행본]</t>
  </si>
  <si>
    <t>깊은 밤 너의 고백이 [단행본]</t>
  </si>
  <si>
    <t>이새인</t>
  </si>
  <si>
    <t>2022.10.21</t>
  </si>
  <si>
    <t>삶의 끝에서 [단행본]</t>
  </si>
  <si>
    <t>이승희</t>
  </si>
  <si>
    <t>꽃 무덤 [단행본]</t>
  </si>
  <si>
    <t>2022.10.13</t>
  </si>
  <si>
    <t>수면제 [단행본]</t>
  </si>
  <si>
    <t>명우</t>
  </si>
  <si>
    <t>이별 그리고 그 후 [단행본]</t>
  </si>
  <si>
    <t>2022.05.11</t>
  </si>
  <si>
    <t>2020.11.12</t>
  </si>
  <si>
    <t>불건전한 수컷 [단행본]</t>
  </si>
  <si>
    <t>2020.10.31</t>
  </si>
  <si>
    <t>트리플베리</t>
  </si>
  <si>
    <t>슈크림 [단행본]</t>
  </si>
  <si>
    <t>2022.04.15</t>
  </si>
  <si>
    <t>수리 낭군 [단행본]</t>
  </si>
  <si>
    <t>익스클루시브(Exclusive) [BL]</t>
  </si>
  <si>
    <t>끝까지, 지독하게 [외전][단행본]</t>
  </si>
  <si>
    <t>스물한 송이 [단행본]</t>
  </si>
  <si>
    <t>2022.11.03</t>
  </si>
  <si>
    <t>가장 완벽한 인질</t>
  </si>
  <si>
    <t>2020.12.07</t>
  </si>
  <si>
    <t>진짜 사나이</t>
  </si>
  <si>
    <t>악당의 리턴! [단행본]</t>
  </si>
  <si>
    <t>2019.11.26</t>
  </si>
  <si>
    <t>불건전한 수컷</t>
  </si>
  <si>
    <t>녹아내리다</t>
  </si>
  <si>
    <t>투즈</t>
  </si>
  <si>
    <t>2021.02.22</t>
  </si>
  <si>
    <t>흠뻑 적셔줄게 [BL]</t>
  </si>
  <si>
    <t>묜수</t>
  </si>
  <si>
    <t>들개의 덫</t>
  </si>
  <si>
    <t>밤이 오는 소리 [단행본]</t>
  </si>
  <si>
    <t>2022.10.28</t>
  </si>
  <si>
    <t>우리 집 악마 새끼 [BL][단행본]</t>
  </si>
  <si>
    <t>2019.11.12</t>
  </si>
  <si>
    <t>끝도 없이 젖어드는 [단행본]</t>
  </si>
  <si>
    <t>2019.05.10</t>
  </si>
  <si>
    <t>이리 와 봐 [단행본]</t>
  </si>
  <si>
    <t>2018.08.30</t>
  </si>
  <si>
    <t>2021.02.05</t>
  </si>
  <si>
    <t>운명과 복수 [단행본]</t>
  </si>
  <si>
    <t>2022.11.17</t>
  </si>
  <si>
    <t>탈각 [단행본]</t>
  </si>
  <si>
    <t>2022.06.29</t>
  </si>
  <si>
    <t>빠져들다 [단행본]</t>
  </si>
  <si>
    <t>알리시아</t>
  </si>
  <si>
    <t>2022.07.21</t>
  </si>
  <si>
    <t>분홍의 작약 [단행본]</t>
  </si>
  <si>
    <t>송여희</t>
  </si>
  <si>
    <t>2022.01.12</t>
  </si>
  <si>
    <t>봄볕이 아른아른 [단행본]</t>
  </si>
  <si>
    <t>2022.07.07</t>
  </si>
  <si>
    <t>2023.01.03</t>
  </si>
  <si>
    <t>강호, 미치다 [단행본]</t>
  </si>
  <si>
    <t>사제사죄 [단행본]</t>
  </si>
  <si>
    <t>시크</t>
  </si>
  <si>
    <t>2022.12.01</t>
  </si>
  <si>
    <t>그 순간, 별이 빛났다 [BL][단행본]</t>
  </si>
  <si>
    <t>2021.08.16</t>
  </si>
  <si>
    <t>오늘의 날씨 [BL][단행본]</t>
  </si>
  <si>
    <t>이예즈</t>
  </si>
  <si>
    <t>2018.11.23</t>
  </si>
  <si>
    <t>사랑 그리고 그 후 [단행본]</t>
  </si>
  <si>
    <t>2022.03.14</t>
  </si>
  <si>
    <t>완벽한 이상형 [외전증보판][단행본]</t>
  </si>
  <si>
    <t>지니</t>
  </si>
  <si>
    <t>2019.07.01</t>
  </si>
  <si>
    <t>나쁜 소년의 도시 [단행본]</t>
  </si>
  <si>
    <t>김빠</t>
  </si>
  <si>
    <t>2022.12.08</t>
  </si>
  <si>
    <t>한 번은 이별하자 [단행본]</t>
  </si>
  <si>
    <t>서연</t>
  </si>
  <si>
    <t>2022.06.20</t>
  </si>
  <si>
    <t>사냥꾼은 마왕이 되기 싫다 [단행본]</t>
  </si>
  <si>
    <t>2022.09.27</t>
  </si>
  <si>
    <t>넘어와 [단행본]</t>
  </si>
  <si>
    <t>2022.04.04</t>
  </si>
  <si>
    <t>가장 완벽한 인질 [외전][단행본]</t>
  </si>
  <si>
    <t>2020.10.14</t>
  </si>
  <si>
    <t>토요일의 남자 [단행본]</t>
  </si>
  <si>
    <t>2022.12.15</t>
  </si>
  <si>
    <t>대공의 아내 [단행본]</t>
  </si>
  <si>
    <t>문시티</t>
  </si>
  <si>
    <t>2020.01.16</t>
  </si>
  <si>
    <t>슈트의 품격 [단행본]</t>
  </si>
  <si>
    <t>2018.06.18</t>
  </si>
  <si>
    <t>악마 귀환 [단행본]</t>
  </si>
  <si>
    <t>서향</t>
  </si>
  <si>
    <t>2018.10.22</t>
  </si>
  <si>
    <t>어게인(Again) [단행본]</t>
  </si>
  <si>
    <t>최준서</t>
  </si>
  <si>
    <t>2022.04.27</t>
  </si>
  <si>
    <t>미칠 광(狂), 너에게 미치다 [단행본]</t>
  </si>
  <si>
    <t>정연서</t>
  </si>
  <si>
    <t>호랑헌화가 [단행본]</t>
  </si>
  <si>
    <t>여도흔</t>
  </si>
  <si>
    <t>모어 댄 블루 (More than BLUE) [BL] [단행본]</t>
  </si>
  <si>
    <t>2018.07.02</t>
  </si>
  <si>
    <t>나는 내 연인의 것 [BL][단행본]</t>
  </si>
  <si>
    <t>2021.02.01</t>
  </si>
  <si>
    <t>우기에는 비가 와요 [단행본]</t>
  </si>
  <si>
    <t>이리</t>
  </si>
  <si>
    <t>2022.06.17</t>
  </si>
  <si>
    <t>나는 내 연인의 것 외전 [BL][단행본]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</si>
</sst>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1" fillId="0" borderId="0" xfId="42" applyFont="1">
      <alignment vertical="center"/>
    </xf>
    <xf numFmtId="0" fontId="23" fillId="0" borderId="0" xfId="0" applyFont="1" applyAlignment="1">
      <alignment horizontal="left" vertical="center" wrapText="1"/>
    </xf>
    <xf numFmtId="49" fontId="23" fillId="0" borderId="0" xfId="0" applyNumberFormat="1" applyFont="1" applyAlignment="1">
      <alignment vertical="center" wrapText="1"/>
    </xf>
    <xf numFmtId="0" fontId="23" fillId="0" borderId="0" xfId="0" applyFont="1" applyAlignment="1">
      <alignment vertical="center" wrapText="1"/>
    </xf>
    <xf numFmtId="3" fontId="23" fillId="0" borderId="0" xfId="0" applyNumberFormat="1" applyFont="1" applyAlignment="1">
      <alignment vertical="center" wrapText="1"/>
    </xf>
    <xf numFmtId="4" fontId="23" fillId="0" borderId="0" xfId="0" applyNumberFormat="1" applyFont="1" applyAlignment="1">
      <alignment vertical="center" wrapText="1"/>
    </xf>
    <xf numFmtId="41" fontId="24" fillId="34" borderId="0" xfId="42" applyFont="1" applyFill="1">
      <alignment vertical="center"/>
    </xf>
    <xf numFmtId="0" fontId="25" fillId="33" borderId="0" xfId="0" applyFont="1" applyFill="1" applyAlignment="1">
      <alignment horizontal="center" vertical="center" wrapText="1"/>
    </xf>
    <xf numFmtId="4" fontId="26" fillId="0" borderId="0" xfId="0" applyNumberFormat="1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234"/>
  <sheetViews>
    <sheetView tabSelected="1" topLeftCell="AW225" zoomScaleNormal="100" workbookViewId="0">
      <selection activeCell="BK232" sqref="BK232"/>
    </sheetView>
  </sheetViews>
  <sheetFormatPr defaultRowHeight="16.5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style="19" bestFit="1" customWidth="1"/>
    <col min="66" max="66" width="13.5" bestFit="1" customWidth="1"/>
    <col min="67" max="67" width="13.375" style="7" customWidth="1"/>
  </cols>
  <sheetData>
    <row r="1" spans="1:69" ht="27" customHeight="1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152</v>
      </c>
      <c r="I1" s="8" t="s">
        <v>6</v>
      </c>
      <c r="J1" s="6" t="s">
        <v>153</v>
      </c>
      <c r="K1" s="6" t="s">
        <v>154</v>
      </c>
      <c r="L1" s="6" t="s">
        <v>155</v>
      </c>
      <c r="M1" s="6" t="s">
        <v>156</v>
      </c>
      <c r="N1" s="6" t="s">
        <v>157</v>
      </c>
      <c r="O1" s="6" t="s">
        <v>158</v>
      </c>
      <c r="P1" s="6" t="s">
        <v>159</v>
      </c>
      <c r="Q1" s="6" t="s">
        <v>160</v>
      </c>
      <c r="R1" s="6" t="s">
        <v>161</v>
      </c>
      <c r="S1" s="6" t="s">
        <v>162</v>
      </c>
      <c r="T1" s="6" t="s">
        <v>163</v>
      </c>
      <c r="U1" s="6" t="s">
        <v>164</v>
      </c>
      <c r="V1" s="6" t="s">
        <v>165</v>
      </c>
      <c r="W1" s="6" t="s">
        <v>166</v>
      </c>
      <c r="X1" s="6" t="s">
        <v>167</v>
      </c>
      <c r="Y1" s="6" t="s">
        <v>168</v>
      </c>
      <c r="Z1" s="6" t="s">
        <v>169</v>
      </c>
      <c r="AA1" s="6" t="s">
        <v>170</v>
      </c>
      <c r="AB1" s="6" t="s">
        <v>171</v>
      </c>
      <c r="AC1" s="6" t="s">
        <v>172</v>
      </c>
      <c r="AD1" s="6" t="s">
        <v>173</v>
      </c>
      <c r="AE1" s="6" t="s">
        <v>174</v>
      </c>
      <c r="AF1" s="6" t="s">
        <v>175</v>
      </c>
      <c r="AG1" s="6" t="s">
        <v>176</v>
      </c>
      <c r="AH1" s="6" t="s">
        <v>177</v>
      </c>
      <c r="AI1" s="6" t="s">
        <v>178</v>
      </c>
      <c r="AJ1" s="6" t="s">
        <v>179</v>
      </c>
      <c r="AK1" s="6" t="s">
        <v>180</v>
      </c>
      <c r="AL1" s="6" t="s">
        <v>181</v>
      </c>
      <c r="AM1" s="6" t="s">
        <v>182</v>
      </c>
      <c r="AN1" s="6" t="s">
        <v>183</v>
      </c>
      <c r="AO1" s="6" t="s">
        <v>184</v>
      </c>
      <c r="AP1" s="6" t="s">
        <v>185</v>
      </c>
      <c r="AQ1" s="6" t="s">
        <v>186</v>
      </c>
      <c r="AR1" s="6" t="s">
        <v>187</v>
      </c>
      <c r="AS1" s="6" t="s">
        <v>188</v>
      </c>
      <c r="AT1" s="6" t="s">
        <v>189</v>
      </c>
      <c r="AU1" s="6" t="s">
        <v>190</v>
      </c>
      <c r="AV1" s="6" t="s">
        <v>191</v>
      </c>
      <c r="AW1" s="6" t="s">
        <v>192</v>
      </c>
      <c r="AX1" s="6" t="s">
        <v>193</v>
      </c>
      <c r="AY1" s="6" t="s">
        <v>194</v>
      </c>
      <c r="AZ1" s="6" t="s">
        <v>195</v>
      </c>
      <c r="BA1" s="6" t="s">
        <v>196</v>
      </c>
      <c r="BB1" s="6" t="s">
        <v>197</v>
      </c>
      <c r="BC1" s="6" t="s">
        <v>198</v>
      </c>
      <c r="BD1" s="6" t="s">
        <v>199</v>
      </c>
      <c r="BE1" s="6" t="s">
        <v>200</v>
      </c>
      <c r="BF1" s="6" t="s">
        <v>201</v>
      </c>
      <c r="BG1" s="6" t="s">
        <v>202</v>
      </c>
      <c r="BH1" s="6" t="s">
        <v>203</v>
      </c>
      <c r="BI1" s="6" t="s">
        <v>204</v>
      </c>
      <c r="BJ1" s="6" t="s">
        <v>205</v>
      </c>
      <c r="BK1" s="6" t="s">
        <v>206</v>
      </c>
      <c r="BL1" s="6" t="s">
        <v>13</v>
      </c>
      <c r="BM1" s="16" t="s">
        <v>11</v>
      </c>
      <c r="BN1" s="6" t="s">
        <v>207</v>
      </c>
      <c r="BO1" s="6" t="s">
        <v>12</v>
      </c>
      <c r="BP1" s="6" t="s">
        <v>228</v>
      </c>
      <c r="BQ1" s="6" t="s">
        <v>229</v>
      </c>
    </row>
    <row r="2" spans="1:69" ht="24">
      <c r="A2" s="5" t="s">
        <v>208</v>
      </c>
      <c r="B2" s="10" t="s">
        <v>20</v>
      </c>
      <c r="C2" s="10">
        <v>451051</v>
      </c>
      <c r="D2" s="11"/>
      <c r="E2" s="10" t="s">
        <v>16</v>
      </c>
      <c r="F2" s="10" t="s">
        <v>17</v>
      </c>
      <c r="G2" s="10" t="s">
        <v>18</v>
      </c>
      <c r="H2" s="12" t="s">
        <v>10</v>
      </c>
      <c r="I2" s="12" t="s">
        <v>14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3">
        <v>1474</v>
      </c>
      <c r="AF2" s="13">
        <v>157980</v>
      </c>
      <c r="AG2" s="13">
        <v>8900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940</v>
      </c>
      <c r="AR2" s="13">
        <v>92500</v>
      </c>
      <c r="AS2" s="13">
        <v>1500</v>
      </c>
      <c r="AT2" s="12">
        <v>0</v>
      </c>
      <c r="AU2" s="12">
        <v>0</v>
      </c>
      <c r="AV2" s="12">
        <v>0</v>
      </c>
      <c r="AW2" s="12">
        <v>536</v>
      </c>
      <c r="AX2" s="13">
        <v>63567</v>
      </c>
      <c r="AY2" s="12">
        <v>0</v>
      </c>
      <c r="AZ2" s="12">
        <v>0</v>
      </c>
      <c r="BA2" s="12">
        <v>0</v>
      </c>
      <c r="BB2" s="12">
        <v>0</v>
      </c>
      <c r="BC2" s="13">
        <v>4347</v>
      </c>
      <c r="BD2" s="13">
        <v>521640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4">
        <v>37655.1</v>
      </c>
      <c r="BM2" s="17">
        <v>846087</v>
      </c>
      <c r="BN2" s="9">
        <f>BM2-BL2</f>
        <v>808431.9</v>
      </c>
      <c r="BO2" s="9">
        <f>BN2*0.7</f>
        <v>565902.32999999996</v>
      </c>
    </row>
    <row r="3" spans="1:69" ht="24">
      <c r="A3" s="5" t="s">
        <v>208</v>
      </c>
      <c r="B3" s="10" t="s">
        <v>15</v>
      </c>
      <c r="C3" s="10">
        <v>465998</v>
      </c>
      <c r="D3" s="11"/>
      <c r="E3" s="10" t="s">
        <v>16</v>
      </c>
      <c r="F3" s="10" t="s">
        <v>17</v>
      </c>
      <c r="G3" s="10" t="s">
        <v>18</v>
      </c>
      <c r="H3" s="12" t="s">
        <v>10</v>
      </c>
      <c r="I3" s="12" t="s">
        <v>19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78</v>
      </c>
      <c r="AC3" s="13">
        <v>69840</v>
      </c>
      <c r="AD3" s="13">
        <v>7600</v>
      </c>
      <c r="AE3" s="12">
        <v>0</v>
      </c>
      <c r="AF3" s="12">
        <v>0</v>
      </c>
      <c r="AG3" s="12">
        <v>0</v>
      </c>
      <c r="AH3" s="12">
        <v>11</v>
      </c>
      <c r="AI3" s="13">
        <v>11880</v>
      </c>
      <c r="AJ3" s="12">
        <v>0</v>
      </c>
      <c r="AK3" s="12">
        <v>1</v>
      </c>
      <c r="AL3" s="13">
        <v>2400</v>
      </c>
      <c r="AM3" s="12">
        <v>0</v>
      </c>
      <c r="AN3" s="12">
        <v>135</v>
      </c>
      <c r="AO3" s="13">
        <v>116700</v>
      </c>
      <c r="AP3" s="13">
        <v>2600</v>
      </c>
      <c r="AQ3" s="12">
        <v>1</v>
      </c>
      <c r="AR3" s="13">
        <v>2000</v>
      </c>
      <c r="AS3" s="12">
        <v>0</v>
      </c>
      <c r="AT3" s="12">
        <v>46</v>
      </c>
      <c r="AU3" s="13">
        <v>48009</v>
      </c>
      <c r="AV3" s="12">
        <v>0</v>
      </c>
      <c r="AW3" s="12">
        <v>9</v>
      </c>
      <c r="AX3" s="13">
        <v>21600</v>
      </c>
      <c r="AY3" s="12">
        <v>0</v>
      </c>
      <c r="AZ3" s="12">
        <v>321</v>
      </c>
      <c r="BA3" s="13">
        <v>346200</v>
      </c>
      <c r="BB3" s="12">
        <v>0</v>
      </c>
      <c r="BC3" s="12">
        <v>36</v>
      </c>
      <c r="BD3" s="13">
        <v>86400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4">
        <v>37200.9</v>
      </c>
      <c r="BM3" s="17">
        <v>715229</v>
      </c>
      <c r="BN3" s="9">
        <f t="shared" ref="BN3:BN66" si="0">BM3-BL3</f>
        <v>678028.1</v>
      </c>
      <c r="BO3" s="9">
        <f t="shared" ref="BO3:BO66" si="1">BN3*0.7</f>
        <v>474619.66999999993</v>
      </c>
    </row>
    <row r="4" spans="1:69" ht="24">
      <c r="A4" s="5" t="s">
        <v>208</v>
      </c>
      <c r="B4" s="10" t="s">
        <v>118</v>
      </c>
      <c r="C4" s="10">
        <v>367415</v>
      </c>
      <c r="D4" s="11"/>
      <c r="E4" s="10" t="s">
        <v>16</v>
      </c>
      <c r="F4" s="10" t="s">
        <v>49</v>
      </c>
      <c r="G4" s="10" t="s">
        <v>18</v>
      </c>
      <c r="H4" s="12" t="s">
        <v>7</v>
      </c>
      <c r="I4" s="12" t="s">
        <v>119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96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525</v>
      </c>
      <c r="AF4" s="13">
        <v>43700</v>
      </c>
      <c r="AG4" s="13">
        <v>8800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356</v>
      </c>
      <c r="AR4" s="13">
        <v>35000</v>
      </c>
      <c r="AS4" s="12">
        <v>600</v>
      </c>
      <c r="AT4" s="12">
        <v>0</v>
      </c>
      <c r="AU4" s="12">
        <v>0</v>
      </c>
      <c r="AV4" s="12">
        <v>0</v>
      </c>
      <c r="AW4" s="12">
        <v>390</v>
      </c>
      <c r="AX4" s="13">
        <v>46800</v>
      </c>
      <c r="AY4" s="12">
        <v>0</v>
      </c>
      <c r="AZ4" s="12">
        <v>0</v>
      </c>
      <c r="BA4" s="12">
        <v>0</v>
      </c>
      <c r="BB4" s="12">
        <v>0</v>
      </c>
      <c r="BC4" s="12">
        <v>717</v>
      </c>
      <c r="BD4" s="13">
        <v>86040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4">
        <v>9842.4</v>
      </c>
      <c r="BM4" s="17">
        <v>220940</v>
      </c>
      <c r="BN4" s="9">
        <f t="shared" si="0"/>
        <v>211097.60000000001</v>
      </c>
      <c r="BO4" s="9">
        <f t="shared" si="1"/>
        <v>147768.32000000001</v>
      </c>
    </row>
    <row r="5" spans="1:69" ht="24">
      <c r="A5" s="5" t="s">
        <v>208</v>
      </c>
      <c r="B5" s="10" t="s">
        <v>147</v>
      </c>
      <c r="C5" s="10">
        <v>469971</v>
      </c>
      <c r="D5" s="11"/>
      <c r="E5" s="10" t="s">
        <v>16</v>
      </c>
      <c r="F5" s="10" t="s">
        <v>137</v>
      </c>
      <c r="G5" s="10" t="s">
        <v>69</v>
      </c>
      <c r="H5" s="12" t="s">
        <v>7</v>
      </c>
      <c r="I5" s="12" t="s">
        <v>333</v>
      </c>
      <c r="J5" s="12">
        <v>0</v>
      </c>
      <c r="K5" s="13">
        <v>2145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511</v>
      </c>
      <c r="AF5" s="13">
        <v>30780</v>
      </c>
      <c r="AG5" s="13">
        <v>21000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572</v>
      </c>
      <c r="AR5" s="13">
        <v>56600</v>
      </c>
      <c r="AS5" s="12">
        <v>600</v>
      </c>
      <c r="AT5" s="12">
        <v>0</v>
      </c>
      <c r="AU5" s="12">
        <v>0</v>
      </c>
      <c r="AV5" s="12">
        <v>0</v>
      </c>
      <c r="AW5" s="12">
        <v>267</v>
      </c>
      <c r="AX5" s="13">
        <v>31800</v>
      </c>
      <c r="AY5" s="12">
        <v>0</v>
      </c>
      <c r="AZ5" s="12">
        <v>0</v>
      </c>
      <c r="BA5" s="12">
        <v>0</v>
      </c>
      <c r="BB5" s="12">
        <v>0</v>
      </c>
      <c r="BC5" s="12">
        <v>582</v>
      </c>
      <c r="BD5" s="13">
        <v>69840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4">
        <v>7370.4</v>
      </c>
      <c r="BM5" s="17">
        <v>210620</v>
      </c>
      <c r="BN5" s="9">
        <f t="shared" si="0"/>
        <v>203249.6</v>
      </c>
      <c r="BO5" s="9">
        <f t="shared" si="1"/>
        <v>142274.72</v>
      </c>
    </row>
    <row r="6" spans="1:69" ht="24">
      <c r="A6" s="5" t="s">
        <v>208</v>
      </c>
      <c r="B6" s="10" t="s">
        <v>253</v>
      </c>
      <c r="C6" s="10">
        <v>483769</v>
      </c>
      <c r="D6" s="11"/>
      <c r="E6" s="10" t="s">
        <v>16</v>
      </c>
      <c r="F6" s="10" t="s">
        <v>254</v>
      </c>
      <c r="G6" s="10" t="s">
        <v>23</v>
      </c>
      <c r="H6" s="12" t="s">
        <v>8</v>
      </c>
      <c r="I6" s="12" t="s">
        <v>255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13</v>
      </c>
      <c r="AF6" s="13">
        <v>13500</v>
      </c>
      <c r="AG6" s="13">
        <v>16500</v>
      </c>
      <c r="AH6" s="12">
        <v>0</v>
      </c>
      <c r="AI6" s="12">
        <v>0</v>
      </c>
      <c r="AJ6" s="12">
        <v>0</v>
      </c>
      <c r="AK6" s="12">
        <v>1</v>
      </c>
      <c r="AL6" s="12">
        <v>0</v>
      </c>
      <c r="AM6" s="13">
        <v>2500</v>
      </c>
      <c r="AN6" s="12">
        <v>0</v>
      </c>
      <c r="AO6" s="12">
        <v>0</v>
      </c>
      <c r="AP6" s="12">
        <v>0</v>
      </c>
      <c r="AQ6" s="12">
        <v>2</v>
      </c>
      <c r="AR6" s="13">
        <v>5000</v>
      </c>
      <c r="AS6" s="12">
        <v>0</v>
      </c>
      <c r="AT6" s="12">
        <v>0</v>
      </c>
      <c r="AU6" s="12">
        <v>0</v>
      </c>
      <c r="AV6" s="12">
        <v>0</v>
      </c>
      <c r="AW6" s="12">
        <v>2</v>
      </c>
      <c r="AX6" s="13">
        <v>6000</v>
      </c>
      <c r="AY6" s="12">
        <v>0</v>
      </c>
      <c r="AZ6" s="12">
        <v>0</v>
      </c>
      <c r="BA6" s="12">
        <v>0</v>
      </c>
      <c r="BB6" s="12">
        <v>0</v>
      </c>
      <c r="BC6" s="12">
        <v>19</v>
      </c>
      <c r="BD6" s="13">
        <v>55200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4">
        <v>3912</v>
      </c>
      <c r="BM6" s="17">
        <v>98700</v>
      </c>
      <c r="BN6" s="9">
        <f t="shared" si="0"/>
        <v>94788</v>
      </c>
      <c r="BO6" s="9">
        <f t="shared" si="1"/>
        <v>66351.599999999991</v>
      </c>
    </row>
    <row r="7" spans="1:69" ht="24">
      <c r="A7" s="5" t="s">
        <v>208</v>
      </c>
      <c r="B7" s="10" t="s">
        <v>138</v>
      </c>
      <c r="C7" s="10">
        <v>470383</v>
      </c>
      <c r="D7" s="11"/>
      <c r="E7" s="10" t="s">
        <v>16</v>
      </c>
      <c r="F7" s="10" t="s">
        <v>139</v>
      </c>
      <c r="G7" s="10" t="s">
        <v>23</v>
      </c>
      <c r="H7" s="12" t="s">
        <v>27</v>
      </c>
      <c r="I7" s="12" t="s">
        <v>140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16</v>
      </c>
      <c r="AF7" s="13">
        <v>5800</v>
      </c>
      <c r="AG7" s="13">
        <v>23500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6</v>
      </c>
      <c r="AR7" s="13">
        <v>10200</v>
      </c>
      <c r="AS7" s="12">
        <v>500</v>
      </c>
      <c r="AT7" s="12">
        <v>0</v>
      </c>
      <c r="AU7" s="12">
        <v>0</v>
      </c>
      <c r="AV7" s="12">
        <v>0</v>
      </c>
      <c r="AW7" s="12">
        <v>3</v>
      </c>
      <c r="AX7" s="13">
        <v>7200</v>
      </c>
      <c r="AY7" s="12">
        <v>0</v>
      </c>
      <c r="AZ7" s="12">
        <v>0</v>
      </c>
      <c r="BA7" s="12">
        <v>0</v>
      </c>
      <c r="BB7" s="12">
        <v>0</v>
      </c>
      <c r="BC7" s="12">
        <v>18</v>
      </c>
      <c r="BD7" s="13">
        <v>43200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4">
        <v>3312</v>
      </c>
      <c r="BM7" s="17">
        <v>90400</v>
      </c>
      <c r="BN7" s="9">
        <f t="shared" si="0"/>
        <v>87088</v>
      </c>
      <c r="BO7" s="9">
        <f t="shared" si="1"/>
        <v>60961.599999999999</v>
      </c>
    </row>
    <row r="8" spans="1:69" ht="24">
      <c r="A8" s="5" t="s">
        <v>208</v>
      </c>
      <c r="B8" s="10" t="s">
        <v>270</v>
      </c>
      <c r="C8" s="10">
        <v>461353</v>
      </c>
      <c r="D8" s="11"/>
      <c r="E8" s="10" t="s">
        <v>16</v>
      </c>
      <c r="F8" s="10" t="s">
        <v>139</v>
      </c>
      <c r="G8" s="10" t="s">
        <v>23</v>
      </c>
      <c r="H8" s="12" t="s">
        <v>27</v>
      </c>
      <c r="I8" s="12" t="s">
        <v>265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11</v>
      </c>
      <c r="AF8" s="13">
        <v>9920</v>
      </c>
      <c r="AG8" s="13">
        <v>12100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4</v>
      </c>
      <c r="AR8" s="13">
        <v>8000</v>
      </c>
      <c r="AS8" s="12">
        <v>0</v>
      </c>
      <c r="AT8" s="12">
        <v>0</v>
      </c>
      <c r="AU8" s="12">
        <v>0</v>
      </c>
      <c r="AV8" s="12">
        <v>0</v>
      </c>
      <c r="AW8" s="12">
        <v>4</v>
      </c>
      <c r="AX8" s="13">
        <v>8280</v>
      </c>
      <c r="AY8" s="12">
        <v>0</v>
      </c>
      <c r="AZ8" s="12">
        <v>0</v>
      </c>
      <c r="BA8" s="12">
        <v>0</v>
      </c>
      <c r="BB8" s="12">
        <v>0</v>
      </c>
      <c r="BC8" s="12">
        <v>18</v>
      </c>
      <c r="BD8" s="13">
        <v>42120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4">
        <v>3355.2</v>
      </c>
      <c r="BM8" s="17">
        <v>80420</v>
      </c>
      <c r="BN8" s="9">
        <f t="shared" si="0"/>
        <v>77064.800000000003</v>
      </c>
      <c r="BO8" s="9">
        <f t="shared" si="1"/>
        <v>53945.36</v>
      </c>
    </row>
    <row r="9" spans="1:69" ht="24">
      <c r="A9" s="5" t="s">
        <v>208</v>
      </c>
      <c r="B9" s="10" t="s">
        <v>21</v>
      </c>
      <c r="C9" s="10">
        <v>464786</v>
      </c>
      <c r="D9" s="11"/>
      <c r="E9" s="10" t="s">
        <v>16</v>
      </c>
      <c r="F9" s="10" t="s">
        <v>22</v>
      </c>
      <c r="G9" s="10" t="s">
        <v>23</v>
      </c>
      <c r="H9" s="12" t="s">
        <v>10</v>
      </c>
      <c r="I9" s="12" t="s">
        <v>24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9</v>
      </c>
      <c r="AF9" s="13">
        <v>10000</v>
      </c>
      <c r="AG9" s="13">
        <v>12500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3</v>
      </c>
      <c r="AR9" s="13">
        <v>6000</v>
      </c>
      <c r="AS9" s="12">
        <v>200</v>
      </c>
      <c r="AT9" s="12">
        <v>0</v>
      </c>
      <c r="AU9" s="12">
        <v>0</v>
      </c>
      <c r="AV9" s="12">
        <v>0</v>
      </c>
      <c r="AW9" s="12">
        <v>1</v>
      </c>
      <c r="AX9" s="13">
        <v>3000</v>
      </c>
      <c r="AY9" s="12">
        <v>0</v>
      </c>
      <c r="AZ9" s="12">
        <v>0</v>
      </c>
      <c r="BA9" s="12">
        <v>0</v>
      </c>
      <c r="BB9" s="12">
        <v>0</v>
      </c>
      <c r="BC9" s="12">
        <v>16</v>
      </c>
      <c r="BD9" s="13">
        <v>46560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4">
        <v>3093.6</v>
      </c>
      <c r="BM9" s="17">
        <v>78260</v>
      </c>
      <c r="BN9" s="9">
        <f t="shared" si="0"/>
        <v>75166.399999999994</v>
      </c>
      <c r="BO9" s="9">
        <f t="shared" si="1"/>
        <v>52616.479999999996</v>
      </c>
    </row>
    <row r="10" spans="1:69" ht="24">
      <c r="A10" s="5" t="s">
        <v>208</v>
      </c>
      <c r="B10" s="10" t="s">
        <v>58</v>
      </c>
      <c r="C10" s="10">
        <v>468582</v>
      </c>
      <c r="D10" s="11"/>
      <c r="E10" s="10" t="s">
        <v>16</v>
      </c>
      <c r="F10" s="10" t="s">
        <v>59</v>
      </c>
      <c r="G10" s="10" t="s">
        <v>23</v>
      </c>
      <c r="H10" s="12" t="s">
        <v>10</v>
      </c>
      <c r="I10" s="12" t="s">
        <v>60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7</v>
      </c>
      <c r="AF10" s="13">
        <v>11200</v>
      </c>
      <c r="AG10" s="13">
        <v>2700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2</v>
      </c>
      <c r="AR10" s="13">
        <v>5000</v>
      </c>
      <c r="AS10" s="12">
        <v>0</v>
      </c>
      <c r="AT10" s="12">
        <v>0</v>
      </c>
      <c r="AU10" s="12">
        <v>0</v>
      </c>
      <c r="AV10" s="12">
        <v>0</v>
      </c>
      <c r="AW10" s="12">
        <v>4</v>
      </c>
      <c r="AX10" s="13">
        <v>12000</v>
      </c>
      <c r="AY10" s="12">
        <v>0</v>
      </c>
      <c r="AZ10" s="12">
        <v>0</v>
      </c>
      <c r="BA10" s="12">
        <v>0</v>
      </c>
      <c r="BB10" s="12">
        <v>0</v>
      </c>
      <c r="BC10" s="12">
        <v>16</v>
      </c>
      <c r="BD10" s="13">
        <v>46560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4">
        <v>3993.6</v>
      </c>
      <c r="BM10" s="17">
        <v>77460</v>
      </c>
      <c r="BN10" s="9">
        <f t="shared" si="0"/>
        <v>73466.399999999994</v>
      </c>
      <c r="BO10" s="9">
        <f t="shared" si="1"/>
        <v>51426.479999999996</v>
      </c>
    </row>
    <row r="11" spans="1:69" ht="24">
      <c r="A11" s="5" t="s">
        <v>208</v>
      </c>
      <c r="B11" s="10" t="s">
        <v>128</v>
      </c>
      <c r="C11" s="10">
        <v>408836</v>
      </c>
      <c r="D11" s="11"/>
      <c r="E11" s="10" t="s">
        <v>16</v>
      </c>
      <c r="F11" s="10" t="s">
        <v>52</v>
      </c>
      <c r="G11" s="10" t="s">
        <v>18</v>
      </c>
      <c r="H11" s="12" t="s">
        <v>7</v>
      </c>
      <c r="I11" s="12" t="s">
        <v>129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30</v>
      </c>
      <c r="AC11" s="13">
        <v>19740</v>
      </c>
      <c r="AD11" s="13">
        <v>1700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14</v>
      </c>
      <c r="AO11" s="13">
        <v>9800</v>
      </c>
      <c r="AP11" s="12">
        <v>0</v>
      </c>
      <c r="AQ11" s="12">
        <v>0</v>
      </c>
      <c r="AR11" s="12">
        <v>0</v>
      </c>
      <c r="AS11" s="12">
        <v>0</v>
      </c>
      <c r="AT11" s="12">
        <v>8</v>
      </c>
      <c r="AU11" s="13">
        <v>6720</v>
      </c>
      <c r="AV11" s="12">
        <v>0</v>
      </c>
      <c r="AW11" s="12">
        <v>0</v>
      </c>
      <c r="AX11" s="12">
        <v>0</v>
      </c>
      <c r="AY11" s="12">
        <v>0</v>
      </c>
      <c r="AZ11" s="12">
        <v>36</v>
      </c>
      <c r="BA11" s="13">
        <v>29880</v>
      </c>
      <c r="BB11" s="12">
        <v>0</v>
      </c>
      <c r="BC11" s="12">
        <v>3</v>
      </c>
      <c r="BD11" s="13">
        <v>7200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4">
        <v>2896.8</v>
      </c>
      <c r="BM11" s="17">
        <v>75040</v>
      </c>
      <c r="BN11" s="9">
        <f t="shared" si="0"/>
        <v>72143.199999999997</v>
      </c>
      <c r="BO11" s="9">
        <f t="shared" si="1"/>
        <v>50500.24</v>
      </c>
    </row>
    <row r="12" spans="1:69" ht="24">
      <c r="A12" s="5" t="s">
        <v>208</v>
      </c>
      <c r="B12" s="10" t="s">
        <v>37</v>
      </c>
      <c r="C12" s="10">
        <v>354950</v>
      </c>
      <c r="D12" s="11" t="s">
        <v>38</v>
      </c>
      <c r="E12" s="10" t="s">
        <v>16</v>
      </c>
      <c r="F12" s="10" t="s">
        <v>17</v>
      </c>
      <c r="G12" s="10" t="s">
        <v>18</v>
      </c>
      <c r="H12" s="12" t="s">
        <v>7</v>
      </c>
      <c r="I12" s="12" t="s">
        <v>39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3</v>
      </c>
      <c r="T12" s="12">
        <v>25</v>
      </c>
      <c r="U12" s="12">
        <v>0</v>
      </c>
      <c r="V12" s="12">
        <v>300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269</v>
      </c>
      <c r="AF12" s="13">
        <v>16800</v>
      </c>
      <c r="AG12" s="13">
        <v>10100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280</v>
      </c>
      <c r="AR12" s="13">
        <v>28000</v>
      </c>
      <c r="AS12" s="12">
        <v>0</v>
      </c>
      <c r="AT12" s="12">
        <v>0</v>
      </c>
      <c r="AU12" s="12">
        <v>0</v>
      </c>
      <c r="AV12" s="12">
        <v>0</v>
      </c>
      <c r="AW12" s="12">
        <v>17</v>
      </c>
      <c r="AX12" s="13">
        <v>2040</v>
      </c>
      <c r="AY12" s="12">
        <v>0</v>
      </c>
      <c r="AZ12" s="12">
        <v>0</v>
      </c>
      <c r="BA12" s="12">
        <v>0</v>
      </c>
      <c r="BB12" s="12">
        <v>0</v>
      </c>
      <c r="BC12" s="12">
        <v>123</v>
      </c>
      <c r="BD12" s="13">
        <v>14760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4">
        <v>1089.5999999999999</v>
      </c>
      <c r="BM12" s="17">
        <v>72000</v>
      </c>
      <c r="BN12" s="9">
        <f t="shared" si="0"/>
        <v>70910.399999999994</v>
      </c>
      <c r="BO12" s="9">
        <f t="shared" si="1"/>
        <v>49637.279999999992</v>
      </c>
    </row>
    <row r="13" spans="1:69" ht="24">
      <c r="A13" s="5" t="s">
        <v>208</v>
      </c>
      <c r="B13" s="10" t="s">
        <v>231</v>
      </c>
      <c r="C13" s="10">
        <v>408846</v>
      </c>
      <c r="D13" s="11"/>
      <c r="E13" s="10" t="s">
        <v>16</v>
      </c>
      <c r="F13" s="10" t="s">
        <v>52</v>
      </c>
      <c r="G13" s="10" t="s">
        <v>18</v>
      </c>
      <c r="H13" s="12" t="s">
        <v>7</v>
      </c>
      <c r="I13" s="12" t="s">
        <v>232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6</v>
      </c>
      <c r="AC13" s="13">
        <v>4680</v>
      </c>
      <c r="AD13" s="12">
        <v>900</v>
      </c>
      <c r="AE13" s="12">
        <v>6</v>
      </c>
      <c r="AF13" s="13">
        <v>15000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1</v>
      </c>
      <c r="AO13" s="12">
        <v>600</v>
      </c>
      <c r="AP13" s="12">
        <v>0</v>
      </c>
      <c r="AQ13" s="12">
        <v>0</v>
      </c>
      <c r="AR13" s="12">
        <v>0</v>
      </c>
      <c r="AS13" s="12">
        <v>0</v>
      </c>
      <c r="AT13" s="12">
        <v>8</v>
      </c>
      <c r="AU13" s="13">
        <v>7680</v>
      </c>
      <c r="AV13" s="12">
        <v>0</v>
      </c>
      <c r="AW13" s="12">
        <v>0</v>
      </c>
      <c r="AX13" s="12">
        <v>0</v>
      </c>
      <c r="AY13" s="12">
        <v>0</v>
      </c>
      <c r="AZ13" s="12">
        <v>9</v>
      </c>
      <c r="BA13" s="13">
        <v>9600</v>
      </c>
      <c r="BB13" s="12">
        <v>0</v>
      </c>
      <c r="BC13" s="12">
        <v>8</v>
      </c>
      <c r="BD13" s="13">
        <v>24000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4">
        <v>2784</v>
      </c>
      <c r="BM13" s="17">
        <v>62460</v>
      </c>
      <c r="BN13" s="9">
        <f t="shared" si="0"/>
        <v>59676</v>
      </c>
      <c r="BO13" s="9">
        <f t="shared" si="1"/>
        <v>41773.199999999997</v>
      </c>
    </row>
    <row r="14" spans="1:69" ht="24">
      <c r="A14" s="5" t="s">
        <v>208</v>
      </c>
      <c r="B14" s="10" t="s">
        <v>225</v>
      </c>
      <c r="C14" s="10">
        <v>445954</v>
      </c>
      <c r="D14" s="11"/>
      <c r="E14" s="10" t="s">
        <v>16</v>
      </c>
      <c r="F14" s="10" t="s">
        <v>107</v>
      </c>
      <c r="G14" s="10" t="s">
        <v>56</v>
      </c>
      <c r="H14" s="12" t="s">
        <v>8</v>
      </c>
      <c r="I14" s="12" t="s">
        <v>226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127</v>
      </c>
      <c r="AF14" s="13">
        <v>7700</v>
      </c>
      <c r="AG14" s="13">
        <v>5300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52</v>
      </c>
      <c r="AR14" s="13">
        <v>3500</v>
      </c>
      <c r="AS14" s="13">
        <v>1700</v>
      </c>
      <c r="AT14" s="12">
        <v>0</v>
      </c>
      <c r="AU14" s="12">
        <v>0</v>
      </c>
      <c r="AV14" s="12">
        <v>0</v>
      </c>
      <c r="AW14" s="12">
        <v>89</v>
      </c>
      <c r="AX14" s="13">
        <v>10680</v>
      </c>
      <c r="AY14" s="12">
        <v>0</v>
      </c>
      <c r="AZ14" s="12">
        <v>0</v>
      </c>
      <c r="BA14" s="12">
        <v>0</v>
      </c>
      <c r="BB14" s="12">
        <v>0</v>
      </c>
      <c r="BC14" s="12">
        <v>201</v>
      </c>
      <c r="BD14" s="13">
        <v>24120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4">
        <v>2515.1999999999998</v>
      </c>
      <c r="BM14" s="17">
        <v>53000</v>
      </c>
      <c r="BN14" s="9">
        <f t="shared" si="0"/>
        <v>50484.800000000003</v>
      </c>
      <c r="BO14" s="9">
        <f t="shared" si="1"/>
        <v>35339.360000000001</v>
      </c>
    </row>
    <row r="15" spans="1:69" ht="24">
      <c r="A15" s="5" t="s">
        <v>208</v>
      </c>
      <c r="B15" s="10" t="s">
        <v>25</v>
      </c>
      <c r="C15" s="10">
        <v>459229</v>
      </c>
      <c r="D15" s="11"/>
      <c r="E15" s="10" t="s">
        <v>16</v>
      </c>
      <c r="F15" s="10" t="s">
        <v>26</v>
      </c>
      <c r="G15" s="10" t="s">
        <v>23</v>
      </c>
      <c r="H15" s="12" t="s">
        <v>27</v>
      </c>
      <c r="I15" s="12" t="s">
        <v>28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3</v>
      </c>
      <c r="AF15" s="13">
        <v>3600</v>
      </c>
      <c r="AG15" s="13">
        <v>6000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1</v>
      </c>
      <c r="AR15" s="13">
        <v>2100</v>
      </c>
      <c r="AS15" s="12">
        <v>900</v>
      </c>
      <c r="AT15" s="12">
        <v>0</v>
      </c>
      <c r="AU15" s="12">
        <v>0</v>
      </c>
      <c r="AV15" s="12">
        <v>0</v>
      </c>
      <c r="AW15" s="12">
        <v>2</v>
      </c>
      <c r="AX15" s="13">
        <v>5160</v>
      </c>
      <c r="AY15" s="12">
        <v>0</v>
      </c>
      <c r="AZ15" s="12">
        <v>0</v>
      </c>
      <c r="BA15" s="12">
        <v>0</v>
      </c>
      <c r="BB15" s="12">
        <v>0</v>
      </c>
      <c r="BC15" s="12">
        <v>9</v>
      </c>
      <c r="BD15" s="13">
        <v>30840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4">
        <v>2366.4</v>
      </c>
      <c r="BM15" s="17">
        <v>48600</v>
      </c>
      <c r="BN15" s="9">
        <f t="shared" si="0"/>
        <v>46233.599999999999</v>
      </c>
      <c r="BO15" s="9">
        <f t="shared" si="1"/>
        <v>32363.519999999997</v>
      </c>
    </row>
    <row r="16" spans="1:69" ht="24">
      <c r="A16" s="5" t="s">
        <v>208</v>
      </c>
      <c r="B16" s="10" t="s">
        <v>266</v>
      </c>
      <c r="C16" s="10">
        <v>464780</v>
      </c>
      <c r="D16" s="11"/>
      <c r="E16" s="10" t="s">
        <v>16</v>
      </c>
      <c r="F16" s="10" t="s">
        <v>267</v>
      </c>
      <c r="G16" s="10" t="s">
        <v>23</v>
      </c>
      <c r="H16" s="12" t="s">
        <v>27</v>
      </c>
      <c r="I16" s="12" t="s">
        <v>265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6</v>
      </c>
      <c r="AF16" s="13">
        <v>5400</v>
      </c>
      <c r="AG16" s="13">
        <v>5500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6</v>
      </c>
      <c r="AR16" s="13">
        <v>12000</v>
      </c>
      <c r="AS16" s="12">
        <v>0</v>
      </c>
      <c r="AT16" s="12">
        <v>0</v>
      </c>
      <c r="AU16" s="12">
        <v>0</v>
      </c>
      <c r="AV16" s="12">
        <v>0</v>
      </c>
      <c r="AW16" s="12">
        <v>2</v>
      </c>
      <c r="AX16" s="13">
        <v>3120</v>
      </c>
      <c r="AY16" s="12">
        <v>0</v>
      </c>
      <c r="AZ16" s="12">
        <v>0</v>
      </c>
      <c r="BA16" s="12">
        <v>0</v>
      </c>
      <c r="BB16" s="12">
        <v>0</v>
      </c>
      <c r="BC16" s="12">
        <v>9</v>
      </c>
      <c r="BD16" s="13">
        <v>20280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4">
        <v>1528.8</v>
      </c>
      <c r="BM16" s="17">
        <v>46300</v>
      </c>
      <c r="BN16" s="9">
        <f t="shared" si="0"/>
        <v>44771.199999999997</v>
      </c>
      <c r="BO16" s="9">
        <f t="shared" si="1"/>
        <v>31339.839999999997</v>
      </c>
    </row>
    <row r="17" spans="1:67" ht="24">
      <c r="A17" s="5" t="s">
        <v>208</v>
      </c>
      <c r="B17" s="10" t="s">
        <v>121</v>
      </c>
      <c r="C17" s="10">
        <v>424315</v>
      </c>
      <c r="D17" s="11"/>
      <c r="E17" s="10" t="s">
        <v>16</v>
      </c>
      <c r="F17" s="10" t="s">
        <v>52</v>
      </c>
      <c r="G17" s="10" t="s">
        <v>18</v>
      </c>
      <c r="H17" s="12" t="s">
        <v>7</v>
      </c>
      <c r="I17" s="12" t="s">
        <v>122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4</v>
      </c>
      <c r="AC17" s="13">
        <v>3600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7</v>
      </c>
      <c r="AX17" s="13">
        <v>26880</v>
      </c>
      <c r="AY17" s="12">
        <v>0</v>
      </c>
      <c r="AZ17" s="12">
        <v>8</v>
      </c>
      <c r="BA17" s="13">
        <v>8640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4">
        <v>3206.4</v>
      </c>
      <c r="BM17" s="17">
        <v>39120</v>
      </c>
      <c r="BN17" s="9">
        <f t="shared" si="0"/>
        <v>35913.599999999999</v>
      </c>
      <c r="BO17" s="9">
        <f t="shared" si="1"/>
        <v>25139.519999999997</v>
      </c>
    </row>
    <row r="18" spans="1:67" ht="24">
      <c r="A18" s="5" t="s">
        <v>208</v>
      </c>
      <c r="B18" s="10" t="s">
        <v>61</v>
      </c>
      <c r="C18" s="10">
        <v>369060</v>
      </c>
      <c r="D18" s="11"/>
      <c r="E18" s="10" t="s">
        <v>16</v>
      </c>
      <c r="F18" s="10" t="s">
        <v>49</v>
      </c>
      <c r="G18" s="10" t="s">
        <v>18</v>
      </c>
      <c r="H18" s="12" t="s">
        <v>7</v>
      </c>
      <c r="I18" s="12" t="s">
        <v>62</v>
      </c>
      <c r="J18" s="12">
        <v>0</v>
      </c>
      <c r="K18" s="12">
        <v>13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3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125</v>
      </c>
      <c r="AF18" s="12">
        <v>300</v>
      </c>
      <c r="AG18" s="13">
        <v>12200</v>
      </c>
      <c r="AH18" s="12">
        <v>0</v>
      </c>
      <c r="AI18" s="12">
        <v>0</v>
      </c>
      <c r="AJ18" s="12">
        <v>0</v>
      </c>
      <c r="AK18" s="12">
        <v>3</v>
      </c>
      <c r="AL18" s="12">
        <v>360</v>
      </c>
      <c r="AM18" s="12">
        <v>0</v>
      </c>
      <c r="AN18" s="12">
        <v>0</v>
      </c>
      <c r="AO18" s="12">
        <v>0</v>
      </c>
      <c r="AP18" s="12">
        <v>0</v>
      </c>
      <c r="AQ18" s="12">
        <v>4</v>
      </c>
      <c r="AR18" s="12">
        <v>400</v>
      </c>
      <c r="AS18" s="12">
        <v>0</v>
      </c>
      <c r="AT18" s="12">
        <v>0</v>
      </c>
      <c r="AU18" s="12">
        <v>0</v>
      </c>
      <c r="AV18" s="12">
        <v>0</v>
      </c>
      <c r="AW18" s="12">
        <v>1</v>
      </c>
      <c r="AX18" s="12">
        <v>120</v>
      </c>
      <c r="AY18" s="12">
        <v>0</v>
      </c>
      <c r="AZ18" s="12">
        <v>0</v>
      </c>
      <c r="BA18" s="12">
        <v>0</v>
      </c>
      <c r="BB18" s="12">
        <v>0</v>
      </c>
      <c r="BC18" s="12">
        <v>207</v>
      </c>
      <c r="BD18" s="13">
        <v>24840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4">
        <v>1610.4</v>
      </c>
      <c r="BM18" s="17">
        <v>38220</v>
      </c>
      <c r="BN18" s="9">
        <f t="shared" si="0"/>
        <v>36609.599999999999</v>
      </c>
      <c r="BO18" s="9">
        <f t="shared" si="1"/>
        <v>25626.719999999998</v>
      </c>
    </row>
    <row r="19" spans="1:67" ht="24">
      <c r="A19" s="5" t="s">
        <v>208</v>
      </c>
      <c r="B19" s="10" t="s">
        <v>298</v>
      </c>
      <c r="C19" s="10">
        <v>485979</v>
      </c>
      <c r="D19" s="11"/>
      <c r="E19" s="10" t="s">
        <v>16</v>
      </c>
      <c r="F19" s="10" t="s">
        <v>59</v>
      </c>
      <c r="G19" s="10" t="s">
        <v>23</v>
      </c>
      <c r="H19" s="12" t="s">
        <v>7</v>
      </c>
      <c r="I19" s="12" t="s">
        <v>299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3</v>
      </c>
      <c r="AF19" s="13">
        <v>3300</v>
      </c>
      <c r="AG19" s="13">
        <v>5200</v>
      </c>
      <c r="AH19" s="12">
        <v>0</v>
      </c>
      <c r="AI19" s="12">
        <v>0</v>
      </c>
      <c r="AJ19" s="12">
        <v>0</v>
      </c>
      <c r="AK19" s="12">
        <v>1</v>
      </c>
      <c r="AL19" s="13">
        <v>3600</v>
      </c>
      <c r="AM19" s="12">
        <v>0</v>
      </c>
      <c r="AN19" s="12">
        <v>0</v>
      </c>
      <c r="AO19" s="12">
        <v>0</v>
      </c>
      <c r="AP19" s="12">
        <v>0</v>
      </c>
      <c r="AQ19" s="12">
        <v>1</v>
      </c>
      <c r="AR19" s="13">
        <v>3000</v>
      </c>
      <c r="AS19" s="12">
        <v>0</v>
      </c>
      <c r="AT19" s="12">
        <v>0</v>
      </c>
      <c r="AU19" s="12">
        <v>0</v>
      </c>
      <c r="AV19" s="12">
        <v>0</v>
      </c>
      <c r="AW19" s="12">
        <v>2</v>
      </c>
      <c r="AX19" s="13">
        <v>7200</v>
      </c>
      <c r="AY19" s="12">
        <v>0</v>
      </c>
      <c r="AZ19" s="12">
        <v>0</v>
      </c>
      <c r="BA19" s="12">
        <v>0</v>
      </c>
      <c r="BB19" s="12">
        <v>0</v>
      </c>
      <c r="BC19" s="12">
        <v>5</v>
      </c>
      <c r="BD19" s="13">
        <v>15000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4">
        <v>2700</v>
      </c>
      <c r="BM19" s="17">
        <v>37300</v>
      </c>
      <c r="BN19" s="9">
        <f t="shared" si="0"/>
        <v>34600</v>
      </c>
      <c r="BO19" s="9">
        <f t="shared" si="1"/>
        <v>24220</v>
      </c>
    </row>
    <row r="20" spans="1:67" ht="24">
      <c r="A20" s="5" t="s">
        <v>208</v>
      </c>
      <c r="B20" s="10" t="s">
        <v>51</v>
      </c>
      <c r="C20" s="10">
        <v>361185</v>
      </c>
      <c r="D20" s="11"/>
      <c r="E20" s="10" t="s">
        <v>16</v>
      </c>
      <c r="F20" s="10" t="s">
        <v>52</v>
      </c>
      <c r="G20" s="10" t="s">
        <v>18</v>
      </c>
      <c r="H20" s="12" t="s">
        <v>7</v>
      </c>
      <c r="I20" s="12" t="s">
        <v>53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30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1</v>
      </c>
      <c r="AF20" s="12">
        <v>0</v>
      </c>
      <c r="AG20" s="12">
        <v>100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13</v>
      </c>
      <c r="AR20" s="13">
        <v>1300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299</v>
      </c>
      <c r="BD20" s="13">
        <v>35880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4">
        <v>2152.8000000000002</v>
      </c>
      <c r="BM20" s="17">
        <v>37280</v>
      </c>
      <c r="BN20" s="9">
        <f t="shared" si="0"/>
        <v>35127.199999999997</v>
      </c>
      <c r="BO20" s="9">
        <f t="shared" si="1"/>
        <v>24589.039999999997</v>
      </c>
    </row>
    <row r="21" spans="1:67" ht="24">
      <c r="A21" s="5" t="s">
        <v>208</v>
      </c>
      <c r="B21" s="10" t="s">
        <v>48</v>
      </c>
      <c r="C21" s="10">
        <v>380954</v>
      </c>
      <c r="D21" s="11"/>
      <c r="E21" s="10" t="s">
        <v>16</v>
      </c>
      <c r="F21" s="10" t="s">
        <v>49</v>
      </c>
      <c r="G21" s="10" t="s">
        <v>18</v>
      </c>
      <c r="H21" s="12" t="s">
        <v>7</v>
      </c>
      <c r="I21" s="12" t="s">
        <v>50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3</v>
      </c>
      <c r="AC21" s="13">
        <v>2160</v>
      </c>
      <c r="AD21" s="12">
        <v>900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30</v>
      </c>
      <c r="BA21" s="13">
        <v>32400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4">
        <v>1944</v>
      </c>
      <c r="BM21" s="17">
        <v>35460</v>
      </c>
      <c r="BN21" s="9">
        <f t="shared" si="0"/>
        <v>33516</v>
      </c>
      <c r="BO21" s="9">
        <f t="shared" si="1"/>
        <v>23461.199999999997</v>
      </c>
    </row>
    <row r="22" spans="1:67" ht="24">
      <c r="A22" s="5" t="s">
        <v>208</v>
      </c>
      <c r="B22" s="10" t="s">
        <v>296</v>
      </c>
      <c r="C22" s="10">
        <v>443978</v>
      </c>
      <c r="D22" s="11"/>
      <c r="E22" s="10" t="s">
        <v>16</v>
      </c>
      <c r="F22" s="10" t="s">
        <v>84</v>
      </c>
      <c r="G22" s="10" t="s">
        <v>35</v>
      </c>
      <c r="H22" s="12" t="s">
        <v>8</v>
      </c>
      <c r="I22" s="12" t="s">
        <v>114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157</v>
      </c>
      <c r="AF22" s="13">
        <v>10780</v>
      </c>
      <c r="AG22" s="13">
        <v>6100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57</v>
      </c>
      <c r="AX22" s="13">
        <v>6840</v>
      </c>
      <c r="AY22" s="12">
        <v>0</v>
      </c>
      <c r="AZ22" s="12">
        <v>0</v>
      </c>
      <c r="BA22" s="12">
        <v>0</v>
      </c>
      <c r="BB22" s="12">
        <v>0</v>
      </c>
      <c r="BC22" s="12">
        <v>92</v>
      </c>
      <c r="BD22" s="13">
        <v>11040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4">
        <v>1346.4</v>
      </c>
      <c r="BM22" s="17">
        <v>34760</v>
      </c>
      <c r="BN22" s="9">
        <f t="shared" si="0"/>
        <v>33413.599999999999</v>
      </c>
      <c r="BO22" s="9">
        <f t="shared" si="1"/>
        <v>23389.519999999997</v>
      </c>
    </row>
    <row r="23" spans="1:67" ht="24">
      <c r="A23" s="5" t="s">
        <v>208</v>
      </c>
      <c r="B23" s="10" t="s">
        <v>77</v>
      </c>
      <c r="C23" s="10">
        <v>379289</v>
      </c>
      <c r="D23" s="11"/>
      <c r="E23" s="10" t="s">
        <v>16</v>
      </c>
      <c r="F23" s="10" t="s">
        <v>52</v>
      </c>
      <c r="G23" s="10" t="s">
        <v>18</v>
      </c>
      <c r="H23" s="12" t="s">
        <v>7</v>
      </c>
      <c r="I23" s="12" t="s">
        <v>78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4</v>
      </c>
      <c r="AO23" s="13">
        <v>3400</v>
      </c>
      <c r="AP23" s="12">
        <v>200</v>
      </c>
      <c r="AQ23" s="12">
        <v>0</v>
      </c>
      <c r="AR23" s="12">
        <v>0</v>
      </c>
      <c r="AS23" s="12">
        <v>0</v>
      </c>
      <c r="AT23" s="12">
        <v>4</v>
      </c>
      <c r="AU23" s="13">
        <v>3480</v>
      </c>
      <c r="AV23" s="12">
        <v>0</v>
      </c>
      <c r="AW23" s="12">
        <v>0</v>
      </c>
      <c r="AX23" s="12">
        <v>0</v>
      </c>
      <c r="AY23" s="12">
        <v>0</v>
      </c>
      <c r="AZ23" s="12">
        <v>14</v>
      </c>
      <c r="BA23" s="13">
        <v>14880</v>
      </c>
      <c r="BB23" s="12">
        <v>0</v>
      </c>
      <c r="BC23" s="12">
        <v>2</v>
      </c>
      <c r="BD23" s="13">
        <v>6000</v>
      </c>
      <c r="BE23" s="12">
        <v>0</v>
      </c>
      <c r="BF23" s="12">
        <v>6</v>
      </c>
      <c r="BG23" s="13">
        <v>6480</v>
      </c>
      <c r="BH23" s="12">
        <v>0</v>
      </c>
      <c r="BI23" s="12">
        <v>0</v>
      </c>
      <c r="BJ23" s="12">
        <v>0</v>
      </c>
      <c r="BK23" s="12">
        <v>0</v>
      </c>
      <c r="BL23" s="14">
        <v>1924.8</v>
      </c>
      <c r="BM23" s="17">
        <v>34440</v>
      </c>
      <c r="BN23" s="9">
        <f t="shared" si="0"/>
        <v>32515.200000000001</v>
      </c>
      <c r="BO23" s="9">
        <f t="shared" si="1"/>
        <v>22760.639999999999</v>
      </c>
    </row>
    <row r="24" spans="1:67" ht="24">
      <c r="A24" s="5" t="s">
        <v>208</v>
      </c>
      <c r="B24" s="10" t="s">
        <v>127</v>
      </c>
      <c r="C24" s="10">
        <v>408838</v>
      </c>
      <c r="D24" s="11"/>
      <c r="E24" s="10" t="s">
        <v>16</v>
      </c>
      <c r="F24" s="10" t="s">
        <v>52</v>
      </c>
      <c r="G24" s="10" t="s">
        <v>18</v>
      </c>
      <c r="H24" s="12" t="s">
        <v>7</v>
      </c>
      <c r="I24" s="12" t="s">
        <v>252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112</v>
      </c>
      <c r="AF24" s="13">
        <v>13440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6</v>
      </c>
      <c r="AR24" s="12">
        <v>600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156</v>
      </c>
      <c r="BD24" s="13">
        <v>18720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4">
        <v>1123.2</v>
      </c>
      <c r="BM24" s="17">
        <v>32760</v>
      </c>
      <c r="BN24" s="9">
        <f t="shared" si="0"/>
        <v>31636.799999999999</v>
      </c>
      <c r="BO24" s="9">
        <f t="shared" si="1"/>
        <v>22145.759999999998</v>
      </c>
    </row>
    <row r="25" spans="1:67" ht="24">
      <c r="A25" s="5" t="s">
        <v>208</v>
      </c>
      <c r="B25" s="10" t="s">
        <v>29</v>
      </c>
      <c r="C25" s="10">
        <v>368432</v>
      </c>
      <c r="D25" s="11"/>
      <c r="E25" s="10" t="s">
        <v>16</v>
      </c>
      <c r="F25" s="10" t="s">
        <v>30</v>
      </c>
      <c r="G25" s="10" t="s">
        <v>31</v>
      </c>
      <c r="H25" s="12" t="s">
        <v>8</v>
      </c>
      <c r="I25" s="12" t="s">
        <v>32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126</v>
      </c>
      <c r="AF25" s="13">
        <v>11400</v>
      </c>
      <c r="AG25" s="13">
        <v>1200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3</v>
      </c>
      <c r="AR25" s="12">
        <v>300</v>
      </c>
      <c r="AS25" s="12">
        <v>0</v>
      </c>
      <c r="AT25" s="12">
        <v>0</v>
      </c>
      <c r="AU25" s="12">
        <v>0</v>
      </c>
      <c r="AV25" s="12">
        <v>0</v>
      </c>
      <c r="AW25" s="12">
        <v>2</v>
      </c>
      <c r="AX25" s="12">
        <v>240</v>
      </c>
      <c r="AY25" s="12">
        <v>0</v>
      </c>
      <c r="AZ25" s="12">
        <v>0</v>
      </c>
      <c r="BA25" s="12">
        <v>0</v>
      </c>
      <c r="BB25" s="12">
        <v>0</v>
      </c>
      <c r="BC25" s="12">
        <v>152</v>
      </c>
      <c r="BD25" s="13">
        <v>18240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4">
        <v>1118.4000000000001</v>
      </c>
      <c r="BM25" s="17">
        <v>31380</v>
      </c>
      <c r="BN25" s="9">
        <f t="shared" si="0"/>
        <v>30261.599999999999</v>
      </c>
      <c r="BO25" s="9">
        <f t="shared" si="1"/>
        <v>21183.119999999999</v>
      </c>
    </row>
    <row r="26" spans="1:67" ht="24">
      <c r="A26" s="5" t="s">
        <v>208</v>
      </c>
      <c r="B26" s="10" t="s">
        <v>219</v>
      </c>
      <c r="C26" s="10">
        <v>474768</v>
      </c>
      <c r="D26" s="11"/>
      <c r="E26" s="10" t="s">
        <v>16</v>
      </c>
      <c r="F26" s="10" t="s">
        <v>26</v>
      </c>
      <c r="G26" s="10" t="s">
        <v>23</v>
      </c>
      <c r="H26" s="12" t="s">
        <v>27</v>
      </c>
      <c r="I26" s="12" t="s">
        <v>220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4</v>
      </c>
      <c r="AF26" s="13">
        <v>5800</v>
      </c>
      <c r="AG26" s="13">
        <v>3000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3</v>
      </c>
      <c r="AR26" s="13">
        <v>9400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3</v>
      </c>
      <c r="BD26" s="13">
        <v>12600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756</v>
      </c>
      <c r="BM26" s="17">
        <v>30800</v>
      </c>
      <c r="BN26" s="9">
        <f t="shared" si="0"/>
        <v>30044</v>
      </c>
      <c r="BO26" s="9">
        <f t="shared" si="1"/>
        <v>21030.799999999999</v>
      </c>
    </row>
    <row r="27" spans="1:67" ht="24">
      <c r="A27" s="5" t="s">
        <v>208</v>
      </c>
      <c r="B27" s="10" t="s">
        <v>103</v>
      </c>
      <c r="C27" s="10">
        <v>445220</v>
      </c>
      <c r="D27" s="11"/>
      <c r="E27" s="10" t="s">
        <v>16</v>
      </c>
      <c r="F27" s="10" t="s">
        <v>104</v>
      </c>
      <c r="G27" s="10" t="s">
        <v>35</v>
      </c>
      <c r="H27" s="12" t="s">
        <v>8</v>
      </c>
      <c r="I27" s="12" t="s">
        <v>105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125</v>
      </c>
      <c r="AF27" s="13">
        <v>10600</v>
      </c>
      <c r="AG27" s="13">
        <v>1900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145</v>
      </c>
      <c r="BD27" s="13">
        <v>17400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4">
        <v>1044</v>
      </c>
      <c r="BM27" s="17">
        <v>29900</v>
      </c>
      <c r="BN27" s="9">
        <f t="shared" si="0"/>
        <v>28856</v>
      </c>
      <c r="BO27" s="9">
        <f t="shared" si="1"/>
        <v>20199.199999999997</v>
      </c>
    </row>
    <row r="28" spans="1:67" ht="24">
      <c r="A28" s="5" t="s">
        <v>208</v>
      </c>
      <c r="B28" s="10" t="s">
        <v>148</v>
      </c>
      <c r="C28" s="10">
        <v>408303</v>
      </c>
      <c r="D28" s="11"/>
      <c r="E28" s="10" t="s">
        <v>16</v>
      </c>
      <c r="F28" s="10" t="s">
        <v>52</v>
      </c>
      <c r="G28" s="10" t="s">
        <v>18</v>
      </c>
      <c r="H28" s="12" t="s">
        <v>7</v>
      </c>
      <c r="I28" s="12" t="s">
        <v>149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9</v>
      </c>
      <c r="BD28" s="13">
        <v>27000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4">
        <v>1620</v>
      </c>
      <c r="BM28" s="17">
        <v>27000</v>
      </c>
      <c r="BN28" s="9">
        <f t="shared" si="0"/>
        <v>25380</v>
      </c>
      <c r="BO28" s="9">
        <f t="shared" si="1"/>
        <v>17766</v>
      </c>
    </row>
    <row r="29" spans="1:67" ht="24">
      <c r="A29" s="5" t="s">
        <v>208</v>
      </c>
      <c r="B29" s="10" t="s">
        <v>334</v>
      </c>
      <c r="C29" s="10">
        <v>367412</v>
      </c>
      <c r="D29" s="11"/>
      <c r="E29" s="10" t="s">
        <v>16</v>
      </c>
      <c r="F29" s="10" t="s">
        <v>49</v>
      </c>
      <c r="G29" s="10" t="s">
        <v>18</v>
      </c>
      <c r="H29" s="12" t="s">
        <v>7</v>
      </c>
      <c r="I29" s="12" t="s">
        <v>50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6</v>
      </c>
      <c r="BD29" s="13">
        <v>23040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4">
        <v>1382.4</v>
      </c>
      <c r="BM29" s="17">
        <v>23040</v>
      </c>
      <c r="BN29" s="9">
        <f t="shared" si="0"/>
        <v>21657.599999999999</v>
      </c>
      <c r="BO29" s="9">
        <f t="shared" si="1"/>
        <v>15160.319999999998</v>
      </c>
    </row>
    <row r="30" spans="1:67" ht="24">
      <c r="A30" s="5" t="s">
        <v>208</v>
      </c>
      <c r="B30" s="10" t="s">
        <v>209</v>
      </c>
      <c r="C30" s="10">
        <v>453656</v>
      </c>
      <c r="D30" s="11"/>
      <c r="E30" s="10" t="s">
        <v>16</v>
      </c>
      <c r="F30" s="10" t="s">
        <v>17</v>
      </c>
      <c r="G30" s="10" t="s">
        <v>18</v>
      </c>
      <c r="H30" s="12" t="s">
        <v>7</v>
      </c>
      <c r="I30" s="12" t="s">
        <v>210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11</v>
      </c>
      <c r="AC30" s="13">
        <v>10800</v>
      </c>
      <c r="AD30" s="12">
        <v>900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10</v>
      </c>
      <c r="AU30" s="13">
        <v>10560</v>
      </c>
      <c r="AV30" s="12">
        <v>0</v>
      </c>
      <c r="AW30" s="12">
        <v>0</v>
      </c>
      <c r="AX30" s="12">
        <v>0</v>
      </c>
      <c r="AY30" s="12">
        <v>0</v>
      </c>
      <c r="AZ30" s="12">
        <v>1</v>
      </c>
      <c r="BA30" s="12">
        <v>240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4">
        <v>1070.4000000000001</v>
      </c>
      <c r="BM30" s="17">
        <v>22500</v>
      </c>
      <c r="BN30" s="9">
        <f t="shared" si="0"/>
        <v>21429.599999999999</v>
      </c>
      <c r="BO30" s="9">
        <f t="shared" si="1"/>
        <v>15000.719999999998</v>
      </c>
    </row>
    <row r="31" spans="1:67" ht="24">
      <c r="A31" s="5" t="s">
        <v>208</v>
      </c>
      <c r="B31" s="10" t="s">
        <v>100</v>
      </c>
      <c r="C31" s="10">
        <v>408833</v>
      </c>
      <c r="D31" s="11"/>
      <c r="E31" s="10" t="s">
        <v>16</v>
      </c>
      <c r="F31" s="10" t="s">
        <v>52</v>
      </c>
      <c r="G31" s="10" t="s">
        <v>18</v>
      </c>
      <c r="H31" s="12" t="s">
        <v>7</v>
      </c>
      <c r="I31" s="12" t="s">
        <v>101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7</v>
      </c>
      <c r="AX31" s="13">
        <v>21000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4">
        <v>2100</v>
      </c>
      <c r="BM31" s="17">
        <v>21000</v>
      </c>
      <c r="BN31" s="9">
        <f t="shared" si="0"/>
        <v>18900</v>
      </c>
      <c r="BO31" s="9">
        <f t="shared" si="1"/>
        <v>13230</v>
      </c>
    </row>
    <row r="32" spans="1:67" ht="24">
      <c r="A32" s="5" t="s">
        <v>208</v>
      </c>
      <c r="B32" s="10" t="s">
        <v>33</v>
      </c>
      <c r="C32" s="10">
        <v>395341</v>
      </c>
      <c r="D32" s="11"/>
      <c r="E32" s="10" t="s">
        <v>16</v>
      </c>
      <c r="F32" s="10" t="s">
        <v>34</v>
      </c>
      <c r="G32" s="10" t="s">
        <v>35</v>
      </c>
      <c r="H32" s="12" t="s">
        <v>8</v>
      </c>
      <c r="I32" s="12" t="s">
        <v>36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59</v>
      </c>
      <c r="AF32" s="13">
        <v>4440</v>
      </c>
      <c r="AG32" s="13">
        <v>1500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118</v>
      </c>
      <c r="BD32" s="13">
        <v>14160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849.6</v>
      </c>
      <c r="BM32" s="17">
        <v>20100</v>
      </c>
      <c r="BN32" s="9">
        <f t="shared" si="0"/>
        <v>19250.400000000001</v>
      </c>
      <c r="BO32" s="9">
        <f t="shared" si="1"/>
        <v>13475.28</v>
      </c>
    </row>
    <row r="33" spans="1:67" ht="24">
      <c r="A33" s="5" t="s">
        <v>208</v>
      </c>
      <c r="B33" s="10" t="s">
        <v>111</v>
      </c>
      <c r="C33" s="10">
        <v>455900</v>
      </c>
      <c r="D33" s="11"/>
      <c r="E33" s="10" t="s">
        <v>16</v>
      </c>
      <c r="F33" s="10" t="s">
        <v>17</v>
      </c>
      <c r="G33" s="10" t="s">
        <v>18</v>
      </c>
      <c r="H33" s="12" t="s">
        <v>7</v>
      </c>
      <c r="I33" s="12" t="s">
        <v>83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2</v>
      </c>
      <c r="AO33" s="13">
        <v>1800</v>
      </c>
      <c r="AP33" s="12">
        <v>0</v>
      </c>
      <c r="AQ33" s="12">
        <v>0</v>
      </c>
      <c r="AR33" s="12">
        <v>0</v>
      </c>
      <c r="AS33" s="12">
        <v>0</v>
      </c>
      <c r="AT33" s="12">
        <v>16</v>
      </c>
      <c r="AU33" s="13">
        <v>17280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4">
        <v>1728</v>
      </c>
      <c r="BM33" s="17">
        <v>19080</v>
      </c>
      <c r="BN33" s="9">
        <f t="shared" si="0"/>
        <v>17352</v>
      </c>
      <c r="BO33" s="9">
        <f t="shared" si="1"/>
        <v>12146.4</v>
      </c>
    </row>
    <row r="34" spans="1:67" ht="24">
      <c r="A34" s="5" t="s">
        <v>208</v>
      </c>
      <c r="B34" s="10" t="s">
        <v>335</v>
      </c>
      <c r="C34" s="10">
        <v>488813</v>
      </c>
      <c r="D34" s="11"/>
      <c r="E34" s="10" t="s">
        <v>16</v>
      </c>
      <c r="F34" s="10" t="s">
        <v>336</v>
      </c>
      <c r="G34" s="10" t="s">
        <v>23</v>
      </c>
      <c r="H34" s="12" t="s">
        <v>27</v>
      </c>
      <c r="I34" s="12" t="s">
        <v>337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2</v>
      </c>
      <c r="AF34" s="13">
        <v>4000</v>
      </c>
      <c r="AG34" s="13">
        <v>3400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3</v>
      </c>
      <c r="BD34" s="13">
        <v>10320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619.20000000000005</v>
      </c>
      <c r="BM34" s="17">
        <v>17720</v>
      </c>
      <c r="BN34" s="9">
        <f t="shared" si="0"/>
        <v>17100.8</v>
      </c>
      <c r="BO34" s="9">
        <f t="shared" si="1"/>
        <v>11970.56</v>
      </c>
    </row>
    <row r="35" spans="1:67" ht="24">
      <c r="A35" s="5" t="s">
        <v>208</v>
      </c>
      <c r="B35" s="10" t="s">
        <v>82</v>
      </c>
      <c r="C35" s="10">
        <v>455896</v>
      </c>
      <c r="D35" s="11"/>
      <c r="E35" s="10" t="s">
        <v>16</v>
      </c>
      <c r="F35" s="10" t="s">
        <v>17</v>
      </c>
      <c r="G35" s="10" t="s">
        <v>18</v>
      </c>
      <c r="H35" s="12" t="s">
        <v>7</v>
      </c>
      <c r="I35" s="12" t="s">
        <v>83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31</v>
      </c>
      <c r="AF35" s="13">
        <v>3100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5</v>
      </c>
      <c r="AX35" s="12">
        <v>600</v>
      </c>
      <c r="AY35" s="12">
        <v>0</v>
      </c>
      <c r="AZ35" s="12">
        <v>0</v>
      </c>
      <c r="BA35" s="12">
        <v>0</v>
      </c>
      <c r="BB35" s="12">
        <v>0</v>
      </c>
      <c r="BC35" s="12">
        <v>103</v>
      </c>
      <c r="BD35" s="13">
        <v>12360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801.6</v>
      </c>
      <c r="BM35" s="17">
        <v>16060</v>
      </c>
      <c r="BN35" s="9">
        <f t="shared" si="0"/>
        <v>15258.4</v>
      </c>
      <c r="BO35" s="9">
        <f t="shared" si="1"/>
        <v>10680.88</v>
      </c>
    </row>
    <row r="36" spans="1:67" ht="24">
      <c r="A36" s="5" t="s">
        <v>208</v>
      </c>
      <c r="B36" s="10" t="s">
        <v>213</v>
      </c>
      <c r="C36" s="10">
        <v>477493</v>
      </c>
      <c r="D36" s="11"/>
      <c r="E36" s="10" t="s">
        <v>16</v>
      </c>
      <c r="F36" s="10" t="s">
        <v>75</v>
      </c>
      <c r="G36" s="10" t="s">
        <v>23</v>
      </c>
      <c r="H36" s="12" t="s">
        <v>7</v>
      </c>
      <c r="I36" s="12" t="s">
        <v>214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1</v>
      </c>
      <c r="AF36" s="12">
        <v>0</v>
      </c>
      <c r="AG36" s="13">
        <v>2000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2</v>
      </c>
      <c r="AR36" s="13">
        <v>3100</v>
      </c>
      <c r="AS36" s="12">
        <v>900</v>
      </c>
      <c r="AT36" s="12">
        <v>0</v>
      </c>
      <c r="AU36" s="12">
        <v>0</v>
      </c>
      <c r="AV36" s="12">
        <v>0</v>
      </c>
      <c r="AW36" s="12">
        <v>2</v>
      </c>
      <c r="AX36" s="13">
        <v>4800</v>
      </c>
      <c r="AY36" s="12">
        <v>0</v>
      </c>
      <c r="AZ36" s="12">
        <v>0</v>
      </c>
      <c r="BA36" s="12">
        <v>0</v>
      </c>
      <c r="BB36" s="12">
        <v>0</v>
      </c>
      <c r="BC36" s="12">
        <v>2</v>
      </c>
      <c r="BD36" s="13">
        <v>4800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768</v>
      </c>
      <c r="BM36" s="17">
        <v>15600</v>
      </c>
      <c r="BN36" s="9">
        <f t="shared" si="0"/>
        <v>14832</v>
      </c>
      <c r="BO36" s="9">
        <f t="shared" si="1"/>
        <v>10382.4</v>
      </c>
    </row>
    <row r="37" spans="1:67" ht="24">
      <c r="A37" s="5" t="s">
        <v>208</v>
      </c>
      <c r="B37" s="10" t="s">
        <v>268</v>
      </c>
      <c r="C37" s="10">
        <v>468590</v>
      </c>
      <c r="D37" s="11"/>
      <c r="E37" s="10" t="s">
        <v>16</v>
      </c>
      <c r="F37" s="10" t="s">
        <v>264</v>
      </c>
      <c r="G37" s="10" t="s">
        <v>23</v>
      </c>
      <c r="H37" s="12" t="s">
        <v>27</v>
      </c>
      <c r="I37" s="12" t="s">
        <v>260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3</v>
      </c>
      <c r="AF37" s="13">
        <v>4000</v>
      </c>
      <c r="AG37" s="13">
        <v>2000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2</v>
      </c>
      <c r="AR37" s="13">
        <v>4000</v>
      </c>
      <c r="AS37" s="12">
        <v>0</v>
      </c>
      <c r="AT37" s="12">
        <v>0</v>
      </c>
      <c r="AU37" s="12">
        <v>0</v>
      </c>
      <c r="AV37" s="12">
        <v>0</v>
      </c>
      <c r="AW37" s="12">
        <v>1</v>
      </c>
      <c r="AX37" s="13">
        <v>2400</v>
      </c>
      <c r="AY37" s="12">
        <v>0</v>
      </c>
      <c r="AZ37" s="12">
        <v>0</v>
      </c>
      <c r="BA37" s="12">
        <v>0</v>
      </c>
      <c r="BB37" s="12">
        <v>0</v>
      </c>
      <c r="BC37" s="12">
        <v>1</v>
      </c>
      <c r="BD37" s="13">
        <v>2400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384</v>
      </c>
      <c r="BM37" s="17">
        <v>14800</v>
      </c>
      <c r="BN37" s="9">
        <f t="shared" si="0"/>
        <v>14416</v>
      </c>
      <c r="BO37" s="9">
        <f t="shared" si="1"/>
        <v>10091.199999999999</v>
      </c>
    </row>
    <row r="38" spans="1:67" ht="24">
      <c r="A38" s="5" t="s">
        <v>208</v>
      </c>
      <c r="B38" s="10" t="s">
        <v>54</v>
      </c>
      <c r="C38" s="10">
        <v>456187</v>
      </c>
      <c r="D38" s="11"/>
      <c r="E38" s="10" t="s">
        <v>16</v>
      </c>
      <c r="F38" s="10" t="s">
        <v>55</v>
      </c>
      <c r="G38" s="10" t="s">
        <v>56</v>
      </c>
      <c r="H38" s="12" t="s">
        <v>8</v>
      </c>
      <c r="I38" s="12" t="s">
        <v>57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4</v>
      </c>
      <c r="AX38" s="12">
        <v>480</v>
      </c>
      <c r="AY38" s="12">
        <v>0</v>
      </c>
      <c r="AZ38" s="12">
        <v>0</v>
      </c>
      <c r="BA38" s="12">
        <v>0</v>
      </c>
      <c r="BB38" s="12">
        <v>0</v>
      </c>
      <c r="BC38" s="12">
        <v>98</v>
      </c>
      <c r="BD38" s="13">
        <v>11760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753.6</v>
      </c>
      <c r="BM38" s="17">
        <v>12240</v>
      </c>
      <c r="BN38" s="9">
        <f t="shared" si="0"/>
        <v>11486.4</v>
      </c>
      <c r="BO38" s="9">
        <f t="shared" si="1"/>
        <v>8040.48</v>
      </c>
    </row>
    <row r="39" spans="1:67" ht="24">
      <c r="A39" s="5" t="s">
        <v>208</v>
      </c>
      <c r="B39" s="10" t="s">
        <v>235</v>
      </c>
      <c r="C39" s="10">
        <v>454228</v>
      </c>
      <c r="D39" s="11"/>
      <c r="E39" s="10" t="s">
        <v>16</v>
      </c>
      <c r="F39" s="10" t="s">
        <v>17</v>
      </c>
      <c r="G39" s="10" t="s">
        <v>18</v>
      </c>
      <c r="H39" s="12" t="s">
        <v>7</v>
      </c>
      <c r="I39" s="12" t="s">
        <v>236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5</v>
      </c>
      <c r="AO39" s="13">
        <v>4500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7</v>
      </c>
      <c r="BA39" s="13">
        <v>7560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453.6</v>
      </c>
      <c r="BM39" s="17">
        <v>12060</v>
      </c>
      <c r="BN39" s="9">
        <f t="shared" si="0"/>
        <v>11606.4</v>
      </c>
      <c r="BO39" s="9">
        <f t="shared" si="1"/>
        <v>8124.48</v>
      </c>
    </row>
    <row r="40" spans="1:67" ht="24">
      <c r="A40" s="5" t="s">
        <v>208</v>
      </c>
      <c r="B40" s="10" t="s">
        <v>263</v>
      </c>
      <c r="C40" s="10">
        <v>457677</v>
      </c>
      <c r="D40" s="11"/>
      <c r="E40" s="10" t="s">
        <v>16</v>
      </c>
      <c r="F40" s="10" t="s">
        <v>264</v>
      </c>
      <c r="G40" s="10" t="s">
        <v>23</v>
      </c>
      <c r="H40" s="12" t="s">
        <v>27</v>
      </c>
      <c r="I40" s="12" t="s">
        <v>265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1</v>
      </c>
      <c r="AF40" s="12">
        <v>0</v>
      </c>
      <c r="AG40" s="13">
        <v>2000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1</v>
      </c>
      <c r="AR40" s="13">
        <v>2000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3</v>
      </c>
      <c r="BD40" s="13">
        <v>7200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432</v>
      </c>
      <c r="BM40" s="17">
        <v>11200</v>
      </c>
      <c r="BN40" s="9">
        <f t="shared" si="0"/>
        <v>10768</v>
      </c>
      <c r="BO40" s="9">
        <f t="shared" si="1"/>
        <v>7537.5999999999995</v>
      </c>
    </row>
    <row r="41" spans="1:67" ht="24">
      <c r="A41" s="5" t="s">
        <v>208</v>
      </c>
      <c r="B41" s="10" t="s">
        <v>106</v>
      </c>
      <c r="C41" s="10">
        <v>448030</v>
      </c>
      <c r="D41" s="11"/>
      <c r="E41" s="10" t="s">
        <v>16</v>
      </c>
      <c r="F41" s="10" t="s">
        <v>107</v>
      </c>
      <c r="G41" s="10" t="s">
        <v>56</v>
      </c>
      <c r="H41" s="12" t="s">
        <v>8</v>
      </c>
      <c r="I41" s="12" t="s">
        <v>108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65</v>
      </c>
      <c r="AF41" s="13">
        <v>6500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38</v>
      </c>
      <c r="BD41" s="13">
        <v>4560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273.60000000000002</v>
      </c>
      <c r="BM41" s="17">
        <v>11060</v>
      </c>
      <c r="BN41" s="9">
        <f t="shared" si="0"/>
        <v>10786.4</v>
      </c>
      <c r="BO41" s="9">
        <f t="shared" si="1"/>
        <v>7550.48</v>
      </c>
    </row>
    <row r="42" spans="1:67" ht="24">
      <c r="A42" s="5" t="s">
        <v>208</v>
      </c>
      <c r="B42" s="10" t="s">
        <v>338</v>
      </c>
      <c r="C42" s="10">
        <v>442669</v>
      </c>
      <c r="D42" s="11"/>
      <c r="E42" s="10" t="s">
        <v>16</v>
      </c>
      <c r="F42" s="10" t="s">
        <v>104</v>
      </c>
      <c r="G42" s="10" t="s">
        <v>35</v>
      </c>
      <c r="H42" s="12" t="s">
        <v>27</v>
      </c>
      <c r="I42" s="12" t="s">
        <v>339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3</v>
      </c>
      <c r="AF42" s="13">
        <v>10500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7">
        <v>10500</v>
      </c>
      <c r="BN42" s="9">
        <f t="shared" si="0"/>
        <v>10500</v>
      </c>
      <c r="BO42" s="9">
        <f t="shared" si="1"/>
        <v>7349.9999999999991</v>
      </c>
    </row>
    <row r="43" spans="1:67" ht="24">
      <c r="A43" s="5" t="s">
        <v>208</v>
      </c>
      <c r="B43" s="10" t="s">
        <v>109</v>
      </c>
      <c r="C43" s="10">
        <v>365225</v>
      </c>
      <c r="D43" s="11"/>
      <c r="E43" s="10" t="s">
        <v>16</v>
      </c>
      <c r="F43" s="10" t="s">
        <v>52</v>
      </c>
      <c r="G43" s="10" t="s">
        <v>18</v>
      </c>
      <c r="H43" s="12" t="s">
        <v>7</v>
      </c>
      <c r="I43" s="12" t="s">
        <v>110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9</v>
      </c>
      <c r="BA43" s="13">
        <v>9720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583.20000000000005</v>
      </c>
      <c r="BM43" s="17">
        <v>9720</v>
      </c>
      <c r="BN43" s="9">
        <f t="shared" si="0"/>
        <v>9136.7999999999993</v>
      </c>
      <c r="BO43" s="9">
        <f t="shared" si="1"/>
        <v>6395.7599999999993</v>
      </c>
    </row>
    <row r="44" spans="1:67" ht="24">
      <c r="A44" s="5" t="s">
        <v>208</v>
      </c>
      <c r="B44" s="10" t="s">
        <v>112</v>
      </c>
      <c r="C44" s="10">
        <v>401407</v>
      </c>
      <c r="D44" s="11"/>
      <c r="E44" s="10" t="s">
        <v>16</v>
      </c>
      <c r="F44" s="10" t="s">
        <v>44</v>
      </c>
      <c r="G44" s="10" t="s">
        <v>35</v>
      </c>
      <c r="H44" s="12" t="s">
        <v>8</v>
      </c>
      <c r="I44" s="12" t="s">
        <v>113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92</v>
      </c>
      <c r="AF44" s="13">
        <v>9100</v>
      </c>
      <c r="AG44" s="12">
        <v>100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2</v>
      </c>
      <c r="AX44" s="12">
        <v>240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24</v>
      </c>
      <c r="BM44" s="17">
        <v>9440</v>
      </c>
      <c r="BN44" s="9">
        <f t="shared" si="0"/>
        <v>9416</v>
      </c>
      <c r="BO44" s="9">
        <f t="shared" si="1"/>
        <v>6591.2</v>
      </c>
    </row>
    <row r="45" spans="1:67" ht="24">
      <c r="A45" s="5" t="s">
        <v>208</v>
      </c>
      <c r="B45" s="10" t="s">
        <v>318</v>
      </c>
      <c r="C45" s="10">
        <v>326776</v>
      </c>
      <c r="D45" s="11"/>
      <c r="E45" s="10" t="s">
        <v>16</v>
      </c>
      <c r="F45" s="10" t="s">
        <v>89</v>
      </c>
      <c r="G45" s="10" t="s">
        <v>56</v>
      </c>
      <c r="H45" s="12" t="s">
        <v>27</v>
      </c>
      <c r="I45" s="12" t="s">
        <v>319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1</v>
      </c>
      <c r="AF45" s="13">
        <v>4560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1</v>
      </c>
      <c r="AX45" s="13">
        <v>4560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456</v>
      </c>
      <c r="BM45" s="17">
        <v>9120</v>
      </c>
      <c r="BN45" s="9">
        <f t="shared" si="0"/>
        <v>8664</v>
      </c>
      <c r="BO45" s="9">
        <f t="shared" si="1"/>
        <v>6064.7999999999993</v>
      </c>
    </row>
    <row r="46" spans="1:67" ht="24">
      <c r="A46" s="5" t="s">
        <v>208</v>
      </c>
      <c r="B46" s="10" t="s">
        <v>74</v>
      </c>
      <c r="C46" s="10">
        <v>457533</v>
      </c>
      <c r="D46" s="11"/>
      <c r="E46" s="10" t="s">
        <v>16</v>
      </c>
      <c r="F46" s="10" t="s">
        <v>75</v>
      </c>
      <c r="G46" s="10" t="s">
        <v>23</v>
      </c>
      <c r="H46" s="12" t="s">
        <v>27</v>
      </c>
      <c r="I46" s="12" t="s">
        <v>76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1</v>
      </c>
      <c r="AX46" s="13">
        <v>3000</v>
      </c>
      <c r="AY46" s="12">
        <v>0</v>
      </c>
      <c r="AZ46" s="12">
        <v>0</v>
      </c>
      <c r="BA46" s="12">
        <v>0</v>
      </c>
      <c r="BB46" s="12">
        <v>0</v>
      </c>
      <c r="BC46" s="12">
        <v>2</v>
      </c>
      <c r="BD46" s="13">
        <v>6000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660</v>
      </c>
      <c r="BM46" s="17">
        <v>9000</v>
      </c>
      <c r="BN46" s="9">
        <f t="shared" si="0"/>
        <v>8340</v>
      </c>
      <c r="BO46" s="9">
        <f t="shared" si="1"/>
        <v>5838</v>
      </c>
    </row>
    <row r="47" spans="1:67" ht="24">
      <c r="A47" s="5" t="s">
        <v>208</v>
      </c>
      <c r="B47" s="10" t="s">
        <v>293</v>
      </c>
      <c r="C47" s="10">
        <v>464792</v>
      </c>
      <c r="D47" s="11"/>
      <c r="E47" s="10" t="s">
        <v>16</v>
      </c>
      <c r="F47" s="10" t="s">
        <v>254</v>
      </c>
      <c r="G47" s="10" t="s">
        <v>23</v>
      </c>
      <c r="H47" s="12" t="s">
        <v>27</v>
      </c>
      <c r="I47" s="12" t="s">
        <v>294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3</v>
      </c>
      <c r="BD47" s="13">
        <v>9000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540</v>
      </c>
      <c r="BM47" s="17">
        <v>9000</v>
      </c>
      <c r="BN47" s="9">
        <f t="shared" si="0"/>
        <v>8460</v>
      </c>
      <c r="BO47" s="9">
        <f t="shared" si="1"/>
        <v>5922</v>
      </c>
    </row>
    <row r="48" spans="1:67" ht="24">
      <c r="A48" s="5" t="s">
        <v>208</v>
      </c>
      <c r="B48" s="10" t="s">
        <v>303</v>
      </c>
      <c r="C48" s="10">
        <v>382098</v>
      </c>
      <c r="D48" s="11"/>
      <c r="E48" s="10" t="s">
        <v>16</v>
      </c>
      <c r="F48" s="10" t="s">
        <v>17</v>
      </c>
      <c r="G48" s="10" t="s">
        <v>18</v>
      </c>
      <c r="H48" s="12" t="s">
        <v>7</v>
      </c>
      <c r="I48" s="12" t="s">
        <v>304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4</v>
      </c>
      <c r="AC48" s="13">
        <v>4320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5</v>
      </c>
      <c r="AO48" s="13">
        <v>4500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7">
        <v>8820</v>
      </c>
      <c r="BN48" s="9">
        <f t="shared" si="0"/>
        <v>8820</v>
      </c>
      <c r="BO48" s="9">
        <f t="shared" si="1"/>
        <v>6174</v>
      </c>
    </row>
    <row r="49" spans="1:67" ht="24">
      <c r="A49" s="5" t="s">
        <v>208</v>
      </c>
      <c r="B49" s="10" t="s">
        <v>278</v>
      </c>
      <c r="C49" s="10">
        <v>467563</v>
      </c>
      <c r="D49" s="11"/>
      <c r="E49" s="10" t="s">
        <v>16</v>
      </c>
      <c r="F49" s="10" t="s">
        <v>279</v>
      </c>
      <c r="G49" s="10" t="s">
        <v>23</v>
      </c>
      <c r="H49" s="12" t="s">
        <v>27</v>
      </c>
      <c r="I49" s="12" t="s">
        <v>280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1</v>
      </c>
      <c r="AF49" s="13">
        <v>2000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2</v>
      </c>
      <c r="AR49" s="13">
        <v>4000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1</v>
      </c>
      <c r="BD49" s="13">
        <v>2400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144</v>
      </c>
      <c r="BM49" s="17">
        <v>8400</v>
      </c>
      <c r="BN49" s="9">
        <f t="shared" si="0"/>
        <v>8256</v>
      </c>
      <c r="BO49" s="9">
        <f t="shared" si="1"/>
        <v>5779.2</v>
      </c>
    </row>
    <row r="50" spans="1:67" ht="24">
      <c r="A50" s="5" t="s">
        <v>208</v>
      </c>
      <c r="B50" s="10" t="s">
        <v>63</v>
      </c>
      <c r="C50" s="10">
        <v>372422</v>
      </c>
      <c r="D50" s="11"/>
      <c r="E50" s="10" t="s">
        <v>16</v>
      </c>
      <c r="F50" s="10" t="s">
        <v>44</v>
      </c>
      <c r="G50" s="10" t="s">
        <v>45</v>
      </c>
      <c r="H50" s="12" t="s">
        <v>8</v>
      </c>
      <c r="I50" s="12" t="s">
        <v>64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1</v>
      </c>
      <c r="AF50" s="12">
        <v>100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67</v>
      </c>
      <c r="BD50" s="13">
        <v>8040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482.4</v>
      </c>
      <c r="BM50" s="17">
        <v>8140</v>
      </c>
      <c r="BN50" s="9">
        <f t="shared" si="0"/>
        <v>7657.6</v>
      </c>
      <c r="BO50" s="9">
        <f t="shared" si="1"/>
        <v>5360.32</v>
      </c>
    </row>
    <row r="51" spans="1:67" ht="24">
      <c r="A51" s="5" t="s">
        <v>208</v>
      </c>
      <c r="B51" s="10" t="s">
        <v>258</v>
      </c>
      <c r="C51" s="10">
        <v>468589</v>
      </c>
      <c r="D51" s="11"/>
      <c r="E51" s="10" t="s">
        <v>16</v>
      </c>
      <c r="F51" s="10" t="s">
        <v>259</v>
      </c>
      <c r="G51" s="10" t="s">
        <v>23</v>
      </c>
      <c r="H51" s="12" t="s">
        <v>10</v>
      </c>
      <c r="I51" s="12" t="s">
        <v>260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3</v>
      </c>
      <c r="AF51" s="13">
        <v>2500</v>
      </c>
      <c r="AG51" s="13">
        <v>5000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7">
        <v>7500</v>
      </c>
      <c r="BN51" s="9">
        <f t="shared" si="0"/>
        <v>7500</v>
      </c>
      <c r="BO51" s="9">
        <f t="shared" si="1"/>
        <v>5250</v>
      </c>
    </row>
    <row r="52" spans="1:67" ht="24">
      <c r="A52" s="5" t="s">
        <v>208</v>
      </c>
      <c r="B52" s="10" t="s">
        <v>340</v>
      </c>
      <c r="C52" s="10">
        <v>335136</v>
      </c>
      <c r="D52" s="11"/>
      <c r="E52" s="10" t="s">
        <v>16</v>
      </c>
      <c r="F52" s="10" t="s">
        <v>341</v>
      </c>
      <c r="G52" s="10" t="s">
        <v>35</v>
      </c>
      <c r="H52" s="12" t="s">
        <v>27</v>
      </c>
      <c r="I52" s="12" t="s">
        <v>342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2</v>
      </c>
      <c r="BD52" s="13">
        <v>7200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432</v>
      </c>
      <c r="BM52" s="17">
        <v>7200</v>
      </c>
      <c r="BN52" s="9">
        <f t="shared" si="0"/>
        <v>6768</v>
      </c>
      <c r="BO52" s="9">
        <f t="shared" si="1"/>
        <v>4737.5999999999995</v>
      </c>
    </row>
    <row r="53" spans="1:67" ht="24">
      <c r="A53" s="5" t="s">
        <v>208</v>
      </c>
      <c r="B53" s="10" t="s">
        <v>343</v>
      </c>
      <c r="C53" s="10">
        <v>461351</v>
      </c>
      <c r="D53" s="11"/>
      <c r="E53" s="10" t="s">
        <v>16</v>
      </c>
      <c r="F53" s="10" t="s">
        <v>42</v>
      </c>
      <c r="G53" s="10" t="s">
        <v>23</v>
      </c>
      <c r="H53" s="12" t="s">
        <v>27</v>
      </c>
      <c r="I53" s="12" t="s">
        <v>344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1</v>
      </c>
      <c r="AX53" s="13">
        <v>2400</v>
      </c>
      <c r="AY53" s="12">
        <v>0</v>
      </c>
      <c r="AZ53" s="12">
        <v>0</v>
      </c>
      <c r="BA53" s="12">
        <v>0</v>
      </c>
      <c r="BB53" s="12">
        <v>0</v>
      </c>
      <c r="BC53" s="12">
        <v>2</v>
      </c>
      <c r="BD53" s="13">
        <v>4800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528</v>
      </c>
      <c r="BM53" s="17">
        <v>7200</v>
      </c>
      <c r="BN53" s="9">
        <f t="shared" si="0"/>
        <v>6672</v>
      </c>
      <c r="BO53" s="9">
        <f t="shared" si="1"/>
        <v>4670.3999999999996</v>
      </c>
    </row>
    <row r="54" spans="1:67" ht="24">
      <c r="A54" s="5" t="s">
        <v>208</v>
      </c>
      <c r="B54" s="10" t="s">
        <v>274</v>
      </c>
      <c r="C54" s="10">
        <v>457674</v>
      </c>
      <c r="D54" s="11"/>
      <c r="E54" s="10" t="s">
        <v>16</v>
      </c>
      <c r="F54" s="10" t="s">
        <v>92</v>
      </c>
      <c r="G54" s="10" t="s">
        <v>23</v>
      </c>
      <c r="H54" s="12" t="s">
        <v>27</v>
      </c>
      <c r="I54" s="12" t="s">
        <v>265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1</v>
      </c>
      <c r="AF54" s="13">
        <v>2000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2</v>
      </c>
      <c r="BD54" s="13">
        <v>4800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288</v>
      </c>
      <c r="BM54" s="17">
        <v>6800</v>
      </c>
      <c r="BN54" s="9">
        <f t="shared" si="0"/>
        <v>6512</v>
      </c>
      <c r="BO54" s="9">
        <f t="shared" si="1"/>
        <v>4558.3999999999996</v>
      </c>
    </row>
    <row r="55" spans="1:67" ht="24">
      <c r="A55" s="5" t="s">
        <v>208</v>
      </c>
      <c r="B55" s="10" t="s">
        <v>271</v>
      </c>
      <c r="C55" s="10">
        <v>467565</v>
      </c>
      <c r="D55" s="11"/>
      <c r="E55" s="10" t="s">
        <v>16</v>
      </c>
      <c r="F55" s="10" t="s">
        <v>272</v>
      </c>
      <c r="G55" s="10" t="s">
        <v>23</v>
      </c>
      <c r="H55" s="12" t="s">
        <v>27</v>
      </c>
      <c r="I55" s="12" t="s">
        <v>273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1</v>
      </c>
      <c r="AF55" s="13">
        <v>2000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2</v>
      </c>
      <c r="BD55" s="13">
        <v>4800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288</v>
      </c>
      <c r="BM55" s="17">
        <v>6800</v>
      </c>
      <c r="BN55" s="9">
        <f t="shared" si="0"/>
        <v>6512</v>
      </c>
      <c r="BO55" s="9">
        <f t="shared" si="1"/>
        <v>4558.3999999999996</v>
      </c>
    </row>
    <row r="56" spans="1:67" ht="24">
      <c r="A56" s="5" t="s">
        <v>208</v>
      </c>
      <c r="B56" s="10" t="s">
        <v>94</v>
      </c>
      <c r="C56" s="10">
        <v>317429</v>
      </c>
      <c r="D56" s="11"/>
      <c r="E56" s="10" t="s">
        <v>16</v>
      </c>
      <c r="F56" s="10" t="s">
        <v>34</v>
      </c>
      <c r="G56" s="10" t="s">
        <v>35</v>
      </c>
      <c r="H56" s="12" t="s">
        <v>8</v>
      </c>
      <c r="I56" s="12" t="s">
        <v>95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1</v>
      </c>
      <c r="BD56" s="13">
        <v>5280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316.8</v>
      </c>
      <c r="BM56" s="17">
        <v>5280</v>
      </c>
      <c r="BN56" s="9">
        <f t="shared" si="0"/>
        <v>4963.2</v>
      </c>
      <c r="BO56" s="9">
        <f t="shared" si="1"/>
        <v>3474.24</v>
      </c>
    </row>
    <row r="57" spans="1:67" ht="24">
      <c r="A57" s="5" t="s">
        <v>208</v>
      </c>
      <c r="B57" s="10" t="s">
        <v>230</v>
      </c>
      <c r="C57" s="10">
        <v>408834</v>
      </c>
      <c r="D57" s="11"/>
      <c r="E57" s="10" t="s">
        <v>16</v>
      </c>
      <c r="F57" s="10" t="s">
        <v>52</v>
      </c>
      <c r="G57" s="10" t="s">
        <v>18</v>
      </c>
      <c r="H57" s="12" t="s">
        <v>7</v>
      </c>
      <c r="I57" s="12" t="s">
        <v>73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2</v>
      </c>
      <c r="AO57" s="13">
        <v>1800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3</v>
      </c>
      <c r="BA57" s="13">
        <v>3240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194.4</v>
      </c>
      <c r="BM57" s="17">
        <v>5040</v>
      </c>
      <c r="BN57" s="9">
        <f t="shared" si="0"/>
        <v>4845.6000000000004</v>
      </c>
      <c r="BO57" s="9">
        <f t="shared" si="1"/>
        <v>3391.92</v>
      </c>
    </row>
    <row r="58" spans="1:67" ht="24">
      <c r="A58" s="5" t="s">
        <v>208</v>
      </c>
      <c r="B58" s="10" t="s">
        <v>40</v>
      </c>
      <c r="C58" s="10">
        <v>461432</v>
      </c>
      <c r="D58" s="11"/>
      <c r="E58" s="10" t="s">
        <v>16</v>
      </c>
      <c r="F58" s="10" t="s">
        <v>17</v>
      </c>
      <c r="G58" s="10" t="s">
        <v>18</v>
      </c>
      <c r="H58" s="12" t="s">
        <v>10</v>
      </c>
      <c r="I58" s="12" t="s">
        <v>41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49</v>
      </c>
      <c r="AF58" s="12">
        <v>0</v>
      </c>
      <c r="AG58" s="13">
        <v>4900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7">
        <v>4900</v>
      </c>
      <c r="BN58" s="9">
        <f t="shared" si="0"/>
        <v>4900</v>
      </c>
      <c r="BO58" s="9">
        <f t="shared" si="1"/>
        <v>3430</v>
      </c>
    </row>
    <row r="59" spans="1:67" ht="24">
      <c r="A59" s="5" t="s">
        <v>208</v>
      </c>
      <c r="B59" s="10" t="s">
        <v>345</v>
      </c>
      <c r="C59" s="10">
        <v>367271</v>
      </c>
      <c r="D59" s="11"/>
      <c r="E59" s="10" t="s">
        <v>16</v>
      </c>
      <c r="F59" s="10" t="s">
        <v>346</v>
      </c>
      <c r="G59" s="10" t="s">
        <v>31</v>
      </c>
      <c r="H59" s="12" t="s">
        <v>27</v>
      </c>
      <c r="I59" s="12" t="s">
        <v>347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1</v>
      </c>
      <c r="BD59" s="13">
        <v>4800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288</v>
      </c>
      <c r="BM59" s="17">
        <v>4800</v>
      </c>
      <c r="BN59" s="9">
        <f t="shared" si="0"/>
        <v>4512</v>
      </c>
      <c r="BO59" s="9">
        <f t="shared" si="1"/>
        <v>3158.3999999999996</v>
      </c>
    </row>
    <row r="60" spans="1:67" ht="24">
      <c r="A60" s="5" t="s">
        <v>208</v>
      </c>
      <c r="B60" s="10" t="s">
        <v>71</v>
      </c>
      <c r="C60" s="10">
        <v>461347</v>
      </c>
      <c r="D60" s="11"/>
      <c r="E60" s="10" t="s">
        <v>16</v>
      </c>
      <c r="F60" s="10" t="s">
        <v>47</v>
      </c>
      <c r="G60" s="10" t="s">
        <v>23</v>
      </c>
      <c r="H60" s="12" t="s">
        <v>27</v>
      </c>
      <c r="I60" s="12" t="s">
        <v>72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2</v>
      </c>
      <c r="BD60" s="13">
        <v>4800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288</v>
      </c>
      <c r="BM60" s="17">
        <v>4800</v>
      </c>
      <c r="BN60" s="9">
        <f t="shared" si="0"/>
        <v>4512</v>
      </c>
      <c r="BO60" s="9">
        <f t="shared" si="1"/>
        <v>3158.3999999999996</v>
      </c>
    </row>
    <row r="61" spans="1:67" ht="24">
      <c r="A61" s="5" t="s">
        <v>208</v>
      </c>
      <c r="B61" s="10" t="s">
        <v>67</v>
      </c>
      <c r="C61" s="10">
        <v>440710</v>
      </c>
      <c r="D61" s="11"/>
      <c r="E61" s="10" t="s">
        <v>16</v>
      </c>
      <c r="F61" s="10" t="s">
        <v>68</v>
      </c>
      <c r="G61" s="10" t="s">
        <v>69</v>
      </c>
      <c r="H61" s="12" t="s">
        <v>7</v>
      </c>
      <c r="I61" s="12" t="s">
        <v>70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13</v>
      </c>
      <c r="AF61" s="12">
        <v>0</v>
      </c>
      <c r="AG61" s="13">
        <v>1300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26</v>
      </c>
      <c r="BD61" s="13">
        <v>3120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187.2</v>
      </c>
      <c r="BM61" s="17">
        <v>4420</v>
      </c>
      <c r="BN61" s="9">
        <f t="shared" si="0"/>
        <v>4232.8</v>
      </c>
      <c r="BO61" s="9">
        <f t="shared" si="1"/>
        <v>2962.96</v>
      </c>
    </row>
    <row r="62" spans="1:67" ht="24">
      <c r="A62" s="5" t="s">
        <v>208</v>
      </c>
      <c r="B62" s="10" t="s">
        <v>132</v>
      </c>
      <c r="C62" s="10">
        <v>472519</v>
      </c>
      <c r="D62" s="11"/>
      <c r="E62" s="10" t="s">
        <v>16</v>
      </c>
      <c r="F62" s="10" t="s">
        <v>133</v>
      </c>
      <c r="G62" s="10" t="s">
        <v>23</v>
      </c>
      <c r="H62" s="12" t="s">
        <v>7</v>
      </c>
      <c r="I62" s="12" t="s">
        <v>134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1</v>
      </c>
      <c r="AX62" s="13">
        <v>4320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432</v>
      </c>
      <c r="BM62" s="17">
        <v>4320</v>
      </c>
      <c r="BN62" s="9">
        <f t="shared" si="0"/>
        <v>3888</v>
      </c>
      <c r="BO62" s="9">
        <f t="shared" si="1"/>
        <v>2721.6</v>
      </c>
    </row>
    <row r="63" spans="1:67" ht="24">
      <c r="A63" s="5" t="s">
        <v>208</v>
      </c>
      <c r="B63" s="10" t="s">
        <v>261</v>
      </c>
      <c r="C63" s="10">
        <v>409304</v>
      </c>
      <c r="D63" s="11"/>
      <c r="E63" s="10" t="s">
        <v>16</v>
      </c>
      <c r="F63" s="10" t="s">
        <v>52</v>
      </c>
      <c r="G63" s="10" t="s">
        <v>18</v>
      </c>
      <c r="H63" s="12" t="s">
        <v>7</v>
      </c>
      <c r="I63" s="12" t="s">
        <v>262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43</v>
      </c>
      <c r="AR63" s="13">
        <v>4300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7">
        <v>4300</v>
      </c>
      <c r="BN63" s="9">
        <f t="shared" si="0"/>
        <v>4300</v>
      </c>
      <c r="BO63" s="9">
        <f t="shared" si="1"/>
        <v>3010</v>
      </c>
    </row>
    <row r="64" spans="1:67" ht="24">
      <c r="A64" s="5" t="s">
        <v>208</v>
      </c>
      <c r="B64" s="10" t="s">
        <v>80</v>
      </c>
      <c r="C64" s="10">
        <v>395231</v>
      </c>
      <c r="D64" s="11"/>
      <c r="E64" s="10" t="s">
        <v>16</v>
      </c>
      <c r="F64" s="10" t="s">
        <v>34</v>
      </c>
      <c r="G64" s="10" t="s">
        <v>35</v>
      </c>
      <c r="H64" s="12" t="s">
        <v>27</v>
      </c>
      <c r="I64" s="12" t="s">
        <v>81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1</v>
      </c>
      <c r="AL64" s="13">
        <v>4095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4">
        <v>1228.5</v>
      </c>
      <c r="BM64" s="17">
        <v>4095</v>
      </c>
      <c r="BN64" s="9">
        <f t="shared" si="0"/>
        <v>2866.5</v>
      </c>
      <c r="BO64" s="9">
        <f t="shared" si="1"/>
        <v>2006.55</v>
      </c>
    </row>
    <row r="65" spans="1:67" ht="24">
      <c r="A65" s="5" t="s">
        <v>208</v>
      </c>
      <c r="B65" s="10" t="s">
        <v>98</v>
      </c>
      <c r="C65" s="10">
        <v>354768</v>
      </c>
      <c r="D65" s="11"/>
      <c r="E65" s="10" t="s">
        <v>16</v>
      </c>
      <c r="F65" s="10" t="s">
        <v>30</v>
      </c>
      <c r="G65" s="10" t="s">
        <v>31</v>
      </c>
      <c r="H65" s="12" t="s">
        <v>8</v>
      </c>
      <c r="I65" s="12" t="s">
        <v>99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2</v>
      </c>
      <c r="AR65" s="12">
        <v>200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30</v>
      </c>
      <c r="BD65" s="13">
        <v>3600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216</v>
      </c>
      <c r="BM65" s="17">
        <v>3800</v>
      </c>
      <c r="BN65" s="9">
        <f t="shared" si="0"/>
        <v>3584</v>
      </c>
      <c r="BO65" s="9">
        <f t="shared" si="1"/>
        <v>2508.7999999999997</v>
      </c>
    </row>
    <row r="66" spans="1:67" ht="24">
      <c r="A66" s="5" t="s">
        <v>208</v>
      </c>
      <c r="B66" s="10" t="s">
        <v>316</v>
      </c>
      <c r="C66" s="10">
        <v>361632</v>
      </c>
      <c r="D66" s="11"/>
      <c r="E66" s="10" t="s">
        <v>16</v>
      </c>
      <c r="F66" s="10" t="s">
        <v>120</v>
      </c>
      <c r="G66" s="10" t="s">
        <v>31</v>
      </c>
      <c r="H66" s="12" t="s">
        <v>27</v>
      </c>
      <c r="I66" s="12" t="s">
        <v>317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1</v>
      </c>
      <c r="AR66" s="13">
        <v>3200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7">
        <v>3200</v>
      </c>
      <c r="BN66" s="9">
        <f t="shared" si="0"/>
        <v>3200</v>
      </c>
      <c r="BO66" s="9">
        <f t="shared" si="1"/>
        <v>2240</v>
      </c>
    </row>
    <row r="67" spans="1:67" ht="24">
      <c r="A67" s="5" t="s">
        <v>208</v>
      </c>
      <c r="B67" s="10" t="s">
        <v>300</v>
      </c>
      <c r="C67" s="10">
        <v>418030</v>
      </c>
      <c r="D67" s="11"/>
      <c r="E67" s="10" t="s">
        <v>16</v>
      </c>
      <c r="F67" s="10" t="s">
        <v>30</v>
      </c>
      <c r="G67" s="10" t="s">
        <v>56</v>
      </c>
      <c r="H67" s="12" t="s">
        <v>8</v>
      </c>
      <c r="I67" s="12" t="s">
        <v>301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2</v>
      </c>
      <c r="AR67" s="12">
        <v>200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23</v>
      </c>
      <c r="BD67" s="13">
        <v>2760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165.6</v>
      </c>
      <c r="BM67" s="17">
        <v>2960</v>
      </c>
      <c r="BN67" s="9">
        <f t="shared" ref="BN67:BN71" si="2">BM67-BL67</f>
        <v>2794.4</v>
      </c>
      <c r="BO67" s="9">
        <f t="shared" ref="BO67:BO71" si="3">BN67*0.7</f>
        <v>1956.08</v>
      </c>
    </row>
    <row r="68" spans="1:67" ht="24">
      <c r="A68" s="5" t="s">
        <v>208</v>
      </c>
      <c r="B68" s="10" t="s">
        <v>216</v>
      </c>
      <c r="C68" s="10">
        <v>443543</v>
      </c>
      <c r="D68" s="11"/>
      <c r="E68" s="10" t="s">
        <v>16</v>
      </c>
      <c r="F68" s="10" t="s">
        <v>44</v>
      </c>
      <c r="G68" s="10" t="s">
        <v>35</v>
      </c>
      <c r="H68" s="12" t="s">
        <v>8</v>
      </c>
      <c r="I68" s="12" t="s">
        <v>102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1</v>
      </c>
      <c r="AF68" s="12">
        <v>100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26</v>
      </c>
      <c r="AR68" s="13">
        <v>2600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1</v>
      </c>
      <c r="BD68" s="12">
        <v>120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7.2</v>
      </c>
      <c r="BM68" s="17">
        <v>2820</v>
      </c>
      <c r="BN68" s="9">
        <f t="shared" si="2"/>
        <v>2812.8</v>
      </c>
      <c r="BO68" s="9">
        <f t="shared" si="3"/>
        <v>1968.96</v>
      </c>
    </row>
    <row r="69" spans="1:67" ht="24">
      <c r="A69" s="5" t="s">
        <v>208</v>
      </c>
      <c r="B69" s="10" t="s">
        <v>238</v>
      </c>
      <c r="C69" s="10">
        <v>480607</v>
      </c>
      <c r="D69" s="11"/>
      <c r="E69" s="10" t="s">
        <v>16</v>
      </c>
      <c r="F69" s="10" t="s">
        <v>239</v>
      </c>
      <c r="G69" s="10" t="s">
        <v>23</v>
      </c>
      <c r="H69" s="12" t="s">
        <v>27</v>
      </c>
      <c r="I69" s="12" t="s">
        <v>240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1</v>
      </c>
      <c r="AF69" s="12">
        <v>0</v>
      </c>
      <c r="AG69" s="13">
        <v>2500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7">
        <v>2500</v>
      </c>
      <c r="BN69" s="9">
        <f t="shared" si="2"/>
        <v>2500</v>
      </c>
      <c r="BO69" s="9">
        <f t="shared" si="3"/>
        <v>1750</v>
      </c>
    </row>
    <row r="70" spans="1:67" ht="24">
      <c r="A70" s="5" t="s">
        <v>208</v>
      </c>
      <c r="B70" s="10" t="s">
        <v>348</v>
      </c>
      <c r="C70" s="10">
        <v>488818</v>
      </c>
      <c r="D70" s="11"/>
      <c r="E70" s="10" t="s">
        <v>16</v>
      </c>
      <c r="F70" s="10" t="s">
        <v>349</v>
      </c>
      <c r="G70" s="10" t="s">
        <v>23</v>
      </c>
      <c r="H70" s="12" t="s">
        <v>27</v>
      </c>
      <c r="I70" s="12" t="s">
        <v>350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1</v>
      </c>
      <c r="AF70" s="12">
        <v>0</v>
      </c>
      <c r="AG70" s="13">
        <v>2500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7">
        <v>2500</v>
      </c>
      <c r="BN70" s="9">
        <f t="shared" si="2"/>
        <v>2500</v>
      </c>
      <c r="BO70" s="9">
        <f t="shared" si="3"/>
        <v>1750</v>
      </c>
    </row>
    <row r="71" spans="1:67" ht="24">
      <c r="A71" s="5" t="s">
        <v>208</v>
      </c>
      <c r="B71" s="10" t="s">
        <v>256</v>
      </c>
      <c r="C71" s="10">
        <v>483771</v>
      </c>
      <c r="D71" s="11"/>
      <c r="E71" s="10" t="s">
        <v>16</v>
      </c>
      <c r="F71" s="10" t="s">
        <v>116</v>
      </c>
      <c r="G71" s="10" t="s">
        <v>23</v>
      </c>
      <c r="H71" s="12" t="s">
        <v>10</v>
      </c>
      <c r="I71" s="12" t="s">
        <v>257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1</v>
      </c>
      <c r="AF71" s="13">
        <v>2500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7">
        <v>2500</v>
      </c>
      <c r="BN71" s="9">
        <f t="shared" si="2"/>
        <v>2500</v>
      </c>
      <c r="BO71" s="9">
        <f t="shared" si="3"/>
        <v>1750</v>
      </c>
    </row>
    <row r="72" spans="1:67" ht="24">
      <c r="A72" s="5" t="s">
        <v>208</v>
      </c>
      <c r="B72" s="10" t="s">
        <v>144</v>
      </c>
      <c r="C72" s="10">
        <v>472518</v>
      </c>
      <c r="D72" s="11"/>
      <c r="E72" s="10" t="s">
        <v>16</v>
      </c>
      <c r="F72" s="10" t="s">
        <v>145</v>
      </c>
      <c r="G72" s="10" t="s">
        <v>23</v>
      </c>
      <c r="H72" s="12" t="s">
        <v>27</v>
      </c>
      <c r="I72" s="12" t="s">
        <v>146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1</v>
      </c>
      <c r="AR72" s="13">
        <v>2500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7">
        <v>2500</v>
      </c>
      <c r="BN72" s="9">
        <f t="shared" ref="BN72:BN134" si="4">BM72-BL72</f>
        <v>2500</v>
      </c>
      <c r="BO72" s="9">
        <f t="shared" ref="BO72:BO134" si="5">BN72*0.7</f>
        <v>1750</v>
      </c>
    </row>
    <row r="73" spans="1:67" ht="24">
      <c r="A73" s="5" t="s">
        <v>208</v>
      </c>
      <c r="B73" s="10" t="s">
        <v>287</v>
      </c>
      <c r="C73" s="10">
        <v>467564</v>
      </c>
      <c r="D73" s="11"/>
      <c r="E73" s="10" t="s">
        <v>16</v>
      </c>
      <c r="F73" s="10" t="s">
        <v>42</v>
      </c>
      <c r="G73" s="10" t="s">
        <v>23</v>
      </c>
      <c r="H73" s="12" t="s">
        <v>27</v>
      </c>
      <c r="I73" s="12" t="s">
        <v>288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1</v>
      </c>
      <c r="BD73" s="13">
        <v>2400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144</v>
      </c>
      <c r="BM73" s="17">
        <v>2400</v>
      </c>
      <c r="BN73" s="9">
        <f t="shared" si="4"/>
        <v>2256</v>
      </c>
      <c r="BO73" s="9">
        <f t="shared" si="5"/>
        <v>1579.1999999999998</v>
      </c>
    </row>
    <row r="74" spans="1:67" ht="24">
      <c r="A74" s="5" t="s">
        <v>208</v>
      </c>
      <c r="B74" s="10" t="s">
        <v>351</v>
      </c>
      <c r="C74" s="10">
        <v>472516</v>
      </c>
      <c r="D74" s="11"/>
      <c r="E74" s="10" t="s">
        <v>16</v>
      </c>
      <c r="F74" s="10" t="s">
        <v>352</v>
      </c>
      <c r="G74" s="10" t="s">
        <v>23</v>
      </c>
      <c r="H74" s="12" t="s">
        <v>27</v>
      </c>
      <c r="I74" s="12" t="s">
        <v>353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1</v>
      </c>
      <c r="AX74" s="13">
        <v>2400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240</v>
      </c>
      <c r="BM74" s="17">
        <v>2400</v>
      </c>
      <c r="BN74" s="9">
        <f t="shared" si="4"/>
        <v>2160</v>
      </c>
      <c r="BO74" s="9">
        <f t="shared" si="5"/>
        <v>1512</v>
      </c>
    </row>
    <row r="75" spans="1:67" ht="24">
      <c r="A75" s="5" t="s">
        <v>208</v>
      </c>
      <c r="B75" s="10" t="s">
        <v>221</v>
      </c>
      <c r="C75" s="10">
        <v>477489</v>
      </c>
      <c r="D75" s="11"/>
      <c r="E75" s="10" t="s">
        <v>16</v>
      </c>
      <c r="F75" s="10" t="s">
        <v>222</v>
      </c>
      <c r="G75" s="10" t="s">
        <v>23</v>
      </c>
      <c r="H75" s="12" t="s">
        <v>27</v>
      </c>
      <c r="I75" s="12" t="s">
        <v>212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1</v>
      </c>
      <c r="BD75" s="13">
        <v>2400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144</v>
      </c>
      <c r="BM75" s="17">
        <v>2400</v>
      </c>
      <c r="BN75" s="9">
        <f t="shared" si="4"/>
        <v>2256</v>
      </c>
      <c r="BO75" s="9">
        <f t="shared" si="5"/>
        <v>1579.1999999999998</v>
      </c>
    </row>
    <row r="76" spans="1:67" ht="24">
      <c r="A76" s="5" t="s">
        <v>208</v>
      </c>
      <c r="B76" s="10" t="s">
        <v>354</v>
      </c>
      <c r="C76" s="10">
        <v>483760</v>
      </c>
      <c r="D76" s="11"/>
      <c r="E76" s="10" t="s">
        <v>16</v>
      </c>
      <c r="F76" s="10" t="s">
        <v>68</v>
      </c>
      <c r="G76" s="10" t="s">
        <v>69</v>
      </c>
      <c r="H76" s="12" t="s">
        <v>7</v>
      </c>
      <c r="I76" s="12" t="s">
        <v>355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2</v>
      </c>
      <c r="BA76" s="13">
        <v>2160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129.6</v>
      </c>
      <c r="BM76" s="17">
        <v>2160</v>
      </c>
      <c r="BN76" s="9">
        <f t="shared" si="4"/>
        <v>2030.4</v>
      </c>
      <c r="BO76" s="9">
        <f t="shared" si="5"/>
        <v>1421.28</v>
      </c>
    </row>
    <row r="77" spans="1:67" ht="24">
      <c r="A77" s="5" t="s">
        <v>208</v>
      </c>
      <c r="B77" s="10" t="s">
        <v>130</v>
      </c>
      <c r="C77" s="10">
        <v>366373</v>
      </c>
      <c r="D77" s="11"/>
      <c r="E77" s="10" t="s">
        <v>16</v>
      </c>
      <c r="F77" s="10" t="s">
        <v>120</v>
      </c>
      <c r="G77" s="10" t="s">
        <v>31</v>
      </c>
      <c r="H77" s="12" t="s">
        <v>8</v>
      </c>
      <c r="I77" s="12" t="s">
        <v>131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17</v>
      </c>
      <c r="BD77" s="13">
        <v>2040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122.4</v>
      </c>
      <c r="BM77" s="17">
        <v>2040</v>
      </c>
      <c r="BN77" s="9">
        <f t="shared" si="4"/>
        <v>1917.6</v>
      </c>
      <c r="BO77" s="9">
        <f t="shared" si="5"/>
        <v>1342.32</v>
      </c>
    </row>
    <row r="78" spans="1:67" ht="24">
      <c r="A78" s="5" t="s">
        <v>208</v>
      </c>
      <c r="B78" s="10" t="s">
        <v>115</v>
      </c>
      <c r="C78" s="10">
        <v>459224</v>
      </c>
      <c r="D78" s="11"/>
      <c r="E78" s="10" t="s">
        <v>16</v>
      </c>
      <c r="F78" s="10" t="s">
        <v>116</v>
      </c>
      <c r="G78" s="10" t="s">
        <v>23</v>
      </c>
      <c r="H78" s="12" t="s">
        <v>7</v>
      </c>
      <c r="I78" s="12" t="s">
        <v>117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1</v>
      </c>
      <c r="AF78" s="12">
        <v>0</v>
      </c>
      <c r="AG78" s="13">
        <v>1800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1</v>
      </c>
      <c r="BD78" s="12">
        <v>240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14.4</v>
      </c>
      <c r="BM78" s="17">
        <v>2040</v>
      </c>
      <c r="BN78" s="9">
        <f t="shared" si="4"/>
        <v>2025.6</v>
      </c>
      <c r="BO78" s="9">
        <f t="shared" si="5"/>
        <v>1417.9199999999998</v>
      </c>
    </row>
    <row r="79" spans="1:67" ht="24">
      <c r="A79" s="5" t="s">
        <v>208</v>
      </c>
      <c r="B79" s="10" t="s">
        <v>312</v>
      </c>
      <c r="C79" s="10">
        <v>470423</v>
      </c>
      <c r="D79" s="11"/>
      <c r="E79" s="10" t="s">
        <v>16</v>
      </c>
      <c r="F79" s="10" t="s">
        <v>86</v>
      </c>
      <c r="G79" s="10" t="s">
        <v>23</v>
      </c>
      <c r="H79" s="12" t="s">
        <v>27</v>
      </c>
      <c r="I79" s="12" t="s">
        <v>313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1</v>
      </c>
      <c r="AF79" s="12">
        <v>0</v>
      </c>
      <c r="AG79" s="13">
        <v>2000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7">
        <v>2000</v>
      </c>
      <c r="BN79" s="9">
        <f t="shared" si="4"/>
        <v>2000</v>
      </c>
      <c r="BO79" s="9">
        <f t="shared" si="5"/>
        <v>1400</v>
      </c>
    </row>
    <row r="80" spans="1:67" ht="24">
      <c r="A80" s="5" t="s">
        <v>208</v>
      </c>
      <c r="B80" s="10" t="s">
        <v>281</v>
      </c>
      <c r="C80" s="10">
        <v>461359</v>
      </c>
      <c r="D80" s="11"/>
      <c r="E80" s="10" t="s">
        <v>16</v>
      </c>
      <c r="F80" s="10" t="s">
        <v>282</v>
      </c>
      <c r="G80" s="10" t="s">
        <v>23</v>
      </c>
      <c r="H80" s="12" t="s">
        <v>27</v>
      </c>
      <c r="I80" s="12" t="s">
        <v>265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1</v>
      </c>
      <c r="AF80" s="13">
        <v>2000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7">
        <v>2000</v>
      </c>
      <c r="BN80" s="9">
        <f t="shared" si="4"/>
        <v>2000</v>
      </c>
      <c r="BO80" s="9">
        <f t="shared" si="5"/>
        <v>1400</v>
      </c>
    </row>
    <row r="81" spans="1:67" ht="24">
      <c r="A81" s="5" t="s">
        <v>208</v>
      </c>
      <c r="B81" s="10" t="s">
        <v>233</v>
      </c>
      <c r="C81" s="10">
        <v>467559</v>
      </c>
      <c r="D81" s="11"/>
      <c r="E81" s="10" t="s">
        <v>16</v>
      </c>
      <c r="F81" s="10" t="s">
        <v>47</v>
      </c>
      <c r="G81" s="10" t="s">
        <v>23</v>
      </c>
      <c r="H81" s="12" t="s">
        <v>7</v>
      </c>
      <c r="I81" s="12" t="s">
        <v>234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1</v>
      </c>
      <c r="AF81" s="12">
        <v>0</v>
      </c>
      <c r="AG81" s="13">
        <v>2000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7">
        <v>2000</v>
      </c>
      <c r="BN81" s="9">
        <f t="shared" si="4"/>
        <v>2000</v>
      </c>
      <c r="BO81" s="9">
        <f t="shared" si="5"/>
        <v>1400</v>
      </c>
    </row>
    <row r="82" spans="1:67" ht="24">
      <c r="A82" s="5" t="s">
        <v>208</v>
      </c>
      <c r="B82" s="10" t="s">
        <v>275</v>
      </c>
      <c r="C82" s="10">
        <v>464790</v>
      </c>
      <c r="D82" s="11"/>
      <c r="E82" s="10" t="s">
        <v>16</v>
      </c>
      <c r="F82" s="10" t="s">
        <v>276</v>
      </c>
      <c r="G82" s="10" t="s">
        <v>23</v>
      </c>
      <c r="H82" s="12" t="s">
        <v>27</v>
      </c>
      <c r="I82" s="12" t="s">
        <v>265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1</v>
      </c>
      <c r="AF82" s="13">
        <v>2000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7">
        <v>2000</v>
      </c>
      <c r="BN82" s="9">
        <f t="shared" si="4"/>
        <v>2000</v>
      </c>
      <c r="BO82" s="9">
        <f t="shared" si="5"/>
        <v>1400</v>
      </c>
    </row>
    <row r="83" spans="1:67" ht="24">
      <c r="A83" s="5" t="s">
        <v>208</v>
      </c>
      <c r="B83" s="10" t="s">
        <v>331</v>
      </c>
      <c r="C83" s="10">
        <v>474765</v>
      </c>
      <c r="D83" s="11"/>
      <c r="E83" s="10" t="s">
        <v>16</v>
      </c>
      <c r="F83" s="10" t="s">
        <v>329</v>
      </c>
      <c r="G83" s="10" t="s">
        <v>23</v>
      </c>
      <c r="H83" s="12" t="s">
        <v>27</v>
      </c>
      <c r="I83" s="12" t="s">
        <v>332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1</v>
      </c>
      <c r="AF83" s="12">
        <v>0</v>
      </c>
      <c r="AG83" s="13">
        <v>2000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7">
        <v>2000</v>
      </c>
      <c r="BN83" s="9">
        <f t="shared" si="4"/>
        <v>2000</v>
      </c>
      <c r="BO83" s="9">
        <f t="shared" si="5"/>
        <v>1400</v>
      </c>
    </row>
    <row r="84" spans="1:67" ht="24">
      <c r="A84" s="5" t="s">
        <v>208</v>
      </c>
      <c r="B84" s="10" t="s">
        <v>356</v>
      </c>
      <c r="C84" s="10">
        <v>464782</v>
      </c>
      <c r="D84" s="11"/>
      <c r="E84" s="10" t="s">
        <v>16</v>
      </c>
      <c r="F84" s="10" t="s">
        <v>329</v>
      </c>
      <c r="G84" s="10" t="s">
        <v>23</v>
      </c>
      <c r="H84" s="12" t="s">
        <v>27</v>
      </c>
      <c r="I84" s="12" t="s">
        <v>357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1</v>
      </c>
      <c r="AF84" s="12">
        <v>0</v>
      </c>
      <c r="AG84" s="13">
        <v>2000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7">
        <v>2000</v>
      </c>
      <c r="BN84" s="9">
        <f t="shared" si="4"/>
        <v>2000</v>
      </c>
      <c r="BO84" s="9">
        <f t="shared" si="5"/>
        <v>1400</v>
      </c>
    </row>
    <row r="85" spans="1:67" ht="24">
      <c r="A85" s="5" t="s">
        <v>208</v>
      </c>
      <c r="B85" s="10" t="s">
        <v>309</v>
      </c>
      <c r="C85" s="10">
        <v>443833</v>
      </c>
      <c r="D85" s="11"/>
      <c r="E85" s="10" t="s">
        <v>16</v>
      </c>
      <c r="F85" s="10" t="s">
        <v>310</v>
      </c>
      <c r="G85" s="10" t="s">
        <v>35</v>
      </c>
      <c r="H85" s="12" t="s">
        <v>8</v>
      </c>
      <c r="I85" s="12" t="s">
        <v>79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12</v>
      </c>
      <c r="AF85" s="12">
        <v>0</v>
      </c>
      <c r="AG85" s="13">
        <v>1200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1</v>
      </c>
      <c r="BD85" s="12">
        <v>120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7.2</v>
      </c>
      <c r="BM85" s="17">
        <v>1320</v>
      </c>
      <c r="BN85" s="9">
        <f t="shared" si="4"/>
        <v>1312.8</v>
      </c>
      <c r="BO85" s="9">
        <f t="shared" si="5"/>
        <v>918.95999999999992</v>
      </c>
    </row>
    <row r="86" spans="1:67" ht="24">
      <c r="A86" s="5" t="s">
        <v>208</v>
      </c>
      <c r="B86" s="10" t="s">
        <v>311</v>
      </c>
      <c r="C86" s="10">
        <v>443847</v>
      </c>
      <c r="D86" s="11"/>
      <c r="E86" s="10" t="s">
        <v>16</v>
      </c>
      <c r="F86" s="10" t="s">
        <v>55</v>
      </c>
      <c r="G86" s="10" t="s">
        <v>56</v>
      </c>
      <c r="H86" s="12" t="s">
        <v>8</v>
      </c>
      <c r="I86" s="12" t="s">
        <v>79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10</v>
      </c>
      <c r="BD86" s="13">
        <v>1200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72</v>
      </c>
      <c r="BM86" s="17">
        <v>1200</v>
      </c>
      <c r="BN86" s="9">
        <f t="shared" si="4"/>
        <v>1128</v>
      </c>
      <c r="BO86" s="9">
        <f t="shared" si="5"/>
        <v>789.59999999999991</v>
      </c>
    </row>
    <row r="87" spans="1:67" ht="24">
      <c r="A87" s="5" t="s">
        <v>208</v>
      </c>
      <c r="B87" s="10" t="s">
        <v>135</v>
      </c>
      <c r="C87" s="10">
        <v>396049</v>
      </c>
      <c r="D87" s="11"/>
      <c r="E87" s="10" t="s">
        <v>16</v>
      </c>
      <c r="F87" s="10" t="s">
        <v>90</v>
      </c>
      <c r="G87" s="10" t="s">
        <v>35</v>
      </c>
      <c r="H87" s="12" t="s">
        <v>8</v>
      </c>
      <c r="I87" s="12" t="s">
        <v>136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12</v>
      </c>
      <c r="AF87" s="12">
        <v>0</v>
      </c>
      <c r="AG87" s="13">
        <v>1200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7">
        <v>1200</v>
      </c>
      <c r="BN87" s="9">
        <f t="shared" si="4"/>
        <v>1200</v>
      </c>
      <c r="BO87" s="9">
        <f t="shared" si="5"/>
        <v>840</v>
      </c>
    </row>
    <row r="88" spans="1:67" ht="24">
      <c r="A88" s="5" t="s">
        <v>208</v>
      </c>
      <c r="B88" s="10" t="s">
        <v>65</v>
      </c>
      <c r="C88" s="10">
        <v>453445</v>
      </c>
      <c r="D88" s="11"/>
      <c r="E88" s="10" t="s">
        <v>16</v>
      </c>
      <c r="F88" s="10" t="s">
        <v>17</v>
      </c>
      <c r="G88" s="10" t="s">
        <v>18</v>
      </c>
      <c r="H88" s="12" t="s">
        <v>8</v>
      </c>
      <c r="I88" s="12" t="s">
        <v>66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1</v>
      </c>
      <c r="BA88" s="13">
        <v>1080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64.8</v>
      </c>
      <c r="BM88" s="17">
        <v>1080</v>
      </c>
      <c r="BN88" s="9">
        <f t="shared" si="4"/>
        <v>1015.2</v>
      </c>
      <c r="BO88" s="9">
        <f t="shared" si="5"/>
        <v>710.64</v>
      </c>
    </row>
    <row r="89" spans="1:67" ht="24">
      <c r="A89" s="5" t="s">
        <v>208</v>
      </c>
      <c r="B89" s="10" t="s">
        <v>241</v>
      </c>
      <c r="C89" s="10">
        <v>397687</v>
      </c>
      <c r="D89" s="11"/>
      <c r="E89" s="10" t="s">
        <v>16</v>
      </c>
      <c r="F89" s="10" t="s">
        <v>52</v>
      </c>
      <c r="G89" s="10" t="s">
        <v>18</v>
      </c>
      <c r="H89" s="12" t="s">
        <v>7</v>
      </c>
      <c r="I89" s="12" t="s">
        <v>242</v>
      </c>
      <c r="J89" s="12">
        <v>0</v>
      </c>
      <c r="K89" s="12">
        <v>10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9</v>
      </c>
      <c r="BD89" s="13">
        <v>1080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64.8</v>
      </c>
      <c r="BM89" s="17">
        <v>1080</v>
      </c>
      <c r="BN89" s="9">
        <f t="shared" si="4"/>
        <v>1015.2</v>
      </c>
      <c r="BO89" s="9">
        <f t="shared" si="5"/>
        <v>710.64</v>
      </c>
    </row>
    <row r="90" spans="1:67" ht="24">
      <c r="A90" s="5" t="s">
        <v>208</v>
      </c>
      <c r="B90" s="10" t="s">
        <v>306</v>
      </c>
      <c r="C90" s="10">
        <v>425161</v>
      </c>
      <c r="D90" s="11"/>
      <c r="E90" s="10" t="s">
        <v>16</v>
      </c>
      <c r="F90" s="10" t="s">
        <v>307</v>
      </c>
      <c r="G90" s="10" t="s">
        <v>56</v>
      </c>
      <c r="H90" s="12" t="s">
        <v>8</v>
      </c>
      <c r="I90" s="12" t="s">
        <v>308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6</v>
      </c>
      <c r="BD90" s="12">
        <v>720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43.2</v>
      </c>
      <c r="BM90" s="18">
        <v>720</v>
      </c>
      <c r="BN90" s="9">
        <f t="shared" si="4"/>
        <v>676.8</v>
      </c>
      <c r="BO90" s="9">
        <f t="shared" si="5"/>
        <v>473.75999999999993</v>
      </c>
    </row>
    <row r="91" spans="1:67" ht="24">
      <c r="A91" s="5" t="s">
        <v>208</v>
      </c>
      <c r="B91" s="10" t="s">
        <v>125</v>
      </c>
      <c r="C91" s="10">
        <v>331754</v>
      </c>
      <c r="D91" s="11"/>
      <c r="E91" s="10" t="s">
        <v>16</v>
      </c>
      <c r="F91" s="10" t="s">
        <v>89</v>
      </c>
      <c r="G91" s="10" t="s">
        <v>56</v>
      </c>
      <c r="H91" s="12" t="s">
        <v>27</v>
      </c>
      <c r="I91" s="12" t="s">
        <v>126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1</v>
      </c>
      <c r="AR91" s="12">
        <v>400</v>
      </c>
      <c r="AS91" s="12">
        <v>200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8">
        <v>600</v>
      </c>
      <c r="BN91" s="9">
        <f t="shared" si="4"/>
        <v>600</v>
      </c>
      <c r="BO91" s="9">
        <f t="shared" si="5"/>
        <v>420</v>
      </c>
    </row>
    <row r="92" spans="1:67" ht="24">
      <c r="A92" s="5" t="s">
        <v>208</v>
      </c>
      <c r="B92" s="10" t="s">
        <v>43</v>
      </c>
      <c r="C92" s="10">
        <v>372841</v>
      </c>
      <c r="D92" s="11"/>
      <c r="E92" s="10" t="s">
        <v>16</v>
      </c>
      <c r="F92" s="10" t="s">
        <v>44</v>
      </c>
      <c r="G92" s="10" t="s">
        <v>45</v>
      </c>
      <c r="H92" s="12" t="s">
        <v>8</v>
      </c>
      <c r="I92" s="12" t="s">
        <v>46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4</v>
      </c>
      <c r="AF92" s="12">
        <v>0</v>
      </c>
      <c r="AG92" s="12">
        <v>400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1</v>
      </c>
      <c r="AX92" s="12">
        <v>120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12</v>
      </c>
      <c r="BM92" s="18">
        <v>520</v>
      </c>
      <c r="BN92" s="9">
        <f t="shared" si="4"/>
        <v>508</v>
      </c>
      <c r="BO92" s="9">
        <f t="shared" si="5"/>
        <v>355.59999999999997</v>
      </c>
    </row>
    <row r="93" spans="1:67" ht="24">
      <c r="A93" s="5" t="s">
        <v>208</v>
      </c>
      <c r="B93" s="10" t="s">
        <v>243</v>
      </c>
      <c r="C93" s="10">
        <v>442342</v>
      </c>
      <c r="D93" s="11"/>
      <c r="E93" s="10" t="s">
        <v>16</v>
      </c>
      <c r="F93" s="10" t="s">
        <v>96</v>
      </c>
      <c r="G93" s="10" t="s">
        <v>69</v>
      </c>
      <c r="H93" s="12" t="s">
        <v>7</v>
      </c>
      <c r="I93" s="12" t="s">
        <v>97</v>
      </c>
      <c r="J93" s="12">
        <v>3</v>
      </c>
      <c r="K93" s="12">
        <v>0</v>
      </c>
      <c r="L93" s="12">
        <v>300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1</v>
      </c>
      <c r="BD93" s="12">
        <v>120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7.2</v>
      </c>
      <c r="BM93" s="18">
        <v>420</v>
      </c>
      <c r="BN93" s="9">
        <f t="shared" si="4"/>
        <v>412.8</v>
      </c>
      <c r="BO93" s="9">
        <f t="shared" si="5"/>
        <v>288.95999999999998</v>
      </c>
    </row>
    <row r="94" spans="1:67" ht="24">
      <c r="A94" s="5" t="s">
        <v>208</v>
      </c>
      <c r="B94" s="10" t="s">
        <v>302</v>
      </c>
      <c r="C94" s="10">
        <v>453397</v>
      </c>
      <c r="D94" s="11"/>
      <c r="E94" s="10" t="s">
        <v>16</v>
      </c>
      <c r="F94" s="10" t="s">
        <v>17</v>
      </c>
      <c r="G94" s="10" t="s">
        <v>18</v>
      </c>
      <c r="H94" s="12" t="s">
        <v>8</v>
      </c>
      <c r="I94" s="12" t="s">
        <v>66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3</v>
      </c>
      <c r="BD94" s="12">
        <v>360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21.6</v>
      </c>
      <c r="BM94" s="18">
        <v>360</v>
      </c>
      <c r="BN94" s="9">
        <f t="shared" si="4"/>
        <v>338.4</v>
      </c>
      <c r="BO94" s="9">
        <f t="shared" si="5"/>
        <v>236.87999999999997</v>
      </c>
    </row>
    <row r="95" spans="1:67" ht="24">
      <c r="A95" s="5" t="s">
        <v>208</v>
      </c>
      <c r="B95" s="10" t="s">
        <v>150</v>
      </c>
      <c r="C95" s="10">
        <v>445598</v>
      </c>
      <c r="D95" s="11"/>
      <c r="E95" s="10" t="s">
        <v>16</v>
      </c>
      <c r="F95" s="10" t="s">
        <v>17</v>
      </c>
      <c r="G95" s="10" t="s">
        <v>18</v>
      </c>
      <c r="H95" s="12" t="s">
        <v>7</v>
      </c>
      <c r="I95" s="12" t="s">
        <v>88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3</v>
      </c>
      <c r="AF95" s="12">
        <v>0</v>
      </c>
      <c r="AG95" s="12">
        <v>300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8">
        <v>300</v>
      </c>
      <c r="BN95" s="9">
        <f t="shared" si="4"/>
        <v>300</v>
      </c>
      <c r="BO95" s="9">
        <f t="shared" si="5"/>
        <v>210</v>
      </c>
    </row>
    <row r="96" spans="1:67" ht="24">
      <c r="A96" s="5" t="s">
        <v>208</v>
      </c>
      <c r="B96" s="10" t="s">
        <v>358</v>
      </c>
      <c r="C96" s="10">
        <v>413108</v>
      </c>
      <c r="D96" s="11"/>
      <c r="E96" s="10" t="s">
        <v>16</v>
      </c>
      <c r="F96" s="10" t="s">
        <v>30</v>
      </c>
      <c r="G96" s="10" t="s">
        <v>56</v>
      </c>
      <c r="H96" s="12" t="s">
        <v>27</v>
      </c>
      <c r="I96" s="12" t="s">
        <v>359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1</v>
      </c>
      <c r="BD96" s="12">
        <v>240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14.4</v>
      </c>
      <c r="BM96" s="18">
        <v>240</v>
      </c>
      <c r="BN96" s="9">
        <f t="shared" si="4"/>
        <v>225.6</v>
      </c>
      <c r="BO96" s="9">
        <f t="shared" si="5"/>
        <v>157.91999999999999</v>
      </c>
    </row>
    <row r="97" spans="1:67" ht="24">
      <c r="A97" s="5" t="s">
        <v>208</v>
      </c>
      <c r="B97" s="10" t="s">
        <v>211</v>
      </c>
      <c r="C97" s="10">
        <v>453478</v>
      </c>
      <c r="D97" s="11"/>
      <c r="E97" s="10" t="s">
        <v>16</v>
      </c>
      <c r="F97" s="10" t="s">
        <v>17</v>
      </c>
      <c r="G97" s="10" t="s">
        <v>18</v>
      </c>
      <c r="H97" s="12" t="s">
        <v>7</v>
      </c>
      <c r="I97" s="12" t="s">
        <v>212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2</v>
      </c>
      <c r="AF97" s="12">
        <v>0</v>
      </c>
      <c r="AG97" s="12">
        <v>200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8">
        <v>200</v>
      </c>
      <c r="BN97" s="9">
        <f t="shared" si="4"/>
        <v>200</v>
      </c>
      <c r="BO97" s="9">
        <f t="shared" si="5"/>
        <v>140</v>
      </c>
    </row>
    <row r="98" spans="1:67" ht="24">
      <c r="A98" s="5" t="s">
        <v>208</v>
      </c>
      <c r="B98" s="10" t="s">
        <v>305</v>
      </c>
      <c r="C98" s="10">
        <v>443969</v>
      </c>
      <c r="D98" s="11"/>
      <c r="E98" s="10" t="s">
        <v>16</v>
      </c>
      <c r="F98" s="10" t="s">
        <v>55</v>
      </c>
      <c r="G98" s="10" t="s">
        <v>56</v>
      </c>
      <c r="H98" s="12" t="s">
        <v>8</v>
      </c>
      <c r="I98" s="12" t="s">
        <v>114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1</v>
      </c>
      <c r="BD98" s="12">
        <v>120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7.2</v>
      </c>
      <c r="BM98" s="18">
        <v>120</v>
      </c>
      <c r="BN98" s="9">
        <f t="shared" si="4"/>
        <v>112.8</v>
      </c>
      <c r="BO98" s="9">
        <f t="shared" si="5"/>
        <v>78.959999999999994</v>
      </c>
    </row>
    <row r="99" spans="1:67" ht="24">
      <c r="A99" s="5" t="s">
        <v>208</v>
      </c>
      <c r="B99" s="10" t="s">
        <v>237</v>
      </c>
      <c r="C99" s="10">
        <v>443531</v>
      </c>
      <c r="D99" s="11"/>
      <c r="E99" s="10" t="s">
        <v>16</v>
      </c>
      <c r="F99" s="10" t="s">
        <v>90</v>
      </c>
      <c r="G99" s="10" t="s">
        <v>35</v>
      </c>
      <c r="H99" s="12" t="s">
        <v>8</v>
      </c>
      <c r="I99" s="12" t="s">
        <v>102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1</v>
      </c>
      <c r="AF99" s="12">
        <v>0</v>
      </c>
      <c r="AG99" s="12">
        <v>100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8">
        <v>100</v>
      </c>
      <c r="BN99" s="9">
        <f t="shared" si="4"/>
        <v>100</v>
      </c>
      <c r="BO99" s="9">
        <f t="shared" si="5"/>
        <v>70</v>
      </c>
    </row>
    <row r="100" spans="1:67" ht="24">
      <c r="A100" s="5" t="s">
        <v>218</v>
      </c>
      <c r="B100" s="10" t="s">
        <v>335</v>
      </c>
      <c r="C100" s="10">
        <v>488813</v>
      </c>
      <c r="D100" s="11"/>
      <c r="E100" s="10" t="s">
        <v>16</v>
      </c>
      <c r="F100" s="10" t="s">
        <v>336</v>
      </c>
      <c r="G100" s="10" t="s">
        <v>23</v>
      </c>
      <c r="H100" s="12" t="s">
        <v>27</v>
      </c>
      <c r="I100" s="12" t="s">
        <v>337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33</v>
      </c>
      <c r="AF100" s="13">
        <v>56000</v>
      </c>
      <c r="AG100" s="13">
        <v>77800</v>
      </c>
      <c r="AH100" s="12">
        <v>0</v>
      </c>
      <c r="AI100" s="12">
        <v>0</v>
      </c>
      <c r="AJ100" s="12">
        <v>0</v>
      </c>
      <c r="AK100" s="12">
        <v>1</v>
      </c>
      <c r="AL100" s="12">
        <v>0</v>
      </c>
      <c r="AM100" s="13">
        <v>1000</v>
      </c>
      <c r="AN100" s="12">
        <v>0</v>
      </c>
      <c r="AO100" s="12">
        <v>0</v>
      </c>
      <c r="AP100" s="12">
        <v>0</v>
      </c>
      <c r="AQ100" s="12">
        <v>6</v>
      </c>
      <c r="AR100" s="13">
        <v>21100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14</v>
      </c>
      <c r="BJ100" s="13">
        <v>62520</v>
      </c>
      <c r="BK100" s="12">
        <v>0</v>
      </c>
      <c r="BL100" s="14">
        <v>3126</v>
      </c>
      <c r="BM100" s="17">
        <v>218420</v>
      </c>
      <c r="BN100" s="9">
        <f t="shared" si="4"/>
        <v>215294</v>
      </c>
      <c r="BO100" s="9">
        <f t="shared" si="5"/>
        <v>150705.79999999999</v>
      </c>
    </row>
    <row r="101" spans="1:67" ht="24">
      <c r="A101" s="5" t="s">
        <v>218</v>
      </c>
      <c r="B101" s="10" t="s">
        <v>348</v>
      </c>
      <c r="C101" s="10">
        <v>488818</v>
      </c>
      <c r="D101" s="11"/>
      <c r="E101" s="10" t="s">
        <v>16</v>
      </c>
      <c r="F101" s="10" t="s">
        <v>349</v>
      </c>
      <c r="G101" s="10" t="s">
        <v>23</v>
      </c>
      <c r="H101" s="12" t="s">
        <v>27</v>
      </c>
      <c r="I101" s="12" t="s">
        <v>350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39</v>
      </c>
      <c r="AF101" s="13">
        <v>9400</v>
      </c>
      <c r="AG101" s="13">
        <v>87900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1</v>
      </c>
      <c r="AR101" s="13">
        <v>1000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2</v>
      </c>
      <c r="BJ101" s="13">
        <v>6000</v>
      </c>
      <c r="BK101" s="12">
        <v>0</v>
      </c>
      <c r="BL101" s="12">
        <v>300</v>
      </c>
      <c r="BM101" s="17">
        <v>104300</v>
      </c>
      <c r="BN101" s="9">
        <f t="shared" si="4"/>
        <v>104000</v>
      </c>
      <c r="BO101" s="9">
        <f t="shared" si="5"/>
        <v>72800</v>
      </c>
    </row>
    <row r="102" spans="1:67" ht="24">
      <c r="A102" s="5" t="s">
        <v>218</v>
      </c>
      <c r="B102" s="10" t="s">
        <v>15</v>
      </c>
      <c r="C102" s="10">
        <v>465998</v>
      </c>
      <c r="D102" s="11"/>
      <c r="E102" s="10" t="s">
        <v>16</v>
      </c>
      <c r="F102" s="10" t="s">
        <v>17</v>
      </c>
      <c r="G102" s="10" t="s">
        <v>18</v>
      </c>
      <c r="H102" s="12" t="s">
        <v>10</v>
      </c>
      <c r="I102" s="12" t="s">
        <v>19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1</v>
      </c>
      <c r="AC102" s="13">
        <v>1080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41</v>
      </c>
      <c r="BG102" s="13">
        <v>44280</v>
      </c>
      <c r="BH102" s="12">
        <v>0</v>
      </c>
      <c r="BI102" s="12">
        <v>18</v>
      </c>
      <c r="BJ102" s="13">
        <v>43200</v>
      </c>
      <c r="BK102" s="12">
        <v>0</v>
      </c>
      <c r="BL102" s="14">
        <v>4374</v>
      </c>
      <c r="BM102" s="17">
        <v>88560</v>
      </c>
      <c r="BN102" s="9">
        <f t="shared" si="4"/>
        <v>84186</v>
      </c>
      <c r="BO102" s="9">
        <f t="shared" si="5"/>
        <v>58930.2</v>
      </c>
    </row>
    <row r="103" spans="1:67" ht="24">
      <c r="A103" s="5" t="s">
        <v>218</v>
      </c>
      <c r="B103" s="10" t="s">
        <v>20</v>
      </c>
      <c r="C103" s="10">
        <v>451051</v>
      </c>
      <c r="D103" s="11"/>
      <c r="E103" s="10" t="s">
        <v>16</v>
      </c>
      <c r="F103" s="10" t="s">
        <v>17</v>
      </c>
      <c r="G103" s="10" t="s">
        <v>18</v>
      </c>
      <c r="H103" s="12" t="s">
        <v>10</v>
      </c>
      <c r="I103" s="12" t="s">
        <v>14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134</v>
      </c>
      <c r="AF103" s="13">
        <v>15000</v>
      </c>
      <c r="AG103" s="12">
        <v>900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353</v>
      </c>
      <c r="AR103" s="13">
        <v>34500</v>
      </c>
      <c r="AS103" s="12">
        <v>800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204</v>
      </c>
      <c r="BJ103" s="13">
        <v>24480</v>
      </c>
      <c r="BK103" s="12">
        <v>0</v>
      </c>
      <c r="BL103" s="14">
        <v>1224</v>
      </c>
      <c r="BM103" s="17">
        <v>75680</v>
      </c>
      <c r="BN103" s="9">
        <f t="shared" si="4"/>
        <v>74456</v>
      </c>
      <c r="BO103" s="9">
        <f t="shared" si="5"/>
        <v>52119.199999999997</v>
      </c>
    </row>
    <row r="104" spans="1:67" ht="24">
      <c r="A104" s="5" t="s">
        <v>218</v>
      </c>
      <c r="B104" s="10" t="s">
        <v>138</v>
      </c>
      <c r="C104" s="10">
        <v>470383</v>
      </c>
      <c r="D104" s="11"/>
      <c r="E104" s="10" t="s">
        <v>16</v>
      </c>
      <c r="F104" s="10" t="s">
        <v>139</v>
      </c>
      <c r="G104" s="10" t="s">
        <v>23</v>
      </c>
      <c r="H104" s="12" t="s">
        <v>27</v>
      </c>
      <c r="I104" s="12" t="s">
        <v>140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23</v>
      </c>
      <c r="AF104" s="13">
        <v>14000</v>
      </c>
      <c r="AG104" s="13">
        <v>31900</v>
      </c>
      <c r="AH104" s="12">
        <v>0</v>
      </c>
      <c r="AI104" s="12">
        <v>0</v>
      </c>
      <c r="AJ104" s="12">
        <v>0</v>
      </c>
      <c r="AK104" s="12">
        <v>1</v>
      </c>
      <c r="AL104" s="12">
        <v>0</v>
      </c>
      <c r="AM104" s="12">
        <v>200</v>
      </c>
      <c r="AN104" s="12">
        <v>0</v>
      </c>
      <c r="AO104" s="12">
        <v>0</v>
      </c>
      <c r="AP104" s="12">
        <v>0</v>
      </c>
      <c r="AQ104" s="12">
        <v>3</v>
      </c>
      <c r="AR104" s="13">
        <v>5500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5</v>
      </c>
      <c r="BJ104" s="13">
        <v>12000</v>
      </c>
      <c r="BK104" s="12">
        <v>0</v>
      </c>
      <c r="BL104" s="12">
        <v>600</v>
      </c>
      <c r="BM104" s="17">
        <v>63600</v>
      </c>
      <c r="BN104" s="9">
        <f t="shared" si="4"/>
        <v>63000</v>
      </c>
      <c r="BO104" s="9">
        <f t="shared" si="5"/>
        <v>44100</v>
      </c>
    </row>
    <row r="105" spans="1:67" ht="24">
      <c r="A105" s="5" t="s">
        <v>218</v>
      </c>
      <c r="B105" s="10" t="s">
        <v>270</v>
      </c>
      <c r="C105" s="10">
        <v>461353</v>
      </c>
      <c r="D105" s="11"/>
      <c r="E105" s="10" t="s">
        <v>16</v>
      </c>
      <c r="F105" s="10" t="s">
        <v>139</v>
      </c>
      <c r="G105" s="10" t="s">
        <v>23</v>
      </c>
      <c r="H105" s="12" t="s">
        <v>27</v>
      </c>
      <c r="I105" s="12" t="s">
        <v>265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19</v>
      </c>
      <c r="AF105" s="13">
        <v>11600</v>
      </c>
      <c r="AG105" s="13">
        <v>25700</v>
      </c>
      <c r="AH105" s="12">
        <v>0</v>
      </c>
      <c r="AI105" s="12">
        <v>0</v>
      </c>
      <c r="AJ105" s="12">
        <v>0</v>
      </c>
      <c r="AK105" s="12">
        <v>1</v>
      </c>
      <c r="AL105" s="12">
        <v>0</v>
      </c>
      <c r="AM105" s="13">
        <v>1400</v>
      </c>
      <c r="AN105" s="12">
        <v>0</v>
      </c>
      <c r="AO105" s="12">
        <v>0</v>
      </c>
      <c r="AP105" s="12">
        <v>0</v>
      </c>
      <c r="AQ105" s="12">
        <v>4</v>
      </c>
      <c r="AR105" s="13">
        <v>7500</v>
      </c>
      <c r="AS105" s="12">
        <v>500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5</v>
      </c>
      <c r="BJ105" s="13">
        <v>10680</v>
      </c>
      <c r="BK105" s="12">
        <v>0</v>
      </c>
      <c r="BL105" s="12">
        <v>534</v>
      </c>
      <c r="BM105" s="17">
        <v>57380</v>
      </c>
      <c r="BN105" s="9">
        <f t="shared" si="4"/>
        <v>56846</v>
      </c>
      <c r="BO105" s="9">
        <f t="shared" si="5"/>
        <v>39792.199999999997</v>
      </c>
    </row>
    <row r="106" spans="1:67" ht="24">
      <c r="A106" s="5" t="s">
        <v>217</v>
      </c>
      <c r="B106" s="10" t="s">
        <v>253</v>
      </c>
      <c r="C106" s="10">
        <v>483769</v>
      </c>
      <c r="D106" s="11"/>
      <c r="E106" s="10" t="s">
        <v>16</v>
      </c>
      <c r="F106" s="10" t="s">
        <v>254</v>
      </c>
      <c r="G106" s="10" t="s">
        <v>23</v>
      </c>
      <c r="H106" s="12" t="s">
        <v>8</v>
      </c>
      <c r="I106" s="12" t="s">
        <v>255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11</v>
      </c>
      <c r="AF106" s="13">
        <v>17260</v>
      </c>
      <c r="AG106" s="13">
        <v>12700</v>
      </c>
      <c r="AH106" s="12">
        <v>0</v>
      </c>
      <c r="AI106" s="12">
        <v>0</v>
      </c>
      <c r="AJ106" s="12">
        <v>0</v>
      </c>
      <c r="AK106" s="12">
        <v>1</v>
      </c>
      <c r="AL106" s="12">
        <v>0</v>
      </c>
      <c r="AM106" s="13">
        <v>2500</v>
      </c>
      <c r="AN106" s="12">
        <v>0</v>
      </c>
      <c r="AO106" s="12">
        <v>0</v>
      </c>
      <c r="AP106" s="12">
        <v>0</v>
      </c>
      <c r="AQ106" s="12">
        <v>3</v>
      </c>
      <c r="AR106" s="13">
        <v>7500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4</v>
      </c>
      <c r="BJ106" s="13">
        <v>12000</v>
      </c>
      <c r="BK106" s="12">
        <v>0</v>
      </c>
      <c r="BL106" s="12">
        <v>600</v>
      </c>
      <c r="BM106" s="17">
        <v>51960</v>
      </c>
      <c r="BN106" s="9">
        <f t="shared" si="4"/>
        <v>51360</v>
      </c>
      <c r="BO106" s="9">
        <f t="shared" si="5"/>
        <v>35952</v>
      </c>
    </row>
    <row r="107" spans="1:67" ht="24">
      <c r="A107" s="5" t="s">
        <v>218</v>
      </c>
      <c r="B107" s="10" t="s">
        <v>266</v>
      </c>
      <c r="C107" s="10">
        <v>464780</v>
      </c>
      <c r="D107" s="11"/>
      <c r="E107" s="10" t="s">
        <v>16</v>
      </c>
      <c r="F107" s="10" t="s">
        <v>267</v>
      </c>
      <c r="G107" s="10" t="s">
        <v>23</v>
      </c>
      <c r="H107" s="12" t="s">
        <v>27</v>
      </c>
      <c r="I107" s="12" t="s">
        <v>265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9</v>
      </c>
      <c r="AF107" s="13">
        <v>11000</v>
      </c>
      <c r="AG107" s="13">
        <v>7000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5</v>
      </c>
      <c r="AR107" s="13">
        <v>9500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9</v>
      </c>
      <c r="BJ107" s="13">
        <v>21600</v>
      </c>
      <c r="BK107" s="12">
        <v>0</v>
      </c>
      <c r="BL107" s="14">
        <v>1080</v>
      </c>
      <c r="BM107" s="17">
        <v>49100</v>
      </c>
      <c r="BN107" s="9">
        <f t="shared" si="4"/>
        <v>48020</v>
      </c>
      <c r="BO107" s="9">
        <f t="shared" si="5"/>
        <v>33614</v>
      </c>
    </row>
    <row r="108" spans="1:67" ht="24">
      <c r="A108" s="5" t="s">
        <v>218</v>
      </c>
      <c r="B108" s="10" t="s">
        <v>103</v>
      </c>
      <c r="C108" s="10">
        <v>445220</v>
      </c>
      <c r="D108" s="11"/>
      <c r="E108" s="10" t="s">
        <v>16</v>
      </c>
      <c r="F108" s="10" t="s">
        <v>104</v>
      </c>
      <c r="G108" s="10" t="s">
        <v>35</v>
      </c>
      <c r="H108" s="12" t="s">
        <v>8</v>
      </c>
      <c r="I108" s="12" t="s">
        <v>105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257</v>
      </c>
      <c r="AF108" s="13">
        <v>18240</v>
      </c>
      <c r="AG108" s="13">
        <v>10500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90</v>
      </c>
      <c r="BJ108" s="13">
        <v>10800</v>
      </c>
      <c r="BK108" s="12">
        <v>0</v>
      </c>
      <c r="BL108" s="12">
        <v>540</v>
      </c>
      <c r="BM108" s="17">
        <v>39540</v>
      </c>
      <c r="BN108" s="9">
        <f t="shared" si="4"/>
        <v>39000</v>
      </c>
      <c r="BO108" s="9">
        <f t="shared" si="5"/>
        <v>27300</v>
      </c>
    </row>
    <row r="109" spans="1:67" ht="24">
      <c r="A109" s="5" t="s">
        <v>217</v>
      </c>
      <c r="B109" s="10" t="s">
        <v>25</v>
      </c>
      <c r="C109" s="10">
        <v>459229</v>
      </c>
      <c r="D109" s="11"/>
      <c r="E109" s="10" t="s">
        <v>16</v>
      </c>
      <c r="F109" s="10" t="s">
        <v>26</v>
      </c>
      <c r="G109" s="10" t="s">
        <v>23</v>
      </c>
      <c r="H109" s="12" t="s">
        <v>27</v>
      </c>
      <c r="I109" s="12" t="s">
        <v>28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8</v>
      </c>
      <c r="AF109" s="13">
        <v>13800</v>
      </c>
      <c r="AG109" s="13">
        <v>12000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2</v>
      </c>
      <c r="AR109" s="13">
        <v>5800</v>
      </c>
      <c r="AS109" s="12">
        <v>200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2</v>
      </c>
      <c r="BJ109" s="13">
        <v>7200</v>
      </c>
      <c r="BK109" s="12">
        <v>0</v>
      </c>
      <c r="BL109" s="12">
        <v>360</v>
      </c>
      <c r="BM109" s="17">
        <v>39000</v>
      </c>
      <c r="BN109" s="9">
        <f t="shared" si="4"/>
        <v>38640</v>
      </c>
      <c r="BO109" s="9">
        <f t="shared" si="5"/>
        <v>27048</v>
      </c>
    </row>
    <row r="110" spans="1:67" ht="24">
      <c r="A110" s="5" t="s">
        <v>218</v>
      </c>
      <c r="B110" s="10" t="s">
        <v>58</v>
      </c>
      <c r="C110" s="10">
        <v>468582</v>
      </c>
      <c r="D110" s="11"/>
      <c r="E110" s="10" t="s">
        <v>16</v>
      </c>
      <c r="F110" s="10" t="s">
        <v>59</v>
      </c>
      <c r="G110" s="10" t="s">
        <v>23</v>
      </c>
      <c r="H110" s="12" t="s">
        <v>10</v>
      </c>
      <c r="I110" s="12" t="s">
        <v>60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13</v>
      </c>
      <c r="AF110" s="13">
        <v>24540</v>
      </c>
      <c r="AG110" s="13">
        <v>10300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1</v>
      </c>
      <c r="AR110" s="13">
        <v>1000</v>
      </c>
      <c r="AS110" s="12">
        <v>100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1</v>
      </c>
      <c r="BJ110" s="13">
        <v>3000</v>
      </c>
      <c r="BK110" s="12">
        <v>0</v>
      </c>
      <c r="BL110" s="12">
        <v>150</v>
      </c>
      <c r="BM110" s="17">
        <v>38940</v>
      </c>
      <c r="BN110" s="9">
        <f t="shared" si="4"/>
        <v>38790</v>
      </c>
      <c r="BO110" s="9">
        <f t="shared" si="5"/>
        <v>27153</v>
      </c>
    </row>
    <row r="111" spans="1:67" ht="24">
      <c r="A111" s="5" t="s">
        <v>218</v>
      </c>
      <c r="B111" s="10" t="s">
        <v>21</v>
      </c>
      <c r="C111" s="10">
        <v>464786</v>
      </c>
      <c r="D111" s="11"/>
      <c r="E111" s="10" t="s">
        <v>16</v>
      </c>
      <c r="F111" s="10" t="s">
        <v>22</v>
      </c>
      <c r="G111" s="10" t="s">
        <v>23</v>
      </c>
      <c r="H111" s="12" t="s">
        <v>10</v>
      </c>
      <c r="I111" s="12" t="s">
        <v>24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9</v>
      </c>
      <c r="AF111" s="13">
        <v>8500</v>
      </c>
      <c r="AG111" s="13">
        <v>13500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1</v>
      </c>
      <c r="AR111" s="13">
        <v>2500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5</v>
      </c>
      <c r="BJ111" s="13">
        <v>13800</v>
      </c>
      <c r="BK111" s="12">
        <v>0</v>
      </c>
      <c r="BL111" s="12">
        <v>690</v>
      </c>
      <c r="BM111" s="17">
        <v>38300</v>
      </c>
      <c r="BN111" s="9">
        <f t="shared" si="4"/>
        <v>37610</v>
      </c>
      <c r="BO111" s="9">
        <f t="shared" si="5"/>
        <v>26327</v>
      </c>
    </row>
    <row r="112" spans="1:67" ht="24">
      <c r="A112" s="5" t="s">
        <v>218</v>
      </c>
      <c r="B112" s="10" t="s">
        <v>118</v>
      </c>
      <c r="C112" s="10">
        <v>367415</v>
      </c>
      <c r="D112" s="11"/>
      <c r="E112" s="10" t="s">
        <v>16</v>
      </c>
      <c r="F112" s="10" t="s">
        <v>49</v>
      </c>
      <c r="G112" s="10" t="s">
        <v>18</v>
      </c>
      <c r="H112" s="12" t="s">
        <v>7</v>
      </c>
      <c r="I112" s="12" t="s">
        <v>119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32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290</v>
      </c>
      <c r="AF112" s="13">
        <v>34800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7">
        <v>34800</v>
      </c>
      <c r="BN112" s="9">
        <f t="shared" si="4"/>
        <v>34800</v>
      </c>
      <c r="BO112" s="9">
        <f t="shared" si="5"/>
        <v>24360</v>
      </c>
    </row>
    <row r="113" spans="1:67" ht="24">
      <c r="A113" s="5" t="s">
        <v>218</v>
      </c>
      <c r="B113" s="10" t="s">
        <v>298</v>
      </c>
      <c r="C113" s="10">
        <v>485979</v>
      </c>
      <c r="D113" s="11"/>
      <c r="E113" s="10" t="s">
        <v>16</v>
      </c>
      <c r="F113" s="10" t="s">
        <v>59</v>
      </c>
      <c r="G113" s="10" t="s">
        <v>23</v>
      </c>
      <c r="H113" s="12" t="s">
        <v>7</v>
      </c>
      <c r="I113" s="12" t="s">
        <v>299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6</v>
      </c>
      <c r="AF113" s="13">
        <v>8060</v>
      </c>
      <c r="AG113" s="13">
        <v>11000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1</v>
      </c>
      <c r="AR113" s="13">
        <v>3000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2</v>
      </c>
      <c r="BJ113" s="13">
        <v>7200</v>
      </c>
      <c r="BK113" s="12">
        <v>0</v>
      </c>
      <c r="BL113" s="12">
        <v>360</v>
      </c>
      <c r="BM113" s="17">
        <v>29260</v>
      </c>
      <c r="BN113" s="9">
        <f t="shared" si="4"/>
        <v>28900</v>
      </c>
      <c r="BO113" s="9">
        <f t="shared" si="5"/>
        <v>20230</v>
      </c>
    </row>
    <row r="114" spans="1:67" ht="24">
      <c r="A114" s="5" t="s">
        <v>217</v>
      </c>
      <c r="B114" s="10" t="s">
        <v>360</v>
      </c>
      <c r="C114" s="10">
        <v>488819</v>
      </c>
      <c r="D114" s="11"/>
      <c r="E114" s="10" t="s">
        <v>16</v>
      </c>
      <c r="F114" s="10" t="s">
        <v>326</v>
      </c>
      <c r="G114" s="10" t="s">
        <v>23</v>
      </c>
      <c r="H114" s="12" t="s">
        <v>27</v>
      </c>
      <c r="I114" s="12" t="s">
        <v>361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5</v>
      </c>
      <c r="AF114" s="13">
        <v>6000</v>
      </c>
      <c r="AG114" s="13">
        <v>7300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1</v>
      </c>
      <c r="AR114" s="12">
        <v>500</v>
      </c>
      <c r="AS114" s="13">
        <v>2000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5</v>
      </c>
      <c r="BJ114" s="13">
        <v>12240</v>
      </c>
      <c r="BK114" s="12">
        <v>0</v>
      </c>
      <c r="BL114" s="12">
        <v>612</v>
      </c>
      <c r="BM114" s="17">
        <v>28040</v>
      </c>
      <c r="BN114" s="9">
        <f t="shared" si="4"/>
        <v>27428</v>
      </c>
      <c r="BO114" s="9">
        <f t="shared" si="5"/>
        <v>19199.599999999999</v>
      </c>
    </row>
    <row r="115" spans="1:67" ht="24">
      <c r="A115" s="5" t="s">
        <v>218</v>
      </c>
      <c r="B115" s="10" t="s">
        <v>219</v>
      </c>
      <c r="C115" s="10">
        <v>474768</v>
      </c>
      <c r="D115" s="11"/>
      <c r="E115" s="10" t="s">
        <v>16</v>
      </c>
      <c r="F115" s="10" t="s">
        <v>26</v>
      </c>
      <c r="G115" s="10" t="s">
        <v>23</v>
      </c>
      <c r="H115" s="12" t="s">
        <v>27</v>
      </c>
      <c r="I115" s="12" t="s">
        <v>220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5</v>
      </c>
      <c r="AF115" s="13">
        <v>15280</v>
      </c>
      <c r="AG115" s="13">
        <v>3500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2</v>
      </c>
      <c r="BJ115" s="13">
        <v>8400</v>
      </c>
      <c r="BK115" s="12">
        <v>0</v>
      </c>
      <c r="BL115" s="12">
        <v>420</v>
      </c>
      <c r="BM115" s="17">
        <v>27180</v>
      </c>
      <c r="BN115" s="9">
        <f t="shared" si="4"/>
        <v>26760</v>
      </c>
      <c r="BO115" s="9">
        <f t="shared" si="5"/>
        <v>18732</v>
      </c>
    </row>
    <row r="116" spans="1:67" ht="24">
      <c r="A116" s="5" t="s">
        <v>218</v>
      </c>
      <c r="B116" s="10" t="s">
        <v>82</v>
      </c>
      <c r="C116" s="10">
        <v>455896</v>
      </c>
      <c r="D116" s="11"/>
      <c r="E116" s="10" t="s">
        <v>16</v>
      </c>
      <c r="F116" s="10" t="s">
        <v>17</v>
      </c>
      <c r="G116" s="10" t="s">
        <v>18</v>
      </c>
      <c r="H116" s="12" t="s">
        <v>7</v>
      </c>
      <c r="I116" s="12" t="s">
        <v>83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167</v>
      </c>
      <c r="AF116" s="13">
        <v>20040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17</v>
      </c>
      <c r="BJ116" s="13">
        <v>2040</v>
      </c>
      <c r="BK116" s="12">
        <v>0</v>
      </c>
      <c r="BL116" s="12">
        <v>102</v>
      </c>
      <c r="BM116" s="17">
        <v>22080</v>
      </c>
      <c r="BN116" s="9">
        <f t="shared" si="4"/>
        <v>21978</v>
      </c>
      <c r="BO116" s="9">
        <f t="shared" si="5"/>
        <v>15384.599999999999</v>
      </c>
    </row>
    <row r="117" spans="1:67" ht="24">
      <c r="A117" s="5" t="s">
        <v>218</v>
      </c>
      <c r="B117" s="10" t="s">
        <v>354</v>
      </c>
      <c r="C117" s="10">
        <v>483760</v>
      </c>
      <c r="D117" s="11"/>
      <c r="E117" s="10" t="s">
        <v>16</v>
      </c>
      <c r="F117" s="10" t="s">
        <v>68</v>
      </c>
      <c r="G117" s="10" t="s">
        <v>69</v>
      </c>
      <c r="H117" s="12" t="s">
        <v>7</v>
      </c>
      <c r="I117" s="12" t="s">
        <v>355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6</v>
      </c>
      <c r="AF117" s="13">
        <v>21600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7">
        <v>21600</v>
      </c>
      <c r="BN117" s="9">
        <f t="shared" si="4"/>
        <v>21600</v>
      </c>
      <c r="BO117" s="9">
        <f t="shared" si="5"/>
        <v>15119.999999999998</v>
      </c>
    </row>
    <row r="118" spans="1:67" ht="24">
      <c r="A118" s="5" t="s">
        <v>218</v>
      </c>
      <c r="B118" s="10" t="s">
        <v>250</v>
      </c>
      <c r="C118" s="10">
        <v>442667</v>
      </c>
      <c r="D118" s="11"/>
      <c r="E118" s="10" t="s">
        <v>16</v>
      </c>
      <c r="F118" s="10" t="s">
        <v>84</v>
      </c>
      <c r="G118" s="10" t="s">
        <v>35</v>
      </c>
      <c r="H118" s="12" t="s">
        <v>27</v>
      </c>
      <c r="I118" s="12" t="s">
        <v>251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6</v>
      </c>
      <c r="AF118" s="12">
        <v>0</v>
      </c>
      <c r="AG118" s="13">
        <v>18000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7">
        <v>18000</v>
      </c>
      <c r="BN118" s="9">
        <f t="shared" si="4"/>
        <v>18000</v>
      </c>
      <c r="BO118" s="9">
        <f t="shared" si="5"/>
        <v>12600</v>
      </c>
    </row>
    <row r="119" spans="1:67" ht="24">
      <c r="A119" s="5" t="s">
        <v>218</v>
      </c>
      <c r="B119" s="10" t="s">
        <v>221</v>
      </c>
      <c r="C119" s="10">
        <v>477489</v>
      </c>
      <c r="D119" s="11"/>
      <c r="E119" s="10" t="s">
        <v>16</v>
      </c>
      <c r="F119" s="10" t="s">
        <v>222</v>
      </c>
      <c r="G119" s="10" t="s">
        <v>23</v>
      </c>
      <c r="H119" s="12" t="s">
        <v>27</v>
      </c>
      <c r="I119" s="12" t="s">
        <v>212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3</v>
      </c>
      <c r="AF119" s="13">
        <v>4800</v>
      </c>
      <c r="AG119" s="13">
        <v>2000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1</v>
      </c>
      <c r="AR119" s="13">
        <v>2000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3</v>
      </c>
      <c r="BJ119" s="13">
        <v>7200</v>
      </c>
      <c r="BK119" s="12">
        <v>0</v>
      </c>
      <c r="BL119" s="12">
        <v>360</v>
      </c>
      <c r="BM119" s="17">
        <v>16000</v>
      </c>
      <c r="BN119" s="9">
        <f t="shared" si="4"/>
        <v>15640</v>
      </c>
      <c r="BO119" s="9">
        <f t="shared" si="5"/>
        <v>10948</v>
      </c>
    </row>
    <row r="120" spans="1:67" ht="24">
      <c r="A120" s="5" t="s">
        <v>218</v>
      </c>
      <c r="B120" s="10" t="s">
        <v>271</v>
      </c>
      <c r="C120" s="10">
        <v>467565</v>
      </c>
      <c r="D120" s="11"/>
      <c r="E120" s="10" t="s">
        <v>16</v>
      </c>
      <c r="F120" s="10" t="s">
        <v>272</v>
      </c>
      <c r="G120" s="10" t="s">
        <v>23</v>
      </c>
      <c r="H120" s="12" t="s">
        <v>27</v>
      </c>
      <c r="I120" s="12" t="s">
        <v>273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4</v>
      </c>
      <c r="AF120" s="13">
        <v>4000</v>
      </c>
      <c r="AG120" s="13">
        <v>4000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3</v>
      </c>
      <c r="BJ120" s="13">
        <v>7200</v>
      </c>
      <c r="BK120" s="12">
        <v>0</v>
      </c>
      <c r="BL120" s="12">
        <v>360</v>
      </c>
      <c r="BM120" s="17">
        <v>15200</v>
      </c>
      <c r="BN120" s="9">
        <f t="shared" si="4"/>
        <v>14840</v>
      </c>
      <c r="BO120" s="9">
        <f t="shared" si="5"/>
        <v>10388</v>
      </c>
    </row>
    <row r="121" spans="1:67" ht="24">
      <c r="A121" s="5" t="s">
        <v>218</v>
      </c>
      <c r="B121" s="10" t="s">
        <v>305</v>
      </c>
      <c r="C121" s="10">
        <v>443969</v>
      </c>
      <c r="D121" s="11"/>
      <c r="E121" s="10" t="s">
        <v>16</v>
      </c>
      <c r="F121" s="10" t="s">
        <v>55</v>
      </c>
      <c r="G121" s="10" t="s">
        <v>56</v>
      </c>
      <c r="H121" s="12" t="s">
        <v>8</v>
      </c>
      <c r="I121" s="12" t="s">
        <v>114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68</v>
      </c>
      <c r="AF121" s="13">
        <v>8160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68</v>
      </c>
      <c r="AR121" s="13">
        <v>4800</v>
      </c>
      <c r="AS121" s="13">
        <v>2000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7">
        <v>14960</v>
      </c>
      <c r="BN121" s="9">
        <f t="shared" si="4"/>
        <v>14960</v>
      </c>
      <c r="BO121" s="9">
        <f t="shared" si="5"/>
        <v>10472</v>
      </c>
    </row>
    <row r="122" spans="1:67" ht="24">
      <c r="A122" s="5" t="s">
        <v>218</v>
      </c>
      <c r="B122" s="10" t="s">
        <v>263</v>
      </c>
      <c r="C122" s="10">
        <v>457677</v>
      </c>
      <c r="D122" s="11"/>
      <c r="E122" s="10" t="s">
        <v>16</v>
      </c>
      <c r="F122" s="10" t="s">
        <v>264</v>
      </c>
      <c r="G122" s="10" t="s">
        <v>23</v>
      </c>
      <c r="H122" s="12" t="s">
        <v>27</v>
      </c>
      <c r="I122" s="12" t="s">
        <v>265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5</v>
      </c>
      <c r="AF122" s="13">
        <v>4560</v>
      </c>
      <c r="AG122" s="13">
        <v>6000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1</v>
      </c>
      <c r="AX122" s="12">
        <v>240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1</v>
      </c>
      <c r="BJ122" s="13">
        <v>2400</v>
      </c>
      <c r="BK122" s="12">
        <v>0</v>
      </c>
      <c r="BL122" s="12">
        <v>144</v>
      </c>
      <c r="BM122" s="17">
        <v>13200</v>
      </c>
      <c r="BN122" s="9">
        <f t="shared" si="4"/>
        <v>13056</v>
      </c>
      <c r="BO122" s="9">
        <f t="shared" si="5"/>
        <v>9139.1999999999989</v>
      </c>
    </row>
    <row r="123" spans="1:67" ht="24">
      <c r="A123" s="5" t="s">
        <v>217</v>
      </c>
      <c r="B123" s="10" t="s">
        <v>216</v>
      </c>
      <c r="C123" s="10">
        <v>443543</v>
      </c>
      <c r="D123" s="11"/>
      <c r="E123" s="10" t="s">
        <v>16</v>
      </c>
      <c r="F123" s="10" t="s">
        <v>44</v>
      </c>
      <c r="G123" s="10" t="s">
        <v>35</v>
      </c>
      <c r="H123" s="12" t="s">
        <v>8</v>
      </c>
      <c r="I123" s="12" t="s">
        <v>102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116</v>
      </c>
      <c r="AF123" s="13">
        <v>11420</v>
      </c>
      <c r="AG123" s="13">
        <v>1700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7">
        <v>13120</v>
      </c>
      <c r="BN123" s="9">
        <f t="shared" si="4"/>
        <v>13120</v>
      </c>
      <c r="BO123" s="9">
        <f t="shared" si="5"/>
        <v>9184</v>
      </c>
    </row>
    <row r="124" spans="1:67" ht="24">
      <c r="A124" s="5" t="s">
        <v>218</v>
      </c>
      <c r="B124" s="10" t="s">
        <v>312</v>
      </c>
      <c r="C124" s="10">
        <v>470423</v>
      </c>
      <c r="D124" s="11"/>
      <c r="E124" s="10" t="s">
        <v>16</v>
      </c>
      <c r="F124" s="10" t="s">
        <v>86</v>
      </c>
      <c r="G124" s="10" t="s">
        <v>23</v>
      </c>
      <c r="H124" s="12" t="s">
        <v>27</v>
      </c>
      <c r="I124" s="12" t="s">
        <v>313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6</v>
      </c>
      <c r="AF124" s="13">
        <v>8800</v>
      </c>
      <c r="AG124" s="13">
        <v>4000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7">
        <v>12800</v>
      </c>
      <c r="BN124" s="9">
        <f t="shared" si="4"/>
        <v>12800</v>
      </c>
      <c r="BO124" s="9">
        <f t="shared" si="5"/>
        <v>8960</v>
      </c>
    </row>
    <row r="125" spans="1:67" ht="24">
      <c r="A125" s="5" t="s">
        <v>218</v>
      </c>
      <c r="B125" s="10" t="s">
        <v>268</v>
      </c>
      <c r="C125" s="10">
        <v>468590</v>
      </c>
      <c r="D125" s="11"/>
      <c r="E125" s="10" t="s">
        <v>16</v>
      </c>
      <c r="F125" s="10" t="s">
        <v>264</v>
      </c>
      <c r="G125" s="10" t="s">
        <v>23</v>
      </c>
      <c r="H125" s="12" t="s">
        <v>27</v>
      </c>
      <c r="I125" s="12" t="s">
        <v>260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4</v>
      </c>
      <c r="AF125" s="12">
        <v>0</v>
      </c>
      <c r="AG125" s="13">
        <v>8000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2</v>
      </c>
      <c r="BJ125" s="13">
        <v>4800</v>
      </c>
      <c r="BK125" s="12">
        <v>0</v>
      </c>
      <c r="BL125" s="12">
        <v>240</v>
      </c>
      <c r="BM125" s="17">
        <v>12800</v>
      </c>
      <c r="BN125" s="9">
        <f t="shared" si="4"/>
        <v>12560</v>
      </c>
      <c r="BO125" s="9">
        <f t="shared" si="5"/>
        <v>8792</v>
      </c>
    </row>
    <row r="126" spans="1:67" ht="24">
      <c r="A126" s="5" t="s">
        <v>217</v>
      </c>
      <c r="B126" s="10" t="s">
        <v>127</v>
      </c>
      <c r="C126" s="10">
        <v>408838</v>
      </c>
      <c r="D126" s="11"/>
      <c r="E126" s="10" t="s">
        <v>16</v>
      </c>
      <c r="F126" s="10" t="s">
        <v>52</v>
      </c>
      <c r="G126" s="10" t="s">
        <v>18</v>
      </c>
      <c r="H126" s="12" t="s">
        <v>7</v>
      </c>
      <c r="I126" s="12" t="s">
        <v>252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75</v>
      </c>
      <c r="AF126" s="13">
        <v>7500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2</v>
      </c>
      <c r="AR126" s="12">
        <v>200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30</v>
      </c>
      <c r="BJ126" s="13">
        <v>3600</v>
      </c>
      <c r="BK126" s="12">
        <v>0</v>
      </c>
      <c r="BL126" s="12">
        <v>180</v>
      </c>
      <c r="BM126" s="17">
        <v>11300</v>
      </c>
      <c r="BN126" s="9">
        <f t="shared" si="4"/>
        <v>11120</v>
      </c>
      <c r="BO126" s="9">
        <f t="shared" si="5"/>
        <v>7783.9999999999991</v>
      </c>
    </row>
    <row r="127" spans="1:67" ht="24">
      <c r="A127" s="5" t="s">
        <v>218</v>
      </c>
      <c r="B127" s="10" t="s">
        <v>85</v>
      </c>
      <c r="C127" s="10">
        <v>457534</v>
      </c>
      <c r="D127" s="11"/>
      <c r="E127" s="10" t="s">
        <v>16</v>
      </c>
      <c r="F127" s="10" t="s">
        <v>86</v>
      </c>
      <c r="G127" s="10" t="s">
        <v>23</v>
      </c>
      <c r="H127" s="12" t="s">
        <v>27</v>
      </c>
      <c r="I127" s="12" t="s">
        <v>87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2</v>
      </c>
      <c r="AF127" s="13">
        <v>3900</v>
      </c>
      <c r="AG127" s="12">
        <v>100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3</v>
      </c>
      <c r="BJ127" s="13">
        <v>7200</v>
      </c>
      <c r="BK127" s="12">
        <v>0</v>
      </c>
      <c r="BL127" s="12">
        <v>360</v>
      </c>
      <c r="BM127" s="17">
        <v>11200</v>
      </c>
      <c r="BN127" s="9">
        <f t="shared" si="4"/>
        <v>10840</v>
      </c>
      <c r="BO127" s="9">
        <f t="shared" si="5"/>
        <v>7587.9999999999991</v>
      </c>
    </row>
    <row r="128" spans="1:67" ht="24">
      <c r="A128" s="5" t="s">
        <v>218</v>
      </c>
      <c r="B128" s="10" t="s">
        <v>77</v>
      </c>
      <c r="C128" s="10">
        <v>379289</v>
      </c>
      <c r="D128" s="11"/>
      <c r="E128" s="10" t="s">
        <v>16</v>
      </c>
      <c r="F128" s="10" t="s">
        <v>52</v>
      </c>
      <c r="G128" s="10" t="s">
        <v>18</v>
      </c>
      <c r="H128" s="12" t="s">
        <v>7</v>
      </c>
      <c r="I128" s="12" t="s">
        <v>78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3</v>
      </c>
      <c r="BD128" s="13">
        <v>9000</v>
      </c>
      <c r="BE128" s="12">
        <v>0</v>
      </c>
      <c r="BF128" s="12">
        <v>2</v>
      </c>
      <c r="BG128" s="13">
        <v>2160</v>
      </c>
      <c r="BH128" s="12">
        <v>0</v>
      </c>
      <c r="BI128" s="12">
        <v>0</v>
      </c>
      <c r="BJ128" s="12">
        <v>0</v>
      </c>
      <c r="BK128" s="12">
        <v>0</v>
      </c>
      <c r="BL128" s="12">
        <v>648</v>
      </c>
      <c r="BM128" s="17">
        <v>11160</v>
      </c>
      <c r="BN128" s="9">
        <f t="shared" si="4"/>
        <v>10512</v>
      </c>
      <c r="BO128" s="9">
        <f t="shared" si="5"/>
        <v>7358.4</v>
      </c>
    </row>
    <row r="129" spans="1:67" ht="24">
      <c r="A129" s="5" t="s">
        <v>217</v>
      </c>
      <c r="B129" s="10" t="s">
        <v>147</v>
      </c>
      <c r="C129" s="10">
        <v>469971</v>
      </c>
      <c r="D129" s="11"/>
      <c r="E129" s="10" t="s">
        <v>16</v>
      </c>
      <c r="F129" s="10" t="s">
        <v>137</v>
      </c>
      <c r="G129" s="10" t="s">
        <v>69</v>
      </c>
      <c r="H129" s="12" t="s">
        <v>7</v>
      </c>
      <c r="I129" s="12" t="s">
        <v>333</v>
      </c>
      <c r="J129" s="12">
        <v>0</v>
      </c>
      <c r="K129" s="12">
        <v>250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59</v>
      </c>
      <c r="AF129" s="13">
        <v>4900</v>
      </c>
      <c r="AG129" s="13">
        <v>1000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35</v>
      </c>
      <c r="AR129" s="13">
        <v>3300</v>
      </c>
      <c r="AS129" s="12">
        <v>200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7">
        <v>9400</v>
      </c>
      <c r="BN129" s="9">
        <f t="shared" si="4"/>
        <v>9400</v>
      </c>
      <c r="BO129" s="9">
        <f t="shared" si="5"/>
        <v>6580</v>
      </c>
    </row>
    <row r="130" spans="1:67" ht="24">
      <c r="A130" s="5" t="s">
        <v>223</v>
      </c>
      <c r="B130" s="10" t="s">
        <v>275</v>
      </c>
      <c r="C130" s="10">
        <v>464790</v>
      </c>
      <c r="D130" s="11"/>
      <c r="E130" s="10" t="s">
        <v>16</v>
      </c>
      <c r="F130" s="10" t="s">
        <v>276</v>
      </c>
      <c r="G130" s="10" t="s">
        <v>23</v>
      </c>
      <c r="H130" s="12" t="s">
        <v>27</v>
      </c>
      <c r="I130" s="12" t="s">
        <v>265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2</v>
      </c>
      <c r="AF130" s="13">
        <v>2400</v>
      </c>
      <c r="AG130" s="13">
        <v>2000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2</v>
      </c>
      <c r="BJ130" s="13">
        <v>4800</v>
      </c>
      <c r="BK130" s="12">
        <v>0</v>
      </c>
      <c r="BL130" s="12">
        <v>240</v>
      </c>
      <c r="BM130" s="17">
        <v>9200</v>
      </c>
      <c r="BN130" s="9">
        <f t="shared" si="4"/>
        <v>8960</v>
      </c>
      <c r="BO130" s="9">
        <f t="shared" si="5"/>
        <v>6272</v>
      </c>
    </row>
    <row r="131" spans="1:67" ht="24">
      <c r="A131" s="5" t="s">
        <v>218</v>
      </c>
      <c r="B131" s="10" t="s">
        <v>318</v>
      </c>
      <c r="C131" s="10">
        <v>326776</v>
      </c>
      <c r="D131" s="11"/>
      <c r="E131" s="10" t="s">
        <v>16</v>
      </c>
      <c r="F131" s="10" t="s">
        <v>89</v>
      </c>
      <c r="G131" s="10" t="s">
        <v>56</v>
      </c>
      <c r="H131" s="12" t="s">
        <v>27</v>
      </c>
      <c r="I131" s="12" t="s">
        <v>319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2</v>
      </c>
      <c r="AF131" s="13">
        <v>9120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7">
        <v>9120</v>
      </c>
      <c r="BN131" s="9">
        <f t="shared" si="4"/>
        <v>9120</v>
      </c>
      <c r="BO131" s="9">
        <f t="shared" si="5"/>
        <v>6384</v>
      </c>
    </row>
    <row r="132" spans="1:67" ht="24">
      <c r="A132" s="5" t="s">
        <v>218</v>
      </c>
      <c r="B132" s="10" t="s">
        <v>80</v>
      </c>
      <c r="C132" s="10">
        <v>395231</v>
      </c>
      <c r="D132" s="11"/>
      <c r="E132" s="10" t="s">
        <v>16</v>
      </c>
      <c r="F132" s="10" t="s">
        <v>34</v>
      </c>
      <c r="G132" s="10" t="s">
        <v>35</v>
      </c>
      <c r="H132" s="12" t="s">
        <v>27</v>
      </c>
      <c r="I132" s="12" t="s">
        <v>81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2</v>
      </c>
      <c r="BJ132" s="13">
        <v>8400</v>
      </c>
      <c r="BK132" s="12">
        <v>0</v>
      </c>
      <c r="BL132" s="12">
        <v>420</v>
      </c>
      <c r="BM132" s="17">
        <v>8400</v>
      </c>
      <c r="BN132" s="9">
        <f t="shared" si="4"/>
        <v>7980</v>
      </c>
      <c r="BO132" s="9">
        <f t="shared" si="5"/>
        <v>5586</v>
      </c>
    </row>
    <row r="133" spans="1:67" ht="24">
      <c r="A133" s="5" t="s">
        <v>218</v>
      </c>
      <c r="B133" s="10" t="s">
        <v>121</v>
      </c>
      <c r="C133" s="10">
        <v>424315</v>
      </c>
      <c r="D133" s="11"/>
      <c r="E133" s="10" t="s">
        <v>16</v>
      </c>
      <c r="F133" s="10" t="s">
        <v>52</v>
      </c>
      <c r="G133" s="10" t="s">
        <v>18</v>
      </c>
      <c r="H133" s="12" t="s">
        <v>7</v>
      </c>
      <c r="I133" s="12" t="s">
        <v>122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7</v>
      </c>
      <c r="AC133" s="13">
        <v>7560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7">
        <v>7560</v>
      </c>
      <c r="BN133" s="9">
        <f t="shared" si="4"/>
        <v>7560</v>
      </c>
      <c r="BO133" s="9">
        <f t="shared" si="5"/>
        <v>5292</v>
      </c>
    </row>
    <row r="134" spans="1:67" ht="24">
      <c r="A134" s="5" t="s">
        <v>218</v>
      </c>
      <c r="B134" s="10" t="s">
        <v>323</v>
      </c>
      <c r="C134" s="10">
        <v>472520</v>
      </c>
      <c r="D134" s="11"/>
      <c r="E134" s="10" t="s">
        <v>16</v>
      </c>
      <c r="F134" s="10" t="s">
        <v>151</v>
      </c>
      <c r="G134" s="10" t="s">
        <v>23</v>
      </c>
      <c r="H134" s="12" t="s">
        <v>27</v>
      </c>
      <c r="I134" s="12" t="s">
        <v>324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1</v>
      </c>
      <c r="BD134" s="13">
        <v>3600</v>
      </c>
      <c r="BE134" s="12">
        <v>0</v>
      </c>
      <c r="BF134" s="12">
        <v>0</v>
      </c>
      <c r="BG134" s="12">
        <v>0</v>
      </c>
      <c r="BH134" s="12">
        <v>0</v>
      </c>
      <c r="BI134" s="12">
        <v>1</v>
      </c>
      <c r="BJ134" s="13">
        <v>3600</v>
      </c>
      <c r="BK134" s="12">
        <v>0</v>
      </c>
      <c r="BL134" s="12">
        <v>396</v>
      </c>
      <c r="BM134" s="17">
        <v>7200</v>
      </c>
      <c r="BN134" s="9">
        <f t="shared" si="4"/>
        <v>6804</v>
      </c>
      <c r="BO134" s="9">
        <f t="shared" si="5"/>
        <v>4762.7999999999993</v>
      </c>
    </row>
    <row r="135" spans="1:67" ht="24">
      <c r="A135" s="5" t="s">
        <v>218</v>
      </c>
      <c r="B135" s="10" t="s">
        <v>71</v>
      </c>
      <c r="C135" s="10">
        <v>461347</v>
      </c>
      <c r="D135" s="11"/>
      <c r="E135" s="10" t="s">
        <v>16</v>
      </c>
      <c r="F135" s="10" t="s">
        <v>47</v>
      </c>
      <c r="G135" s="10" t="s">
        <v>23</v>
      </c>
      <c r="H135" s="12" t="s">
        <v>27</v>
      </c>
      <c r="I135" s="12" t="s">
        <v>72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3</v>
      </c>
      <c r="AF135" s="13">
        <v>7200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7">
        <v>7200</v>
      </c>
      <c r="BN135" s="9">
        <f t="shared" ref="BN135:BN198" si="6">BM135-BL135</f>
        <v>7200</v>
      </c>
      <c r="BO135" s="9">
        <f t="shared" ref="BO135:BO198" si="7">BN135*0.7</f>
        <v>5040</v>
      </c>
    </row>
    <row r="136" spans="1:67" ht="24">
      <c r="A136" s="5" t="s">
        <v>218</v>
      </c>
      <c r="B136" s="10" t="s">
        <v>290</v>
      </c>
      <c r="C136" s="10">
        <v>414543</v>
      </c>
      <c r="D136" s="11"/>
      <c r="E136" s="10" t="s">
        <v>16</v>
      </c>
      <c r="F136" s="10" t="s">
        <v>55</v>
      </c>
      <c r="G136" s="10" t="s">
        <v>56</v>
      </c>
      <c r="H136" s="12" t="s">
        <v>27</v>
      </c>
      <c r="I136" s="12" t="s">
        <v>291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2</v>
      </c>
      <c r="AF136" s="12">
        <v>0</v>
      </c>
      <c r="AG136" s="13">
        <v>6800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7">
        <v>6800</v>
      </c>
      <c r="BN136" s="9">
        <f t="shared" si="6"/>
        <v>6800</v>
      </c>
      <c r="BO136" s="9">
        <f t="shared" si="7"/>
        <v>4760</v>
      </c>
    </row>
    <row r="137" spans="1:67" ht="24">
      <c r="A137" s="5" t="s">
        <v>218</v>
      </c>
      <c r="B137" s="10" t="s">
        <v>213</v>
      </c>
      <c r="C137" s="10">
        <v>477493</v>
      </c>
      <c r="D137" s="11"/>
      <c r="E137" s="10" t="s">
        <v>16</v>
      </c>
      <c r="F137" s="10" t="s">
        <v>75</v>
      </c>
      <c r="G137" s="10" t="s">
        <v>23</v>
      </c>
      <c r="H137" s="12" t="s">
        <v>7</v>
      </c>
      <c r="I137" s="12" t="s">
        <v>214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2</v>
      </c>
      <c r="AF137" s="12">
        <v>0</v>
      </c>
      <c r="AG137" s="13">
        <v>4000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1</v>
      </c>
      <c r="BJ137" s="13">
        <v>2400</v>
      </c>
      <c r="BK137" s="12">
        <v>0</v>
      </c>
      <c r="BL137" s="12">
        <v>120</v>
      </c>
      <c r="BM137" s="17">
        <v>6400</v>
      </c>
      <c r="BN137" s="9">
        <f t="shared" si="6"/>
        <v>6280</v>
      </c>
      <c r="BO137" s="9">
        <f t="shared" si="7"/>
        <v>4396</v>
      </c>
    </row>
    <row r="138" spans="1:67" ht="24">
      <c r="A138" s="5" t="s">
        <v>218</v>
      </c>
      <c r="B138" s="10" t="s">
        <v>362</v>
      </c>
      <c r="C138" s="10">
        <v>387161</v>
      </c>
      <c r="D138" s="11"/>
      <c r="E138" s="10" t="s">
        <v>16</v>
      </c>
      <c r="F138" s="10" t="s">
        <v>363</v>
      </c>
      <c r="G138" s="10" t="s">
        <v>56</v>
      </c>
      <c r="H138" s="12" t="s">
        <v>27</v>
      </c>
      <c r="I138" s="12" t="s">
        <v>364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2</v>
      </c>
      <c r="AR138" s="13">
        <v>3200</v>
      </c>
      <c r="AS138" s="13">
        <v>3200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7">
        <v>6400</v>
      </c>
      <c r="BN138" s="9">
        <f t="shared" si="6"/>
        <v>6400</v>
      </c>
      <c r="BO138" s="9">
        <f t="shared" si="7"/>
        <v>4480</v>
      </c>
    </row>
    <row r="139" spans="1:67" ht="24">
      <c r="A139" s="5" t="s">
        <v>218</v>
      </c>
      <c r="B139" s="10" t="s">
        <v>141</v>
      </c>
      <c r="C139" s="10">
        <v>472517</v>
      </c>
      <c r="D139" s="11"/>
      <c r="E139" s="10" t="s">
        <v>16</v>
      </c>
      <c r="F139" s="10" t="s">
        <v>142</v>
      </c>
      <c r="G139" s="10" t="s">
        <v>23</v>
      </c>
      <c r="H139" s="12" t="s">
        <v>27</v>
      </c>
      <c r="I139" s="12" t="s">
        <v>143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1</v>
      </c>
      <c r="AF139" s="13">
        <v>3000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1</v>
      </c>
      <c r="BJ139" s="13">
        <v>3000</v>
      </c>
      <c r="BK139" s="12">
        <v>0</v>
      </c>
      <c r="BL139" s="12">
        <v>150</v>
      </c>
      <c r="BM139" s="17">
        <v>6000</v>
      </c>
      <c r="BN139" s="9">
        <f t="shared" si="6"/>
        <v>5850</v>
      </c>
      <c r="BO139" s="9">
        <f t="shared" si="7"/>
        <v>4094.9999999999995</v>
      </c>
    </row>
    <row r="140" spans="1:67" ht="24">
      <c r="A140" s="5" t="s">
        <v>217</v>
      </c>
      <c r="B140" s="10" t="s">
        <v>277</v>
      </c>
      <c r="C140" s="10">
        <v>468580</v>
      </c>
      <c r="D140" s="11"/>
      <c r="E140" s="10" t="s">
        <v>16</v>
      </c>
      <c r="F140" s="10" t="s">
        <v>248</v>
      </c>
      <c r="G140" s="10" t="s">
        <v>23</v>
      </c>
      <c r="H140" s="12" t="s">
        <v>27</v>
      </c>
      <c r="I140" s="12" t="s">
        <v>273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1</v>
      </c>
      <c r="AR140" s="13">
        <v>2500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1</v>
      </c>
      <c r="BJ140" s="13">
        <v>3000</v>
      </c>
      <c r="BK140" s="12">
        <v>0</v>
      </c>
      <c r="BL140" s="12">
        <v>150</v>
      </c>
      <c r="BM140" s="17">
        <v>5500</v>
      </c>
      <c r="BN140" s="9">
        <f t="shared" si="6"/>
        <v>5350</v>
      </c>
      <c r="BO140" s="9">
        <f t="shared" si="7"/>
        <v>3744.9999999999995</v>
      </c>
    </row>
    <row r="141" spans="1:67" ht="24">
      <c r="A141" s="5" t="s">
        <v>217</v>
      </c>
      <c r="B141" s="10" t="s">
        <v>94</v>
      </c>
      <c r="C141" s="10">
        <v>317429</v>
      </c>
      <c r="D141" s="11"/>
      <c r="E141" s="10" t="s">
        <v>16</v>
      </c>
      <c r="F141" s="10" t="s">
        <v>34</v>
      </c>
      <c r="G141" s="10" t="s">
        <v>35</v>
      </c>
      <c r="H141" s="12" t="s">
        <v>8</v>
      </c>
      <c r="I141" s="12" t="s">
        <v>95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1</v>
      </c>
      <c r="AF141" s="13">
        <v>5280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7">
        <v>5280</v>
      </c>
      <c r="BN141" s="9">
        <f t="shared" si="6"/>
        <v>5280</v>
      </c>
      <c r="BO141" s="9">
        <f t="shared" si="7"/>
        <v>3695.9999999999995</v>
      </c>
    </row>
    <row r="142" spans="1:67" ht="24">
      <c r="A142" s="5" t="s">
        <v>217</v>
      </c>
      <c r="B142" s="10" t="s">
        <v>325</v>
      </c>
      <c r="C142" s="10">
        <v>474767</v>
      </c>
      <c r="D142" s="11"/>
      <c r="E142" s="10" t="s">
        <v>16</v>
      </c>
      <c r="F142" s="10" t="s">
        <v>326</v>
      </c>
      <c r="G142" s="10" t="s">
        <v>23</v>
      </c>
      <c r="H142" s="12" t="s">
        <v>27</v>
      </c>
      <c r="I142" s="12" t="s">
        <v>327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1</v>
      </c>
      <c r="AF142" s="12">
        <v>0</v>
      </c>
      <c r="AG142" s="13">
        <v>2500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1</v>
      </c>
      <c r="AR142" s="13">
        <v>2500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7">
        <v>5000</v>
      </c>
      <c r="BN142" s="9">
        <f t="shared" si="6"/>
        <v>5000</v>
      </c>
      <c r="BO142" s="9">
        <f t="shared" si="7"/>
        <v>3500</v>
      </c>
    </row>
    <row r="143" spans="1:67" ht="24">
      <c r="A143" s="5" t="s">
        <v>217</v>
      </c>
      <c r="B143" s="10" t="s">
        <v>285</v>
      </c>
      <c r="C143" s="10">
        <v>468591</v>
      </c>
      <c r="D143" s="11"/>
      <c r="E143" s="10" t="s">
        <v>16</v>
      </c>
      <c r="F143" s="10" t="s">
        <v>286</v>
      </c>
      <c r="G143" s="10" t="s">
        <v>23</v>
      </c>
      <c r="H143" s="12" t="s">
        <v>27</v>
      </c>
      <c r="I143" s="12" t="s">
        <v>260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1</v>
      </c>
      <c r="AF143" s="12">
        <v>0</v>
      </c>
      <c r="AG143" s="13">
        <v>2000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1</v>
      </c>
      <c r="BJ143" s="13">
        <v>2400</v>
      </c>
      <c r="BK143" s="12">
        <v>0</v>
      </c>
      <c r="BL143" s="12">
        <v>120</v>
      </c>
      <c r="BM143" s="17">
        <v>4400</v>
      </c>
      <c r="BN143" s="9">
        <f t="shared" si="6"/>
        <v>4280</v>
      </c>
      <c r="BO143" s="9">
        <f t="shared" si="7"/>
        <v>2996</v>
      </c>
    </row>
    <row r="144" spans="1:67" ht="24">
      <c r="A144" s="5" t="s">
        <v>217</v>
      </c>
      <c r="B144" s="10" t="s">
        <v>233</v>
      </c>
      <c r="C144" s="10">
        <v>467559</v>
      </c>
      <c r="D144" s="11"/>
      <c r="E144" s="10" t="s">
        <v>16</v>
      </c>
      <c r="F144" s="10" t="s">
        <v>47</v>
      </c>
      <c r="G144" s="10" t="s">
        <v>23</v>
      </c>
      <c r="H144" s="12" t="s">
        <v>7</v>
      </c>
      <c r="I144" s="12" t="s">
        <v>234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2</v>
      </c>
      <c r="AF144" s="13">
        <v>2400</v>
      </c>
      <c r="AG144" s="13">
        <v>2000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7">
        <v>4400</v>
      </c>
      <c r="BN144" s="9">
        <f t="shared" si="6"/>
        <v>4400</v>
      </c>
      <c r="BO144" s="9">
        <f t="shared" si="7"/>
        <v>3080</v>
      </c>
    </row>
    <row r="145" spans="1:67" ht="24">
      <c r="A145" s="5" t="s">
        <v>217</v>
      </c>
      <c r="B145" s="10" t="s">
        <v>365</v>
      </c>
      <c r="C145" s="10">
        <v>318161</v>
      </c>
      <c r="D145" s="11"/>
      <c r="E145" s="10" t="s">
        <v>16</v>
      </c>
      <c r="F145" s="10" t="s">
        <v>346</v>
      </c>
      <c r="G145" s="10" t="s">
        <v>56</v>
      </c>
      <c r="H145" s="12" t="s">
        <v>27</v>
      </c>
      <c r="I145" s="12" t="s">
        <v>366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1</v>
      </c>
      <c r="AF145" s="13">
        <v>4300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7">
        <v>4300</v>
      </c>
      <c r="BN145" s="9">
        <f t="shared" si="6"/>
        <v>4300</v>
      </c>
      <c r="BO145" s="9">
        <f t="shared" si="7"/>
        <v>3010</v>
      </c>
    </row>
    <row r="146" spans="1:67" ht="24">
      <c r="A146" s="5" t="s">
        <v>217</v>
      </c>
      <c r="B146" s="10" t="s">
        <v>367</v>
      </c>
      <c r="C146" s="10">
        <v>331981</v>
      </c>
      <c r="D146" s="11"/>
      <c r="E146" s="10" t="s">
        <v>16</v>
      </c>
      <c r="F146" s="10" t="s">
        <v>368</v>
      </c>
      <c r="G146" s="10" t="s">
        <v>56</v>
      </c>
      <c r="H146" s="12" t="s">
        <v>27</v>
      </c>
      <c r="I146" s="12" t="s">
        <v>369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1</v>
      </c>
      <c r="AF146" s="13">
        <v>4000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7">
        <v>4000</v>
      </c>
      <c r="BN146" s="9">
        <f t="shared" si="6"/>
        <v>4000</v>
      </c>
      <c r="BO146" s="9">
        <f t="shared" si="7"/>
        <v>2800</v>
      </c>
    </row>
    <row r="147" spans="1:67" ht="24">
      <c r="A147" s="5" t="s">
        <v>217</v>
      </c>
      <c r="B147" s="10" t="s">
        <v>274</v>
      </c>
      <c r="C147" s="10">
        <v>457674</v>
      </c>
      <c r="D147" s="11"/>
      <c r="E147" s="10" t="s">
        <v>16</v>
      </c>
      <c r="F147" s="10" t="s">
        <v>92</v>
      </c>
      <c r="G147" s="10" t="s">
        <v>23</v>
      </c>
      <c r="H147" s="12" t="s">
        <v>27</v>
      </c>
      <c r="I147" s="12" t="s">
        <v>265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1</v>
      </c>
      <c r="AF147" s="12">
        <v>0</v>
      </c>
      <c r="AG147" s="13">
        <v>2000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1</v>
      </c>
      <c r="AR147" s="13">
        <v>2000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7">
        <v>4000</v>
      </c>
      <c r="BN147" s="9">
        <f t="shared" si="6"/>
        <v>4000</v>
      </c>
      <c r="BO147" s="9">
        <f t="shared" si="7"/>
        <v>2800</v>
      </c>
    </row>
    <row r="148" spans="1:67" ht="24">
      <c r="A148" s="5" t="s">
        <v>217</v>
      </c>
      <c r="B148" s="10" t="s">
        <v>321</v>
      </c>
      <c r="C148" s="10">
        <v>485984</v>
      </c>
      <c r="D148" s="11"/>
      <c r="E148" s="10" t="s">
        <v>16</v>
      </c>
      <c r="F148" s="10" t="s">
        <v>292</v>
      </c>
      <c r="G148" s="10" t="s">
        <v>23</v>
      </c>
      <c r="H148" s="12" t="s">
        <v>27</v>
      </c>
      <c r="I148" s="12" t="s">
        <v>322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1</v>
      </c>
      <c r="BJ148" s="13">
        <v>3840</v>
      </c>
      <c r="BK148" s="12">
        <v>0</v>
      </c>
      <c r="BL148" s="12">
        <v>192</v>
      </c>
      <c r="BM148" s="17">
        <v>3840</v>
      </c>
      <c r="BN148" s="9">
        <f t="shared" si="6"/>
        <v>3648</v>
      </c>
      <c r="BO148" s="9">
        <f t="shared" si="7"/>
        <v>2553.6</v>
      </c>
    </row>
    <row r="149" spans="1:67" ht="24">
      <c r="A149" s="5" t="s">
        <v>217</v>
      </c>
      <c r="B149" s="10" t="s">
        <v>132</v>
      </c>
      <c r="C149" s="10">
        <v>472519</v>
      </c>
      <c r="D149" s="11"/>
      <c r="E149" s="10" t="s">
        <v>16</v>
      </c>
      <c r="F149" s="10" t="s">
        <v>133</v>
      </c>
      <c r="G149" s="10" t="s">
        <v>23</v>
      </c>
      <c r="H149" s="12" t="s">
        <v>7</v>
      </c>
      <c r="I149" s="12" t="s">
        <v>134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1</v>
      </c>
      <c r="AF149" s="12">
        <v>0</v>
      </c>
      <c r="AG149" s="13">
        <v>3600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7">
        <v>3600</v>
      </c>
      <c r="BN149" s="9">
        <f t="shared" si="6"/>
        <v>3600</v>
      </c>
      <c r="BO149" s="9">
        <f t="shared" si="7"/>
        <v>2520</v>
      </c>
    </row>
    <row r="150" spans="1:67" ht="24">
      <c r="A150" s="5" t="s">
        <v>217</v>
      </c>
      <c r="B150" s="10" t="s">
        <v>370</v>
      </c>
      <c r="C150" s="10">
        <v>465773</v>
      </c>
      <c r="D150" s="11"/>
      <c r="E150" s="10" t="s">
        <v>16</v>
      </c>
      <c r="F150" s="10" t="s">
        <v>371</v>
      </c>
      <c r="G150" s="10" t="s">
        <v>23</v>
      </c>
      <c r="H150" s="12" t="s">
        <v>27</v>
      </c>
      <c r="I150" s="12" t="s">
        <v>372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1</v>
      </c>
      <c r="AR150" s="13">
        <v>3500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7">
        <v>3500</v>
      </c>
      <c r="BN150" s="9">
        <f t="shared" si="6"/>
        <v>3500</v>
      </c>
      <c r="BO150" s="9">
        <f t="shared" si="7"/>
        <v>2450</v>
      </c>
    </row>
    <row r="151" spans="1:67" ht="24">
      <c r="A151" s="5" t="s">
        <v>217</v>
      </c>
      <c r="B151" s="10" t="s">
        <v>61</v>
      </c>
      <c r="C151" s="10">
        <v>369060</v>
      </c>
      <c r="D151" s="11"/>
      <c r="E151" s="10" t="s">
        <v>16</v>
      </c>
      <c r="F151" s="10" t="s">
        <v>49</v>
      </c>
      <c r="G151" s="10" t="s">
        <v>18</v>
      </c>
      <c r="H151" s="12" t="s">
        <v>7</v>
      </c>
      <c r="I151" s="12" t="s">
        <v>62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29</v>
      </c>
      <c r="BJ151" s="13">
        <v>3480</v>
      </c>
      <c r="BK151" s="12">
        <v>0</v>
      </c>
      <c r="BL151" s="12">
        <v>174</v>
      </c>
      <c r="BM151" s="17">
        <v>3480</v>
      </c>
      <c r="BN151" s="9">
        <f t="shared" si="6"/>
        <v>3306</v>
      </c>
      <c r="BO151" s="9">
        <f t="shared" si="7"/>
        <v>2314.1999999999998</v>
      </c>
    </row>
    <row r="152" spans="1:67" ht="24">
      <c r="A152" s="5" t="s">
        <v>217</v>
      </c>
      <c r="B152" s="10" t="s">
        <v>373</v>
      </c>
      <c r="C152" s="10">
        <v>424160</v>
      </c>
      <c r="D152" s="11"/>
      <c r="E152" s="10" t="s">
        <v>16</v>
      </c>
      <c r="F152" s="10" t="s">
        <v>374</v>
      </c>
      <c r="G152" s="10" t="s">
        <v>56</v>
      </c>
      <c r="H152" s="12" t="s">
        <v>27</v>
      </c>
      <c r="I152" s="12" t="s">
        <v>320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1</v>
      </c>
      <c r="AF152" s="13">
        <v>3200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7">
        <v>3200</v>
      </c>
      <c r="BN152" s="9">
        <f t="shared" si="6"/>
        <v>3200</v>
      </c>
      <c r="BO152" s="9">
        <f t="shared" si="7"/>
        <v>2240</v>
      </c>
    </row>
    <row r="153" spans="1:67" ht="24">
      <c r="A153" s="5" t="s">
        <v>217</v>
      </c>
      <c r="B153" s="10" t="s">
        <v>258</v>
      </c>
      <c r="C153" s="10">
        <v>468589</v>
      </c>
      <c r="D153" s="11"/>
      <c r="E153" s="10" t="s">
        <v>16</v>
      </c>
      <c r="F153" s="10" t="s">
        <v>259</v>
      </c>
      <c r="G153" s="10" t="s">
        <v>23</v>
      </c>
      <c r="H153" s="12" t="s">
        <v>10</v>
      </c>
      <c r="I153" s="12" t="s">
        <v>260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1</v>
      </c>
      <c r="BJ153" s="13">
        <v>3000</v>
      </c>
      <c r="BK153" s="12">
        <v>0</v>
      </c>
      <c r="BL153" s="12">
        <v>150</v>
      </c>
      <c r="BM153" s="17">
        <v>3000</v>
      </c>
      <c r="BN153" s="9">
        <f t="shared" si="6"/>
        <v>2850</v>
      </c>
      <c r="BO153" s="9">
        <f t="shared" si="7"/>
        <v>1994.9999999999998</v>
      </c>
    </row>
    <row r="154" spans="1:67" ht="24">
      <c r="A154" s="5" t="s">
        <v>217</v>
      </c>
      <c r="B154" s="10" t="s">
        <v>247</v>
      </c>
      <c r="C154" s="10">
        <v>457068</v>
      </c>
      <c r="D154" s="11"/>
      <c r="E154" s="10" t="s">
        <v>16</v>
      </c>
      <c r="F154" s="10" t="s">
        <v>248</v>
      </c>
      <c r="G154" s="10" t="s">
        <v>23</v>
      </c>
      <c r="H154" s="12" t="s">
        <v>27</v>
      </c>
      <c r="I154" s="12" t="s">
        <v>249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1</v>
      </c>
      <c r="AR154" s="13">
        <v>2500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7">
        <v>2500</v>
      </c>
      <c r="BN154" s="9">
        <f t="shared" si="6"/>
        <v>2500</v>
      </c>
      <c r="BO154" s="9">
        <f t="shared" si="7"/>
        <v>1750</v>
      </c>
    </row>
    <row r="155" spans="1:67" ht="24">
      <c r="A155" s="5" t="s">
        <v>217</v>
      </c>
      <c r="B155" s="10" t="s">
        <v>293</v>
      </c>
      <c r="C155" s="10">
        <v>464792</v>
      </c>
      <c r="D155" s="11"/>
      <c r="E155" s="10" t="s">
        <v>16</v>
      </c>
      <c r="F155" s="10" t="s">
        <v>254</v>
      </c>
      <c r="G155" s="10" t="s">
        <v>23</v>
      </c>
      <c r="H155" s="12" t="s">
        <v>27</v>
      </c>
      <c r="I155" s="12" t="s">
        <v>294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1</v>
      </c>
      <c r="AF155" s="13">
        <v>2500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7">
        <v>2500</v>
      </c>
      <c r="BN155" s="9">
        <f t="shared" si="6"/>
        <v>2500</v>
      </c>
      <c r="BO155" s="9">
        <f t="shared" si="7"/>
        <v>1750</v>
      </c>
    </row>
    <row r="156" spans="1:67" ht="24">
      <c r="A156" s="5" t="s">
        <v>217</v>
      </c>
      <c r="B156" s="10" t="s">
        <v>287</v>
      </c>
      <c r="C156" s="10">
        <v>467564</v>
      </c>
      <c r="D156" s="11"/>
      <c r="E156" s="10" t="s">
        <v>16</v>
      </c>
      <c r="F156" s="10" t="s">
        <v>42</v>
      </c>
      <c r="G156" s="10" t="s">
        <v>23</v>
      </c>
      <c r="H156" s="12" t="s">
        <v>27</v>
      </c>
      <c r="I156" s="12" t="s">
        <v>288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1</v>
      </c>
      <c r="AF156" s="13">
        <v>2400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7">
        <v>2400</v>
      </c>
      <c r="BN156" s="9">
        <f t="shared" si="6"/>
        <v>2400</v>
      </c>
      <c r="BO156" s="9">
        <f t="shared" si="7"/>
        <v>1680</v>
      </c>
    </row>
    <row r="157" spans="1:67" ht="24">
      <c r="A157" s="5" t="s">
        <v>217</v>
      </c>
      <c r="B157" s="10" t="s">
        <v>356</v>
      </c>
      <c r="C157" s="10">
        <v>464782</v>
      </c>
      <c r="D157" s="11"/>
      <c r="E157" s="10" t="s">
        <v>16</v>
      </c>
      <c r="F157" s="10" t="s">
        <v>329</v>
      </c>
      <c r="G157" s="10" t="s">
        <v>23</v>
      </c>
      <c r="H157" s="12" t="s">
        <v>27</v>
      </c>
      <c r="I157" s="12" t="s">
        <v>357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1</v>
      </c>
      <c r="BJ157" s="13">
        <v>2400</v>
      </c>
      <c r="BK157" s="12">
        <v>0</v>
      </c>
      <c r="BL157" s="12">
        <v>120</v>
      </c>
      <c r="BM157" s="17">
        <v>2400</v>
      </c>
      <c r="BN157" s="9">
        <f t="shared" si="6"/>
        <v>2280</v>
      </c>
      <c r="BO157" s="9">
        <f t="shared" si="7"/>
        <v>1596</v>
      </c>
    </row>
    <row r="158" spans="1:67" ht="24">
      <c r="A158" s="5" t="s">
        <v>217</v>
      </c>
      <c r="B158" s="10" t="s">
        <v>331</v>
      </c>
      <c r="C158" s="10">
        <v>474765</v>
      </c>
      <c r="D158" s="11"/>
      <c r="E158" s="10" t="s">
        <v>16</v>
      </c>
      <c r="F158" s="10" t="s">
        <v>329</v>
      </c>
      <c r="G158" s="10" t="s">
        <v>23</v>
      </c>
      <c r="H158" s="12" t="s">
        <v>27</v>
      </c>
      <c r="I158" s="12" t="s">
        <v>332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1</v>
      </c>
      <c r="BJ158" s="13">
        <v>2400</v>
      </c>
      <c r="BK158" s="12">
        <v>0</v>
      </c>
      <c r="BL158" s="12">
        <v>120</v>
      </c>
      <c r="BM158" s="17">
        <v>2400</v>
      </c>
      <c r="BN158" s="9">
        <f t="shared" si="6"/>
        <v>2280</v>
      </c>
      <c r="BO158" s="9">
        <f t="shared" si="7"/>
        <v>1596</v>
      </c>
    </row>
    <row r="159" spans="1:67" ht="24">
      <c r="A159" s="5" t="s">
        <v>217</v>
      </c>
      <c r="B159" s="10" t="s">
        <v>283</v>
      </c>
      <c r="C159" s="10">
        <v>483770</v>
      </c>
      <c r="D159" s="11"/>
      <c r="E159" s="10" t="s">
        <v>16</v>
      </c>
      <c r="F159" s="10" t="s">
        <v>86</v>
      </c>
      <c r="G159" s="10" t="s">
        <v>23</v>
      </c>
      <c r="H159" s="12" t="s">
        <v>27</v>
      </c>
      <c r="I159" s="12" t="s">
        <v>284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1</v>
      </c>
      <c r="AF159" s="13">
        <v>2400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  <c r="BL159" s="12">
        <v>0</v>
      </c>
      <c r="BM159" s="17">
        <v>2400</v>
      </c>
      <c r="BN159" s="9">
        <f t="shared" si="6"/>
        <v>2400</v>
      </c>
      <c r="BO159" s="9">
        <f t="shared" si="7"/>
        <v>1680</v>
      </c>
    </row>
    <row r="160" spans="1:67" ht="24">
      <c r="A160" s="5" t="s">
        <v>217</v>
      </c>
      <c r="B160" s="10" t="s">
        <v>225</v>
      </c>
      <c r="C160" s="10">
        <v>445954</v>
      </c>
      <c r="D160" s="11"/>
      <c r="E160" s="10" t="s">
        <v>16</v>
      </c>
      <c r="F160" s="10" t="s">
        <v>107</v>
      </c>
      <c r="G160" s="10" t="s">
        <v>56</v>
      </c>
      <c r="H160" s="12" t="s">
        <v>8</v>
      </c>
      <c r="I160" s="12" t="s">
        <v>226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1</v>
      </c>
      <c r="AF160" s="12">
        <v>120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19</v>
      </c>
      <c r="BJ160" s="13">
        <v>2280</v>
      </c>
      <c r="BK160" s="12">
        <v>0</v>
      </c>
      <c r="BL160" s="12">
        <v>114</v>
      </c>
      <c r="BM160" s="17">
        <v>2400</v>
      </c>
      <c r="BN160" s="9">
        <f t="shared" si="6"/>
        <v>2286</v>
      </c>
      <c r="BO160" s="9">
        <f t="shared" si="7"/>
        <v>1600.1999999999998</v>
      </c>
    </row>
    <row r="161" spans="1:67" ht="24">
      <c r="A161" s="5" t="s">
        <v>217</v>
      </c>
      <c r="B161" s="10" t="s">
        <v>235</v>
      </c>
      <c r="C161" s="10">
        <v>454228</v>
      </c>
      <c r="D161" s="11"/>
      <c r="E161" s="10" t="s">
        <v>16</v>
      </c>
      <c r="F161" s="10" t="s">
        <v>17</v>
      </c>
      <c r="G161" s="10" t="s">
        <v>18</v>
      </c>
      <c r="H161" s="12" t="s">
        <v>7</v>
      </c>
      <c r="I161" s="12" t="s">
        <v>236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2</v>
      </c>
      <c r="AC161" s="13">
        <v>2160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7">
        <v>2160</v>
      </c>
      <c r="BN161" s="9">
        <f t="shared" si="6"/>
        <v>2160</v>
      </c>
      <c r="BO161" s="9">
        <f t="shared" si="7"/>
        <v>1512</v>
      </c>
    </row>
    <row r="162" spans="1:67" ht="24">
      <c r="A162" s="5" t="s">
        <v>217</v>
      </c>
      <c r="B162" s="10" t="s">
        <v>244</v>
      </c>
      <c r="C162" s="10">
        <v>480605</v>
      </c>
      <c r="D162" s="11"/>
      <c r="E162" s="10" t="s">
        <v>16</v>
      </c>
      <c r="F162" s="10" t="s">
        <v>245</v>
      </c>
      <c r="G162" s="10" t="s">
        <v>23</v>
      </c>
      <c r="H162" s="12" t="s">
        <v>27</v>
      </c>
      <c r="I162" s="12" t="s">
        <v>246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1</v>
      </c>
      <c r="AF162" s="12">
        <v>240</v>
      </c>
      <c r="AG162" s="13">
        <v>1800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7">
        <v>2040</v>
      </c>
      <c r="BN162" s="9">
        <f t="shared" si="6"/>
        <v>2040</v>
      </c>
      <c r="BO162" s="9">
        <f t="shared" si="7"/>
        <v>1428</v>
      </c>
    </row>
    <row r="163" spans="1:67" ht="24">
      <c r="A163" s="5" t="s">
        <v>217</v>
      </c>
      <c r="B163" s="10" t="s">
        <v>375</v>
      </c>
      <c r="C163" s="10">
        <v>457672</v>
      </c>
      <c r="D163" s="11"/>
      <c r="E163" s="10" t="s">
        <v>16</v>
      </c>
      <c r="F163" s="10" t="s">
        <v>376</v>
      </c>
      <c r="G163" s="10" t="s">
        <v>23</v>
      </c>
      <c r="H163" s="12" t="s">
        <v>27</v>
      </c>
      <c r="I163" s="12" t="s">
        <v>265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1</v>
      </c>
      <c r="AF163" s="12">
        <v>0</v>
      </c>
      <c r="AG163" s="13">
        <v>1800</v>
      </c>
      <c r="AH163" s="12">
        <v>0</v>
      </c>
      <c r="AI163" s="12">
        <v>0</v>
      </c>
      <c r="AJ163" s="12">
        <v>0</v>
      </c>
      <c r="AK163" s="12">
        <v>1</v>
      </c>
      <c r="AL163" s="12">
        <v>0</v>
      </c>
      <c r="AM163" s="12">
        <v>200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7">
        <v>2000</v>
      </c>
      <c r="BN163" s="9">
        <f t="shared" si="6"/>
        <v>2000</v>
      </c>
      <c r="BO163" s="9">
        <f t="shared" si="7"/>
        <v>1400</v>
      </c>
    </row>
    <row r="164" spans="1:67" ht="24">
      <c r="A164" s="5" t="s">
        <v>217</v>
      </c>
      <c r="B164" s="10" t="s">
        <v>278</v>
      </c>
      <c r="C164" s="10">
        <v>467563</v>
      </c>
      <c r="D164" s="11"/>
      <c r="E164" s="10" t="s">
        <v>16</v>
      </c>
      <c r="F164" s="10" t="s">
        <v>279</v>
      </c>
      <c r="G164" s="10" t="s">
        <v>23</v>
      </c>
      <c r="H164" s="12" t="s">
        <v>27</v>
      </c>
      <c r="I164" s="12" t="s">
        <v>280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1</v>
      </c>
      <c r="AF164" s="13">
        <v>2000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7">
        <v>2000</v>
      </c>
      <c r="BN164" s="9">
        <f t="shared" si="6"/>
        <v>2000</v>
      </c>
      <c r="BO164" s="9">
        <f t="shared" si="7"/>
        <v>1400</v>
      </c>
    </row>
    <row r="165" spans="1:67" ht="24">
      <c r="A165" s="5" t="s">
        <v>217</v>
      </c>
      <c r="B165" s="10" t="s">
        <v>328</v>
      </c>
      <c r="C165" s="10">
        <v>457239</v>
      </c>
      <c r="D165" s="11"/>
      <c r="E165" s="10" t="s">
        <v>16</v>
      </c>
      <c r="F165" s="10" t="s">
        <v>329</v>
      </c>
      <c r="G165" s="10" t="s">
        <v>23</v>
      </c>
      <c r="H165" s="12" t="s">
        <v>27</v>
      </c>
      <c r="I165" s="12" t="s">
        <v>330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1</v>
      </c>
      <c r="AF165" s="12">
        <v>0</v>
      </c>
      <c r="AG165" s="13">
        <v>2000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7">
        <v>2000</v>
      </c>
      <c r="BN165" s="9">
        <f t="shared" si="6"/>
        <v>2000</v>
      </c>
      <c r="BO165" s="9">
        <f t="shared" si="7"/>
        <v>1400</v>
      </c>
    </row>
    <row r="166" spans="1:67" ht="24">
      <c r="A166" s="5" t="s">
        <v>217</v>
      </c>
      <c r="B166" s="10" t="s">
        <v>91</v>
      </c>
      <c r="C166" s="10">
        <v>465771</v>
      </c>
      <c r="D166" s="11"/>
      <c r="E166" s="10" t="s">
        <v>16</v>
      </c>
      <c r="F166" s="10" t="s">
        <v>92</v>
      </c>
      <c r="G166" s="10" t="s">
        <v>23</v>
      </c>
      <c r="H166" s="12" t="s">
        <v>10</v>
      </c>
      <c r="I166" s="12" t="s">
        <v>93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1</v>
      </c>
      <c r="AF166" s="12">
        <v>0</v>
      </c>
      <c r="AG166" s="13">
        <v>2000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7">
        <v>2000</v>
      </c>
      <c r="BN166" s="9">
        <f t="shared" si="6"/>
        <v>2000</v>
      </c>
      <c r="BO166" s="9">
        <f t="shared" si="7"/>
        <v>1400</v>
      </c>
    </row>
    <row r="167" spans="1:67" ht="24">
      <c r="A167" s="5" t="s">
        <v>217</v>
      </c>
      <c r="B167" s="10" t="s">
        <v>295</v>
      </c>
      <c r="C167" s="10">
        <v>459226</v>
      </c>
      <c r="D167" s="11"/>
      <c r="E167" s="10" t="s">
        <v>16</v>
      </c>
      <c r="F167" s="10" t="s">
        <v>215</v>
      </c>
      <c r="G167" s="10" t="s">
        <v>23</v>
      </c>
      <c r="H167" s="12" t="s">
        <v>27</v>
      </c>
      <c r="I167" s="12" t="s">
        <v>265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1</v>
      </c>
      <c r="AF167" s="12">
        <v>0</v>
      </c>
      <c r="AG167" s="13">
        <v>2000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7">
        <v>2000</v>
      </c>
      <c r="BN167" s="9">
        <f t="shared" si="6"/>
        <v>2000</v>
      </c>
      <c r="BO167" s="9">
        <f t="shared" si="7"/>
        <v>1400</v>
      </c>
    </row>
    <row r="168" spans="1:67" ht="24">
      <c r="A168" s="5" t="s">
        <v>217</v>
      </c>
      <c r="B168" s="10" t="s">
        <v>296</v>
      </c>
      <c r="C168" s="10">
        <v>443978</v>
      </c>
      <c r="D168" s="11"/>
      <c r="E168" s="10" t="s">
        <v>16</v>
      </c>
      <c r="F168" s="10" t="s">
        <v>84</v>
      </c>
      <c r="G168" s="10" t="s">
        <v>35</v>
      </c>
      <c r="H168" s="12" t="s">
        <v>8</v>
      </c>
      <c r="I168" s="12" t="s">
        <v>114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16</v>
      </c>
      <c r="AF168" s="12">
        <v>0</v>
      </c>
      <c r="AG168" s="13">
        <v>1600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7">
        <v>1600</v>
      </c>
      <c r="BN168" s="9">
        <f t="shared" si="6"/>
        <v>1600</v>
      </c>
      <c r="BO168" s="9">
        <f t="shared" si="7"/>
        <v>1120</v>
      </c>
    </row>
    <row r="169" spans="1:67" ht="24">
      <c r="A169" s="5" t="s">
        <v>217</v>
      </c>
      <c r="B169" s="10" t="s">
        <v>112</v>
      </c>
      <c r="C169" s="10">
        <v>401407</v>
      </c>
      <c r="D169" s="11"/>
      <c r="E169" s="10" t="s">
        <v>16</v>
      </c>
      <c r="F169" s="10" t="s">
        <v>44</v>
      </c>
      <c r="G169" s="10" t="s">
        <v>35</v>
      </c>
      <c r="H169" s="12" t="s">
        <v>8</v>
      </c>
      <c r="I169" s="12" t="s">
        <v>113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14</v>
      </c>
      <c r="AF169" s="12">
        <v>600</v>
      </c>
      <c r="AG169" s="12">
        <v>900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7">
        <v>1500</v>
      </c>
      <c r="BN169" s="9">
        <f t="shared" si="6"/>
        <v>1500</v>
      </c>
      <c r="BO169" s="9">
        <f t="shared" si="7"/>
        <v>1050</v>
      </c>
    </row>
    <row r="170" spans="1:67" ht="24">
      <c r="A170" s="5" t="s">
        <v>217</v>
      </c>
      <c r="B170" s="10" t="s">
        <v>125</v>
      </c>
      <c r="C170" s="10">
        <v>331754</v>
      </c>
      <c r="D170" s="11"/>
      <c r="E170" s="10" t="s">
        <v>16</v>
      </c>
      <c r="F170" s="10" t="s">
        <v>89</v>
      </c>
      <c r="G170" s="10" t="s">
        <v>56</v>
      </c>
      <c r="H170" s="12" t="s">
        <v>27</v>
      </c>
      <c r="I170" s="12" t="s">
        <v>126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2</v>
      </c>
      <c r="AF170" s="13">
        <v>1320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7">
        <v>1320</v>
      </c>
      <c r="BN170" s="9">
        <f t="shared" si="6"/>
        <v>1320</v>
      </c>
      <c r="BO170" s="9">
        <f t="shared" si="7"/>
        <v>923.99999999999989</v>
      </c>
    </row>
    <row r="171" spans="1:67" ht="24">
      <c r="A171" s="5" t="s">
        <v>217</v>
      </c>
      <c r="B171" s="10" t="s">
        <v>209</v>
      </c>
      <c r="C171" s="10">
        <v>453656</v>
      </c>
      <c r="D171" s="11"/>
      <c r="E171" s="10" t="s">
        <v>16</v>
      </c>
      <c r="F171" s="10" t="s">
        <v>17</v>
      </c>
      <c r="G171" s="10" t="s">
        <v>18</v>
      </c>
      <c r="H171" s="12" t="s">
        <v>7</v>
      </c>
      <c r="I171" s="12" t="s">
        <v>210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1</v>
      </c>
      <c r="AC171" s="13">
        <v>1080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7">
        <v>1080</v>
      </c>
      <c r="BN171" s="9">
        <f t="shared" si="6"/>
        <v>1080</v>
      </c>
      <c r="BO171" s="9">
        <f t="shared" si="7"/>
        <v>756</v>
      </c>
    </row>
    <row r="172" spans="1:67" ht="24">
      <c r="A172" s="5" t="s">
        <v>217</v>
      </c>
      <c r="B172" s="10" t="s">
        <v>29</v>
      </c>
      <c r="C172" s="10">
        <v>368432</v>
      </c>
      <c r="D172" s="11"/>
      <c r="E172" s="10" t="s">
        <v>16</v>
      </c>
      <c r="F172" s="10" t="s">
        <v>30</v>
      </c>
      <c r="G172" s="10" t="s">
        <v>31</v>
      </c>
      <c r="H172" s="12" t="s">
        <v>8</v>
      </c>
      <c r="I172" s="12" t="s">
        <v>32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4</v>
      </c>
      <c r="AF172" s="12">
        <v>480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3</v>
      </c>
      <c r="AR172" s="12">
        <v>300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8">
        <v>780</v>
      </c>
      <c r="BN172" s="9">
        <f t="shared" si="6"/>
        <v>780</v>
      </c>
      <c r="BO172" s="9">
        <f t="shared" si="7"/>
        <v>546</v>
      </c>
    </row>
    <row r="173" spans="1:67" ht="24">
      <c r="A173" s="5" t="s">
        <v>217</v>
      </c>
      <c r="B173" s="10" t="s">
        <v>300</v>
      </c>
      <c r="C173" s="10">
        <v>418030</v>
      </c>
      <c r="D173" s="11"/>
      <c r="E173" s="10" t="s">
        <v>16</v>
      </c>
      <c r="F173" s="10" t="s">
        <v>30</v>
      </c>
      <c r="G173" s="10" t="s">
        <v>56</v>
      </c>
      <c r="H173" s="12" t="s">
        <v>8</v>
      </c>
      <c r="I173" s="12" t="s">
        <v>301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5</v>
      </c>
      <c r="AR173" s="12">
        <v>500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  <c r="BL173" s="12">
        <v>0</v>
      </c>
      <c r="BM173" s="18">
        <v>500</v>
      </c>
      <c r="BN173" s="9">
        <f t="shared" si="6"/>
        <v>500</v>
      </c>
      <c r="BO173" s="9">
        <f t="shared" si="7"/>
        <v>350</v>
      </c>
    </row>
    <row r="174" spans="1:67" ht="24">
      <c r="A174" s="5" t="s">
        <v>217</v>
      </c>
      <c r="B174" s="10" t="s">
        <v>269</v>
      </c>
      <c r="C174" s="10">
        <v>451947</v>
      </c>
      <c r="D174" s="11"/>
      <c r="E174" s="10" t="s">
        <v>16</v>
      </c>
      <c r="F174" s="10" t="s">
        <v>17</v>
      </c>
      <c r="G174" s="10" t="s">
        <v>18</v>
      </c>
      <c r="H174" s="12" t="s">
        <v>7</v>
      </c>
      <c r="I174" s="12" t="s">
        <v>66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3</v>
      </c>
      <c r="BJ174" s="12">
        <v>360</v>
      </c>
      <c r="BK174" s="12">
        <v>0</v>
      </c>
      <c r="BL174" s="12">
        <v>18</v>
      </c>
      <c r="BM174" s="18">
        <v>360</v>
      </c>
      <c r="BN174" s="9">
        <f t="shared" si="6"/>
        <v>342</v>
      </c>
      <c r="BO174" s="9">
        <f t="shared" si="7"/>
        <v>239.39999999999998</v>
      </c>
    </row>
    <row r="175" spans="1:67" ht="24">
      <c r="A175" s="5" t="s">
        <v>217</v>
      </c>
      <c r="B175" s="10" t="s">
        <v>54</v>
      </c>
      <c r="C175" s="10">
        <v>456187</v>
      </c>
      <c r="D175" s="11"/>
      <c r="E175" s="10" t="s">
        <v>16</v>
      </c>
      <c r="F175" s="10" t="s">
        <v>55</v>
      </c>
      <c r="G175" s="10" t="s">
        <v>56</v>
      </c>
      <c r="H175" s="12" t="s">
        <v>8</v>
      </c>
      <c r="I175" s="12" t="s">
        <v>57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2</v>
      </c>
      <c r="BJ175" s="12">
        <v>240</v>
      </c>
      <c r="BK175" s="12">
        <v>0</v>
      </c>
      <c r="BL175" s="12">
        <v>12</v>
      </c>
      <c r="BM175" s="18">
        <v>240</v>
      </c>
      <c r="BN175" s="9">
        <f t="shared" si="6"/>
        <v>228</v>
      </c>
      <c r="BO175" s="9">
        <f t="shared" si="7"/>
        <v>159.6</v>
      </c>
    </row>
    <row r="176" spans="1:67" ht="24">
      <c r="A176" s="5" t="s">
        <v>217</v>
      </c>
      <c r="B176" s="10" t="s">
        <v>297</v>
      </c>
      <c r="C176" s="10">
        <v>415999</v>
      </c>
      <c r="D176" s="11"/>
      <c r="E176" s="10" t="s">
        <v>16</v>
      </c>
      <c r="F176" s="10" t="s">
        <v>107</v>
      </c>
      <c r="G176" s="10" t="s">
        <v>56</v>
      </c>
      <c r="H176" s="12" t="s">
        <v>27</v>
      </c>
      <c r="I176" s="12" t="s">
        <v>289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1</v>
      </c>
      <c r="AF176" s="12">
        <v>200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8">
        <v>200</v>
      </c>
      <c r="BN176" s="9">
        <f t="shared" si="6"/>
        <v>200</v>
      </c>
      <c r="BO176" s="9">
        <f t="shared" si="7"/>
        <v>140</v>
      </c>
    </row>
    <row r="177" spans="1:67" ht="24">
      <c r="A177" s="5" t="s">
        <v>217</v>
      </c>
      <c r="B177" s="10" t="s">
        <v>37</v>
      </c>
      <c r="C177" s="10">
        <v>354950</v>
      </c>
      <c r="D177" s="11" t="s">
        <v>38</v>
      </c>
      <c r="E177" s="10" t="s">
        <v>16</v>
      </c>
      <c r="F177" s="10" t="s">
        <v>17</v>
      </c>
      <c r="G177" s="10" t="s">
        <v>18</v>
      </c>
      <c r="H177" s="12" t="s">
        <v>7</v>
      </c>
      <c r="I177" s="12" t="s">
        <v>39</v>
      </c>
      <c r="J177" s="12">
        <v>0</v>
      </c>
      <c r="K177" s="12">
        <v>10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8">
        <v>0</v>
      </c>
      <c r="BN177" s="9">
        <f t="shared" si="6"/>
        <v>0</v>
      </c>
      <c r="BO177" s="9">
        <f t="shared" si="7"/>
        <v>0</v>
      </c>
    </row>
    <row r="178" spans="1:67" ht="24">
      <c r="A178" s="5" t="s">
        <v>227</v>
      </c>
      <c r="B178" s="10" t="s">
        <v>20</v>
      </c>
      <c r="C178" s="10">
        <v>451051</v>
      </c>
      <c r="D178" s="11"/>
      <c r="E178" s="10" t="s">
        <v>16</v>
      </c>
      <c r="F178" s="10" t="s">
        <v>17</v>
      </c>
      <c r="G178" s="10" t="s">
        <v>18</v>
      </c>
      <c r="H178" s="12" t="s">
        <v>10</v>
      </c>
      <c r="I178" s="12" t="s">
        <v>14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652</v>
      </c>
      <c r="AF178" s="13">
        <v>65200</v>
      </c>
      <c r="AG178" s="12">
        <v>0</v>
      </c>
      <c r="AH178" s="12">
        <v>0</v>
      </c>
      <c r="AI178" s="12">
        <v>0</v>
      </c>
      <c r="AJ178" s="12">
        <v>0</v>
      </c>
      <c r="AK178" s="12">
        <v>427</v>
      </c>
      <c r="AL178" s="13">
        <v>43320</v>
      </c>
      <c r="AM178" s="13">
        <v>6600</v>
      </c>
      <c r="AN178" s="12">
        <v>0</v>
      </c>
      <c r="AO178" s="12">
        <v>0</v>
      </c>
      <c r="AP178" s="12">
        <v>0</v>
      </c>
      <c r="AQ178" s="12">
        <v>2</v>
      </c>
      <c r="AR178" s="12">
        <v>200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4">
        <v>12996</v>
      </c>
      <c r="BM178" s="17">
        <v>115320</v>
      </c>
      <c r="BN178" s="9">
        <f t="shared" si="6"/>
        <v>102324</v>
      </c>
      <c r="BO178" s="9">
        <f t="shared" si="7"/>
        <v>71626.799999999988</v>
      </c>
    </row>
    <row r="179" spans="1:67" ht="24">
      <c r="A179" s="5" t="s">
        <v>227</v>
      </c>
      <c r="B179" s="10" t="s">
        <v>61</v>
      </c>
      <c r="C179" s="10">
        <v>369060</v>
      </c>
      <c r="D179" s="11"/>
      <c r="E179" s="10" t="s">
        <v>16</v>
      </c>
      <c r="F179" s="10" t="s">
        <v>49</v>
      </c>
      <c r="G179" s="10" t="s">
        <v>18</v>
      </c>
      <c r="H179" s="12" t="s">
        <v>7</v>
      </c>
      <c r="I179" s="12" t="s">
        <v>62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30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594</v>
      </c>
      <c r="AF179" s="13">
        <v>59400</v>
      </c>
      <c r="AG179" s="12">
        <v>0</v>
      </c>
      <c r="AH179" s="12">
        <v>0</v>
      </c>
      <c r="AI179" s="12">
        <v>0</v>
      </c>
      <c r="AJ179" s="12">
        <v>0</v>
      </c>
      <c r="AK179" s="12">
        <v>103</v>
      </c>
      <c r="AL179" s="12">
        <v>0</v>
      </c>
      <c r="AM179" s="13">
        <v>10300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7">
        <v>69700</v>
      </c>
      <c r="BN179" s="9">
        <f t="shared" si="6"/>
        <v>69700</v>
      </c>
      <c r="BO179" s="9">
        <f t="shared" si="7"/>
        <v>48790</v>
      </c>
    </row>
    <row r="180" spans="1:67" ht="24">
      <c r="A180" s="5" t="s">
        <v>227</v>
      </c>
      <c r="B180" s="10" t="s">
        <v>118</v>
      </c>
      <c r="C180" s="10">
        <v>367415</v>
      </c>
      <c r="D180" s="11"/>
      <c r="E180" s="10" t="s">
        <v>16</v>
      </c>
      <c r="F180" s="10" t="s">
        <v>49</v>
      </c>
      <c r="G180" s="10" t="s">
        <v>18</v>
      </c>
      <c r="H180" s="12" t="s">
        <v>7</v>
      </c>
      <c r="I180" s="12" t="s">
        <v>119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463</v>
      </c>
      <c r="AL180" s="13">
        <v>55560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4">
        <v>16668</v>
      </c>
      <c r="BM180" s="17">
        <v>55560</v>
      </c>
      <c r="BN180" s="9">
        <f t="shared" si="6"/>
        <v>38892</v>
      </c>
      <c r="BO180" s="9">
        <f t="shared" si="7"/>
        <v>27224.399999999998</v>
      </c>
    </row>
    <row r="181" spans="1:67" ht="24">
      <c r="A181" s="5" t="s">
        <v>227</v>
      </c>
      <c r="B181" s="10" t="s">
        <v>15</v>
      </c>
      <c r="C181" s="10">
        <v>465998</v>
      </c>
      <c r="D181" s="11"/>
      <c r="E181" s="10" t="s">
        <v>16</v>
      </c>
      <c r="F181" s="10" t="s">
        <v>17</v>
      </c>
      <c r="G181" s="10" t="s">
        <v>18</v>
      </c>
      <c r="H181" s="12" t="s">
        <v>10</v>
      </c>
      <c r="I181" s="12" t="s">
        <v>19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32</v>
      </c>
      <c r="AC181" s="13">
        <v>28300</v>
      </c>
      <c r="AD181" s="12">
        <v>0</v>
      </c>
      <c r="AE181" s="12">
        <v>0</v>
      </c>
      <c r="AF181" s="12">
        <v>0</v>
      </c>
      <c r="AG181" s="12">
        <v>0</v>
      </c>
      <c r="AH181" s="12">
        <v>12</v>
      </c>
      <c r="AI181" s="13">
        <v>8640</v>
      </c>
      <c r="AJ181" s="13">
        <v>2300</v>
      </c>
      <c r="AK181" s="12">
        <v>0</v>
      </c>
      <c r="AL181" s="12">
        <v>0</v>
      </c>
      <c r="AM181" s="12">
        <v>0</v>
      </c>
      <c r="AN181" s="12">
        <v>4</v>
      </c>
      <c r="AO181" s="13">
        <v>3600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4">
        <v>2592</v>
      </c>
      <c r="BM181" s="17">
        <v>42840</v>
      </c>
      <c r="BN181" s="9">
        <f t="shared" si="6"/>
        <v>40248</v>
      </c>
      <c r="BO181" s="9">
        <f t="shared" si="7"/>
        <v>28173.599999999999</v>
      </c>
    </row>
    <row r="182" spans="1:67" ht="24">
      <c r="A182" s="5" t="s">
        <v>227</v>
      </c>
      <c r="B182" s="10" t="s">
        <v>138</v>
      </c>
      <c r="C182" s="10">
        <v>470383</v>
      </c>
      <c r="D182" s="11"/>
      <c r="E182" s="10" t="s">
        <v>16</v>
      </c>
      <c r="F182" s="10" t="s">
        <v>139</v>
      </c>
      <c r="G182" s="10" t="s">
        <v>23</v>
      </c>
      <c r="H182" s="12" t="s">
        <v>27</v>
      </c>
      <c r="I182" s="12" t="s">
        <v>140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7</v>
      </c>
      <c r="AF182" s="13">
        <v>14000</v>
      </c>
      <c r="AG182" s="12">
        <v>0</v>
      </c>
      <c r="AH182" s="12">
        <v>0</v>
      </c>
      <c r="AI182" s="12">
        <v>0</v>
      </c>
      <c r="AJ182" s="12">
        <v>0</v>
      </c>
      <c r="AK182" s="12">
        <v>11</v>
      </c>
      <c r="AL182" s="13">
        <v>19680</v>
      </c>
      <c r="AM182" s="13">
        <v>5600</v>
      </c>
      <c r="AN182" s="12">
        <v>0</v>
      </c>
      <c r="AO182" s="12">
        <v>0</v>
      </c>
      <c r="AP182" s="12">
        <v>0</v>
      </c>
      <c r="AQ182" s="12">
        <v>1</v>
      </c>
      <c r="AR182" s="13">
        <v>2000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4">
        <v>5904</v>
      </c>
      <c r="BM182" s="17">
        <v>41280</v>
      </c>
      <c r="BN182" s="9">
        <f t="shared" si="6"/>
        <v>35376</v>
      </c>
      <c r="BO182" s="9">
        <f t="shared" si="7"/>
        <v>24763.199999999997</v>
      </c>
    </row>
    <row r="183" spans="1:67" ht="24">
      <c r="A183" s="5" t="s">
        <v>227</v>
      </c>
      <c r="B183" s="10" t="s">
        <v>270</v>
      </c>
      <c r="C183" s="10">
        <v>461353</v>
      </c>
      <c r="D183" s="11"/>
      <c r="E183" s="10" t="s">
        <v>16</v>
      </c>
      <c r="F183" s="10" t="s">
        <v>139</v>
      </c>
      <c r="G183" s="10" t="s">
        <v>23</v>
      </c>
      <c r="H183" s="12" t="s">
        <v>27</v>
      </c>
      <c r="I183" s="12" t="s">
        <v>265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6</v>
      </c>
      <c r="AF183" s="13">
        <v>9700</v>
      </c>
      <c r="AG183" s="13">
        <v>2000</v>
      </c>
      <c r="AH183" s="12">
        <v>0</v>
      </c>
      <c r="AI183" s="12">
        <v>0</v>
      </c>
      <c r="AJ183" s="12">
        <v>0</v>
      </c>
      <c r="AK183" s="12">
        <v>11</v>
      </c>
      <c r="AL183" s="13">
        <v>21380</v>
      </c>
      <c r="AM183" s="13">
        <v>2000</v>
      </c>
      <c r="AN183" s="12">
        <v>0</v>
      </c>
      <c r="AO183" s="12">
        <v>0</v>
      </c>
      <c r="AP183" s="12">
        <v>0</v>
      </c>
      <c r="AQ183" s="12">
        <v>1</v>
      </c>
      <c r="AR183" s="13">
        <v>2000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4">
        <v>6414</v>
      </c>
      <c r="BM183" s="17">
        <v>37080</v>
      </c>
      <c r="BN183" s="9">
        <f t="shared" si="6"/>
        <v>30666</v>
      </c>
      <c r="BO183" s="9">
        <f t="shared" si="7"/>
        <v>21466.199999999997</v>
      </c>
    </row>
    <row r="184" spans="1:67" ht="24">
      <c r="A184" s="5" t="s">
        <v>227</v>
      </c>
      <c r="B184" s="10" t="s">
        <v>147</v>
      </c>
      <c r="C184" s="10">
        <v>469971</v>
      </c>
      <c r="D184" s="11"/>
      <c r="E184" s="10" t="s">
        <v>16</v>
      </c>
      <c r="F184" s="10" t="s">
        <v>137</v>
      </c>
      <c r="G184" s="10" t="s">
        <v>69</v>
      </c>
      <c r="H184" s="12" t="s">
        <v>7</v>
      </c>
      <c r="I184" s="12" t="s">
        <v>333</v>
      </c>
      <c r="J184" s="12">
        <v>0</v>
      </c>
      <c r="K184" s="12">
        <v>224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46</v>
      </c>
      <c r="AF184" s="13">
        <v>4600</v>
      </c>
      <c r="AG184" s="12">
        <v>0</v>
      </c>
      <c r="AH184" s="12">
        <v>0</v>
      </c>
      <c r="AI184" s="12">
        <v>0</v>
      </c>
      <c r="AJ184" s="12">
        <v>0</v>
      </c>
      <c r="AK184" s="12">
        <v>13</v>
      </c>
      <c r="AL184" s="12">
        <v>600</v>
      </c>
      <c r="AM184" s="12">
        <v>800</v>
      </c>
      <c r="AN184" s="12">
        <v>0</v>
      </c>
      <c r="AO184" s="12">
        <v>0</v>
      </c>
      <c r="AP184" s="12">
        <v>0</v>
      </c>
      <c r="AQ184" s="12">
        <v>211</v>
      </c>
      <c r="AR184" s="13">
        <v>20700</v>
      </c>
      <c r="AS184" s="12">
        <v>400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180</v>
      </c>
      <c r="BM184" s="17">
        <v>27100</v>
      </c>
      <c r="BN184" s="9">
        <f t="shared" si="6"/>
        <v>26920</v>
      </c>
      <c r="BO184" s="9">
        <f t="shared" si="7"/>
        <v>18844</v>
      </c>
    </row>
    <row r="185" spans="1:67" ht="24">
      <c r="A185" s="5" t="s">
        <v>227</v>
      </c>
      <c r="B185" s="10" t="s">
        <v>266</v>
      </c>
      <c r="C185" s="10">
        <v>464780</v>
      </c>
      <c r="D185" s="11"/>
      <c r="E185" s="10" t="s">
        <v>16</v>
      </c>
      <c r="F185" s="10" t="s">
        <v>267</v>
      </c>
      <c r="G185" s="10" t="s">
        <v>23</v>
      </c>
      <c r="H185" s="12" t="s">
        <v>27</v>
      </c>
      <c r="I185" s="12" t="s">
        <v>265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3</v>
      </c>
      <c r="AF185" s="13">
        <v>4700</v>
      </c>
      <c r="AG185" s="12">
        <v>0</v>
      </c>
      <c r="AH185" s="12">
        <v>0</v>
      </c>
      <c r="AI185" s="12">
        <v>0</v>
      </c>
      <c r="AJ185" s="12">
        <v>0</v>
      </c>
      <c r="AK185" s="12">
        <v>9</v>
      </c>
      <c r="AL185" s="13">
        <v>9600</v>
      </c>
      <c r="AM185" s="13">
        <v>7300</v>
      </c>
      <c r="AN185" s="12">
        <v>0</v>
      </c>
      <c r="AO185" s="12">
        <v>0</v>
      </c>
      <c r="AP185" s="12">
        <v>0</v>
      </c>
      <c r="AQ185" s="12">
        <v>1</v>
      </c>
      <c r="AR185" s="13">
        <v>2000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4">
        <v>2880</v>
      </c>
      <c r="BM185" s="17">
        <v>23600</v>
      </c>
      <c r="BN185" s="9">
        <f t="shared" si="6"/>
        <v>20720</v>
      </c>
      <c r="BO185" s="9">
        <f t="shared" si="7"/>
        <v>14503.999999999998</v>
      </c>
    </row>
    <row r="186" spans="1:67" ht="24">
      <c r="A186" s="5" t="s">
        <v>227</v>
      </c>
      <c r="B186" s="10" t="s">
        <v>37</v>
      </c>
      <c r="C186" s="10">
        <v>354950</v>
      </c>
      <c r="D186" s="11" t="s">
        <v>38</v>
      </c>
      <c r="E186" s="10" t="s">
        <v>16</v>
      </c>
      <c r="F186" s="10" t="s">
        <v>17</v>
      </c>
      <c r="G186" s="10" t="s">
        <v>18</v>
      </c>
      <c r="H186" s="12" t="s">
        <v>7</v>
      </c>
      <c r="I186" s="12" t="s">
        <v>39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4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28</v>
      </c>
      <c r="AF186" s="13">
        <v>2800</v>
      </c>
      <c r="AG186" s="12">
        <v>0</v>
      </c>
      <c r="AH186" s="12">
        <v>0</v>
      </c>
      <c r="AI186" s="12">
        <v>0</v>
      </c>
      <c r="AJ186" s="12">
        <v>0</v>
      </c>
      <c r="AK186" s="12">
        <v>149</v>
      </c>
      <c r="AL186" s="13">
        <v>17880</v>
      </c>
      <c r="AM186" s="12">
        <v>0</v>
      </c>
      <c r="AN186" s="12">
        <v>0</v>
      </c>
      <c r="AO186" s="12">
        <v>0</v>
      </c>
      <c r="AP186" s="12">
        <v>0</v>
      </c>
      <c r="AQ186" s="12">
        <v>21</v>
      </c>
      <c r="AR186" s="13">
        <v>2100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  <c r="BL186" s="14">
        <v>5364</v>
      </c>
      <c r="BM186" s="17">
        <v>22780</v>
      </c>
      <c r="BN186" s="9">
        <f t="shared" si="6"/>
        <v>17416</v>
      </c>
      <c r="BO186" s="9">
        <f t="shared" si="7"/>
        <v>12191.199999999999</v>
      </c>
    </row>
    <row r="187" spans="1:67" ht="24">
      <c r="A187" s="5" t="s">
        <v>227</v>
      </c>
      <c r="B187" s="10" t="s">
        <v>335</v>
      </c>
      <c r="C187" s="10">
        <v>488813</v>
      </c>
      <c r="D187" s="11"/>
      <c r="E187" s="10" t="s">
        <v>16</v>
      </c>
      <c r="F187" s="10" t="s">
        <v>336</v>
      </c>
      <c r="G187" s="10" t="s">
        <v>23</v>
      </c>
      <c r="H187" s="12" t="s">
        <v>27</v>
      </c>
      <c r="I187" s="12" t="s">
        <v>337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1</v>
      </c>
      <c r="AF187" s="13">
        <v>4000</v>
      </c>
      <c r="AG187" s="12">
        <v>0</v>
      </c>
      <c r="AH187" s="12">
        <v>0</v>
      </c>
      <c r="AI187" s="12">
        <v>0</v>
      </c>
      <c r="AJ187" s="12">
        <v>0</v>
      </c>
      <c r="AK187" s="12">
        <v>4</v>
      </c>
      <c r="AL187" s="12">
        <v>0</v>
      </c>
      <c r="AM187" s="13">
        <v>16000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7">
        <v>20000</v>
      </c>
      <c r="BN187" s="9">
        <f t="shared" si="6"/>
        <v>20000</v>
      </c>
      <c r="BO187" s="9">
        <f t="shared" si="7"/>
        <v>14000</v>
      </c>
    </row>
    <row r="188" spans="1:67" ht="24">
      <c r="A188" s="5" t="s">
        <v>227</v>
      </c>
      <c r="B188" s="10" t="s">
        <v>82</v>
      </c>
      <c r="C188" s="10">
        <v>455896</v>
      </c>
      <c r="D188" s="11"/>
      <c r="E188" s="10" t="s">
        <v>16</v>
      </c>
      <c r="F188" s="10" t="s">
        <v>17</v>
      </c>
      <c r="G188" s="10" t="s">
        <v>18</v>
      </c>
      <c r="H188" s="12" t="s">
        <v>7</v>
      </c>
      <c r="I188" s="12" t="s">
        <v>83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167</v>
      </c>
      <c r="AF188" s="13">
        <v>16700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7">
        <v>16700</v>
      </c>
      <c r="BN188" s="9">
        <f t="shared" si="6"/>
        <v>16700</v>
      </c>
      <c r="BO188" s="9">
        <f t="shared" si="7"/>
        <v>11690</v>
      </c>
    </row>
    <row r="189" spans="1:67" ht="24">
      <c r="A189" s="5" t="s">
        <v>227</v>
      </c>
      <c r="B189" s="10" t="s">
        <v>25</v>
      </c>
      <c r="C189" s="10">
        <v>459229</v>
      </c>
      <c r="D189" s="11"/>
      <c r="E189" s="10" t="s">
        <v>16</v>
      </c>
      <c r="F189" s="10" t="s">
        <v>26</v>
      </c>
      <c r="G189" s="10" t="s">
        <v>23</v>
      </c>
      <c r="H189" s="12" t="s">
        <v>27</v>
      </c>
      <c r="I189" s="12" t="s">
        <v>28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4</v>
      </c>
      <c r="AF189" s="13">
        <v>12000</v>
      </c>
      <c r="AG189" s="12">
        <v>0</v>
      </c>
      <c r="AH189" s="12">
        <v>0</v>
      </c>
      <c r="AI189" s="12">
        <v>0</v>
      </c>
      <c r="AJ189" s="12">
        <v>0</v>
      </c>
      <c r="AK189" s="12">
        <v>1</v>
      </c>
      <c r="AL189" s="13">
        <v>3600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4">
        <v>1080</v>
      </c>
      <c r="BM189" s="17">
        <v>15600</v>
      </c>
      <c r="BN189" s="9">
        <f t="shared" si="6"/>
        <v>14520</v>
      </c>
      <c r="BO189" s="9">
        <f t="shared" si="7"/>
        <v>10164</v>
      </c>
    </row>
    <row r="190" spans="1:67" ht="24">
      <c r="A190" s="5" t="s">
        <v>227</v>
      </c>
      <c r="B190" s="10" t="s">
        <v>33</v>
      </c>
      <c r="C190" s="10">
        <v>395341</v>
      </c>
      <c r="D190" s="11"/>
      <c r="E190" s="10" t="s">
        <v>16</v>
      </c>
      <c r="F190" s="10" t="s">
        <v>34</v>
      </c>
      <c r="G190" s="10" t="s">
        <v>35</v>
      </c>
      <c r="H190" s="12" t="s">
        <v>8</v>
      </c>
      <c r="I190" s="12" t="s">
        <v>36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63</v>
      </c>
      <c r="AF190" s="13">
        <v>6000</v>
      </c>
      <c r="AG190" s="12">
        <v>300</v>
      </c>
      <c r="AH190" s="12">
        <v>0</v>
      </c>
      <c r="AI190" s="12">
        <v>0</v>
      </c>
      <c r="AJ190" s="12">
        <v>0</v>
      </c>
      <c r="AK190" s="12">
        <v>93</v>
      </c>
      <c r="AL190" s="12">
        <v>0</v>
      </c>
      <c r="AM190" s="13">
        <v>9300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7">
        <v>15600</v>
      </c>
      <c r="BN190" s="9">
        <f t="shared" si="6"/>
        <v>15600</v>
      </c>
      <c r="BO190" s="9">
        <f t="shared" si="7"/>
        <v>10920</v>
      </c>
    </row>
    <row r="191" spans="1:67" ht="24">
      <c r="A191" s="5" t="s">
        <v>227</v>
      </c>
      <c r="B191" s="10" t="s">
        <v>348</v>
      </c>
      <c r="C191" s="10">
        <v>488818</v>
      </c>
      <c r="D191" s="11"/>
      <c r="E191" s="10" t="s">
        <v>16</v>
      </c>
      <c r="F191" s="10" t="s">
        <v>349</v>
      </c>
      <c r="G191" s="10" t="s">
        <v>23</v>
      </c>
      <c r="H191" s="12" t="s">
        <v>27</v>
      </c>
      <c r="I191" s="12" t="s">
        <v>350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1</v>
      </c>
      <c r="AF191" s="12">
        <v>0</v>
      </c>
      <c r="AG191" s="12">
        <v>200</v>
      </c>
      <c r="AH191" s="12">
        <v>0</v>
      </c>
      <c r="AI191" s="12">
        <v>0</v>
      </c>
      <c r="AJ191" s="12">
        <v>0</v>
      </c>
      <c r="AK191" s="12">
        <v>6</v>
      </c>
      <c r="AL191" s="12">
        <v>0</v>
      </c>
      <c r="AM191" s="13">
        <v>14800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7">
        <v>15000</v>
      </c>
      <c r="BN191" s="9">
        <f t="shared" si="6"/>
        <v>15000</v>
      </c>
      <c r="BO191" s="9">
        <f t="shared" si="7"/>
        <v>10500</v>
      </c>
    </row>
    <row r="192" spans="1:67" ht="24">
      <c r="A192" s="5" t="s">
        <v>227</v>
      </c>
      <c r="B192" s="10" t="s">
        <v>253</v>
      </c>
      <c r="C192" s="10">
        <v>483769</v>
      </c>
      <c r="D192" s="11"/>
      <c r="E192" s="10" t="s">
        <v>16</v>
      </c>
      <c r="F192" s="10" t="s">
        <v>254</v>
      </c>
      <c r="G192" s="10" t="s">
        <v>23</v>
      </c>
      <c r="H192" s="12" t="s">
        <v>8</v>
      </c>
      <c r="I192" s="12" t="s">
        <v>255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2</v>
      </c>
      <c r="AF192" s="13">
        <v>5000</v>
      </c>
      <c r="AG192" s="12">
        <v>0</v>
      </c>
      <c r="AH192" s="12">
        <v>0</v>
      </c>
      <c r="AI192" s="12">
        <v>0</v>
      </c>
      <c r="AJ192" s="12">
        <v>0</v>
      </c>
      <c r="AK192" s="12">
        <v>2</v>
      </c>
      <c r="AL192" s="13">
        <v>5288</v>
      </c>
      <c r="AM192" s="12">
        <v>300</v>
      </c>
      <c r="AN192" s="12">
        <v>0</v>
      </c>
      <c r="AO192" s="12">
        <v>0</v>
      </c>
      <c r="AP192" s="12">
        <v>0</v>
      </c>
      <c r="AQ192" s="12">
        <v>1</v>
      </c>
      <c r="AR192" s="13">
        <v>2300</v>
      </c>
      <c r="AS192" s="12">
        <v>200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4">
        <v>1586.4</v>
      </c>
      <c r="BM192" s="17">
        <v>13088</v>
      </c>
      <c r="BN192" s="9">
        <f t="shared" si="6"/>
        <v>11501.6</v>
      </c>
      <c r="BO192" s="9">
        <f t="shared" si="7"/>
        <v>8051.12</v>
      </c>
    </row>
    <row r="193" spans="1:67" ht="24">
      <c r="A193" s="5" t="s">
        <v>227</v>
      </c>
      <c r="B193" s="10" t="s">
        <v>377</v>
      </c>
      <c r="C193" s="10">
        <v>316013</v>
      </c>
      <c r="D193" s="11"/>
      <c r="E193" s="10" t="s">
        <v>16</v>
      </c>
      <c r="F193" s="10" t="s">
        <v>44</v>
      </c>
      <c r="G193" s="10" t="s">
        <v>35</v>
      </c>
      <c r="H193" s="12" t="s">
        <v>27</v>
      </c>
      <c r="I193" s="12" t="s">
        <v>378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1</v>
      </c>
      <c r="AF193" s="13">
        <v>3200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2</v>
      </c>
      <c r="BD193" s="13">
        <v>7680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460.8</v>
      </c>
      <c r="BM193" s="17">
        <v>10880</v>
      </c>
      <c r="BN193" s="9">
        <f t="shared" si="6"/>
        <v>10419.200000000001</v>
      </c>
      <c r="BO193" s="9">
        <f t="shared" si="7"/>
        <v>7293.44</v>
      </c>
    </row>
    <row r="194" spans="1:67" ht="24">
      <c r="A194" s="5" t="s">
        <v>227</v>
      </c>
      <c r="B194" s="10" t="s">
        <v>225</v>
      </c>
      <c r="C194" s="10">
        <v>445954</v>
      </c>
      <c r="D194" s="11"/>
      <c r="E194" s="10" t="s">
        <v>16</v>
      </c>
      <c r="F194" s="10" t="s">
        <v>107</v>
      </c>
      <c r="G194" s="10" t="s">
        <v>56</v>
      </c>
      <c r="H194" s="12" t="s">
        <v>8</v>
      </c>
      <c r="I194" s="12" t="s">
        <v>226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2</v>
      </c>
      <c r="AF194" s="12">
        <v>200</v>
      </c>
      <c r="AG194" s="12">
        <v>0</v>
      </c>
      <c r="AH194" s="12">
        <v>0</v>
      </c>
      <c r="AI194" s="12">
        <v>0</v>
      </c>
      <c r="AJ194" s="12">
        <v>0</v>
      </c>
      <c r="AK194" s="12">
        <v>85</v>
      </c>
      <c r="AL194" s="13">
        <v>9960</v>
      </c>
      <c r="AM194" s="12">
        <v>200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  <c r="BL194" s="14">
        <v>2988</v>
      </c>
      <c r="BM194" s="17">
        <v>10360</v>
      </c>
      <c r="BN194" s="9">
        <f t="shared" si="6"/>
        <v>7372</v>
      </c>
      <c r="BO194" s="9">
        <f t="shared" si="7"/>
        <v>5160.3999999999996</v>
      </c>
    </row>
    <row r="195" spans="1:67" ht="24">
      <c r="A195" s="5" t="s">
        <v>227</v>
      </c>
      <c r="B195" s="10" t="s">
        <v>379</v>
      </c>
      <c r="C195" s="10">
        <v>423507</v>
      </c>
      <c r="D195" s="11"/>
      <c r="E195" s="10" t="s">
        <v>16</v>
      </c>
      <c r="F195" s="10" t="s">
        <v>90</v>
      </c>
      <c r="G195" s="10" t="s">
        <v>35</v>
      </c>
      <c r="H195" s="12" t="s">
        <v>27</v>
      </c>
      <c r="I195" s="12" t="s">
        <v>380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2</v>
      </c>
      <c r="BD195" s="13">
        <v>7680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460.8</v>
      </c>
      <c r="BM195" s="17">
        <v>7680</v>
      </c>
      <c r="BN195" s="9">
        <f t="shared" si="6"/>
        <v>7219.2</v>
      </c>
      <c r="BO195" s="9">
        <f t="shared" si="7"/>
        <v>5053.4399999999996</v>
      </c>
    </row>
    <row r="196" spans="1:67" ht="24">
      <c r="A196" s="5" t="s">
        <v>227</v>
      </c>
      <c r="B196" s="10" t="s">
        <v>58</v>
      </c>
      <c r="C196" s="10">
        <v>468582</v>
      </c>
      <c r="D196" s="11"/>
      <c r="E196" s="10" t="s">
        <v>16</v>
      </c>
      <c r="F196" s="10" t="s">
        <v>59</v>
      </c>
      <c r="G196" s="10" t="s">
        <v>23</v>
      </c>
      <c r="H196" s="12" t="s">
        <v>10</v>
      </c>
      <c r="I196" s="12" t="s">
        <v>60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2</v>
      </c>
      <c r="AF196" s="12">
        <v>0</v>
      </c>
      <c r="AG196" s="13">
        <v>3500</v>
      </c>
      <c r="AH196" s="12">
        <v>0</v>
      </c>
      <c r="AI196" s="12">
        <v>0</v>
      </c>
      <c r="AJ196" s="12">
        <v>0</v>
      </c>
      <c r="AK196" s="12">
        <v>2</v>
      </c>
      <c r="AL196" s="12">
        <v>120</v>
      </c>
      <c r="AM196" s="13">
        <v>1400</v>
      </c>
      <c r="AN196" s="12">
        <v>0</v>
      </c>
      <c r="AO196" s="12">
        <v>0</v>
      </c>
      <c r="AP196" s="12">
        <v>0</v>
      </c>
      <c r="AQ196" s="12">
        <v>1</v>
      </c>
      <c r="AR196" s="13">
        <v>2500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36</v>
      </c>
      <c r="BM196" s="17">
        <v>7520</v>
      </c>
      <c r="BN196" s="9">
        <f t="shared" si="6"/>
        <v>7484</v>
      </c>
      <c r="BO196" s="9">
        <f t="shared" si="7"/>
        <v>5238.7999999999993</v>
      </c>
    </row>
    <row r="197" spans="1:67" ht="24">
      <c r="A197" s="5" t="s">
        <v>227</v>
      </c>
      <c r="B197" s="10" t="s">
        <v>21</v>
      </c>
      <c r="C197" s="10">
        <v>464786</v>
      </c>
      <c r="D197" s="11"/>
      <c r="E197" s="10" t="s">
        <v>16</v>
      </c>
      <c r="F197" s="10" t="s">
        <v>22</v>
      </c>
      <c r="G197" s="10" t="s">
        <v>23</v>
      </c>
      <c r="H197" s="12" t="s">
        <v>10</v>
      </c>
      <c r="I197" s="12" t="s">
        <v>24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2</v>
      </c>
      <c r="AF197" s="13">
        <v>2500</v>
      </c>
      <c r="AG197" s="13">
        <v>2300</v>
      </c>
      <c r="AH197" s="12">
        <v>0</v>
      </c>
      <c r="AI197" s="12">
        <v>0</v>
      </c>
      <c r="AJ197" s="12">
        <v>0</v>
      </c>
      <c r="AK197" s="12">
        <v>2</v>
      </c>
      <c r="AL197" s="12">
        <v>0</v>
      </c>
      <c r="AM197" s="12">
        <v>500</v>
      </c>
      <c r="AN197" s="12">
        <v>0</v>
      </c>
      <c r="AO197" s="12">
        <v>0</v>
      </c>
      <c r="AP197" s="12">
        <v>0</v>
      </c>
      <c r="AQ197" s="12">
        <v>1</v>
      </c>
      <c r="AR197" s="13">
        <v>2200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7">
        <v>7500</v>
      </c>
      <c r="BN197" s="9">
        <f t="shared" si="6"/>
        <v>7500</v>
      </c>
      <c r="BO197" s="9">
        <f t="shared" si="7"/>
        <v>5250</v>
      </c>
    </row>
    <row r="198" spans="1:67" ht="24">
      <c r="A198" s="5" t="s">
        <v>227</v>
      </c>
      <c r="B198" s="10" t="s">
        <v>314</v>
      </c>
      <c r="C198" s="10">
        <v>381424</v>
      </c>
      <c r="D198" s="11"/>
      <c r="E198" s="10" t="s">
        <v>16</v>
      </c>
      <c r="F198" s="10" t="s">
        <v>34</v>
      </c>
      <c r="G198" s="10" t="s">
        <v>35</v>
      </c>
      <c r="H198" s="12" t="s">
        <v>27</v>
      </c>
      <c r="I198" s="12" t="s">
        <v>315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2</v>
      </c>
      <c r="AL198" s="12">
        <v>0</v>
      </c>
      <c r="AM198" s="13">
        <v>7000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7">
        <v>7000</v>
      </c>
      <c r="BN198" s="9">
        <f t="shared" si="6"/>
        <v>7000</v>
      </c>
      <c r="BO198" s="9">
        <f t="shared" si="7"/>
        <v>4900</v>
      </c>
    </row>
    <row r="199" spans="1:67" ht="24">
      <c r="A199" s="5" t="s">
        <v>227</v>
      </c>
      <c r="B199" s="10" t="s">
        <v>263</v>
      </c>
      <c r="C199" s="10">
        <v>457677</v>
      </c>
      <c r="D199" s="11"/>
      <c r="E199" s="10" t="s">
        <v>16</v>
      </c>
      <c r="F199" s="10" t="s">
        <v>264</v>
      </c>
      <c r="G199" s="10" t="s">
        <v>23</v>
      </c>
      <c r="H199" s="12" t="s">
        <v>27</v>
      </c>
      <c r="I199" s="12" t="s">
        <v>265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1</v>
      </c>
      <c r="AF199" s="13">
        <v>2000</v>
      </c>
      <c r="AG199" s="12">
        <v>0</v>
      </c>
      <c r="AH199" s="12">
        <v>0</v>
      </c>
      <c r="AI199" s="12">
        <v>0</v>
      </c>
      <c r="AJ199" s="12">
        <v>0</v>
      </c>
      <c r="AK199" s="12">
        <v>2</v>
      </c>
      <c r="AL199" s="13">
        <v>4800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4">
        <v>1440</v>
      </c>
      <c r="BM199" s="17">
        <v>6800</v>
      </c>
      <c r="BN199" s="9">
        <f t="shared" ref="BN199:BN201" si="8">BM199-BL199</f>
        <v>5360</v>
      </c>
      <c r="BO199" s="9">
        <f t="shared" ref="BO199:BO201" si="9">BN199*0.7</f>
        <v>3751.9999999999995</v>
      </c>
    </row>
    <row r="200" spans="1:67" ht="24">
      <c r="A200" s="5" t="s">
        <v>227</v>
      </c>
      <c r="B200" s="10" t="s">
        <v>362</v>
      </c>
      <c r="C200" s="10">
        <v>387161</v>
      </c>
      <c r="D200" s="11"/>
      <c r="E200" s="10" t="s">
        <v>16</v>
      </c>
      <c r="F200" s="10" t="s">
        <v>363</v>
      </c>
      <c r="G200" s="10" t="s">
        <v>56</v>
      </c>
      <c r="H200" s="12" t="s">
        <v>27</v>
      </c>
      <c r="I200" s="12" t="s">
        <v>364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2</v>
      </c>
      <c r="AF200" s="13">
        <v>6400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7">
        <v>6400</v>
      </c>
      <c r="BN200" s="9">
        <f t="shared" si="8"/>
        <v>6400</v>
      </c>
      <c r="BO200" s="9">
        <f t="shared" si="9"/>
        <v>4480</v>
      </c>
    </row>
    <row r="201" spans="1:67" ht="24">
      <c r="A201" s="5" t="s">
        <v>227</v>
      </c>
      <c r="B201" s="10" t="s">
        <v>296</v>
      </c>
      <c r="C201" s="10">
        <v>443978</v>
      </c>
      <c r="D201" s="11"/>
      <c r="E201" s="10" t="s">
        <v>16</v>
      </c>
      <c r="F201" s="10" t="s">
        <v>84</v>
      </c>
      <c r="G201" s="10" t="s">
        <v>35</v>
      </c>
      <c r="H201" s="12" t="s">
        <v>8</v>
      </c>
      <c r="I201" s="12" t="s">
        <v>114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60</v>
      </c>
      <c r="AF201" s="13">
        <v>6000</v>
      </c>
      <c r="AG201" s="12">
        <v>0</v>
      </c>
      <c r="AH201" s="12">
        <v>0</v>
      </c>
      <c r="AI201" s="12">
        <v>0</v>
      </c>
      <c r="AJ201" s="12">
        <v>0</v>
      </c>
      <c r="AK201" s="12">
        <v>3</v>
      </c>
      <c r="AL201" s="12">
        <v>0</v>
      </c>
      <c r="AM201" s="12">
        <v>300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7">
        <v>6300</v>
      </c>
      <c r="BN201" s="9">
        <f t="shared" si="8"/>
        <v>6300</v>
      </c>
      <c r="BO201" s="9">
        <f t="shared" si="9"/>
        <v>4410</v>
      </c>
    </row>
    <row r="202" spans="1:67" ht="24">
      <c r="A202" s="5" t="s">
        <v>227</v>
      </c>
      <c r="B202" s="10" t="s">
        <v>29</v>
      </c>
      <c r="C202" s="10">
        <v>368432</v>
      </c>
      <c r="D202" s="11"/>
      <c r="E202" s="10" t="s">
        <v>16</v>
      </c>
      <c r="F202" s="10" t="s">
        <v>30</v>
      </c>
      <c r="G202" s="10" t="s">
        <v>31</v>
      </c>
      <c r="H202" s="12" t="s">
        <v>8</v>
      </c>
      <c r="I202" s="12" t="s">
        <v>32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3</v>
      </c>
      <c r="AF202" s="12">
        <v>300</v>
      </c>
      <c r="AG202" s="12">
        <v>0</v>
      </c>
      <c r="AH202" s="12">
        <v>0</v>
      </c>
      <c r="AI202" s="12">
        <v>0</v>
      </c>
      <c r="AJ202" s="12">
        <v>0</v>
      </c>
      <c r="AK202" s="12">
        <v>46</v>
      </c>
      <c r="AL202" s="13">
        <v>5588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4">
        <v>1676.4</v>
      </c>
      <c r="BM202" s="17">
        <v>5888</v>
      </c>
      <c r="BN202" s="9">
        <f t="shared" ref="BN202:BN233" si="10">BM202-BL202</f>
        <v>4211.6000000000004</v>
      </c>
      <c r="BO202" s="9">
        <f t="shared" ref="BO202:BO233" si="11">BN202*0.7</f>
        <v>2948.12</v>
      </c>
    </row>
    <row r="203" spans="1:67" ht="24">
      <c r="A203" s="5" t="s">
        <v>227</v>
      </c>
      <c r="B203" s="10" t="s">
        <v>258</v>
      </c>
      <c r="C203" s="10">
        <v>468589</v>
      </c>
      <c r="D203" s="11"/>
      <c r="E203" s="10" t="s">
        <v>16</v>
      </c>
      <c r="F203" s="10" t="s">
        <v>259</v>
      </c>
      <c r="G203" s="10" t="s">
        <v>23</v>
      </c>
      <c r="H203" s="12" t="s">
        <v>10</v>
      </c>
      <c r="I203" s="12" t="s">
        <v>260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2</v>
      </c>
      <c r="AF203" s="13">
        <v>5000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7">
        <v>5000</v>
      </c>
      <c r="BN203" s="9">
        <f t="shared" si="10"/>
        <v>5000</v>
      </c>
      <c r="BO203" s="9">
        <f t="shared" si="11"/>
        <v>3500</v>
      </c>
    </row>
    <row r="204" spans="1:67" ht="24">
      <c r="A204" s="5" t="s">
        <v>227</v>
      </c>
      <c r="B204" s="10" t="s">
        <v>221</v>
      </c>
      <c r="C204" s="10">
        <v>477489</v>
      </c>
      <c r="D204" s="11"/>
      <c r="E204" s="10" t="s">
        <v>16</v>
      </c>
      <c r="F204" s="10" t="s">
        <v>222</v>
      </c>
      <c r="G204" s="10" t="s">
        <v>23</v>
      </c>
      <c r="H204" s="12" t="s">
        <v>27</v>
      </c>
      <c r="I204" s="12" t="s">
        <v>212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1</v>
      </c>
      <c r="AF204" s="13">
        <v>2000</v>
      </c>
      <c r="AG204" s="12">
        <v>0</v>
      </c>
      <c r="AH204" s="12">
        <v>0</v>
      </c>
      <c r="AI204" s="12">
        <v>0</v>
      </c>
      <c r="AJ204" s="12">
        <v>0</v>
      </c>
      <c r="AK204" s="12">
        <v>1</v>
      </c>
      <c r="AL204" s="13">
        <v>2400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  <c r="BL204" s="12">
        <v>720</v>
      </c>
      <c r="BM204" s="17">
        <v>4400</v>
      </c>
      <c r="BN204" s="9">
        <f t="shared" si="10"/>
        <v>3680</v>
      </c>
      <c r="BO204" s="9">
        <f t="shared" si="11"/>
        <v>2576</v>
      </c>
    </row>
    <row r="205" spans="1:67" ht="24">
      <c r="A205" s="5" t="s">
        <v>227</v>
      </c>
      <c r="B205" s="10" t="s">
        <v>98</v>
      </c>
      <c r="C205" s="10">
        <v>354768</v>
      </c>
      <c r="D205" s="11"/>
      <c r="E205" s="10" t="s">
        <v>16</v>
      </c>
      <c r="F205" s="10" t="s">
        <v>30</v>
      </c>
      <c r="G205" s="10" t="s">
        <v>31</v>
      </c>
      <c r="H205" s="12" t="s">
        <v>8</v>
      </c>
      <c r="I205" s="12" t="s">
        <v>99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43</v>
      </c>
      <c r="AF205" s="12">
        <v>500</v>
      </c>
      <c r="AG205" s="13">
        <v>3800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7">
        <v>4300</v>
      </c>
      <c r="BN205" s="9">
        <f t="shared" si="10"/>
        <v>4300</v>
      </c>
      <c r="BO205" s="9">
        <f t="shared" si="11"/>
        <v>3010</v>
      </c>
    </row>
    <row r="206" spans="1:67" ht="24">
      <c r="A206" s="5" t="s">
        <v>227</v>
      </c>
      <c r="B206" s="10" t="s">
        <v>219</v>
      </c>
      <c r="C206" s="10">
        <v>474768</v>
      </c>
      <c r="D206" s="11"/>
      <c r="E206" s="10" t="s">
        <v>16</v>
      </c>
      <c r="F206" s="10" t="s">
        <v>26</v>
      </c>
      <c r="G206" s="10" t="s">
        <v>23</v>
      </c>
      <c r="H206" s="12" t="s">
        <v>27</v>
      </c>
      <c r="I206" s="12" t="s">
        <v>220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1</v>
      </c>
      <c r="AL206" s="13">
        <v>4200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4">
        <v>1260</v>
      </c>
      <c r="BM206" s="17">
        <v>4200</v>
      </c>
      <c r="BN206" s="9">
        <f t="shared" si="10"/>
        <v>2940</v>
      </c>
      <c r="BO206" s="9">
        <f t="shared" si="11"/>
        <v>2058</v>
      </c>
    </row>
    <row r="207" spans="1:67" ht="24">
      <c r="A207" s="5" t="s">
        <v>227</v>
      </c>
      <c r="B207" s="10" t="s">
        <v>91</v>
      </c>
      <c r="C207" s="10">
        <v>465771</v>
      </c>
      <c r="D207" s="11"/>
      <c r="E207" s="10" t="s">
        <v>16</v>
      </c>
      <c r="F207" s="10" t="s">
        <v>92</v>
      </c>
      <c r="G207" s="10" t="s">
        <v>23</v>
      </c>
      <c r="H207" s="12" t="s">
        <v>10</v>
      </c>
      <c r="I207" s="12" t="s">
        <v>93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2</v>
      </c>
      <c r="AL207" s="12">
        <v>0</v>
      </c>
      <c r="AM207" s="13">
        <v>4000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7">
        <v>4000</v>
      </c>
      <c r="BN207" s="9">
        <f t="shared" si="10"/>
        <v>4000</v>
      </c>
      <c r="BO207" s="9">
        <f t="shared" si="11"/>
        <v>2800</v>
      </c>
    </row>
    <row r="208" spans="1:67" ht="24">
      <c r="A208" s="5" t="s">
        <v>227</v>
      </c>
      <c r="B208" s="10" t="s">
        <v>298</v>
      </c>
      <c r="C208" s="10">
        <v>485979</v>
      </c>
      <c r="D208" s="11"/>
      <c r="E208" s="10" t="s">
        <v>16</v>
      </c>
      <c r="F208" s="10" t="s">
        <v>59</v>
      </c>
      <c r="G208" s="10" t="s">
        <v>23</v>
      </c>
      <c r="H208" s="12" t="s">
        <v>7</v>
      </c>
      <c r="I208" s="12" t="s">
        <v>299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1</v>
      </c>
      <c r="AF208" s="12">
        <v>0</v>
      </c>
      <c r="AG208" s="13">
        <v>2000</v>
      </c>
      <c r="AH208" s="12">
        <v>0</v>
      </c>
      <c r="AI208" s="12">
        <v>0</v>
      </c>
      <c r="AJ208" s="12">
        <v>0</v>
      </c>
      <c r="AK208" s="12">
        <v>1</v>
      </c>
      <c r="AL208" s="12">
        <v>0</v>
      </c>
      <c r="AM208" s="13">
        <v>1000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7">
        <v>3000</v>
      </c>
      <c r="BN208" s="9">
        <f t="shared" si="10"/>
        <v>3000</v>
      </c>
      <c r="BO208" s="9">
        <f t="shared" si="11"/>
        <v>2100</v>
      </c>
    </row>
    <row r="209" spans="1:67" ht="24">
      <c r="A209" s="5" t="s">
        <v>227</v>
      </c>
      <c r="B209" s="10" t="s">
        <v>250</v>
      </c>
      <c r="C209" s="10">
        <v>442667</v>
      </c>
      <c r="D209" s="11"/>
      <c r="E209" s="10" t="s">
        <v>16</v>
      </c>
      <c r="F209" s="10" t="s">
        <v>84</v>
      </c>
      <c r="G209" s="10" t="s">
        <v>35</v>
      </c>
      <c r="H209" s="12" t="s">
        <v>27</v>
      </c>
      <c r="I209" s="12" t="s">
        <v>251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1</v>
      </c>
      <c r="AF209" s="13">
        <v>3000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7">
        <v>3000</v>
      </c>
      <c r="BN209" s="9">
        <f t="shared" si="10"/>
        <v>3000</v>
      </c>
      <c r="BO209" s="9">
        <f t="shared" si="11"/>
        <v>2100</v>
      </c>
    </row>
    <row r="210" spans="1:67" ht="24">
      <c r="A210" s="5" t="s">
        <v>227</v>
      </c>
      <c r="B210" s="10" t="s">
        <v>230</v>
      </c>
      <c r="C210" s="10">
        <v>408834</v>
      </c>
      <c r="D210" s="11"/>
      <c r="E210" s="10" t="s">
        <v>16</v>
      </c>
      <c r="F210" s="10" t="s">
        <v>52</v>
      </c>
      <c r="G210" s="10" t="s">
        <v>18</v>
      </c>
      <c r="H210" s="12" t="s">
        <v>7</v>
      </c>
      <c r="I210" s="12" t="s">
        <v>73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3</v>
      </c>
      <c r="AC210" s="13">
        <v>2700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7">
        <v>2700</v>
      </c>
      <c r="BN210" s="9">
        <f t="shared" si="10"/>
        <v>2700</v>
      </c>
      <c r="BO210" s="9">
        <f t="shared" si="11"/>
        <v>1889.9999999999998</v>
      </c>
    </row>
    <row r="211" spans="1:67" ht="24">
      <c r="A211" s="5" t="s">
        <v>227</v>
      </c>
      <c r="B211" s="10" t="s">
        <v>148</v>
      </c>
      <c r="C211" s="10">
        <v>408303</v>
      </c>
      <c r="D211" s="11"/>
      <c r="E211" s="10" t="s">
        <v>16</v>
      </c>
      <c r="F211" s="10" t="s">
        <v>52</v>
      </c>
      <c r="G211" s="10" t="s">
        <v>18</v>
      </c>
      <c r="H211" s="12" t="s">
        <v>7</v>
      </c>
      <c r="I211" s="12" t="s">
        <v>149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3</v>
      </c>
      <c r="AO211" s="13">
        <v>2700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7">
        <v>2700</v>
      </c>
      <c r="BN211" s="9">
        <f t="shared" si="10"/>
        <v>2700</v>
      </c>
      <c r="BO211" s="9">
        <f t="shared" si="11"/>
        <v>1889.9999999999998</v>
      </c>
    </row>
    <row r="212" spans="1:67" ht="24">
      <c r="A212" s="5" t="s">
        <v>227</v>
      </c>
      <c r="B212" s="10" t="s">
        <v>238</v>
      </c>
      <c r="C212" s="10">
        <v>480607</v>
      </c>
      <c r="D212" s="11"/>
      <c r="E212" s="10" t="s">
        <v>16</v>
      </c>
      <c r="F212" s="10" t="s">
        <v>239</v>
      </c>
      <c r="G212" s="10" t="s">
        <v>23</v>
      </c>
      <c r="H212" s="12" t="s">
        <v>27</v>
      </c>
      <c r="I212" s="12" t="s">
        <v>240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1</v>
      </c>
      <c r="AF212" s="12">
        <v>0</v>
      </c>
      <c r="AG212" s="13">
        <v>1600</v>
      </c>
      <c r="AH212" s="12">
        <v>0</v>
      </c>
      <c r="AI212" s="12">
        <v>0</v>
      </c>
      <c r="AJ212" s="12">
        <v>0</v>
      </c>
      <c r="AK212" s="12">
        <v>1</v>
      </c>
      <c r="AL212" s="13">
        <v>1080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  <c r="BL212" s="12">
        <v>324</v>
      </c>
      <c r="BM212" s="17">
        <v>2680</v>
      </c>
      <c r="BN212" s="9">
        <f t="shared" si="10"/>
        <v>2356</v>
      </c>
      <c r="BO212" s="9">
        <f t="shared" si="11"/>
        <v>1649.1999999999998</v>
      </c>
    </row>
    <row r="213" spans="1:67" ht="24">
      <c r="A213" s="5" t="s">
        <v>227</v>
      </c>
      <c r="B213" s="10" t="s">
        <v>141</v>
      </c>
      <c r="C213" s="10">
        <v>472517</v>
      </c>
      <c r="D213" s="11"/>
      <c r="E213" s="10" t="s">
        <v>16</v>
      </c>
      <c r="F213" s="10" t="s">
        <v>142</v>
      </c>
      <c r="G213" s="10" t="s">
        <v>23</v>
      </c>
      <c r="H213" s="12" t="s">
        <v>27</v>
      </c>
      <c r="I213" s="12" t="s">
        <v>143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1</v>
      </c>
      <c r="AF213" s="13">
        <v>1300</v>
      </c>
      <c r="AG213" s="12">
        <v>0</v>
      </c>
      <c r="AH213" s="12">
        <v>0</v>
      </c>
      <c r="AI213" s="12">
        <v>0</v>
      </c>
      <c r="AJ213" s="12">
        <v>0</v>
      </c>
      <c r="AK213" s="12">
        <v>1</v>
      </c>
      <c r="AL213" s="12">
        <v>0</v>
      </c>
      <c r="AM213" s="13">
        <v>1200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7">
        <v>2500</v>
      </c>
      <c r="BN213" s="9">
        <f t="shared" si="10"/>
        <v>2500</v>
      </c>
      <c r="BO213" s="9">
        <f t="shared" si="11"/>
        <v>1750</v>
      </c>
    </row>
    <row r="214" spans="1:67" ht="24">
      <c r="A214" s="5" t="s">
        <v>227</v>
      </c>
      <c r="B214" s="10" t="s">
        <v>256</v>
      </c>
      <c r="C214" s="10">
        <v>483771</v>
      </c>
      <c r="D214" s="11"/>
      <c r="E214" s="10" t="s">
        <v>16</v>
      </c>
      <c r="F214" s="10" t="s">
        <v>116</v>
      </c>
      <c r="G214" s="10" t="s">
        <v>23</v>
      </c>
      <c r="H214" s="12" t="s">
        <v>10</v>
      </c>
      <c r="I214" s="12" t="s">
        <v>257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1</v>
      </c>
      <c r="AL214" s="12">
        <v>0</v>
      </c>
      <c r="AM214" s="13">
        <v>2500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7">
        <v>2500</v>
      </c>
      <c r="BN214" s="9">
        <f t="shared" si="10"/>
        <v>2500</v>
      </c>
      <c r="BO214" s="9">
        <f t="shared" si="11"/>
        <v>1750</v>
      </c>
    </row>
    <row r="215" spans="1:67" ht="24">
      <c r="A215" s="5" t="s">
        <v>227</v>
      </c>
      <c r="B215" s="10" t="s">
        <v>74</v>
      </c>
      <c r="C215" s="10">
        <v>457533</v>
      </c>
      <c r="D215" s="11"/>
      <c r="E215" s="10" t="s">
        <v>16</v>
      </c>
      <c r="F215" s="10" t="s">
        <v>75</v>
      </c>
      <c r="G215" s="10" t="s">
        <v>23</v>
      </c>
      <c r="H215" s="12" t="s">
        <v>27</v>
      </c>
      <c r="I215" s="12" t="s">
        <v>76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1</v>
      </c>
      <c r="AF215" s="12">
        <v>0</v>
      </c>
      <c r="AG215" s="13">
        <v>2500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7">
        <v>2500</v>
      </c>
      <c r="BN215" s="9">
        <f t="shared" si="10"/>
        <v>2500</v>
      </c>
      <c r="BO215" s="9">
        <f t="shared" si="11"/>
        <v>1750</v>
      </c>
    </row>
    <row r="216" spans="1:67" ht="24">
      <c r="A216" s="5" t="s">
        <v>227</v>
      </c>
      <c r="B216" s="10" t="s">
        <v>293</v>
      </c>
      <c r="C216" s="10">
        <v>464792</v>
      </c>
      <c r="D216" s="11"/>
      <c r="E216" s="10" t="s">
        <v>16</v>
      </c>
      <c r="F216" s="10" t="s">
        <v>254</v>
      </c>
      <c r="G216" s="10" t="s">
        <v>23</v>
      </c>
      <c r="H216" s="12" t="s">
        <v>27</v>
      </c>
      <c r="I216" s="12" t="s">
        <v>294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1</v>
      </c>
      <c r="AF216" s="13">
        <v>2500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7">
        <v>2500</v>
      </c>
      <c r="BN216" s="9">
        <f t="shared" si="10"/>
        <v>2500</v>
      </c>
      <c r="BO216" s="9">
        <f t="shared" si="11"/>
        <v>1750</v>
      </c>
    </row>
    <row r="217" spans="1:67" ht="24">
      <c r="A217" s="5" t="s">
        <v>227</v>
      </c>
      <c r="B217" s="10" t="s">
        <v>356</v>
      </c>
      <c r="C217" s="10">
        <v>464782</v>
      </c>
      <c r="D217" s="11"/>
      <c r="E217" s="10" t="s">
        <v>16</v>
      </c>
      <c r="F217" s="10" t="s">
        <v>329</v>
      </c>
      <c r="G217" s="10" t="s">
        <v>23</v>
      </c>
      <c r="H217" s="12" t="s">
        <v>27</v>
      </c>
      <c r="I217" s="12" t="s">
        <v>357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1</v>
      </c>
      <c r="AF217" s="13">
        <v>2000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7">
        <v>2000</v>
      </c>
      <c r="BN217" s="9">
        <f t="shared" si="10"/>
        <v>2000</v>
      </c>
      <c r="BO217" s="9">
        <f t="shared" si="11"/>
        <v>1400</v>
      </c>
    </row>
    <row r="218" spans="1:67" ht="24">
      <c r="A218" s="5" t="s">
        <v>227</v>
      </c>
      <c r="B218" s="10" t="s">
        <v>268</v>
      </c>
      <c r="C218" s="10">
        <v>468590</v>
      </c>
      <c r="D218" s="11"/>
      <c r="E218" s="10" t="s">
        <v>16</v>
      </c>
      <c r="F218" s="10" t="s">
        <v>264</v>
      </c>
      <c r="G218" s="10" t="s">
        <v>23</v>
      </c>
      <c r="H218" s="12" t="s">
        <v>27</v>
      </c>
      <c r="I218" s="12" t="s">
        <v>260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1</v>
      </c>
      <c r="AL218" s="12">
        <v>0</v>
      </c>
      <c r="AM218" s="13">
        <v>2000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7">
        <v>2000</v>
      </c>
      <c r="BN218" s="9">
        <f t="shared" si="10"/>
        <v>2000</v>
      </c>
      <c r="BO218" s="9">
        <f t="shared" si="11"/>
        <v>1400</v>
      </c>
    </row>
    <row r="219" spans="1:67" ht="24">
      <c r="A219" s="5" t="s">
        <v>227</v>
      </c>
      <c r="B219" s="10" t="s">
        <v>213</v>
      </c>
      <c r="C219" s="10">
        <v>477493</v>
      </c>
      <c r="D219" s="11"/>
      <c r="E219" s="10" t="s">
        <v>16</v>
      </c>
      <c r="F219" s="10" t="s">
        <v>75</v>
      </c>
      <c r="G219" s="10" t="s">
        <v>23</v>
      </c>
      <c r="H219" s="12" t="s">
        <v>7</v>
      </c>
      <c r="I219" s="12" t="s">
        <v>214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1</v>
      </c>
      <c r="AF219" s="13">
        <v>2000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7">
        <v>2000</v>
      </c>
      <c r="BN219" s="9">
        <f t="shared" si="10"/>
        <v>2000</v>
      </c>
      <c r="BO219" s="9">
        <f t="shared" si="11"/>
        <v>1400</v>
      </c>
    </row>
    <row r="220" spans="1:67" ht="24">
      <c r="A220" s="5" t="s">
        <v>227</v>
      </c>
      <c r="B220" s="10" t="s">
        <v>278</v>
      </c>
      <c r="C220" s="10">
        <v>467563</v>
      </c>
      <c r="D220" s="11"/>
      <c r="E220" s="10" t="s">
        <v>16</v>
      </c>
      <c r="F220" s="10" t="s">
        <v>279</v>
      </c>
      <c r="G220" s="10" t="s">
        <v>23</v>
      </c>
      <c r="H220" s="12" t="s">
        <v>27</v>
      </c>
      <c r="I220" s="12" t="s">
        <v>280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1</v>
      </c>
      <c r="AR220" s="13">
        <v>2000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7">
        <v>2000</v>
      </c>
      <c r="BN220" s="9">
        <f t="shared" si="10"/>
        <v>2000</v>
      </c>
      <c r="BO220" s="9">
        <f t="shared" si="11"/>
        <v>1400</v>
      </c>
    </row>
    <row r="221" spans="1:67" ht="24">
      <c r="A221" s="5" t="s">
        <v>227</v>
      </c>
      <c r="B221" s="10" t="s">
        <v>331</v>
      </c>
      <c r="C221" s="10">
        <v>474765</v>
      </c>
      <c r="D221" s="11"/>
      <c r="E221" s="10" t="s">
        <v>16</v>
      </c>
      <c r="F221" s="10" t="s">
        <v>329</v>
      </c>
      <c r="G221" s="10" t="s">
        <v>23</v>
      </c>
      <c r="H221" s="12" t="s">
        <v>27</v>
      </c>
      <c r="I221" s="12" t="s">
        <v>332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1</v>
      </c>
      <c r="AF221" s="13">
        <v>2000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7">
        <v>2000</v>
      </c>
      <c r="BN221" s="9">
        <f t="shared" si="10"/>
        <v>2000</v>
      </c>
      <c r="BO221" s="9">
        <f t="shared" si="11"/>
        <v>1400</v>
      </c>
    </row>
    <row r="222" spans="1:67" ht="24">
      <c r="A222" s="5" t="s">
        <v>227</v>
      </c>
      <c r="B222" s="10" t="s">
        <v>115</v>
      </c>
      <c r="C222" s="10">
        <v>459224</v>
      </c>
      <c r="D222" s="11"/>
      <c r="E222" s="10" t="s">
        <v>16</v>
      </c>
      <c r="F222" s="10" t="s">
        <v>116</v>
      </c>
      <c r="G222" s="10" t="s">
        <v>23</v>
      </c>
      <c r="H222" s="12" t="s">
        <v>7</v>
      </c>
      <c r="I222" s="12" t="s">
        <v>117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1</v>
      </c>
      <c r="AL222" s="12">
        <v>0</v>
      </c>
      <c r="AM222" s="13">
        <v>2000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7">
        <v>2000</v>
      </c>
      <c r="BN222" s="9">
        <f t="shared" si="10"/>
        <v>2000</v>
      </c>
      <c r="BO222" s="9">
        <f t="shared" si="11"/>
        <v>1400</v>
      </c>
    </row>
    <row r="223" spans="1:67" ht="24">
      <c r="A223" s="5" t="s">
        <v>227</v>
      </c>
      <c r="B223" s="10" t="s">
        <v>381</v>
      </c>
      <c r="C223" s="10">
        <v>472515</v>
      </c>
      <c r="D223" s="11"/>
      <c r="E223" s="10" t="s">
        <v>16</v>
      </c>
      <c r="F223" s="10" t="s">
        <v>382</v>
      </c>
      <c r="G223" s="10" t="s">
        <v>23</v>
      </c>
      <c r="H223" s="12" t="s">
        <v>27</v>
      </c>
      <c r="I223" s="12" t="s">
        <v>383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1</v>
      </c>
      <c r="AL223" s="12">
        <v>0</v>
      </c>
      <c r="AM223" s="13">
        <v>2000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7">
        <v>2000</v>
      </c>
      <c r="BN223" s="9">
        <f t="shared" si="10"/>
        <v>2000</v>
      </c>
      <c r="BO223" s="9">
        <f t="shared" si="11"/>
        <v>1400</v>
      </c>
    </row>
    <row r="224" spans="1:67" ht="24">
      <c r="A224" s="5" t="s">
        <v>227</v>
      </c>
      <c r="B224" s="10" t="s">
        <v>328</v>
      </c>
      <c r="C224" s="10">
        <v>457239</v>
      </c>
      <c r="D224" s="11"/>
      <c r="E224" s="10" t="s">
        <v>16</v>
      </c>
      <c r="F224" s="10" t="s">
        <v>329</v>
      </c>
      <c r="G224" s="10" t="s">
        <v>23</v>
      </c>
      <c r="H224" s="12" t="s">
        <v>27</v>
      </c>
      <c r="I224" s="12" t="s">
        <v>330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1</v>
      </c>
      <c r="AF224" s="13">
        <v>2000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7">
        <v>2000</v>
      </c>
      <c r="BN224" s="9">
        <f t="shared" si="10"/>
        <v>2000</v>
      </c>
      <c r="BO224" s="9">
        <f t="shared" si="11"/>
        <v>1400</v>
      </c>
    </row>
    <row r="225" spans="1:67" ht="24">
      <c r="A225" s="5" t="s">
        <v>227</v>
      </c>
      <c r="B225" s="10" t="s">
        <v>300</v>
      </c>
      <c r="C225" s="10">
        <v>418030</v>
      </c>
      <c r="D225" s="11"/>
      <c r="E225" s="10" t="s">
        <v>16</v>
      </c>
      <c r="F225" s="10" t="s">
        <v>30</v>
      </c>
      <c r="G225" s="10" t="s">
        <v>56</v>
      </c>
      <c r="H225" s="12" t="s">
        <v>8</v>
      </c>
      <c r="I225" s="12" t="s">
        <v>301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14</v>
      </c>
      <c r="AF225" s="13">
        <v>1400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7">
        <v>1400</v>
      </c>
      <c r="BN225" s="9">
        <f t="shared" si="10"/>
        <v>1400</v>
      </c>
      <c r="BO225" s="9">
        <f t="shared" si="11"/>
        <v>979.99999999999989</v>
      </c>
    </row>
    <row r="226" spans="1:67" ht="24">
      <c r="A226" s="5" t="s">
        <v>227</v>
      </c>
      <c r="B226" s="10" t="s">
        <v>103</v>
      </c>
      <c r="C226" s="10">
        <v>445220</v>
      </c>
      <c r="D226" s="11"/>
      <c r="E226" s="10" t="s">
        <v>16</v>
      </c>
      <c r="F226" s="10" t="s">
        <v>104</v>
      </c>
      <c r="G226" s="10" t="s">
        <v>35</v>
      </c>
      <c r="H226" s="12" t="s">
        <v>8</v>
      </c>
      <c r="I226" s="12" t="s">
        <v>105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14</v>
      </c>
      <c r="AL226" s="12">
        <v>0</v>
      </c>
      <c r="AM226" s="13">
        <v>1400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7">
        <v>1400</v>
      </c>
      <c r="BN226" s="9">
        <f t="shared" si="10"/>
        <v>1400</v>
      </c>
      <c r="BO226" s="9">
        <f t="shared" si="11"/>
        <v>979.99999999999989</v>
      </c>
    </row>
    <row r="227" spans="1:67" ht="24">
      <c r="A227" s="5" t="s">
        <v>227</v>
      </c>
      <c r="B227" s="10" t="s">
        <v>209</v>
      </c>
      <c r="C227" s="10">
        <v>453656</v>
      </c>
      <c r="D227" s="11"/>
      <c r="E227" s="10" t="s">
        <v>16</v>
      </c>
      <c r="F227" s="10" t="s">
        <v>17</v>
      </c>
      <c r="G227" s="10" t="s">
        <v>18</v>
      </c>
      <c r="H227" s="12" t="s">
        <v>7</v>
      </c>
      <c r="I227" s="12" t="s">
        <v>210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1</v>
      </c>
      <c r="AI227" s="13">
        <v>1080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324</v>
      </c>
      <c r="BM227" s="17">
        <v>1080</v>
      </c>
      <c r="BN227" s="9">
        <f t="shared" si="10"/>
        <v>756</v>
      </c>
      <c r="BO227" s="9">
        <f t="shared" si="11"/>
        <v>529.19999999999993</v>
      </c>
    </row>
    <row r="228" spans="1:67" ht="24">
      <c r="A228" s="5" t="s">
        <v>227</v>
      </c>
      <c r="B228" s="10" t="s">
        <v>109</v>
      </c>
      <c r="C228" s="10">
        <v>365225</v>
      </c>
      <c r="D228" s="11"/>
      <c r="E228" s="10" t="s">
        <v>16</v>
      </c>
      <c r="F228" s="10" t="s">
        <v>52</v>
      </c>
      <c r="G228" s="10" t="s">
        <v>18</v>
      </c>
      <c r="H228" s="12" t="s">
        <v>7</v>
      </c>
      <c r="I228" s="12" t="s">
        <v>110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1</v>
      </c>
      <c r="AC228" s="12">
        <v>900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8">
        <v>900</v>
      </c>
      <c r="BN228" s="9">
        <f t="shared" si="10"/>
        <v>900</v>
      </c>
      <c r="BO228" s="9">
        <f t="shared" si="11"/>
        <v>630</v>
      </c>
    </row>
    <row r="229" spans="1:67" ht="24">
      <c r="A229" s="5" t="s">
        <v>227</v>
      </c>
      <c r="B229" s="10" t="s">
        <v>123</v>
      </c>
      <c r="C229" s="10">
        <v>356315</v>
      </c>
      <c r="D229" s="11"/>
      <c r="E229" s="10" t="s">
        <v>16</v>
      </c>
      <c r="F229" s="10" t="s">
        <v>30</v>
      </c>
      <c r="G229" s="10" t="s">
        <v>31</v>
      </c>
      <c r="H229" s="12" t="s">
        <v>8</v>
      </c>
      <c r="I229" s="12" t="s">
        <v>124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8</v>
      </c>
      <c r="AF229" s="12">
        <v>800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8">
        <v>800</v>
      </c>
      <c r="BN229" s="9">
        <f t="shared" si="10"/>
        <v>800</v>
      </c>
      <c r="BO229" s="9">
        <f t="shared" si="11"/>
        <v>560</v>
      </c>
    </row>
    <row r="230" spans="1:67" ht="24">
      <c r="A230" s="5" t="s">
        <v>227</v>
      </c>
      <c r="B230" s="10" t="s">
        <v>384</v>
      </c>
      <c r="C230" s="10">
        <v>423519</v>
      </c>
      <c r="D230" s="11"/>
      <c r="E230" s="10" t="s">
        <v>16</v>
      </c>
      <c r="F230" s="10" t="s">
        <v>90</v>
      </c>
      <c r="G230" s="10" t="s">
        <v>35</v>
      </c>
      <c r="H230" s="12" t="s">
        <v>27</v>
      </c>
      <c r="I230" s="12" t="s">
        <v>380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0</v>
      </c>
      <c r="BA230" s="12">
        <v>0</v>
      </c>
      <c r="BB230" s="12">
        <v>0</v>
      </c>
      <c r="BC230" s="12">
        <v>1</v>
      </c>
      <c r="BD230" s="12">
        <v>720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43.2</v>
      </c>
      <c r="BM230" s="18">
        <v>720</v>
      </c>
      <c r="BN230" s="9">
        <f t="shared" si="10"/>
        <v>676.8</v>
      </c>
      <c r="BO230" s="9">
        <f t="shared" si="11"/>
        <v>473.75999999999993</v>
      </c>
    </row>
    <row r="231" spans="1:67" ht="24">
      <c r="A231" s="5" t="s">
        <v>227</v>
      </c>
      <c r="B231" s="10" t="s">
        <v>127</v>
      </c>
      <c r="C231" s="10">
        <v>408838</v>
      </c>
      <c r="D231" s="11"/>
      <c r="E231" s="10" t="s">
        <v>16</v>
      </c>
      <c r="F231" s="10" t="s">
        <v>52</v>
      </c>
      <c r="G231" s="10" t="s">
        <v>18</v>
      </c>
      <c r="H231" s="12" t="s">
        <v>7</v>
      </c>
      <c r="I231" s="12" t="s">
        <v>252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7</v>
      </c>
      <c r="AF231" s="12">
        <v>700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8">
        <v>700</v>
      </c>
      <c r="BN231" s="9">
        <f t="shared" si="10"/>
        <v>700</v>
      </c>
      <c r="BO231" s="9">
        <f t="shared" si="11"/>
        <v>489.99999999999994</v>
      </c>
    </row>
    <row r="232" spans="1:67" ht="24">
      <c r="A232" s="5" t="s">
        <v>227</v>
      </c>
      <c r="B232" s="10" t="s">
        <v>224</v>
      </c>
      <c r="C232" s="10">
        <v>395237</v>
      </c>
      <c r="D232" s="11"/>
      <c r="E232" s="10" t="s">
        <v>16</v>
      </c>
      <c r="F232" s="10" t="s">
        <v>34</v>
      </c>
      <c r="G232" s="10" t="s">
        <v>35</v>
      </c>
      <c r="H232" s="12" t="s">
        <v>27</v>
      </c>
      <c r="I232" s="12" t="s">
        <v>81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2</v>
      </c>
      <c r="AL232" s="12">
        <v>0</v>
      </c>
      <c r="AM232" s="12">
        <v>400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8">
        <v>400</v>
      </c>
      <c r="BN232" s="9">
        <f t="shared" si="10"/>
        <v>400</v>
      </c>
      <c r="BO232" s="9">
        <f t="shared" si="11"/>
        <v>280</v>
      </c>
    </row>
    <row r="233" spans="1:67" ht="24">
      <c r="A233" s="5" t="s">
        <v>227</v>
      </c>
      <c r="B233" s="10" t="s">
        <v>54</v>
      </c>
      <c r="C233" s="10">
        <v>456187</v>
      </c>
      <c r="D233" s="11"/>
      <c r="E233" s="10" t="s">
        <v>16</v>
      </c>
      <c r="F233" s="10" t="s">
        <v>55</v>
      </c>
      <c r="G233" s="10" t="s">
        <v>56</v>
      </c>
      <c r="H233" s="12" t="s">
        <v>8</v>
      </c>
      <c r="I233" s="12" t="s">
        <v>57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1</v>
      </c>
      <c r="AF233" s="12">
        <v>100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8">
        <v>100</v>
      </c>
      <c r="BN233" s="9">
        <f t="shared" si="10"/>
        <v>100</v>
      </c>
      <c r="BO233" s="9">
        <f t="shared" si="11"/>
        <v>70</v>
      </c>
    </row>
    <row r="234" spans="1:67">
      <c r="BO234" s="15">
        <f>SUM(BO2:BO233)</f>
        <v>3782081.0300000007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2023-01-03T08:04:06Z</dcterms:modified>
</cp:coreProperties>
</file>