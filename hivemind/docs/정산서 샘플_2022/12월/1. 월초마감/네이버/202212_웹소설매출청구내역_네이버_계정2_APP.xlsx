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3040" windowHeight="8955" tabRatio="766"/>
  </bookViews>
  <sheets>
    <sheet name="합계(12)" sheetId="412" r:id="rId1"/>
  </sheets>
  <definedNames>
    <definedName name="_xlnm._FilterDatabase" localSheetId="0" hidden="1">'합계(12)'!$A$1:$BQ$1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O589" i="412" l="1"/>
  <c r="BN588" i="412"/>
  <c r="BO588" i="412" s="1"/>
  <c r="BN587" i="412"/>
  <c r="BO587" i="412" s="1"/>
  <c r="BN586" i="412"/>
  <c r="BO586" i="412" s="1"/>
  <c r="BN585" i="412"/>
  <c r="BO585" i="412" s="1"/>
  <c r="BN584" i="412"/>
  <c r="BO584" i="412" s="1"/>
  <c r="BN583" i="412"/>
  <c r="BO583" i="412" s="1"/>
  <c r="BN582" i="412"/>
  <c r="BO582" i="412" s="1"/>
  <c r="BN581" i="412"/>
  <c r="BO581" i="412" s="1"/>
  <c r="BN580" i="412"/>
  <c r="BO580" i="412" s="1"/>
  <c r="BN579" i="412"/>
  <c r="BO579" i="412" s="1"/>
  <c r="BN578" i="412"/>
  <c r="BO578" i="412" s="1"/>
  <c r="BN577" i="412"/>
  <c r="BO577" i="412" s="1"/>
  <c r="BN576" i="412"/>
  <c r="BO576" i="412" s="1"/>
  <c r="BN575" i="412"/>
  <c r="BO575" i="412" s="1"/>
  <c r="BN574" i="412"/>
  <c r="BO574" i="412" s="1"/>
  <c r="BN573" i="412"/>
  <c r="BO573" i="412" s="1"/>
  <c r="BN572" i="412"/>
  <c r="BO572" i="412" s="1"/>
  <c r="BN571" i="412"/>
  <c r="BO571" i="412" s="1"/>
  <c r="BN570" i="412"/>
  <c r="BO570" i="412" s="1"/>
  <c r="BN569" i="412"/>
  <c r="BO569" i="412" s="1"/>
  <c r="BN568" i="412"/>
  <c r="BO568" i="412" s="1"/>
  <c r="BN567" i="412"/>
  <c r="BO567" i="412" s="1"/>
  <c r="BN566" i="412"/>
  <c r="BO566" i="412" s="1"/>
  <c r="BN565" i="412"/>
  <c r="BO565" i="412" s="1"/>
  <c r="BN564" i="412"/>
  <c r="BO564" i="412" s="1"/>
  <c r="BN563" i="412"/>
  <c r="BO563" i="412" s="1"/>
  <c r="BN562" i="412"/>
  <c r="BO562" i="412" s="1"/>
  <c r="BN561" i="412"/>
  <c r="BO561" i="412" s="1"/>
  <c r="BN560" i="412"/>
  <c r="BO560" i="412" s="1"/>
  <c r="BN559" i="412"/>
  <c r="BO559" i="412" s="1"/>
  <c r="BN558" i="412"/>
  <c r="BO558" i="412" s="1"/>
  <c r="BN557" i="412"/>
  <c r="BO557" i="412" s="1"/>
  <c r="BN556" i="412"/>
  <c r="BO556" i="412" s="1"/>
  <c r="BN555" i="412"/>
  <c r="BO555" i="412" s="1"/>
  <c r="BN554" i="412"/>
  <c r="BO554" i="412" s="1"/>
  <c r="BN553" i="412"/>
  <c r="BO553" i="412" s="1"/>
  <c r="BN552" i="412"/>
  <c r="BO552" i="412" s="1"/>
  <c r="BN551" i="412"/>
  <c r="BO551" i="412" s="1"/>
  <c r="BN550" i="412"/>
  <c r="BO550" i="412" s="1"/>
  <c r="BO549" i="412" l="1"/>
  <c r="BO541" i="412"/>
  <c r="BN549" i="412"/>
  <c r="BN548" i="412"/>
  <c r="BO548" i="412" s="1"/>
  <c r="BN547" i="412"/>
  <c r="BO547" i="412" s="1"/>
  <c r="BN546" i="412"/>
  <c r="BO546" i="412" s="1"/>
  <c r="BN545" i="412"/>
  <c r="BO545" i="412" s="1"/>
  <c r="BN544" i="412"/>
  <c r="BO544" i="412" s="1"/>
  <c r="BN543" i="412"/>
  <c r="BO543" i="412" s="1"/>
  <c r="BN542" i="412"/>
  <c r="BO542" i="412" s="1"/>
  <c r="BN541" i="412"/>
  <c r="BN540" i="412"/>
  <c r="BO540" i="412" s="1"/>
  <c r="BN539" i="412"/>
  <c r="BO539" i="412" s="1"/>
  <c r="BN538" i="412"/>
  <c r="BO538" i="412" s="1"/>
  <c r="BN537" i="412"/>
  <c r="BO537" i="412" s="1"/>
  <c r="BN536" i="412"/>
  <c r="BO536" i="412" s="1"/>
  <c r="BN535" i="412"/>
  <c r="BO535" i="412" s="1"/>
  <c r="BN534" i="412"/>
  <c r="BO534" i="412" s="1"/>
  <c r="BN533" i="412"/>
  <c r="BO533" i="412" s="1"/>
  <c r="BN510" i="412" l="1"/>
  <c r="BO510" i="412" s="1"/>
  <c r="BN511" i="412"/>
  <c r="BO511" i="412" s="1"/>
  <c r="BN512" i="412"/>
  <c r="BO512" i="412" s="1"/>
  <c r="BN513" i="412"/>
  <c r="BO513" i="412" s="1"/>
  <c r="BN514" i="412"/>
  <c r="BO514" i="412" s="1"/>
  <c r="BN515" i="412"/>
  <c r="BO515" i="412" s="1"/>
  <c r="BN516" i="412"/>
  <c r="BO516" i="412" s="1"/>
  <c r="BN517" i="412"/>
  <c r="BO517" i="412" s="1"/>
  <c r="BN518" i="412"/>
  <c r="BO518" i="412" s="1"/>
  <c r="BN519" i="412"/>
  <c r="BO519" i="412" s="1"/>
  <c r="BN520" i="412"/>
  <c r="BO520" i="412" s="1"/>
  <c r="BN521" i="412"/>
  <c r="BO521" i="412" s="1"/>
  <c r="BN522" i="412"/>
  <c r="BO522" i="412" s="1"/>
  <c r="BN523" i="412"/>
  <c r="BO523" i="412" s="1"/>
  <c r="BN524" i="412"/>
  <c r="BO524" i="412" s="1"/>
  <c r="BN525" i="412"/>
  <c r="BO525" i="412" s="1"/>
  <c r="BN526" i="412"/>
  <c r="BO526" i="412" s="1"/>
  <c r="BN527" i="412"/>
  <c r="BO527" i="412" s="1"/>
  <c r="BN528" i="412"/>
  <c r="BO528" i="412" s="1"/>
  <c r="BN529" i="412"/>
  <c r="BO529" i="412" s="1"/>
  <c r="BN530" i="412"/>
  <c r="BO530" i="412" s="1"/>
  <c r="BN531" i="412"/>
  <c r="BO531" i="412" s="1"/>
  <c r="BN532" i="412"/>
  <c r="BO532" i="412" s="1"/>
  <c r="BN486" i="412" l="1"/>
  <c r="BO486" i="412" s="1"/>
  <c r="BN487" i="412"/>
  <c r="BO487" i="412" s="1"/>
  <c r="BN488" i="412"/>
  <c r="BO488" i="412" s="1"/>
  <c r="BN489" i="412"/>
  <c r="BO489" i="412" s="1"/>
  <c r="BN490" i="412"/>
  <c r="BO490" i="412" s="1"/>
  <c r="BN491" i="412"/>
  <c r="BO491" i="412" s="1"/>
  <c r="BN492" i="412"/>
  <c r="BO492" i="412" s="1"/>
  <c r="BN493" i="412"/>
  <c r="BO493" i="412" s="1"/>
  <c r="BN494" i="412"/>
  <c r="BO494" i="412"/>
  <c r="BN495" i="412"/>
  <c r="BO495" i="412" s="1"/>
  <c r="BN496" i="412"/>
  <c r="BO496" i="412" s="1"/>
  <c r="BN497" i="412"/>
  <c r="BO497" i="412" s="1"/>
  <c r="BN498" i="412"/>
  <c r="BO498" i="412" s="1"/>
  <c r="BN499" i="412"/>
  <c r="BO499" i="412" s="1"/>
  <c r="BN500" i="412"/>
  <c r="BO500" i="412" s="1"/>
  <c r="BN501" i="412"/>
  <c r="BO501" i="412" s="1"/>
  <c r="BN502" i="412"/>
  <c r="BO502" i="412" s="1"/>
  <c r="BN503" i="412"/>
  <c r="BO503" i="412" s="1"/>
  <c r="BN504" i="412"/>
  <c r="BO504" i="412" s="1"/>
  <c r="BN505" i="412"/>
  <c r="BO505" i="412" s="1"/>
  <c r="BN506" i="412"/>
  <c r="BO506" i="412" s="1"/>
  <c r="BN507" i="412"/>
  <c r="BO507" i="412" s="1"/>
  <c r="BN508" i="412"/>
  <c r="BO508" i="412" s="1"/>
  <c r="BN509" i="412"/>
  <c r="BO509" i="412" s="1"/>
  <c r="BN468" i="412" l="1"/>
  <c r="BO468" i="412" s="1"/>
  <c r="BN485" i="412"/>
  <c r="BO485" i="412" s="1"/>
  <c r="BN484" i="412"/>
  <c r="BO484" i="412" s="1"/>
  <c r="BN483" i="412"/>
  <c r="BO483" i="412" s="1"/>
  <c r="BN482" i="412"/>
  <c r="BO482" i="412" s="1"/>
  <c r="BN481" i="412"/>
  <c r="BO481" i="412" s="1"/>
  <c r="BN480" i="412"/>
  <c r="BO480" i="412" s="1"/>
  <c r="BN479" i="412"/>
  <c r="BO479" i="412" s="1"/>
  <c r="BN478" i="412"/>
  <c r="BO478" i="412" s="1"/>
  <c r="BN477" i="412"/>
  <c r="BO477" i="412" s="1"/>
  <c r="BN476" i="412"/>
  <c r="BO476" i="412" s="1"/>
  <c r="BN475" i="412"/>
  <c r="BO475" i="412" s="1"/>
  <c r="BN474" i="412"/>
  <c r="BO474" i="412" s="1"/>
  <c r="BN473" i="412"/>
  <c r="BO473" i="412" s="1"/>
  <c r="BN472" i="412"/>
  <c r="BO472" i="412" s="1"/>
  <c r="BN471" i="412"/>
  <c r="BO471" i="412" s="1"/>
  <c r="BN470" i="412"/>
  <c r="BO470" i="412" s="1"/>
  <c r="BN469" i="412"/>
  <c r="BO469" i="412" s="1"/>
  <c r="BN467" i="412"/>
  <c r="BO467" i="412" s="1"/>
  <c r="BN186" i="412" l="1"/>
  <c r="BO186" i="412" s="1"/>
  <c r="BN187" i="412"/>
  <c r="BO187" i="412" s="1"/>
  <c r="BN188" i="412"/>
  <c r="BO188" i="412" s="1"/>
  <c r="BN189" i="412"/>
  <c r="BO189" i="412" s="1"/>
  <c r="BN190" i="412"/>
  <c r="BO190" i="412" s="1"/>
  <c r="BN191" i="412"/>
  <c r="BO191" i="412" s="1"/>
  <c r="BN192" i="412"/>
  <c r="BO192" i="412" s="1"/>
  <c r="BN193" i="412"/>
  <c r="BO193" i="412" s="1"/>
  <c r="BN194" i="412"/>
  <c r="BO194" i="412" s="1"/>
  <c r="BN195" i="412"/>
  <c r="BO195" i="412" s="1"/>
  <c r="BN196" i="412"/>
  <c r="BO196" i="412" s="1"/>
  <c r="BN197" i="412"/>
  <c r="BO197" i="412" s="1"/>
  <c r="BN198" i="412"/>
  <c r="BO198" i="412" s="1"/>
  <c r="BN199" i="412"/>
  <c r="BO199" i="412" s="1"/>
  <c r="BN200" i="412"/>
  <c r="BO200" i="412" s="1"/>
  <c r="BN201" i="412"/>
  <c r="BO201" i="412" s="1"/>
  <c r="BN202" i="412"/>
  <c r="BO202" i="412" s="1"/>
  <c r="BN203" i="412"/>
  <c r="BO203" i="412" s="1"/>
  <c r="BN204" i="412"/>
  <c r="BO204" i="412" s="1"/>
  <c r="BN205" i="412"/>
  <c r="BO205" i="412" s="1"/>
  <c r="BN206" i="412"/>
  <c r="BO206" i="412" s="1"/>
  <c r="BN207" i="412"/>
  <c r="BO207" i="412" s="1"/>
  <c r="BN208" i="412"/>
  <c r="BO208" i="412" s="1"/>
  <c r="BN209" i="412"/>
  <c r="BO209" i="412" s="1"/>
  <c r="BN210" i="412"/>
  <c r="BO210" i="412" s="1"/>
  <c r="BN211" i="412"/>
  <c r="BO211" i="412" s="1"/>
  <c r="BN212" i="412"/>
  <c r="BO212" i="412" s="1"/>
  <c r="BN213" i="412"/>
  <c r="BO213" i="412" s="1"/>
  <c r="BN214" i="412"/>
  <c r="BO214" i="412" s="1"/>
  <c r="BN215" i="412"/>
  <c r="BO215" i="412" s="1"/>
  <c r="BN216" i="412"/>
  <c r="BO216" i="412" s="1"/>
  <c r="BN217" i="412"/>
  <c r="BO217" i="412" s="1"/>
  <c r="BN218" i="412"/>
  <c r="BO218" i="412" s="1"/>
  <c r="BN219" i="412"/>
  <c r="BO219" i="412" s="1"/>
  <c r="BN220" i="412"/>
  <c r="BO220" i="412" s="1"/>
  <c r="BN221" i="412"/>
  <c r="BO221" i="412" s="1"/>
  <c r="BN222" i="412"/>
  <c r="BO222" i="412" s="1"/>
  <c r="BN223" i="412"/>
  <c r="BO223" i="412" s="1"/>
  <c r="BN224" i="412"/>
  <c r="BO224" i="412" s="1"/>
  <c r="BN225" i="412"/>
  <c r="BO225" i="412" s="1"/>
  <c r="BN226" i="412"/>
  <c r="BO226" i="412" s="1"/>
  <c r="BN227" i="412"/>
  <c r="BO227" i="412" s="1"/>
  <c r="BN228" i="412"/>
  <c r="BO228" i="412" s="1"/>
  <c r="BN229" i="412"/>
  <c r="BO229" i="412" s="1"/>
  <c r="BN230" i="412"/>
  <c r="BO230" i="412" s="1"/>
  <c r="BN231" i="412"/>
  <c r="BO231" i="412" s="1"/>
  <c r="BN232" i="412"/>
  <c r="BO232" i="412" s="1"/>
  <c r="BN233" i="412"/>
  <c r="BO233" i="412" s="1"/>
  <c r="BN234" i="412"/>
  <c r="BO234" i="412" s="1"/>
  <c r="BN235" i="412"/>
  <c r="BO235" i="412" s="1"/>
  <c r="BN236" i="412"/>
  <c r="BO236" i="412" s="1"/>
  <c r="BN237" i="412"/>
  <c r="BO237" i="412" s="1"/>
  <c r="BN238" i="412"/>
  <c r="BO238" i="412" s="1"/>
  <c r="BN239" i="412"/>
  <c r="BO239" i="412" s="1"/>
  <c r="BN240" i="412"/>
  <c r="BO240" i="412" s="1"/>
  <c r="BN241" i="412"/>
  <c r="BO241" i="412" s="1"/>
  <c r="BN242" i="412"/>
  <c r="BO242" i="412" s="1"/>
  <c r="BN243" i="412"/>
  <c r="BO243" i="412" s="1"/>
  <c r="BN244" i="412"/>
  <c r="BO244" i="412" s="1"/>
  <c r="BN245" i="412"/>
  <c r="BO245" i="412" s="1"/>
  <c r="BN246" i="412"/>
  <c r="BO246" i="412" s="1"/>
  <c r="BN247" i="412"/>
  <c r="BO247" i="412" s="1"/>
  <c r="BN248" i="412"/>
  <c r="BO248" i="412" s="1"/>
  <c r="BN249" i="412"/>
  <c r="BO249" i="412" s="1"/>
  <c r="BN250" i="412"/>
  <c r="BO250" i="412" s="1"/>
  <c r="BN251" i="412"/>
  <c r="BO251" i="412" s="1"/>
  <c r="BN252" i="412"/>
  <c r="BO252" i="412" s="1"/>
  <c r="BN253" i="412"/>
  <c r="BO253" i="412" s="1"/>
  <c r="BN254" i="412"/>
  <c r="BO254" i="412" s="1"/>
  <c r="BN255" i="412"/>
  <c r="BO255" i="412" s="1"/>
  <c r="BN256" i="412"/>
  <c r="BO256" i="412" s="1"/>
  <c r="BN257" i="412"/>
  <c r="BO257" i="412" s="1"/>
  <c r="BN258" i="412"/>
  <c r="BO258" i="412" s="1"/>
  <c r="BN259" i="412"/>
  <c r="BO259" i="412" s="1"/>
  <c r="BN260" i="412"/>
  <c r="BO260" i="412" s="1"/>
  <c r="BN261" i="412"/>
  <c r="BO261" i="412" s="1"/>
  <c r="BN262" i="412"/>
  <c r="BO262" i="412" s="1"/>
  <c r="BN263" i="412"/>
  <c r="BO263" i="412" s="1"/>
  <c r="BN264" i="412"/>
  <c r="BO264" i="412" s="1"/>
  <c r="BN265" i="412"/>
  <c r="BO265" i="412" s="1"/>
  <c r="BN266" i="412"/>
  <c r="BO266" i="412" s="1"/>
  <c r="BN267" i="412"/>
  <c r="BO267" i="412" s="1"/>
  <c r="BN268" i="412"/>
  <c r="BO268" i="412" s="1"/>
  <c r="BN269" i="412"/>
  <c r="BO269" i="412" s="1"/>
  <c r="BN270" i="412"/>
  <c r="BO270" i="412" s="1"/>
  <c r="BN271" i="412"/>
  <c r="BO271" i="412" s="1"/>
  <c r="BN272" i="412"/>
  <c r="BO272" i="412" s="1"/>
  <c r="BN273" i="412"/>
  <c r="BO273" i="412" s="1"/>
  <c r="BN274" i="412"/>
  <c r="BO274" i="412" s="1"/>
  <c r="BN275" i="412"/>
  <c r="BO275" i="412" s="1"/>
  <c r="BN276" i="412"/>
  <c r="BO276" i="412" s="1"/>
  <c r="BN277" i="412"/>
  <c r="BO277" i="412" s="1"/>
  <c r="BN278" i="412"/>
  <c r="BO278" i="412" s="1"/>
  <c r="BN279" i="412"/>
  <c r="BO279" i="412" s="1"/>
  <c r="BN280" i="412"/>
  <c r="BO280" i="412" s="1"/>
  <c r="BN281" i="412"/>
  <c r="BO281" i="412" s="1"/>
  <c r="BN282" i="412"/>
  <c r="BO282" i="412" s="1"/>
  <c r="BN283" i="412"/>
  <c r="BO283" i="412" s="1"/>
  <c r="BN284" i="412"/>
  <c r="BO284" i="412" s="1"/>
  <c r="BN285" i="412"/>
  <c r="BO285" i="412" s="1"/>
  <c r="BN286" i="412"/>
  <c r="BO286" i="412" s="1"/>
  <c r="BN287" i="412"/>
  <c r="BO287" i="412" s="1"/>
  <c r="BN288" i="412"/>
  <c r="BO288" i="412" s="1"/>
  <c r="BN289" i="412"/>
  <c r="BO289" i="412" s="1"/>
  <c r="BN290" i="412"/>
  <c r="BO290" i="412" s="1"/>
  <c r="BN291" i="412"/>
  <c r="BO291" i="412" s="1"/>
  <c r="BN292" i="412"/>
  <c r="BO292" i="412" s="1"/>
  <c r="BN293" i="412"/>
  <c r="BO293" i="412" s="1"/>
  <c r="BN294" i="412"/>
  <c r="BO294" i="412" s="1"/>
  <c r="BN295" i="412"/>
  <c r="BO295" i="412" s="1"/>
  <c r="BN296" i="412"/>
  <c r="BO296" i="412" s="1"/>
  <c r="BN297" i="412"/>
  <c r="BO297" i="412" s="1"/>
  <c r="BN298" i="412"/>
  <c r="BO298" i="412" s="1"/>
  <c r="BN299" i="412"/>
  <c r="BO299" i="412" s="1"/>
  <c r="BN300" i="412"/>
  <c r="BO300" i="412" s="1"/>
  <c r="BN301" i="412"/>
  <c r="BO301" i="412" s="1"/>
  <c r="BN302" i="412"/>
  <c r="BO302" i="412" s="1"/>
  <c r="BN303" i="412"/>
  <c r="BO303" i="412" s="1"/>
  <c r="BN304" i="412"/>
  <c r="BO304" i="412" s="1"/>
  <c r="BN305" i="412"/>
  <c r="BO305" i="412" s="1"/>
  <c r="BN306" i="412"/>
  <c r="BO306" i="412" s="1"/>
  <c r="BN307" i="412"/>
  <c r="BO307" i="412" s="1"/>
  <c r="BN308" i="412"/>
  <c r="BO308" i="412" s="1"/>
  <c r="BN309" i="412"/>
  <c r="BO309" i="412" s="1"/>
  <c r="BN310" i="412"/>
  <c r="BO310" i="412" s="1"/>
  <c r="BN311" i="412"/>
  <c r="BO311" i="412" s="1"/>
  <c r="BN312" i="412"/>
  <c r="BO312" i="412" s="1"/>
  <c r="BN313" i="412"/>
  <c r="BO313" i="412" s="1"/>
  <c r="BN314" i="412"/>
  <c r="BO314" i="412" s="1"/>
  <c r="BN315" i="412"/>
  <c r="BO315" i="412" s="1"/>
  <c r="BN316" i="412"/>
  <c r="BO316" i="412" s="1"/>
  <c r="BN317" i="412"/>
  <c r="BO317" i="412" s="1"/>
  <c r="BN318" i="412"/>
  <c r="BO318" i="412" s="1"/>
  <c r="BN319" i="412"/>
  <c r="BO319" i="412" s="1"/>
  <c r="BN320" i="412"/>
  <c r="BO320" i="412" s="1"/>
  <c r="BN321" i="412"/>
  <c r="BO321" i="412" s="1"/>
  <c r="BN322" i="412"/>
  <c r="BO322" i="412" s="1"/>
  <c r="BN323" i="412"/>
  <c r="BO323" i="412" s="1"/>
  <c r="BN324" i="412"/>
  <c r="BO324" i="412" s="1"/>
  <c r="BN325" i="412"/>
  <c r="BO325" i="412" s="1"/>
  <c r="BN326" i="412"/>
  <c r="BO326" i="412" s="1"/>
  <c r="BN327" i="412"/>
  <c r="BO327" i="412" s="1"/>
  <c r="BN328" i="412"/>
  <c r="BO328" i="412" s="1"/>
  <c r="BN329" i="412"/>
  <c r="BO329" i="412" s="1"/>
  <c r="BN330" i="412"/>
  <c r="BO330" i="412" s="1"/>
  <c r="BN331" i="412"/>
  <c r="BO331" i="412" s="1"/>
  <c r="BN332" i="412"/>
  <c r="BO332" i="412" s="1"/>
  <c r="BN333" i="412"/>
  <c r="BO333" i="412" s="1"/>
  <c r="BN334" i="412"/>
  <c r="BO334" i="412" s="1"/>
  <c r="BN335" i="412"/>
  <c r="BO335" i="412" s="1"/>
  <c r="BN336" i="412"/>
  <c r="BO336" i="412" s="1"/>
  <c r="BN337" i="412"/>
  <c r="BO337" i="412" s="1"/>
  <c r="BN338" i="412"/>
  <c r="BO338" i="412" s="1"/>
  <c r="BN339" i="412"/>
  <c r="BO339" i="412" s="1"/>
  <c r="BN340" i="412"/>
  <c r="BO340" i="412" s="1"/>
  <c r="BN341" i="412"/>
  <c r="BO341" i="412" s="1"/>
  <c r="BN342" i="412"/>
  <c r="BO342" i="412" s="1"/>
  <c r="BN343" i="412"/>
  <c r="BO343" i="412" s="1"/>
  <c r="BN344" i="412"/>
  <c r="BO344" i="412" s="1"/>
  <c r="BN345" i="412"/>
  <c r="BO345" i="412" s="1"/>
  <c r="BN346" i="412"/>
  <c r="BO346" i="412" s="1"/>
  <c r="BN347" i="412"/>
  <c r="BO347" i="412" s="1"/>
  <c r="BN348" i="412"/>
  <c r="BO348" i="412" s="1"/>
  <c r="BN349" i="412"/>
  <c r="BO349" i="412" s="1"/>
  <c r="BN350" i="412"/>
  <c r="BO350" i="412" s="1"/>
  <c r="BN351" i="412"/>
  <c r="BO351" i="412" s="1"/>
  <c r="BN352" i="412"/>
  <c r="BO352" i="412" s="1"/>
  <c r="BN353" i="412"/>
  <c r="BO353" i="412" s="1"/>
  <c r="BN354" i="412"/>
  <c r="BO354" i="412" s="1"/>
  <c r="BN355" i="412"/>
  <c r="BO355" i="412" s="1"/>
  <c r="BN356" i="412"/>
  <c r="BO356" i="412" s="1"/>
  <c r="BN357" i="412"/>
  <c r="BO357" i="412" s="1"/>
  <c r="BN358" i="412"/>
  <c r="BO358" i="412" s="1"/>
  <c r="BN359" i="412"/>
  <c r="BO359" i="412" s="1"/>
  <c r="BN360" i="412"/>
  <c r="BO360" i="412" s="1"/>
  <c r="BN361" i="412"/>
  <c r="BO361" i="412" s="1"/>
  <c r="BN362" i="412"/>
  <c r="BO362" i="412" s="1"/>
  <c r="BN363" i="412"/>
  <c r="BO363" i="412" s="1"/>
  <c r="BN364" i="412"/>
  <c r="BO364" i="412" s="1"/>
  <c r="BN365" i="412"/>
  <c r="BO365" i="412" s="1"/>
  <c r="BN366" i="412"/>
  <c r="BO366" i="412" s="1"/>
  <c r="BN367" i="412"/>
  <c r="BO367" i="412" s="1"/>
  <c r="BN368" i="412"/>
  <c r="BO368" i="412" s="1"/>
  <c r="BN369" i="412"/>
  <c r="BO369" i="412" s="1"/>
  <c r="BN370" i="412"/>
  <c r="BO370" i="412" s="1"/>
  <c r="BN371" i="412"/>
  <c r="BO371" i="412" s="1"/>
  <c r="BN372" i="412"/>
  <c r="BO372" i="412" s="1"/>
  <c r="BN373" i="412"/>
  <c r="BO373" i="412" s="1"/>
  <c r="BN374" i="412"/>
  <c r="BO374" i="412" s="1"/>
  <c r="BN375" i="412"/>
  <c r="BO375" i="412" s="1"/>
  <c r="BN376" i="412"/>
  <c r="BO376" i="412" s="1"/>
  <c r="BN377" i="412"/>
  <c r="BO377" i="412" s="1"/>
  <c r="BN378" i="412"/>
  <c r="BO378" i="412" s="1"/>
  <c r="BN379" i="412"/>
  <c r="BO379" i="412" s="1"/>
  <c r="BN380" i="412"/>
  <c r="BO380" i="412" s="1"/>
  <c r="BN381" i="412"/>
  <c r="BO381" i="412" s="1"/>
  <c r="BN382" i="412"/>
  <c r="BO382" i="412" s="1"/>
  <c r="BN383" i="412"/>
  <c r="BO383" i="412" s="1"/>
  <c r="BN384" i="412"/>
  <c r="BO384" i="412" s="1"/>
  <c r="BN385" i="412"/>
  <c r="BO385" i="412" s="1"/>
  <c r="BN386" i="412"/>
  <c r="BO386" i="412" s="1"/>
  <c r="BN387" i="412"/>
  <c r="BO387" i="412" s="1"/>
  <c r="BN388" i="412"/>
  <c r="BO388" i="412" s="1"/>
  <c r="BN389" i="412"/>
  <c r="BO389" i="412" s="1"/>
  <c r="BN390" i="412"/>
  <c r="BO390" i="412" s="1"/>
  <c r="BN391" i="412"/>
  <c r="BO391" i="412" s="1"/>
  <c r="BN392" i="412"/>
  <c r="BO392" i="412" s="1"/>
  <c r="BN393" i="412"/>
  <c r="BO393" i="412" s="1"/>
  <c r="BN394" i="412"/>
  <c r="BO394" i="412" s="1"/>
  <c r="BN395" i="412"/>
  <c r="BO395" i="412" s="1"/>
  <c r="BN396" i="412"/>
  <c r="BO396" i="412" s="1"/>
  <c r="BN397" i="412"/>
  <c r="BO397" i="412" s="1"/>
  <c r="BN398" i="412"/>
  <c r="BO398" i="412" s="1"/>
  <c r="BN399" i="412"/>
  <c r="BO399" i="412" s="1"/>
  <c r="BN400" i="412"/>
  <c r="BO400" i="412" s="1"/>
  <c r="BN401" i="412"/>
  <c r="BO401" i="412" s="1"/>
  <c r="BN402" i="412"/>
  <c r="BO402" i="412" s="1"/>
  <c r="BN403" i="412"/>
  <c r="BO403" i="412" s="1"/>
  <c r="BN404" i="412"/>
  <c r="BO404" i="412" s="1"/>
  <c r="BN405" i="412"/>
  <c r="BO405" i="412" s="1"/>
  <c r="BN406" i="412"/>
  <c r="BO406" i="412" s="1"/>
  <c r="BN407" i="412"/>
  <c r="BO407" i="412" s="1"/>
  <c r="BN408" i="412"/>
  <c r="BO408" i="412" s="1"/>
  <c r="BN409" i="412"/>
  <c r="BO409" i="412" s="1"/>
  <c r="BN410" i="412"/>
  <c r="BO410" i="412" s="1"/>
  <c r="BN411" i="412"/>
  <c r="BO411" i="412" s="1"/>
  <c r="BN412" i="412"/>
  <c r="BO412" i="412" s="1"/>
  <c r="BN413" i="412"/>
  <c r="BO413" i="412" s="1"/>
  <c r="BN414" i="412"/>
  <c r="BO414" i="412" s="1"/>
  <c r="BN415" i="412"/>
  <c r="BO415" i="412" s="1"/>
  <c r="BN416" i="412"/>
  <c r="BO416" i="412" s="1"/>
  <c r="BN417" i="412"/>
  <c r="BO417" i="412" s="1"/>
  <c r="BN418" i="412"/>
  <c r="BO418" i="412" s="1"/>
  <c r="BN419" i="412"/>
  <c r="BO419" i="412" s="1"/>
  <c r="BN420" i="412"/>
  <c r="BO420" i="412" s="1"/>
  <c r="BN421" i="412"/>
  <c r="BO421" i="412" s="1"/>
  <c r="BN422" i="412"/>
  <c r="BO422" i="412" s="1"/>
  <c r="BN423" i="412"/>
  <c r="BO423" i="412" s="1"/>
  <c r="BN424" i="412"/>
  <c r="BO424" i="412" s="1"/>
  <c r="BN425" i="412"/>
  <c r="BO425" i="412" s="1"/>
  <c r="BN426" i="412"/>
  <c r="BO426" i="412" s="1"/>
  <c r="BN427" i="412"/>
  <c r="BO427" i="412" s="1"/>
  <c r="BN428" i="412"/>
  <c r="BO428" i="412" s="1"/>
  <c r="BN429" i="412"/>
  <c r="BO429" i="412" s="1"/>
  <c r="BN430" i="412"/>
  <c r="BO430" i="412" s="1"/>
  <c r="BN431" i="412"/>
  <c r="BO431" i="412" s="1"/>
  <c r="BN432" i="412"/>
  <c r="BO432" i="412" s="1"/>
  <c r="BN433" i="412"/>
  <c r="BO433" i="412" s="1"/>
  <c r="BN434" i="412"/>
  <c r="BO434" i="412" s="1"/>
  <c r="BN435" i="412"/>
  <c r="BO435" i="412" s="1"/>
  <c r="BN436" i="412"/>
  <c r="BO436" i="412" s="1"/>
  <c r="BN437" i="412"/>
  <c r="BO437" i="412" s="1"/>
  <c r="BN438" i="412"/>
  <c r="BO438" i="412" s="1"/>
  <c r="BN439" i="412"/>
  <c r="BO439" i="412" s="1"/>
  <c r="BN440" i="412"/>
  <c r="BO440" i="412" s="1"/>
  <c r="BN441" i="412"/>
  <c r="BO441" i="412" s="1"/>
  <c r="BN442" i="412"/>
  <c r="BO442" i="412" s="1"/>
  <c r="BN443" i="412"/>
  <c r="BO443" i="412" s="1"/>
  <c r="BN444" i="412"/>
  <c r="BO444" i="412" s="1"/>
  <c r="BN445" i="412"/>
  <c r="BO445" i="412" s="1"/>
  <c r="BN446" i="412"/>
  <c r="BO446" i="412" s="1"/>
  <c r="BN447" i="412"/>
  <c r="BO447" i="412" s="1"/>
  <c r="BN448" i="412"/>
  <c r="BO448" i="412" s="1"/>
  <c r="BN449" i="412"/>
  <c r="BO449" i="412" s="1"/>
  <c r="BN450" i="412"/>
  <c r="BO450" i="412" s="1"/>
  <c r="BN451" i="412"/>
  <c r="BO451" i="412" s="1"/>
  <c r="BN452" i="412"/>
  <c r="BO452" i="412" s="1"/>
  <c r="BN453" i="412"/>
  <c r="BO453" i="412" s="1"/>
  <c r="BN454" i="412"/>
  <c r="BO454" i="412" s="1"/>
  <c r="BN455" i="412"/>
  <c r="BO455" i="412" s="1"/>
  <c r="BN456" i="412"/>
  <c r="BO456" i="412" s="1"/>
  <c r="BN457" i="412"/>
  <c r="BO457" i="412" s="1"/>
  <c r="BN458" i="412"/>
  <c r="BO458" i="412" s="1"/>
  <c r="BN459" i="412"/>
  <c r="BO459" i="412" s="1"/>
  <c r="BN460" i="412"/>
  <c r="BO460" i="412" s="1"/>
  <c r="BN461" i="412"/>
  <c r="BO461" i="412" s="1"/>
  <c r="BN462" i="412"/>
  <c r="BO462" i="412" s="1"/>
  <c r="BN463" i="412"/>
  <c r="BO463" i="412" s="1"/>
  <c r="BN464" i="412"/>
  <c r="BO464" i="412" s="1"/>
  <c r="BN465" i="412"/>
  <c r="BO465" i="412" s="1"/>
  <c r="BN466" i="412"/>
  <c r="BO466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 s="1"/>
  <c r="BN182" i="412"/>
  <c r="BO182" i="412" s="1"/>
  <c r="BN183" i="412"/>
  <c r="BO183" i="412" s="1"/>
  <c r="BN184" i="412"/>
  <c r="BO184" i="412" s="1"/>
  <c r="BN185" i="412"/>
  <c r="BO185" i="412" s="1"/>
  <c r="BN2" i="412"/>
  <c r="BO2" i="412" l="1"/>
</calcChain>
</file>

<file path=xl/sharedStrings.xml><?xml version="1.0" encoding="utf-8"?>
<sst xmlns="http://schemas.openxmlformats.org/spreadsheetml/2006/main" count="4181" uniqueCount="707">
  <si>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</si>
  <si>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</si>
  <si>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</si>
  <si>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</si>
  <si>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</si>
  <si>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</si>
  <si>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</si>
  <si>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</si>
  <si>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</si>
  <si>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</si>
  <si>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</si>
  <si>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김광수</t>
  </si>
  <si>
    <t>합계</t>
  </si>
  <si>
    <t>앱마켓수수료</t>
  </si>
  <si>
    <t>시리즈APP</t>
    <phoneticPr fontId="20" type="noConversion"/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</si>
  <si>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</si>
  <si>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</si>
  <si>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</si>
  <si>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</si>
  <si>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</si>
  <si>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</si>
  <si>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</si>
  <si>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바나바다</t>
  </si>
  <si>
    <t>2022.04.17</t>
  </si>
  <si>
    <t>붕어빵</t>
  </si>
  <si>
    <t>2022.05.06</t>
  </si>
  <si>
    <t>회귀의 전설 [단행본]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</si>
  <si>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</si>
  <si>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</si>
  <si>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</si>
  <si>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</si>
  <si>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</si>
  <si>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</si>
  <si>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</si>
  <si>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</si>
  <si>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왕십리글쟁이</t>
  </si>
  <si>
    <t>결혼의 함정 [선공개]</t>
  </si>
  <si>
    <t>블랙커피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</si>
  <si>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</si>
  <si>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</si>
  <si>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</si>
  <si>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</si>
  <si>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</si>
  <si>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</si>
  <si>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</si>
  <si>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</si>
  <si>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</si>
  <si>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</si>
  <si>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</si>
  <si>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</si>
  <si>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</si>
  <si>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</si>
  <si>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</si>
  <si>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</si>
  <si>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</si>
  <si>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</si>
  <si>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</si>
  <si>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</si>
  <si>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</si>
  <si>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</si>
  <si>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</si>
  <si>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</si>
  <si>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</si>
  <si>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</si>
  <si>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</si>
  <si>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</si>
  <si>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</si>
  <si>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</si>
  <si>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</si>
  <si>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</si>
  <si>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</si>
  <si>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</si>
  <si>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</si>
  <si>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</si>
  <si>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</si>
  <si>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</si>
  <si>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</si>
  <si>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</si>
  <si>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</si>
  <si>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</si>
  <si>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</si>
  <si>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</si>
  <si>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</si>
  <si>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</si>
  <si>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</si>
  <si>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</si>
  <si>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</si>
  <si>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</si>
  <si>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</si>
  <si>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</si>
  <si>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</si>
  <si>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</si>
  <si>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</si>
  <si>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</si>
  <si>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</si>
  <si>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</si>
  <si>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</si>
  <si>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</si>
  <si>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</si>
  <si>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</si>
  <si>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</si>
  <si>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</si>
  <si>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</si>
  <si>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</si>
  <si>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</si>
  <si>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</si>
  <si>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찬동</t>
  </si>
  <si>
    <t>뜨거운 항해</t>
  </si>
  <si>
    <t>2021.08.16</t>
  </si>
  <si>
    <t>화산검제 [은천검제 2부 연재]</t>
  </si>
  <si>
    <t>2020.03.24</t>
  </si>
  <si>
    <t>흔적</t>
  </si>
  <si>
    <t>꽃잠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</si>
  <si>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</si>
  <si>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</si>
  <si>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</si>
  <si>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</si>
  <si>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</si>
  <si>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</si>
  <si>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</si>
  <si>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</si>
  <si>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</si>
  <si>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</si>
  <si>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</si>
  <si>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</si>
  <si>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</si>
  <si>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</si>
  <si>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</si>
  <si>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</si>
  <si>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</si>
  <si>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</si>
  <si>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</si>
  <si>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</si>
  <si>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</si>
  <si>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</si>
  <si>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</si>
  <si>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</si>
  <si>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</si>
  <si>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</si>
  <si>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</si>
  <si>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</si>
  <si>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</si>
  <si>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</si>
  <si>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</si>
  <si>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서강후</t>
  </si>
  <si>
    <t>2021.11.01</t>
  </si>
  <si>
    <t>너는 내 숨결이니까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</si>
  <si>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</si>
  <si>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</si>
  <si>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</si>
  <si>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</si>
  <si>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</si>
  <si>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</si>
  <si>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</si>
  <si>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</si>
  <si>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</si>
  <si>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컬러 러쉬 [BL]</t>
  </si>
  <si>
    <t>세상</t>
  </si>
  <si>
    <t>2021.04.07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</si>
  <si>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</si>
  <si>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</si>
  <si>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</si>
  <si>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</si>
  <si>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</si>
  <si>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</si>
  <si>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</si>
  <si>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</si>
  <si>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</si>
  <si>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</si>
  <si>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</si>
  <si>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</si>
  <si>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</si>
  <si>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</si>
  <si>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</si>
  <si>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</si>
  <si>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</si>
  <si>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진문</t>
  </si>
  <si>
    <t>2020.06.03</t>
  </si>
  <si>
    <t>선유문주 [단행본]</t>
  </si>
  <si>
    <t>2022.01.27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</si>
  <si>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</si>
  <si>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</si>
  <si>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</si>
  <si>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</si>
  <si>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</si>
  <si>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</si>
  <si>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</si>
  <si>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</si>
  <si>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2022.04.08</t>
  </si>
  <si>
    <t>베리타 (verità)</t>
  </si>
  <si>
    <t>2021.04.02</t>
  </si>
  <si>
    <t>강호유정</t>
  </si>
  <si>
    <t>2020.08.25</t>
  </si>
  <si>
    <t>2020.09.08</t>
  </si>
  <si>
    <t>폴딩</t>
  </si>
  <si>
    <t>2021.10.15</t>
  </si>
  <si>
    <t>글면증</t>
  </si>
  <si>
    <t>2021.11.18</t>
  </si>
  <si>
    <t>나는 너를, 너는 나를 [BL]</t>
  </si>
  <si>
    <t>라비니안느</t>
  </si>
  <si>
    <t>2019.03.07</t>
  </si>
  <si>
    <t>나쁜 이혼 [선공개]</t>
  </si>
  <si>
    <t>진숙</t>
  </si>
  <si>
    <t>2021.03.02</t>
  </si>
  <si>
    <t>비서의 유혹</t>
  </si>
  <si>
    <t>2020.02.14</t>
  </si>
  <si>
    <t>2020.08.26</t>
  </si>
  <si>
    <t>유성하소월 [1~83화]</t>
  </si>
  <si>
    <t>se1392001</t>
  </si>
  <si>
    <t>2019.01.31</t>
  </si>
  <si>
    <t>사냥:꿈 [BL]</t>
  </si>
  <si>
    <t>2018.02.22</t>
  </si>
  <si>
    <t>선유문주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</si>
  <si>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</si>
  <si>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</si>
  <si>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</si>
  <si>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</si>
  <si>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</si>
  <si>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</si>
  <si>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</si>
  <si>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</si>
  <si>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</si>
  <si>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</si>
  <si>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</si>
  <si>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</si>
  <si>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</si>
  <si>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</si>
  <si>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</si>
  <si>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골 때리는 사랑 [BL]</t>
  </si>
  <si>
    <t>2020.04.17</t>
  </si>
  <si>
    <t>단팥크림빵7</t>
  </si>
  <si>
    <t>2021.08.20</t>
  </si>
  <si>
    <t>궁성</t>
  </si>
  <si>
    <t>스내치</t>
  </si>
  <si>
    <t>2020.12.21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</si>
  <si>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</si>
  <si>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</si>
  <si>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</si>
  <si>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</si>
  <si>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</si>
  <si>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</si>
  <si>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</si>
  <si>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</si>
  <si>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</si>
  <si>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</si>
  <si>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</si>
  <si>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</si>
  <si>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</si>
  <si>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</si>
  <si>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</si>
  <si>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</si>
  <si>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</si>
  <si>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</si>
  <si>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</si>
  <si>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</si>
  <si>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</si>
  <si>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</si>
  <si>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</si>
  <si>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</si>
  <si>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</si>
  <si>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2021.03.12</t>
  </si>
  <si>
    <t>아프오 안 아프오 나는 [BL]</t>
  </si>
  <si>
    <t>내 남편의 열렬한 구애</t>
  </si>
  <si>
    <t>아이리스</t>
  </si>
  <si>
    <t>2019.12.09</t>
  </si>
  <si>
    <t>19세 이상 이용가능</t>
  </si>
  <si>
    <t>충동적인 결혼</t>
  </si>
  <si>
    <t>2019.11.29</t>
  </si>
  <si>
    <t>BitterSweet</t>
  </si>
  <si>
    <t>본능에 눈뜨다 [개정증보판]</t>
  </si>
  <si>
    <t>2019.11.15</t>
  </si>
  <si>
    <t>절대자의 귀환 [단행본]</t>
  </si>
  <si>
    <t>2021.04.15</t>
  </si>
  <si>
    <t>아래층에 전남편이 산다</t>
  </si>
  <si>
    <t>2021.10.01</t>
  </si>
  <si>
    <t>우리 [개정판][삽화본]</t>
  </si>
  <si>
    <t>꿈속의 보스</t>
  </si>
  <si>
    <t>2021.01.12</t>
  </si>
  <si>
    <t>게이 하우스 [BL]</t>
  </si>
  <si>
    <t>빨강뽀뽀</t>
  </si>
  <si>
    <t>2019.06.26</t>
  </si>
  <si>
    <t>보좌관</t>
  </si>
  <si>
    <t>2019.04.11</t>
  </si>
  <si>
    <t>레이디 스칼렛</t>
  </si>
  <si>
    <t>불고기자리</t>
  </si>
  <si>
    <t>2020.08.20</t>
  </si>
  <si>
    <t>라지에르의 서</t>
  </si>
  <si>
    <t>공든탑</t>
  </si>
  <si>
    <t>2017.07.03</t>
  </si>
  <si>
    <t>내일은 이혼해요</t>
  </si>
  <si>
    <t>윤비밀</t>
  </si>
  <si>
    <t>2020.02.24</t>
  </si>
  <si>
    <t>사라족의 간택 [삽화본][BL]</t>
  </si>
  <si>
    <t>중독</t>
  </si>
  <si>
    <t>문스톤</t>
  </si>
  <si>
    <t>2019.12.18</t>
  </si>
  <si>
    <t>스타의 연애 [BL]</t>
  </si>
  <si>
    <t>아저씨, 내 기분 왜 이래요?</t>
  </si>
  <si>
    <t>Livingston</t>
  </si>
  <si>
    <t>2021.03.29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</si>
  <si>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</si>
  <si>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</si>
  <si>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</si>
  <si>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</si>
  <si>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</si>
  <si>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</si>
  <si>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</si>
  <si>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아래층에 전남편이 산다 [단행본]</t>
  </si>
  <si>
    <t>사랑을 놓치고 [단행본]</t>
  </si>
  <si>
    <t>2019.10.11</t>
  </si>
  <si>
    <t>야쿠자가 사랑을 한다면 [개정판][BL][단행본]</t>
  </si>
  <si>
    <t>2020.11.23</t>
  </si>
  <si>
    <t>친구의 고백 [단행본]</t>
  </si>
  <si>
    <t>매혹적인 상사</t>
  </si>
  <si>
    <t>2022.03.04</t>
  </si>
  <si>
    <t>골 때리는 사랑 [BL][단행본]</t>
  </si>
  <si>
    <t>2021.03.10</t>
  </si>
  <si>
    <t>숨결을 삼키다</t>
  </si>
  <si>
    <t>2020.08.17</t>
  </si>
  <si>
    <t>야쿠자가 사랑을 한다면 외전 [개정판][BL][단행본]</t>
  </si>
  <si>
    <t>썸원(Someone)</t>
  </si>
  <si>
    <t>사냥 [삽화본]</t>
  </si>
  <si>
    <t>2019.11.07</t>
  </si>
  <si>
    <t>이혼 후 로또 1등 감독님</t>
  </si>
  <si>
    <t>2022.07.04</t>
  </si>
  <si>
    <t>신들의 알바나라</t>
  </si>
  <si>
    <t>갓띵작</t>
  </si>
  <si>
    <t>2022.06.10</t>
  </si>
  <si>
    <t>나의 시고르자브종 [BL]</t>
  </si>
  <si>
    <t>두나래</t>
  </si>
  <si>
    <t>2022.06.16</t>
  </si>
  <si>
    <t>돌아온 막내 영애님을 조심하세요 [단행본]</t>
  </si>
  <si>
    <t>대표님께 매우 진심인 편 [외전 선공개]</t>
  </si>
  <si>
    <t>블루문</t>
  </si>
  <si>
    <t>2022.06.15</t>
  </si>
  <si>
    <t>앰퍼샌드B</t>
  </si>
  <si>
    <t>2022.08.02</t>
  </si>
  <si>
    <t>블레슈(Blesshuu)</t>
  </si>
  <si>
    <t>2022.08.01</t>
  </si>
  <si>
    <t>모르는 남자와 결혼했다</t>
  </si>
  <si>
    <t>정요화</t>
  </si>
  <si>
    <t>2022.07.20</t>
  </si>
  <si>
    <t>부도덕한 재회</t>
  </si>
  <si>
    <t>이리안</t>
  </si>
  <si>
    <t>2022.07.27</t>
  </si>
  <si>
    <t>최종 보스 : 빛을 향해 달리는 그림자 [단행본]</t>
  </si>
  <si>
    <t>영웅 [개정판][단행본]</t>
  </si>
  <si>
    <t>밥앤라면</t>
  </si>
  <si>
    <t>먼나무</t>
  </si>
  <si>
    <t>2021.05.20</t>
  </si>
  <si>
    <t>사랑한다 윤혜영 [개정판][삽화본][단행본]</t>
  </si>
  <si>
    <t>시리즈완전판(APP)</t>
    <phoneticPr fontId="20" type="noConversion"/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</si>
  <si>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</si>
  <si>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</si>
  <si>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</si>
  <si>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</si>
  <si>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</si>
  <si>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</si>
  <si>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</si>
  <si>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</si>
  <si>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</si>
  <si>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</si>
  <si>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</si>
  <si>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</si>
  <si>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</si>
  <si>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</si>
  <si>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</si>
  <si>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</si>
  <si>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</si>
  <si>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</si>
  <si>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</si>
  <si>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</si>
  <si>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</si>
  <si>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</si>
  <si>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</si>
  <si>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</si>
  <si>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</si>
  <si>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</si>
  <si>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</si>
  <si>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</si>
  <si>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</si>
  <si>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</si>
  <si>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</si>
  <si>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</si>
  <si>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</si>
  <si>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</si>
  <si>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</si>
  <si>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</si>
  <si>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</si>
  <si>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</si>
  <si>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</si>
  <si>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</si>
  <si>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</si>
  <si>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</si>
  <si>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</si>
  <si>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</si>
  <si>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</si>
  <si>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</si>
  <si>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</si>
  <si>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</si>
  <si>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</si>
  <si>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</si>
  <si>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</si>
  <si>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</si>
  <si>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</si>
  <si>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</si>
  <si>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</si>
  <si>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</si>
  <si>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</si>
  <si>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</si>
  <si>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</si>
  <si>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지금, 덮치러 갑니다</t>
  </si>
  <si>
    <t>2022.08.12</t>
  </si>
  <si>
    <t>2022.08.22</t>
  </si>
  <si>
    <t>천재 배우의 다이어리</t>
  </si>
  <si>
    <t>mollen</t>
  </si>
  <si>
    <t>함선으로 귀환해서 이세계 최강 [독점]</t>
  </si>
  <si>
    <t>은천검제(2부 화산검제) [단행본]</t>
  </si>
  <si>
    <t>다정할수록 불순한 [단행본]</t>
  </si>
  <si>
    <t>2022.05.20</t>
  </si>
  <si>
    <t>원코인 게이머 아포칼립스 [단행본]</t>
  </si>
  <si>
    <t>납치</t>
  </si>
  <si>
    <t>내게만 악마 같은 놈 [삽화본]</t>
  </si>
  <si>
    <t>2020.09.07</t>
  </si>
  <si>
    <t>골 때리는 사랑 외전 [BL][단행본]</t>
  </si>
  <si>
    <t>이 비서 다리 좀 치워 외전 [BL][단행본]</t>
  </si>
  <si>
    <t>2020.05.10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</si>
  <si>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</si>
  <si>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</si>
  <si>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아내 구속 [독점]</t>
  </si>
  <si>
    <t>상태창빨로 천재 재벌</t>
  </si>
  <si>
    <t>리얼탄산</t>
  </si>
  <si>
    <t>2022.09.05</t>
  </si>
  <si>
    <t>천하제일인은 딸바보 [독점]</t>
  </si>
  <si>
    <t>해비베어</t>
  </si>
  <si>
    <t>2022.09.30</t>
  </si>
  <si>
    <t>막상막하 [BL]</t>
  </si>
  <si>
    <t>마뇽</t>
  </si>
  <si>
    <t>2022.09.23</t>
  </si>
  <si>
    <t>강호유정 [단행본]</t>
  </si>
  <si>
    <t>131100761</t>
  </si>
  <si>
    <t>2013.11.15</t>
  </si>
  <si>
    <t>성군이십니다 [단행본]</t>
  </si>
  <si>
    <t>2020.03.26</t>
  </si>
  <si>
    <t>망생부터 시작하는 천재작가의 회귀</t>
  </si>
  <si>
    <t>알랙스</t>
  </si>
  <si>
    <t>전여린</t>
  </si>
  <si>
    <t>2022.09.22</t>
  </si>
  <si>
    <t>내 몸을 돌려줘요</t>
  </si>
  <si>
    <t>박도아</t>
  </si>
  <si>
    <t>2020.04.22</t>
  </si>
  <si>
    <t>얼굴 천재 교주가 되었다</t>
  </si>
  <si>
    <t>비고</t>
  </si>
  <si>
    <t>망나니 [단행본]</t>
  </si>
  <si>
    <t>2022.09.13</t>
  </si>
  <si>
    <t>남이 되어 주세요</t>
  </si>
  <si>
    <t>한서나</t>
  </si>
  <si>
    <t>2018.12.10</t>
  </si>
  <si>
    <t>사랑한다 윤혜영 외전 [개정판][단행본]</t>
  </si>
  <si>
    <t>2020.12.08</t>
  </si>
  <si>
    <t>흔적 [단행본]</t>
  </si>
  <si>
    <t>본능에 눈뜨다 외전 [개정판][단행본]</t>
  </si>
  <si>
    <t>2022.10.21</t>
  </si>
  <si>
    <t>2022.11.01</t>
  </si>
  <si>
    <t>아빠는 마교대장</t>
  </si>
  <si>
    <t>구땡</t>
  </si>
  <si>
    <t>2022.10.07</t>
  </si>
  <si>
    <t>상간녀에게 빙의되었습니다</t>
  </si>
  <si>
    <t>엘비디</t>
  </si>
  <si>
    <t>혼자서는 못 해요</t>
  </si>
  <si>
    <t>몸서리</t>
  </si>
  <si>
    <t>2022.09.28</t>
  </si>
  <si>
    <t>검사님 출세하신다!</t>
  </si>
  <si>
    <t>2019.11.20</t>
  </si>
  <si>
    <t>수레국화꽃말</t>
  </si>
  <si>
    <t>내 이름을 불러 [BL][단행본]</t>
  </si>
  <si>
    <t>환영합니다 마이클 본부장님 [BL][단행본]</t>
  </si>
  <si>
    <t>퍼리딩딩</t>
  </si>
  <si>
    <t>2022.10.26</t>
  </si>
  <si>
    <t>야한 남자 vs 야한 여자 [단행본]</t>
  </si>
  <si>
    <t>신들의 알바나라 [단행본]</t>
  </si>
  <si>
    <t>아로새긴</t>
  </si>
  <si>
    <t>천사의 아이</t>
  </si>
  <si>
    <t>틴타</t>
  </si>
  <si>
    <t>2022.10.12</t>
  </si>
  <si>
    <t>검산도해 [단행본]</t>
  </si>
  <si>
    <t>권용찬</t>
  </si>
  <si>
    <t>더 라스트 웨어울프</t>
  </si>
  <si>
    <t>2020.11.11</t>
  </si>
  <si>
    <t>너에게 닿는 순간 [외전증보판][단행본]</t>
  </si>
  <si>
    <t>에피</t>
  </si>
  <si>
    <t>검사님 출세하신다! [단행본]</t>
  </si>
  <si>
    <t>선택된 남자 [BL][단행본]</t>
  </si>
  <si>
    <t>2021.05.21</t>
  </si>
  <si>
    <t>2022.10.27</t>
  </si>
  <si>
    <t>SOTUS 특별 외전 [BL][단행본]</t>
  </si>
  <si>
    <t>천재 배우의 다이어리 [단행본]</t>
  </si>
  <si>
    <t>2022.10.24</t>
  </si>
  <si>
    <t>찬란한 덫 [외전증보판][단행본]</t>
  </si>
  <si>
    <t>오빠는 말이야 [단행본]</t>
  </si>
  <si>
    <t>고은영</t>
  </si>
  <si>
    <t>트리거 [외전증보판][BL][단행본]</t>
  </si>
  <si>
    <t>로맨틱 크러시 [BL][단행본]</t>
  </si>
  <si>
    <t>망나니개</t>
  </si>
  <si>
    <t>구애 [단행본]</t>
  </si>
  <si>
    <t>2019.11.22</t>
  </si>
  <si>
    <t>내 이름을 불러 외전 [BL][단행본]</t>
  </si>
  <si>
    <t>로맨틱 크러시 외전 [BL][단행본]</t>
  </si>
  <si>
    <t>Only you 외전 [BL][단행본]</t>
  </si>
  <si>
    <t>2021.09.09</t>
  </si>
  <si>
    <t>여왕 아델 [단행본]</t>
  </si>
  <si>
    <t>2020.10.21</t>
  </si>
  <si>
    <t>시리즈(iOS)</t>
    <phoneticPr fontId="20" type="noConversion"/>
  </si>
  <si>
    <t>내가 진짜인 줄 알았는데 [외전 선공개]</t>
  </si>
  <si>
    <t>매드럼</t>
  </si>
  <si>
    <t>악당의 죽은 자식 [독점]</t>
  </si>
  <si>
    <t>탄E</t>
  </si>
  <si>
    <t>2022.12.02</t>
  </si>
  <si>
    <t>덫에 걸린 결혼</t>
  </si>
  <si>
    <t>한채린</t>
  </si>
  <si>
    <t>2022.11.11</t>
  </si>
  <si>
    <t>지극히 신사적인 [외전 선공개]</t>
  </si>
  <si>
    <t>2022.11.04</t>
  </si>
  <si>
    <t>그레이슬린의 붉은 마녀 [외전 선공개]</t>
  </si>
  <si>
    <t>서도연</t>
  </si>
  <si>
    <t>그 사막에선 왕녀도 마녀가 된다 [외전 선공개]</t>
  </si>
  <si>
    <t>서리별가람</t>
  </si>
  <si>
    <t>회귀한 헌터가 너무 강함</t>
  </si>
  <si>
    <t>부엉이콩</t>
  </si>
  <si>
    <t>2022.11.29</t>
  </si>
  <si>
    <t>죽이는 플로우</t>
  </si>
  <si>
    <t>2020.07.17</t>
  </si>
  <si>
    <t>상태창빨로 천재 재벌 [단행본]</t>
  </si>
  <si>
    <t>퇴마사(巫者) [BL]</t>
  </si>
  <si>
    <t>시무(蒔舞)</t>
  </si>
  <si>
    <t>2021.12.03</t>
  </si>
  <si>
    <t>월급 주는 남편 [단행본]</t>
  </si>
  <si>
    <t>2020.09.28</t>
  </si>
  <si>
    <t>이과생 둘이 회귀했다</t>
  </si>
  <si>
    <t>하이후</t>
  </si>
  <si>
    <t>2020.07.10</t>
  </si>
  <si>
    <t>펌킨몬</t>
  </si>
  <si>
    <t>사랑도 없이 결혼 [단행본]</t>
  </si>
  <si>
    <t>신인류 좀비의 아포칼립스 [단행본]</t>
  </si>
  <si>
    <t>모험왕선우</t>
  </si>
  <si>
    <t>친절하기는 얼어 죽을 [단행본]</t>
  </si>
  <si>
    <t>솜목화</t>
  </si>
  <si>
    <t>2022.11.10</t>
  </si>
  <si>
    <t>늑대가문의 신부 [단행본]</t>
  </si>
  <si>
    <t>김정연</t>
  </si>
  <si>
    <t>2022.10.17</t>
  </si>
  <si>
    <t>전남편의 놀잇감 [단행본]</t>
  </si>
  <si>
    <t>2022.11.07</t>
  </si>
  <si>
    <t>김온별</t>
  </si>
  <si>
    <t>와그작 [BL]</t>
  </si>
  <si>
    <t>2021.06.02</t>
  </si>
  <si>
    <t>친절하기는 얼어 죽을</t>
  </si>
  <si>
    <t>2021.12.08</t>
  </si>
  <si>
    <t>호랑이 신을 길들여 버렸다</t>
  </si>
  <si>
    <t>2021.11.19</t>
  </si>
  <si>
    <t>Only you [BL][단행본]</t>
  </si>
  <si>
    <t>지금, 덮치러 갑니다 [단행본]</t>
  </si>
  <si>
    <t>2022.11.16</t>
  </si>
  <si>
    <t>아이 컨택 [BL][단행본]</t>
  </si>
  <si>
    <t>2021.05.18</t>
  </si>
  <si>
    <t>들이대지 마 [BL][단행본]</t>
  </si>
  <si>
    <t>바랑둥이 내 남자 [단행본]</t>
  </si>
  <si>
    <t>그 알파 내 오메가 만들기 [개정판][BL][단행본]</t>
  </si>
  <si>
    <t>2018.10.30</t>
  </si>
  <si>
    <t>우리야, 이리온 [단행본]</t>
  </si>
  <si>
    <t>2021.12.20</t>
  </si>
  <si>
    <t>위층 아이 아빠 외전 [BL][단행본]</t>
  </si>
  <si>
    <t>사랑을 놓치고 외전 [단행본]</t>
  </si>
  <si>
    <t>내 남자 길들이기 외전 [단행본]</t>
  </si>
  <si>
    <t>바랑둥이 내 남자 [외전][단행본]</t>
  </si>
  <si>
    <t>2022.12.16</t>
  </si>
  <si>
    <t>2023.01.03</t>
  </si>
  <si>
    <t>나 혼자 스킬융합</t>
  </si>
  <si>
    <t>최종 보스 : 빛을 향해 달리는 그림자</t>
  </si>
  <si>
    <t>이혼 제안 [선공개]</t>
  </si>
  <si>
    <t>서움</t>
  </si>
  <si>
    <t>2022.12.14</t>
  </si>
  <si>
    <t>위험한 대표님</t>
  </si>
  <si>
    <t>해은빛</t>
  </si>
  <si>
    <t>신입사원이 이렇게 일을 잘했다고?</t>
  </si>
  <si>
    <t>디버프 마스터 [단행본]</t>
  </si>
  <si>
    <t>2022.12.06</t>
  </si>
  <si>
    <t>대공님, 이러시면 죽일 수가 없잖아요 [독점]</t>
  </si>
  <si>
    <t>마거릿점례</t>
  </si>
  <si>
    <t>2022.12.31</t>
  </si>
  <si>
    <t>아카데미 속 궁술천재</t>
  </si>
  <si>
    <t>깡펀치</t>
  </si>
  <si>
    <t>2022.12.09</t>
  </si>
  <si>
    <t>상왕 진우몽</t>
  </si>
  <si>
    <t>2022.12.13</t>
  </si>
  <si>
    <t>나 혼자 스킬융합 [단행본]</t>
  </si>
  <si>
    <t>성군이십니다</t>
  </si>
  <si>
    <t>다크 메이지</t>
  </si>
  <si>
    <t>김정률</t>
  </si>
  <si>
    <t>2022.12.12</t>
  </si>
  <si>
    <t>위대한 가문의 망나니가 되다</t>
  </si>
  <si>
    <t>매혹적인 상사 [단행본]</t>
  </si>
  <si>
    <t>망작 리메이커</t>
  </si>
  <si>
    <t>연애는 아래로부터 [단행본]</t>
  </si>
  <si>
    <t>2020.12.30</t>
  </si>
  <si>
    <t>칵테일로 레벨업</t>
  </si>
  <si>
    <t>말빨 [단행본]</t>
  </si>
  <si>
    <t>천 개의 별 이야기(A Tale of Thousand Stars) [BL][단행본]</t>
  </si>
  <si>
    <t>Bacteria</t>
  </si>
  <si>
    <t>2022.11.30</t>
  </si>
  <si>
    <t>2022.12.27</t>
  </si>
  <si>
    <t>별자리 살인마 : 너를 추억한다</t>
  </si>
  <si>
    <t>징구빙구</t>
  </si>
  <si>
    <t>회귀한 헌터가 너무 강함 [단행본]</t>
  </si>
  <si>
    <t>올마스터가 된 비전서고</t>
  </si>
  <si>
    <t>2023.01.01</t>
  </si>
  <si>
    <t>SOTUS [BL][단행본]</t>
  </si>
  <si>
    <t>그대를 탐하다 [BL][단행본]</t>
  </si>
  <si>
    <t>2021.03.03</t>
  </si>
  <si>
    <t>사랑, 흘러간다 [BL][단행본]</t>
  </si>
  <si>
    <t>2021.02.17</t>
  </si>
  <si>
    <t>죽이는 플로우 [단행본]</t>
  </si>
  <si>
    <t>2021.05.13</t>
  </si>
  <si>
    <t>네가 뭔데 그러세요 [BL][단행본]</t>
  </si>
  <si>
    <t>그땐 미처 [외전증보판][단행본]</t>
  </si>
  <si>
    <t>2020.02.07</t>
  </si>
  <si>
    <t>SOTUS S [BL]</t>
  </si>
  <si>
    <t>2022.05.27</t>
  </si>
  <si>
    <t>낚싯대 하나로 세계최강</t>
  </si>
  <si>
    <t>연애는 아래로부터</t>
  </si>
  <si>
    <t>2018.12.21</t>
  </si>
  <si>
    <t>본능에 눈뜨다 [개정판][단행본]</t>
  </si>
  <si>
    <t>혀끝에서 맴도는</t>
  </si>
  <si>
    <t>2020.06.29</t>
  </si>
  <si>
    <t>공작가의 남루한 신부 [단행본]</t>
  </si>
  <si>
    <t>2022.01.26</t>
  </si>
  <si>
    <t>우리 [개정판][삽화본][단행본]</t>
  </si>
  <si>
    <t>회귀자의 슬기로운 복수생활</t>
  </si>
  <si>
    <t>On the air [BL][단행본]</t>
  </si>
  <si>
    <t>연애가 필요한 순간 [단행본]</t>
  </si>
  <si>
    <t>복희씨</t>
  </si>
  <si>
    <t>문답무용 - 삼국지 유비의 모사가 되었다 [단행본]</t>
  </si>
  <si>
    <t>SOTUS 외전 [BL][단행본]</t>
  </si>
  <si>
    <t>던전 공략 LIVE [단행본]</t>
  </si>
  <si>
    <t>2018.02.21</t>
  </si>
  <si>
    <t>더 라스트 웨어울프 외전 [단행본]</t>
  </si>
  <si>
    <t>앙팡테리블</t>
  </si>
  <si>
    <t>쇠렌센</t>
  </si>
  <si>
    <t>2020.09.29</t>
  </si>
  <si>
    <t>버그 걸린 드래곤</t>
  </si>
  <si>
    <t>신인류 좀비의 아포칼립스</t>
  </si>
  <si>
    <t>비서의 유혹 외전 [단행본]</t>
  </si>
  <si>
    <t>너는 내 숨결이니까 외전 [단행본]</t>
  </si>
  <si>
    <t>리얼 머니</t>
  </si>
  <si>
    <t>냥줍하면 강해져 [무료연재]</t>
  </si>
  <si>
    <t>준돌</t>
  </si>
  <si>
    <t>아래층에 전남편이 산다 외전 [단행본]</t>
  </si>
  <si>
    <t>매혹적인 상사 외전 [단행본]</t>
  </si>
  <si>
    <t>베놈 마스터</t>
  </si>
  <si>
    <t>시계태엽오란씨</t>
  </si>
  <si>
    <t>2020.02.03</t>
  </si>
  <si>
    <t>결혼의 함정 외전 [단행본]</t>
  </si>
  <si>
    <t>월급 주는 남편 외전 [단행본]</t>
  </si>
  <si>
    <t>결혼의 함정 특별외전 [단행본]</t>
  </si>
  <si>
    <t>그대를 탐하다 외전 [BL][단행본]</t>
  </si>
  <si>
    <t>사랑은 내가, 너는 행복만</t>
  </si>
  <si>
    <t>아타락시아</t>
  </si>
  <si>
    <t>2021.02.15</t>
  </si>
  <si>
    <t>네가 뭔데 그러세요 외전 [BL][단행본]</t>
  </si>
  <si>
    <t>꿈은 이루어진다</t>
  </si>
  <si>
    <t>벗우</t>
  </si>
  <si>
    <t>2019.12.11</t>
  </si>
  <si>
    <t>복수하는 회귀 사서 [독점]</t>
  </si>
  <si>
    <t>백일하</t>
  </si>
  <si>
    <t>시크릿 맨 [개정판][삽화본][단행본]</t>
  </si>
  <si>
    <t>2020.05.29</t>
  </si>
  <si>
    <t>나를 사랑하지 않는 사람이 필요해 [단행본]</t>
  </si>
  <si>
    <t>누네니가</t>
  </si>
  <si>
    <t>적왕의 깊은 밤 [단행본]</t>
  </si>
  <si>
    <t>사냥 꿈 [개정판][BL][단행본]</t>
  </si>
  <si>
    <t>처음이어도 좋아 [단행본]</t>
  </si>
  <si>
    <t>2020.10.26</t>
  </si>
  <si>
    <t>베리타 (verità) [단행본]</t>
  </si>
  <si>
    <t>숨결을 삼키다 [외전증보판][단행본]</t>
  </si>
  <si>
    <t>2021.05.12</t>
  </si>
  <si>
    <t>오빠, 더 깊이 [단행본]</t>
  </si>
  <si>
    <t>2022.09.09</t>
  </si>
  <si>
    <t>완벽한 타인과 [단행본]</t>
  </si>
  <si>
    <t>2020.12.22</t>
  </si>
  <si>
    <t>돼지 키워 세계정복한 썰 푼다 [무료연재]</t>
  </si>
  <si>
    <t>J.은성</t>
  </si>
  <si>
    <t>그땐 그랬었다 [외전증보판][BL][단행본]</t>
  </si>
  <si>
    <t>우리야, 이리온 외전 [단행본]</t>
  </si>
  <si>
    <t>천 개의 별 이야기(A Tale of Thousand Stars) [외전][무삭제판][BL][단행본]</t>
  </si>
  <si>
    <t>선택된 남자 외전 [BL][단행본]</t>
  </si>
  <si>
    <t>구애 외전 [단행본]</t>
  </si>
  <si>
    <t>바빌로니아의 검은 책</t>
  </si>
  <si>
    <t>2018.07.14</t>
  </si>
  <si>
    <t>내 안에 흑염룡이 산다!</t>
  </si>
  <si>
    <t>너를 삼키다 [BL][단행본]</t>
  </si>
  <si>
    <t>2021.09.08</t>
  </si>
  <si>
    <t>나만의 스타[개정판][단행본]</t>
  </si>
  <si>
    <t>2018.09.03</t>
  </si>
  <si>
    <t>썸원(Someone) [단행본]</t>
  </si>
  <si>
    <t>임신부터 할까요? [단행본]</t>
  </si>
  <si>
    <t>너를 삼키다 외전 [BL][단행본]</t>
  </si>
  <si>
    <t>악당의 죽은 자식 [독점]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</si>
</sst>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vertical="center" wrapText="1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vertical="center" wrapText="1"/>
    </xf>
    <xf numFmtId="4" fontId="23" fillId="0" borderId="0" xfId="0" applyNumberFormat="1" applyFont="1" applyAlignment="1">
      <alignment vertical="center" wrapText="1"/>
    </xf>
    <xf numFmtId="0" fontId="24" fillId="33" borderId="0" xfId="0" applyFont="1" applyFill="1" applyAlignment="1">
      <alignment horizontal="center" vertical="center" wrapText="1"/>
    </xf>
    <xf numFmtId="4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589"/>
  <sheetViews>
    <sheetView tabSelected="1" topLeftCell="A412" zoomScale="90" zoomScaleNormal="90" workbookViewId="0">
      <selection activeCell="R430" sqref="R430"/>
    </sheetView>
  </sheetViews>
  <sheetFormatPr defaultRowHeight="16.5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4" max="64" width="11.75" bestFit="1" customWidth="1"/>
    <col min="65" max="65" width="12.75" style="19" bestFit="1" customWidth="1"/>
    <col min="66" max="66" width="13.5" bestFit="1" customWidth="1"/>
    <col min="67" max="67" width="13.375" style="7" customWidth="1"/>
  </cols>
  <sheetData>
    <row r="1" spans="1:69" ht="27" customHeight="1">
      <c r="A1" s="2" t="s">
        <v>353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354</v>
      </c>
      <c r="I1" s="8" t="s">
        <v>6</v>
      </c>
      <c r="J1" s="6" t="s">
        <v>355</v>
      </c>
      <c r="K1" s="6" t="s">
        <v>356</v>
      </c>
      <c r="L1" s="6" t="s">
        <v>357</v>
      </c>
      <c r="M1" s="6" t="s">
        <v>358</v>
      </c>
      <c r="N1" s="6" t="s">
        <v>359</v>
      </c>
      <c r="O1" s="6" t="s">
        <v>360</v>
      </c>
      <c r="P1" s="6" t="s">
        <v>361</v>
      </c>
      <c r="Q1" s="6" t="s">
        <v>362</v>
      </c>
      <c r="R1" s="6" t="s">
        <v>363</v>
      </c>
      <c r="S1" s="6" t="s">
        <v>364</v>
      </c>
      <c r="T1" s="6" t="s">
        <v>365</v>
      </c>
      <c r="U1" s="6" t="s">
        <v>366</v>
      </c>
      <c r="V1" s="6" t="s">
        <v>367</v>
      </c>
      <c r="W1" s="6" t="s">
        <v>368</v>
      </c>
      <c r="X1" s="6" t="s">
        <v>369</v>
      </c>
      <c r="Y1" s="6" t="s">
        <v>370</v>
      </c>
      <c r="Z1" s="6" t="s">
        <v>371</v>
      </c>
      <c r="AA1" s="6" t="s">
        <v>372</v>
      </c>
      <c r="AB1" s="6" t="s">
        <v>373</v>
      </c>
      <c r="AC1" s="6" t="s">
        <v>374</v>
      </c>
      <c r="AD1" s="6" t="s">
        <v>375</v>
      </c>
      <c r="AE1" s="6" t="s">
        <v>376</v>
      </c>
      <c r="AF1" s="6" t="s">
        <v>377</v>
      </c>
      <c r="AG1" s="6" t="s">
        <v>378</v>
      </c>
      <c r="AH1" s="6" t="s">
        <v>379</v>
      </c>
      <c r="AI1" s="6" t="s">
        <v>380</v>
      </c>
      <c r="AJ1" s="6" t="s">
        <v>381</v>
      </c>
      <c r="AK1" s="6" t="s">
        <v>382</v>
      </c>
      <c r="AL1" s="6" t="s">
        <v>383</v>
      </c>
      <c r="AM1" s="6" t="s">
        <v>384</v>
      </c>
      <c r="AN1" s="6" t="s">
        <v>385</v>
      </c>
      <c r="AO1" s="6" t="s">
        <v>386</v>
      </c>
      <c r="AP1" s="6" t="s">
        <v>387</v>
      </c>
      <c r="AQ1" s="6" t="s">
        <v>388</v>
      </c>
      <c r="AR1" s="6" t="s">
        <v>389</v>
      </c>
      <c r="AS1" s="6" t="s">
        <v>390</v>
      </c>
      <c r="AT1" s="6" t="s">
        <v>391</v>
      </c>
      <c r="AU1" s="6" t="s">
        <v>392</v>
      </c>
      <c r="AV1" s="6" t="s">
        <v>393</v>
      </c>
      <c r="AW1" s="6" t="s">
        <v>394</v>
      </c>
      <c r="AX1" s="6" t="s">
        <v>395</v>
      </c>
      <c r="AY1" s="6" t="s">
        <v>396</v>
      </c>
      <c r="AZ1" s="6" t="s">
        <v>397</v>
      </c>
      <c r="BA1" s="6" t="s">
        <v>398</v>
      </c>
      <c r="BB1" s="6" t="s">
        <v>399</v>
      </c>
      <c r="BC1" s="6" t="s">
        <v>400</v>
      </c>
      <c r="BD1" s="6" t="s">
        <v>401</v>
      </c>
      <c r="BE1" s="6" t="s">
        <v>402</v>
      </c>
      <c r="BF1" s="6" t="s">
        <v>403</v>
      </c>
      <c r="BG1" s="6" t="s">
        <v>404</v>
      </c>
      <c r="BH1" s="6" t="s">
        <v>405</v>
      </c>
      <c r="BI1" s="6" t="s">
        <v>406</v>
      </c>
      <c r="BJ1" s="6" t="s">
        <v>407</v>
      </c>
      <c r="BK1" s="6" t="s">
        <v>408</v>
      </c>
      <c r="BL1" s="6" t="s">
        <v>13</v>
      </c>
      <c r="BM1" s="16" t="s">
        <v>12</v>
      </c>
      <c r="BN1" s="6" t="s">
        <v>409</v>
      </c>
      <c r="BO1" s="6" t="s">
        <v>410</v>
      </c>
      <c r="BP1" s="6" t="s">
        <v>427</v>
      </c>
      <c r="BQ1" s="6" t="s">
        <v>428</v>
      </c>
    </row>
    <row r="2" spans="1:69" ht="24">
      <c r="A2" s="5" t="s">
        <v>14</v>
      </c>
      <c r="B2" s="11" t="s">
        <v>513</v>
      </c>
      <c r="C2" s="11">
        <v>486613</v>
      </c>
      <c r="D2" s="12"/>
      <c r="E2" s="11" t="s">
        <v>16</v>
      </c>
      <c r="F2" s="11" t="s">
        <v>514</v>
      </c>
      <c r="G2" s="11" t="s">
        <v>337</v>
      </c>
      <c r="H2" s="13" t="s">
        <v>9</v>
      </c>
      <c r="I2" s="13" t="s">
        <v>463</v>
      </c>
      <c r="J2" s="13">
        <v>17</v>
      </c>
      <c r="K2" s="14">
        <v>122467</v>
      </c>
      <c r="L2" s="14">
        <v>1700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4">
        <v>38238</v>
      </c>
      <c r="AF2" s="14">
        <v>2312720</v>
      </c>
      <c r="AG2" s="14">
        <v>1564500</v>
      </c>
      <c r="AH2" s="13">
        <v>0</v>
      </c>
      <c r="AI2" s="13">
        <v>0</v>
      </c>
      <c r="AJ2" s="13">
        <v>0</v>
      </c>
      <c r="AK2" s="13">
        <v>265</v>
      </c>
      <c r="AL2" s="14">
        <v>11705</v>
      </c>
      <c r="AM2" s="14">
        <v>16900</v>
      </c>
      <c r="AN2" s="13">
        <v>0</v>
      </c>
      <c r="AO2" s="13">
        <v>0</v>
      </c>
      <c r="AP2" s="13">
        <v>0</v>
      </c>
      <c r="AQ2" s="14">
        <v>16160</v>
      </c>
      <c r="AR2" s="14">
        <v>1579400</v>
      </c>
      <c r="AS2" s="14">
        <v>36600</v>
      </c>
      <c r="AT2" s="13">
        <v>0</v>
      </c>
      <c r="AU2" s="13">
        <v>0</v>
      </c>
      <c r="AV2" s="13">
        <v>0</v>
      </c>
      <c r="AW2" s="14">
        <v>7921</v>
      </c>
      <c r="AX2" s="14">
        <v>956177</v>
      </c>
      <c r="AY2" s="14">
        <v>1500</v>
      </c>
      <c r="AZ2" s="13">
        <v>0</v>
      </c>
      <c r="BA2" s="13">
        <v>0</v>
      </c>
      <c r="BB2" s="13">
        <v>0</v>
      </c>
      <c r="BC2" s="14">
        <v>37062</v>
      </c>
      <c r="BD2" s="14">
        <v>4445280</v>
      </c>
      <c r="BE2" s="14">
        <v>1800</v>
      </c>
      <c r="BF2" s="13">
        <v>0</v>
      </c>
      <c r="BG2" s="13">
        <v>0</v>
      </c>
      <c r="BH2" s="13">
        <v>0</v>
      </c>
      <c r="BI2" s="13">
        <v>82</v>
      </c>
      <c r="BJ2" s="14">
        <v>9840</v>
      </c>
      <c r="BK2" s="13">
        <v>0</v>
      </c>
      <c r="BL2" s="15">
        <v>366338</v>
      </c>
      <c r="BM2" s="17">
        <v>10938122</v>
      </c>
      <c r="BN2" s="9">
        <f>BM2-BL2</f>
        <v>10571784</v>
      </c>
      <c r="BO2" s="10">
        <f>BN2*70%</f>
        <v>7400248.7999999998</v>
      </c>
    </row>
    <row r="3" spans="1:69" ht="24">
      <c r="A3" s="5" t="s">
        <v>14</v>
      </c>
      <c r="B3" s="11" t="s">
        <v>61</v>
      </c>
      <c r="C3" s="11">
        <v>387417</v>
      </c>
      <c r="D3" s="12"/>
      <c r="E3" s="11" t="s">
        <v>16</v>
      </c>
      <c r="F3" s="11" t="s">
        <v>62</v>
      </c>
      <c r="G3" s="11" t="s">
        <v>10</v>
      </c>
      <c r="H3" s="13" t="s">
        <v>7</v>
      </c>
      <c r="I3" s="13" t="s">
        <v>575</v>
      </c>
      <c r="J3" s="13">
        <v>0</v>
      </c>
      <c r="K3" s="14">
        <v>17127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4">
        <v>2440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4">
        <v>26860</v>
      </c>
      <c r="AF3" s="14">
        <v>2018520</v>
      </c>
      <c r="AG3" s="14">
        <v>698700</v>
      </c>
      <c r="AH3" s="13">
        <v>0</v>
      </c>
      <c r="AI3" s="13">
        <v>0</v>
      </c>
      <c r="AJ3" s="13">
        <v>0</v>
      </c>
      <c r="AK3" s="13">
        <v>136</v>
      </c>
      <c r="AL3" s="14">
        <v>1200</v>
      </c>
      <c r="AM3" s="14">
        <v>12600</v>
      </c>
      <c r="AN3" s="13">
        <v>0</v>
      </c>
      <c r="AO3" s="13">
        <v>0</v>
      </c>
      <c r="AP3" s="13">
        <v>0</v>
      </c>
      <c r="AQ3" s="14">
        <v>15766</v>
      </c>
      <c r="AR3" s="14">
        <v>1521300</v>
      </c>
      <c r="AS3" s="14">
        <v>55300</v>
      </c>
      <c r="AT3" s="13">
        <v>0</v>
      </c>
      <c r="AU3" s="13">
        <v>0</v>
      </c>
      <c r="AV3" s="13">
        <v>0</v>
      </c>
      <c r="AW3" s="14">
        <v>6167</v>
      </c>
      <c r="AX3" s="14">
        <v>736290</v>
      </c>
      <c r="AY3" s="14">
        <v>2000</v>
      </c>
      <c r="AZ3" s="13">
        <v>0</v>
      </c>
      <c r="BA3" s="13">
        <v>0</v>
      </c>
      <c r="BB3" s="13">
        <v>0</v>
      </c>
      <c r="BC3" s="14">
        <v>14384</v>
      </c>
      <c r="BD3" s="14">
        <v>1723560</v>
      </c>
      <c r="BE3" s="14">
        <v>2100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5">
        <v>177402.6</v>
      </c>
      <c r="BM3" s="17">
        <v>6771570</v>
      </c>
      <c r="BN3" s="9">
        <f t="shared" ref="BN3:BN66" si="0">BM3-BL3</f>
        <v>6594167.4000000004</v>
      </c>
      <c r="BO3" s="10">
        <f t="shared" ref="BO3:BO66" si="1">BN3*70%</f>
        <v>4615917.18</v>
      </c>
    </row>
    <row r="4" spans="1:69" ht="24">
      <c r="A4" s="5" t="s">
        <v>14</v>
      </c>
      <c r="B4" s="11" t="s">
        <v>515</v>
      </c>
      <c r="C4" s="11">
        <v>479547</v>
      </c>
      <c r="D4" s="12"/>
      <c r="E4" s="11" t="s">
        <v>16</v>
      </c>
      <c r="F4" s="11" t="s">
        <v>516</v>
      </c>
      <c r="G4" s="11" t="s">
        <v>10</v>
      </c>
      <c r="H4" s="13" t="s">
        <v>7</v>
      </c>
      <c r="I4" s="13" t="s">
        <v>576</v>
      </c>
      <c r="J4" s="13">
        <v>0</v>
      </c>
      <c r="K4" s="14">
        <v>25446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535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4">
        <v>24372</v>
      </c>
      <c r="AF4" s="14">
        <v>1419760</v>
      </c>
      <c r="AG4" s="14">
        <v>1028800</v>
      </c>
      <c r="AH4" s="13">
        <v>0</v>
      </c>
      <c r="AI4" s="13">
        <v>0</v>
      </c>
      <c r="AJ4" s="13">
        <v>0</v>
      </c>
      <c r="AK4" s="13">
        <v>53</v>
      </c>
      <c r="AL4" s="14">
        <v>3000</v>
      </c>
      <c r="AM4" s="14">
        <v>2800</v>
      </c>
      <c r="AN4" s="13">
        <v>0</v>
      </c>
      <c r="AO4" s="13">
        <v>0</v>
      </c>
      <c r="AP4" s="13">
        <v>0</v>
      </c>
      <c r="AQ4" s="14">
        <v>8509</v>
      </c>
      <c r="AR4" s="14">
        <v>823500</v>
      </c>
      <c r="AS4" s="14">
        <v>27400</v>
      </c>
      <c r="AT4" s="13">
        <v>0</v>
      </c>
      <c r="AU4" s="13">
        <v>0</v>
      </c>
      <c r="AV4" s="13">
        <v>0</v>
      </c>
      <c r="AW4" s="14">
        <v>2715</v>
      </c>
      <c r="AX4" s="14">
        <v>325452</v>
      </c>
      <c r="AY4" s="13">
        <v>0</v>
      </c>
      <c r="AZ4" s="13">
        <v>0</v>
      </c>
      <c r="BA4" s="13">
        <v>0</v>
      </c>
      <c r="BB4" s="13">
        <v>0</v>
      </c>
      <c r="BC4" s="14">
        <v>4788</v>
      </c>
      <c r="BD4" s="14">
        <v>574080</v>
      </c>
      <c r="BE4" s="13">
        <v>400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5">
        <v>67890</v>
      </c>
      <c r="BM4" s="17">
        <v>4205192</v>
      </c>
      <c r="BN4" s="9">
        <f t="shared" si="0"/>
        <v>4137302</v>
      </c>
      <c r="BO4" s="10">
        <f t="shared" si="1"/>
        <v>2896111.4</v>
      </c>
    </row>
    <row r="5" spans="1:69" ht="24">
      <c r="A5" s="5" t="s">
        <v>14</v>
      </c>
      <c r="B5" s="11" t="s">
        <v>323</v>
      </c>
      <c r="C5" s="11">
        <v>472512</v>
      </c>
      <c r="D5" s="12"/>
      <c r="E5" s="11" t="s">
        <v>16</v>
      </c>
      <c r="F5" s="11" t="s">
        <v>35</v>
      </c>
      <c r="G5" s="11" t="s">
        <v>10</v>
      </c>
      <c r="H5" s="13" t="s">
        <v>7</v>
      </c>
      <c r="I5" s="13" t="s">
        <v>576</v>
      </c>
      <c r="J5" s="13">
        <v>0</v>
      </c>
      <c r="K5" s="14">
        <v>22868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348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4">
        <v>12033</v>
      </c>
      <c r="AF5" s="14">
        <v>604420</v>
      </c>
      <c r="AG5" s="14">
        <v>625100</v>
      </c>
      <c r="AH5" s="13">
        <v>0</v>
      </c>
      <c r="AI5" s="13">
        <v>0</v>
      </c>
      <c r="AJ5" s="13">
        <v>0</v>
      </c>
      <c r="AK5" s="13">
        <v>11</v>
      </c>
      <c r="AL5" s="13">
        <v>840</v>
      </c>
      <c r="AM5" s="13">
        <v>400</v>
      </c>
      <c r="AN5" s="13">
        <v>0</v>
      </c>
      <c r="AO5" s="13">
        <v>0</v>
      </c>
      <c r="AP5" s="13">
        <v>0</v>
      </c>
      <c r="AQ5" s="14">
        <v>4911</v>
      </c>
      <c r="AR5" s="14">
        <v>481300</v>
      </c>
      <c r="AS5" s="14">
        <v>9800</v>
      </c>
      <c r="AT5" s="13">
        <v>0</v>
      </c>
      <c r="AU5" s="13">
        <v>0</v>
      </c>
      <c r="AV5" s="13">
        <v>0</v>
      </c>
      <c r="AW5" s="14">
        <v>2124</v>
      </c>
      <c r="AX5" s="14">
        <v>254939</v>
      </c>
      <c r="AY5" s="13">
        <v>0</v>
      </c>
      <c r="AZ5" s="13">
        <v>0</v>
      </c>
      <c r="BA5" s="13">
        <v>0</v>
      </c>
      <c r="BB5" s="13">
        <v>0</v>
      </c>
      <c r="BC5" s="14">
        <v>8499</v>
      </c>
      <c r="BD5" s="14">
        <v>1019880</v>
      </c>
      <c r="BE5" s="13">
        <v>0</v>
      </c>
      <c r="BF5" s="13">
        <v>0</v>
      </c>
      <c r="BG5" s="13">
        <v>0</v>
      </c>
      <c r="BH5" s="13">
        <v>0</v>
      </c>
      <c r="BI5" s="13">
        <v>14</v>
      </c>
      <c r="BJ5" s="14">
        <v>1680</v>
      </c>
      <c r="BK5" s="13">
        <v>0</v>
      </c>
      <c r="BL5" s="15">
        <v>87022.7</v>
      </c>
      <c r="BM5" s="17">
        <v>2998359</v>
      </c>
      <c r="BN5" s="9">
        <f t="shared" si="0"/>
        <v>2911336.3</v>
      </c>
      <c r="BO5" s="10">
        <f t="shared" si="1"/>
        <v>2037935.4099999997</v>
      </c>
    </row>
    <row r="6" spans="1:69" ht="24">
      <c r="A6" s="5" t="s">
        <v>14</v>
      </c>
      <c r="B6" s="11" t="s">
        <v>33</v>
      </c>
      <c r="C6" s="11">
        <v>178856</v>
      </c>
      <c r="D6" s="12"/>
      <c r="E6" s="11" t="s">
        <v>16</v>
      </c>
      <c r="F6" s="11" t="s">
        <v>27</v>
      </c>
      <c r="G6" s="11" t="s">
        <v>10</v>
      </c>
      <c r="H6" s="13" t="s">
        <v>9</v>
      </c>
      <c r="I6" s="13" t="s">
        <v>34</v>
      </c>
      <c r="J6" s="13">
        <v>0</v>
      </c>
      <c r="K6" s="13">
        <v>40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24</v>
      </c>
      <c r="T6" s="14">
        <v>4576</v>
      </c>
      <c r="U6" s="14">
        <v>1000</v>
      </c>
      <c r="V6" s="13">
        <v>800</v>
      </c>
      <c r="W6" s="13">
        <v>0</v>
      </c>
      <c r="X6" s="13">
        <v>720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4">
        <v>9743</v>
      </c>
      <c r="AF6" s="14">
        <v>530660</v>
      </c>
      <c r="AG6" s="14">
        <v>462200</v>
      </c>
      <c r="AH6" s="13">
        <v>0</v>
      </c>
      <c r="AI6" s="13">
        <v>0</v>
      </c>
      <c r="AJ6" s="13">
        <v>0</v>
      </c>
      <c r="AK6" s="13">
        <v>181</v>
      </c>
      <c r="AL6" s="14">
        <v>5760</v>
      </c>
      <c r="AM6" s="14">
        <v>13300</v>
      </c>
      <c r="AN6" s="13">
        <v>0</v>
      </c>
      <c r="AO6" s="13">
        <v>0</v>
      </c>
      <c r="AP6" s="13">
        <v>0</v>
      </c>
      <c r="AQ6" s="14">
        <v>4138</v>
      </c>
      <c r="AR6" s="14">
        <v>392700</v>
      </c>
      <c r="AS6" s="14">
        <v>21100</v>
      </c>
      <c r="AT6" s="13">
        <v>0</v>
      </c>
      <c r="AU6" s="13">
        <v>0</v>
      </c>
      <c r="AV6" s="13">
        <v>0</v>
      </c>
      <c r="AW6" s="14">
        <v>2032</v>
      </c>
      <c r="AX6" s="14">
        <v>245739</v>
      </c>
      <c r="AY6" s="13">
        <v>0</v>
      </c>
      <c r="AZ6" s="13">
        <v>0</v>
      </c>
      <c r="BA6" s="13">
        <v>0</v>
      </c>
      <c r="BB6" s="13">
        <v>0</v>
      </c>
      <c r="BC6" s="14">
        <v>6748</v>
      </c>
      <c r="BD6" s="14">
        <v>808320</v>
      </c>
      <c r="BE6" s="14">
        <v>1200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5">
        <v>75017.100000000006</v>
      </c>
      <c r="BM6" s="17">
        <v>2483499</v>
      </c>
      <c r="BN6" s="9">
        <f t="shared" si="0"/>
        <v>2408481.9</v>
      </c>
      <c r="BO6" s="10">
        <f t="shared" si="1"/>
        <v>1685937.3299999998</v>
      </c>
    </row>
    <row r="7" spans="1:69" ht="24">
      <c r="A7" s="5" t="s">
        <v>14</v>
      </c>
      <c r="B7" s="11" t="s">
        <v>15</v>
      </c>
      <c r="C7" s="11">
        <v>465248</v>
      </c>
      <c r="D7" s="12"/>
      <c r="E7" s="11" t="s">
        <v>16</v>
      </c>
      <c r="F7" s="11" t="s">
        <v>17</v>
      </c>
      <c r="G7" s="11" t="s">
        <v>337</v>
      </c>
      <c r="H7" s="13" t="s">
        <v>9</v>
      </c>
      <c r="I7" s="13" t="s">
        <v>18</v>
      </c>
      <c r="J7" s="13">
        <v>4</v>
      </c>
      <c r="K7" s="14">
        <v>9728</v>
      </c>
      <c r="L7" s="13">
        <v>400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4">
        <v>8067</v>
      </c>
      <c r="AF7" s="14">
        <v>419680</v>
      </c>
      <c r="AG7" s="14">
        <v>398700</v>
      </c>
      <c r="AH7" s="13">
        <v>0</v>
      </c>
      <c r="AI7" s="13">
        <v>0</v>
      </c>
      <c r="AJ7" s="13">
        <v>0</v>
      </c>
      <c r="AK7" s="13">
        <v>8</v>
      </c>
      <c r="AL7" s="13">
        <v>0</v>
      </c>
      <c r="AM7" s="13">
        <v>800</v>
      </c>
      <c r="AN7" s="13">
        <v>0</v>
      </c>
      <c r="AO7" s="13">
        <v>0</v>
      </c>
      <c r="AP7" s="13">
        <v>0</v>
      </c>
      <c r="AQ7" s="14">
        <v>2936</v>
      </c>
      <c r="AR7" s="14">
        <v>286700</v>
      </c>
      <c r="AS7" s="14">
        <v>6900</v>
      </c>
      <c r="AT7" s="13">
        <v>0</v>
      </c>
      <c r="AU7" s="13">
        <v>0</v>
      </c>
      <c r="AV7" s="13">
        <v>0</v>
      </c>
      <c r="AW7" s="14">
        <v>1994</v>
      </c>
      <c r="AX7" s="14">
        <v>239447</v>
      </c>
      <c r="AY7" s="13">
        <v>0</v>
      </c>
      <c r="AZ7" s="13">
        <v>0</v>
      </c>
      <c r="BA7" s="13">
        <v>0</v>
      </c>
      <c r="BB7" s="13">
        <v>0</v>
      </c>
      <c r="BC7" s="14">
        <v>8600</v>
      </c>
      <c r="BD7" s="14">
        <v>1032000</v>
      </c>
      <c r="BE7" s="13">
        <v>0</v>
      </c>
      <c r="BF7" s="13">
        <v>0</v>
      </c>
      <c r="BG7" s="13">
        <v>0</v>
      </c>
      <c r="BH7" s="13">
        <v>0</v>
      </c>
      <c r="BI7" s="13">
        <v>3</v>
      </c>
      <c r="BJ7" s="13">
        <v>360</v>
      </c>
      <c r="BK7" s="13">
        <v>0</v>
      </c>
      <c r="BL7" s="15">
        <v>85882.7</v>
      </c>
      <c r="BM7" s="17">
        <v>2384987</v>
      </c>
      <c r="BN7" s="9">
        <f t="shared" si="0"/>
        <v>2299104.2999999998</v>
      </c>
      <c r="BO7" s="10">
        <f t="shared" si="1"/>
        <v>1609373.0099999998</v>
      </c>
    </row>
    <row r="8" spans="1:69" ht="24">
      <c r="A8" s="5" t="s">
        <v>14</v>
      </c>
      <c r="B8" s="11" t="s">
        <v>577</v>
      </c>
      <c r="C8" s="11">
        <v>449889</v>
      </c>
      <c r="D8" s="12"/>
      <c r="E8" s="11" t="s">
        <v>16</v>
      </c>
      <c r="F8" s="11" t="s">
        <v>24</v>
      </c>
      <c r="G8" s="11" t="s">
        <v>10</v>
      </c>
      <c r="H8" s="13" t="s">
        <v>7</v>
      </c>
      <c r="I8" s="13" t="s">
        <v>25</v>
      </c>
      <c r="J8" s="13">
        <v>0</v>
      </c>
      <c r="K8" s="14">
        <v>72800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425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4">
        <v>6126</v>
      </c>
      <c r="AF8" s="14">
        <v>350080</v>
      </c>
      <c r="AG8" s="14">
        <v>281800</v>
      </c>
      <c r="AH8" s="13">
        <v>0</v>
      </c>
      <c r="AI8" s="13">
        <v>0</v>
      </c>
      <c r="AJ8" s="13">
        <v>0</v>
      </c>
      <c r="AK8" s="13">
        <v>67</v>
      </c>
      <c r="AL8" s="14">
        <v>5606</v>
      </c>
      <c r="AM8" s="14">
        <v>1000</v>
      </c>
      <c r="AN8" s="13">
        <v>0</v>
      </c>
      <c r="AO8" s="13">
        <v>0</v>
      </c>
      <c r="AP8" s="13">
        <v>0</v>
      </c>
      <c r="AQ8" s="14">
        <v>2542</v>
      </c>
      <c r="AR8" s="14">
        <v>249300</v>
      </c>
      <c r="AS8" s="14">
        <v>4900</v>
      </c>
      <c r="AT8" s="13">
        <v>0</v>
      </c>
      <c r="AU8" s="13">
        <v>0</v>
      </c>
      <c r="AV8" s="13">
        <v>0</v>
      </c>
      <c r="AW8" s="14">
        <v>3286</v>
      </c>
      <c r="AX8" s="14">
        <v>391764</v>
      </c>
      <c r="AY8" s="14">
        <v>1800</v>
      </c>
      <c r="AZ8" s="13">
        <v>0</v>
      </c>
      <c r="BA8" s="13">
        <v>0</v>
      </c>
      <c r="BB8" s="13">
        <v>0</v>
      </c>
      <c r="BC8" s="14">
        <v>6496</v>
      </c>
      <c r="BD8" s="14">
        <v>779520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5">
        <v>87629.4</v>
      </c>
      <c r="BM8" s="17">
        <v>2065770</v>
      </c>
      <c r="BN8" s="9">
        <f t="shared" si="0"/>
        <v>1978140.6</v>
      </c>
      <c r="BO8" s="10">
        <f t="shared" si="1"/>
        <v>1384698.42</v>
      </c>
    </row>
    <row r="9" spans="1:69" ht="24">
      <c r="A9" s="5" t="s">
        <v>14</v>
      </c>
      <c r="B9" s="11" t="s">
        <v>578</v>
      </c>
      <c r="C9" s="11">
        <v>369220</v>
      </c>
      <c r="D9" s="12"/>
      <c r="E9" s="11" t="s">
        <v>16</v>
      </c>
      <c r="F9" s="11" t="s">
        <v>27</v>
      </c>
      <c r="G9" s="11" t="s">
        <v>10</v>
      </c>
      <c r="H9" s="13" t="s">
        <v>7</v>
      </c>
      <c r="I9" s="13" t="s">
        <v>28</v>
      </c>
      <c r="J9" s="13">
        <v>3</v>
      </c>
      <c r="K9" s="13">
        <v>15</v>
      </c>
      <c r="L9" s="13">
        <v>300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548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4">
        <v>5187</v>
      </c>
      <c r="AF9" s="14">
        <v>319680</v>
      </c>
      <c r="AG9" s="14">
        <v>201300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4">
        <v>4533</v>
      </c>
      <c r="AR9" s="14">
        <v>443500</v>
      </c>
      <c r="AS9" s="14">
        <v>9800</v>
      </c>
      <c r="AT9" s="13">
        <v>0</v>
      </c>
      <c r="AU9" s="13">
        <v>0</v>
      </c>
      <c r="AV9" s="13">
        <v>0</v>
      </c>
      <c r="AW9" s="13">
        <v>579</v>
      </c>
      <c r="AX9" s="14">
        <v>68434</v>
      </c>
      <c r="AY9" s="13">
        <v>0</v>
      </c>
      <c r="AZ9" s="13">
        <v>0</v>
      </c>
      <c r="BA9" s="13">
        <v>0</v>
      </c>
      <c r="BB9" s="13">
        <v>0</v>
      </c>
      <c r="BC9" s="14">
        <v>5686</v>
      </c>
      <c r="BD9" s="14">
        <v>682320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5">
        <v>47782.6</v>
      </c>
      <c r="BM9" s="17">
        <v>1725334</v>
      </c>
      <c r="BN9" s="9">
        <f t="shared" si="0"/>
        <v>1677551.4</v>
      </c>
      <c r="BO9" s="10">
        <f t="shared" si="1"/>
        <v>1174285.9799999997</v>
      </c>
    </row>
    <row r="10" spans="1:69" ht="24">
      <c r="A10" s="5" t="s">
        <v>14</v>
      </c>
      <c r="B10" s="11" t="s">
        <v>579</v>
      </c>
      <c r="C10" s="11">
        <v>490220</v>
      </c>
      <c r="D10" s="12"/>
      <c r="E10" s="11" t="s">
        <v>16</v>
      </c>
      <c r="F10" s="11" t="s">
        <v>580</v>
      </c>
      <c r="G10" s="11" t="s">
        <v>31</v>
      </c>
      <c r="H10" s="13" t="s">
        <v>8</v>
      </c>
      <c r="I10" s="13" t="s">
        <v>581</v>
      </c>
      <c r="J10" s="13">
        <v>0</v>
      </c>
      <c r="K10" s="14">
        <v>15777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4">
        <v>3959</v>
      </c>
      <c r="AF10" s="14">
        <v>191000</v>
      </c>
      <c r="AG10" s="14">
        <v>214500</v>
      </c>
      <c r="AH10" s="13">
        <v>0</v>
      </c>
      <c r="AI10" s="13">
        <v>0</v>
      </c>
      <c r="AJ10" s="13">
        <v>0</v>
      </c>
      <c r="AK10" s="13">
        <v>8</v>
      </c>
      <c r="AL10" s="13">
        <v>243</v>
      </c>
      <c r="AM10" s="13">
        <v>600</v>
      </c>
      <c r="AN10" s="13">
        <v>0</v>
      </c>
      <c r="AO10" s="13">
        <v>0</v>
      </c>
      <c r="AP10" s="13">
        <v>0</v>
      </c>
      <c r="AQ10" s="14">
        <v>1270</v>
      </c>
      <c r="AR10" s="14">
        <v>123000</v>
      </c>
      <c r="AS10" s="14">
        <v>4000</v>
      </c>
      <c r="AT10" s="13">
        <v>0</v>
      </c>
      <c r="AU10" s="13">
        <v>0</v>
      </c>
      <c r="AV10" s="13">
        <v>0</v>
      </c>
      <c r="AW10" s="14">
        <v>1488</v>
      </c>
      <c r="AX10" s="14">
        <v>178606</v>
      </c>
      <c r="AY10" s="13">
        <v>0</v>
      </c>
      <c r="AZ10" s="13">
        <v>0</v>
      </c>
      <c r="BA10" s="13">
        <v>0</v>
      </c>
      <c r="BB10" s="13">
        <v>0</v>
      </c>
      <c r="BC10" s="14">
        <v>6336</v>
      </c>
      <c r="BD10" s="14">
        <v>760320</v>
      </c>
      <c r="BE10" s="13">
        <v>0</v>
      </c>
      <c r="BF10" s="13">
        <v>0</v>
      </c>
      <c r="BG10" s="13">
        <v>0</v>
      </c>
      <c r="BH10" s="13">
        <v>0</v>
      </c>
      <c r="BI10" s="13">
        <v>25</v>
      </c>
      <c r="BJ10" s="14">
        <v>3000</v>
      </c>
      <c r="BK10" s="13">
        <v>0</v>
      </c>
      <c r="BL10" s="15">
        <v>63702.7</v>
      </c>
      <c r="BM10" s="17">
        <v>1475269</v>
      </c>
      <c r="BN10" s="9">
        <f t="shared" si="0"/>
        <v>1411566.3</v>
      </c>
      <c r="BO10" s="10">
        <f t="shared" si="1"/>
        <v>988096.40999999992</v>
      </c>
    </row>
    <row r="11" spans="1:69" ht="24">
      <c r="A11" s="5" t="s">
        <v>14</v>
      </c>
      <c r="B11" s="11" t="s">
        <v>40</v>
      </c>
      <c r="C11" s="11">
        <v>324335</v>
      </c>
      <c r="D11" s="12"/>
      <c r="E11" s="11" t="s">
        <v>16</v>
      </c>
      <c r="F11" s="11" t="s">
        <v>27</v>
      </c>
      <c r="G11" s="11" t="s">
        <v>10</v>
      </c>
      <c r="H11" s="13" t="s">
        <v>9</v>
      </c>
      <c r="I11" s="13" t="s">
        <v>41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107</v>
      </c>
      <c r="AF11" s="14">
        <v>231620</v>
      </c>
      <c r="AG11" s="14">
        <v>95100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85</v>
      </c>
      <c r="AR11" s="14">
        <v>245800</v>
      </c>
      <c r="AS11" s="14">
        <v>7700</v>
      </c>
      <c r="AT11" s="13">
        <v>0</v>
      </c>
      <c r="AU11" s="13">
        <v>0</v>
      </c>
      <c r="AV11" s="13">
        <v>0</v>
      </c>
      <c r="AW11" s="13">
        <v>81</v>
      </c>
      <c r="AX11" s="14">
        <v>303120</v>
      </c>
      <c r="AY11" s="13">
        <v>0</v>
      </c>
      <c r="AZ11" s="13">
        <v>0</v>
      </c>
      <c r="BA11" s="13">
        <v>0</v>
      </c>
      <c r="BB11" s="13">
        <v>0</v>
      </c>
      <c r="BC11" s="13">
        <v>131</v>
      </c>
      <c r="BD11" s="14">
        <v>484560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5">
        <v>59385.599999999999</v>
      </c>
      <c r="BM11" s="17">
        <v>1367900</v>
      </c>
      <c r="BN11" s="9">
        <f t="shared" si="0"/>
        <v>1308514.3999999999</v>
      </c>
      <c r="BO11" s="10">
        <f t="shared" si="1"/>
        <v>915960.07999999984</v>
      </c>
    </row>
    <row r="12" spans="1:69" ht="24">
      <c r="A12" s="5" t="s">
        <v>14</v>
      </c>
      <c r="B12" s="11" t="s">
        <v>26</v>
      </c>
      <c r="C12" s="11">
        <v>414278</v>
      </c>
      <c r="D12" s="12"/>
      <c r="E12" s="11" t="s">
        <v>16</v>
      </c>
      <c r="F12" s="11" t="s">
        <v>11</v>
      </c>
      <c r="G12" s="11" t="s">
        <v>10</v>
      </c>
      <c r="H12" s="13" t="s">
        <v>8</v>
      </c>
      <c r="I12" s="13" t="s">
        <v>341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51</v>
      </c>
      <c r="AF12" s="14">
        <v>146020</v>
      </c>
      <c r="AG12" s="14">
        <v>11300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60</v>
      </c>
      <c r="AR12" s="14">
        <v>176300</v>
      </c>
      <c r="AS12" s="14">
        <v>5300</v>
      </c>
      <c r="AT12" s="13">
        <v>0</v>
      </c>
      <c r="AU12" s="13">
        <v>0</v>
      </c>
      <c r="AV12" s="13">
        <v>0</v>
      </c>
      <c r="AW12" s="13">
        <v>53</v>
      </c>
      <c r="AX12" s="14">
        <v>203520</v>
      </c>
      <c r="AY12" s="13">
        <v>0</v>
      </c>
      <c r="AZ12" s="13">
        <v>0</v>
      </c>
      <c r="BA12" s="13">
        <v>0</v>
      </c>
      <c r="BB12" s="13">
        <v>0</v>
      </c>
      <c r="BC12" s="13">
        <v>168</v>
      </c>
      <c r="BD12" s="14">
        <v>615840</v>
      </c>
      <c r="BE12" s="14">
        <v>1000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5">
        <v>57302.400000000001</v>
      </c>
      <c r="BM12" s="17">
        <v>1159280</v>
      </c>
      <c r="BN12" s="9">
        <f t="shared" si="0"/>
        <v>1101977.6000000001</v>
      </c>
      <c r="BO12" s="10">
        <f t="shared" si="1"/>
        <v>771384.32000000007</v>
      </c>
    </row>
    <row r="13" spans="1:69" ht="24">
      <c r="A13" s="5" t="s">
        <v>14</v>
      </c>
      <c r="B13" s="11" t="s">
        <v>42</v>
      </c>
      <c r="C13" s="11">
        <v>412919</v>
      </c>
      <c r="D13" s="12"/>
      <c r="E13" s="11" t="s">
        <v>16</v>
      </c>
      <c r="F13" s="11" t="s">
        <v>43</v>
      </c>
      <c r="G13" s="11" t="s">
        <v>31</v>
      </c>
      <c r="H13" s="13" t="s">
        <v>8</v>
      </c>
      <c r="I13" s="13" t="s">
        <v>44</v>
      </c>
      <c r="J13" s="13">
        <v>3</v>
      </c>
      <c r="K13" s="14">
        <v>4794</v>
      </c>
      <c r="L13" s="13">
        <v>300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286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4">
        <v>3862</v>
      </c>
      <c r="AF13" s="14">
        <v>180820</v>
      </c>
      <c r="AG13" s="14">
        <v>209900</v>
      </c>
      <c r="AH13" s="13">
        <v>0</v>
      </c>
      <c r="AI13" s="13">
        <v>0</v>
      </c>
      <c r="AJ13" s="13">
        <v>0</v>
      </c>
      <c r="AK13" s="13">
        <v>1</v>
      </c>
      <c r="AL13" s="13">
        <v>0</v>
      </c>
      <c r="AM13" s="13">
        <v>100</v>
      </c>
      <c r="AN13" s="13">
        <v>0</v>
      </c>
      <c r="AO13" s="13">
        <v>0</v>
      </c>
      <c r="AP13" s="13">
        <v>0</v>
      </c>
      <c r="AQ13" s="13">
        <v>963</v>
      </c>
      <c r="AR13" s="14">
        <v>95300</v>
      </c>
      <c r="AS13" s="14">
        <v>1000</v>
      </c>
      <c r="AT13" s="13">
        <v>0</v>
      </c>
      <c r="AU13" s="13">
        <v>0</v>
      </c>
      <c r="AV13" s="13">
        <v>0</v>
      </c>
      <c r="AW13" s="14">
        <v>1368</v>
      </c>
      <c r="AX13" s="14">
        <v>165066</v>
      </c>
      <c r="AY13" s="13">
        <v>0</v>
      </c>
      <c r="AZ13" s="13">
        <v>0</v>
      </c>
      <c r="BA13" s="13">
        <v>0</v>
      </c>
      <c r="BB13" s="13">
        <v>0</v>
      </c>
      <c r="BC13" s="14">
        <v>3952</v>
      </c>
      <c r="BD13" s="14">
        <v>473040</v>
      </c>
      <c r="BE13" s="14">
        <v>1000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5">
        <v>44889</v>
      </c>
      <c r="BM13" s="17">
        <v>1126526</v>
      </c>
      <c r="BN13" s="9">
        <f t="shared" si="0"/>
        <v>1081637</v>
      </c>
      <c r="BO13" s="10">
        <f t="shared" si="1"/>
        <v>757145.89999999991</v>
      </c>
    </row>
    <row r="14" spans="1:69" ht="24">
      <c r="A14" s="5" t="s">
        <v>14</v>
      </c>
      <c r="B14" s="11" t="s">
        <v>38</v>
      </c>
      <c r="C14" s="11">
        <v>321812</v>
      </c>
      <c r="D14" s="12"/>
      <c r="E14" s="11" t="s">
        <v>16</v>
      </c>
      <c r="F14" s="11" t="s">
        <v>27</v>
      </c>
      <c r="G14" s="11" t="s">
        <v>10</v>
      </c>
      <c r="H14" s="13" t="s">
        <v>7</v>
      </c>
      <c r="I14" s="13" t="s">
        <v>39</v>
      </c>
      <c r="J14" s="13">
        <v>0</v>
      </c>
      <c r="K14" s="13">
        <v>5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242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4">
        <v>3039</v>
      </c>
      <c r="AF14" s="14">
        <v>97320</v>
      </c>
      <c r="AG14" s="14">
        <v>206600</v>
      </c>
      <c r="AH14" s="13">
        <v>0</v>
      </c>
      <c r="AI14" s="13">
        <v>0</v>
      </c>
      <c r="AJ14" s="13">
        <v>0</v>
      </c>
      <c r="AK14" s="13">
        <v>104</v>
      </c>
      <c r="AL14" s="13">
        <v>960</v>
      </c>
      <c r="AM14" s="14">
        <v>9600</v>
      </c>
      <c r="AN14" s="13">
        <v>0</v>
      </c>
      <c r="AO14" s="13">
        <v>0</v>
      </c>
      <c r="AP14" s="13">
        <v>0</v>
      </c>
      <c r="AQ14" s="14">
        <v>1489</v>
      </c>
      <c r="AR14" s="14">
        <v>144700</v>
      </c>
      <c r="AS14" s="14">
        <v>4200</v>
      </c>
      <c r="AT14" s="13">
        <v>0</v>
      </c>
      <c r="AU14" s="13">
        <v>0</v>
      </c>
      <c r="AV14" s="13">
        <v>0</v>
      </c>
      <c r="AW14" s="14">
        <v>1080</v>
      </c>
      <c r="AX14" s="14">
        <v>129654</v>
      </c>
      <c r="AY14" s="13">
        <v>0</v>
      </c>
      <c r="AZ14" s="13">
        <v>0</v>
      </c>
      <c r="BA14" s="13">
        <v>0</v>
      </c>
      <c r="BB14" s="13">
        <v>0</v>
      </c>
      <c r="BC14" s="14">
        <v>2148</v>
      </c>
      <c r="BD14" s="14">
        <v>257760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5">
        <v>28719</v>
      </c>
      <c r="BM14" s="17">
        <v>850794</v>
      </c>
      <c r="BN14" s="9">
        <f t="shared" si="0"/>
        <v>822075</v>
      </c>
      <c r="BO14" s="10">
        <f t="shared" si="1"/>
        <v>575452.5</v>
      </c>
    </row>
    <row r="15" spans="1:69" ht="24">
      <c r="A15" s="5" t="s">
        <v>14</v>
      </c>
      <c r="B15" s="11" t="s">
        <v>429</v>
      </c>
      <c r="C15" s="11">
        <v>482098</v>
      </c>
      <c r="D15" s="12"/>
      <c r="E15" s="11" t="s">
        <v>16</v>
      </c>
      <c r="F15" s="11" t="s">
        <v>37</v>
      </c>
      <c r="G15" s="11" t="s">
        <v>337</v>
      </c>
      <c r="H15" s="13" t="s">
        <v>8</v>
      </c>
      <c r="I15" s="13" t="s">
        <v>462</v>
      </c>
      <c r="J15" s="13">
        <v>209</v>
      </c>
      <c r="K15" s="14">
        <v>17616</v>
      </c>
      <c r="L15" s="14">
        <v>20900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4">
        <v>2214</v>
      </c>
      <c r="AF15" s="14">
        <v>88000</v>
      </c>
      <c r="AG15" s="14">
        <v>137300</v>
      </c>
      <c r="AH15" s="13">
        <v>0</v>
      </c>
      <c r="AI15" s="13">
        <v>0</v>
      </c>
      <c r="AJ15" s="13">
        <v>0</v>
      </c>
      <c r="AK15" s="13">
        <v>67</v>
      </c>
      <c r="AL15" s="14">
        <v>6840</v>
      </c>
      <c r="AM15" s="14">
        <v>1000</v>
      </c>
      <c r="AN15" s="13">
        <v>0</v>
      </c>
      <c r="AO15" s="13">
        <v>0</v>
      </c>
      <c r="AP15" s="13">
        <v>0</v>
      </c>
      <c r="AQ15" s="13">
        <v>828</v>
      </c>
      <c r="AR15" s="14">
        <v>80700</v>
      </c>
      <c r="AS15" s="14">
        <v>2100</v>
      </c>
      <c r="AT15" s="13">
        <v>0</v>
      </c>
      <c r="AU15" s="13">
        <v>0</v>
      </c>
      <c r="AV15" s="13">
        <v>0</v>
      </c>
      <c r="AW15" s="13">
        <v>634</v>
      </c>
      <c r="AX15" s="14">
        <v>76032</v>
      </c>
      <c r="AY15" s="13">
        <v>0</v>
      </c>
      <c r="AZ15" s="13">
        <v>0</v>
      </c>
      <c r="BA15" s="13">
        <v>0</v>
      </c>
      <c r="BB15" s="13">
        <v>0</v>
      </c>
      <c r="BC15" s="14">
        <v>2691</v>
      </c>
      <c r="BD15" s="14">
        <v>322920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5">
        <v>29030.400000000001</v>
      </c>
      <c r="BM15" s="17">
        <v>735792</v>
      </c>
      <c r="BN15" s="9">
        <f t="shared" si="0"/>
        <v>706761.6</v>
      </c>
      <c r="BO15" s="10">
        <f t="shared" si="1"/>
        <v>494733.11999999994</v>
      </c>
    </row>
    <row r="16" spans="1:69" ht="24">
      <c r="A16" s="5" t="s">
        <v>14</v>
      </c>
      <c r="B16" s="11" t="s">
        <v>19</v>
      </c>
      <c r="C16" s="11">
        <v>463799</v>
      </c>
      <c r="D16" s="12"/>
      <c r="E16" s="11" t="s">
        <v>16</v>
      </c>
      <c r="F16" s="11" t="s">
        <v>20</v>
      </c>
      <c r="G16" s="11" t="s">
        <v>10</v>
      </c>
      <c r="H16" s="13" t="s">
        <v>7</v>
      </c>
      <c r="I16" s="13" t="s">
        <v>21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279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4">
        <v>2439</v>
      </c>
      <c r="AF16" s="14">
        <v>122040</v>
      </c>
      <c r="AG16" s="14">
        <v>138200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715</v>
      </c>
      <c r="AR16" s="14">
        <v>69700</v>
      </c>
      <c r="AS16" s="14">
        <v>1800</v>
      </c>
      <c r="AT16" s="13">
        <v>0</v>
      </c>
      <c r="AU16" s="13">
        <v>0</v>
      </c>
      <c r="AV16" s="13">
        <v>0</v>
      </c>
      <c r="AW16" s="13">
        <v>337</v>
      </c>
      <c r="AX16" s="14">
        <v>40444</v>
      </c>
      <c r="AY16" s="13">
        <v>0</v>
      </c>
      <c r="AZ16" s="13">
        <v>0</v>
      </c>
      <c r="BA16" s="13">
        <v>0</v>
      </c>
      <c r="BB16" s="13">
        <v>0</v>
      </c>
      <c r="BC16" s="14">
        <v>1715</v>
      </c>
      <c r="BD16" s="14">
        <v>205800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5">
        <v>16392.400000000001</v>
      </c>
      <c r="BM16" s="17">
        <v>577984</v>
      </c>
      <c r="BN16" s="9">
        <f t="shared" si="0"/>
        <v>561591.6</v>
      </c>
      <c r="BO16" s="10">
        <f t="shared" si="1"/>
        <v>393114.11999999994</v>
      </c>
    </row>
    <row r="17" spans="1:67" ht="24">
      <c r="A17" s="5" t="s">
        <v>14</v>
      </c>
      <c r="B17" s="11" t="s">
        <v>29</v>
      </c>
      <c r="C17" s="11">
        <v>395270</v>
      </c>
      <c r="D17" s="12"/>
      <c r="E17" s="11" t="s">
        <v>16</v>
      </c>
      <c r="F17" s="11" t="s">
        <v>30</v>
      </c>
      <c r="G17" s="11" t="s">
        <v>31</v>
      </c>
      <c r="H17" s="13" t="s">
        <v>8</v>
      </c>
      <c r="I17" s="13" t="s">
        <v>32</v>
      </c>
      <c r="J17" s="13">
        <v>8</v>
      </c>
      <c r="K17" s="13">
        <v>8</v>
      </c>
      <c r="L17" s="13">
        <v>800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106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4">
        <v>1309</v>
      </c>
      <c r="AF17" s="14">
        <v>84960</v>
      </c>
      <c r="AG17" s="14">
        <v>48900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578</v>
      </c>
      <c r="AR17" s="14">
        <v>57200</v>
      </c>
      <c r="AS17" s="13">
        <v>600</v>
      </c>
      <c r="AT17" s="13">
        <v>0</v>
      </c>
      <c r="AU17" s="13">
        <v>0</v>
      </c>
      <c r="AV17" s="13">
        <v>0</v>
      </c>
      <c r="AW17" s="13">
        <v>554</v>
      </c>
      <c r="AX17" s="14">
        <v>65280</v>
      </c>
      <c r="AY17" s="14">
        <v>1000</v>
      </c>
      <c r="AZ17" s="13">
        <v>0</v>
      </c>
      <c r="BA17" s="13">
        <v>0</v>
      </c>
      <c r="BB17" s="13">
        <v>0</v>
      </c>
      <c r="BC17" s="14">
        <v>2449</v>
      </c>
      <c r="BD17" s="14">
        <v>293880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5">
        <v>24160.799999999999</v>
      </c>
      <c r="BM17" s="17">
        <v>552620</v>
      </c>
      <c r="BN17" s="9">
        <f t="shared" si="0"/>
        <v>528459.19999999995</v>
      </c>
      <c r="BO17" s="10">
        <f t="shared" si="1"/>
        <v>369921.43999999994</v>
      </c>
    </row>
    <row r="18" spans="1:67" ht="24">
      <c r="A18" s="5" t="s">
        <v>14</v>
      </c>
      <c r="B18" s="11" t="s">
        <v>582</v>
      </c>
      <c r="C18" s="11">
        <v>489266</v>
      </c>
      <c r="D18" s="12"/>
      <c r="E18" s="11" t="s">
        <v>16</v>
      </c>
      <c r="F18" s="11" t="s">
        <v>583</v>
      </c>
      <c r="G18" s="11" t="s">
        <v>31</v>
      </c>
      <c r="H18" s="13" t="s">
        <v>8</v>
      </c>
      <c r="I18" s="13" t="s">
        <v>517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4">
        <v>1592</v>
      </c>
      <c r="AF18" s="14">
        <v>62800</v>
      </c>
      <c r="AG18" s="14">
        <v>99100</v>
      </c>
      <c r="AH18" s="13">
        <v>0</v>
      </c>
      <c r="AI18" s="13">
        <v>0</v>
      </c>
      <c r="AJ18" s="13">
        <v>0</v>
      </c>
      <c r="AK18" s="13">
        <v>2</v>
      </c>
      <c r="AL18" s="13">
        <v>0</v>
      </c>
      <c r="AM18" s="13">
        <v>200</v>
      </c>
      <c r="AN18" s="13">
        <v>0</v>
      </c>
      <c r="AO18" s="13">
        <v>0</v>
      </c>
      <c r="AP18" s="13">
        <v>0</v>
      </c>
      <c r="AQ18" s="13">
        <v>744</v>
      </c>
      <c r="AR18" s="14">
        <v>71600</v>
      </c>
      <c r="AS18" s="14">
        <v>2800</v>
      </c>
      <c r="AT18" s="13">
        <v>0</v>
      </c>
      <c r="AU18" s="13">
        <v>0</v>
      </c>
      <c r="AV18" s="13">
        <v>0</v>
      </c>
      <c r="AW18" s="13">
        <v>476</v>
      </c>
      <c r="AX18" s="14">
        <v>57120</v>
      </c>
      <c r="AY18" s="13">
        <v>0</v>
      </c>
      <c r="AZ18" s="13">
        <v>0</v>
      </c>
      <c r="BA18" s="13">
        <v>0</v>
      </c>
      <c r="BB18" s="13">
        <v>0</v>
      </c>
      <c r="BC18" s="14">
        <v>2048</v>
      </c>
      <c r="BD18" s="14">
        <v>245760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5">
        <v>20457.599999999999</v>
      </c>
      <c r="BM18" s="17">
        <v>539380</v>
      </c>
      <c r="BN18" s="9">
        <f t="shared" si="0"/>
        <v>518922.4</v>
      </c>
      <c r="BO18" s="10">
        <f t="shared" si="1"/>
        <v>363245.68</v>
      </c>
    </row>
    <row r="19" spans="1:67" ht="24">
      <c r="A19" s="5" t="s">
        <v>14</v>
      </c>
      <c r="B19" s="11" t="s">
        <v>77</v>
      </c>
      <c r="C19" s="11">
        <v>370935</v>
      </c>
      <c r="D19" s="12"/>
      <c r="E19" s="11" t="s">
        <v>16</v>
      </c>
      <c r="F19" s="11" t="s">
        <v>27</v>
      </c>
      <c r="G19" s="11" t="s">
        <v>10</v>
      </c>
      <c r="H19" s="13" t="s">
        <v>7</v>
      </c>
      <c r="I19" s="13" t="s">
        <v>78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35</v>
      </c>
      <c r="AF19" s="14">
        <v>106400</v>
      </c>
      <c r="AG19" s="13">
        <v>200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8</v>
      </c>
      <c r="AR19" s="14">
        <v>24100</v>
      </c>
      <c r="AS19" s="13">
        <v>200</v>
      </c>
      <c r="AT19" s="13">
        <v>0</v>
      </c>
      <c r="AU19" s="13">
        <v>0</v>
      </c>
      <c r="AV19" s="13">
        <v>0</v>
      </c>
      <c r="AW19" s="13">
        <v>8</v>
      </c>
      <c r="AX19" s="14">
        <v>28080</v>
      </c>
      <c r="AY19" s="13">
        <v>0</v>
      </c>
      <c r="AZ19" s="13">
        <v>0</v>
      </c>
      <c r="BA19" s="13">
        <v>0</v>
      </c>
      <c r="BB19" s="13">
        <v>0</v>
      </c>
      <c r="BC19" s="13">
        <v>73</v>
      </c>
      <c r="BD19" s="14">
        <v>271800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5">
        <v>19116</v>
      </c>
      <c r="BM19" s="17">
        <v>430780</v>
      </c>
      <c r="BN19" s="9">
        <f t="shared" si="0"/>
        <v>411664</v>
      </c>
      <c r="BO19" s="10">
        <f t="shared" si="1"/>
        <v>288164.8</v>
      </c>
    </row>
    <row r="20" spans="1:67" ht="24">
      <c r="A20" s="5" t="s">
        <v>14</v>
      </c>
      <c r="B20" s="11" t="s">
        <v>345</v>
      </c>
      <c r="C20" s="11">
        <v>476003</v>
      </c>
      <c r="D20" s="12"/>
      <c r="E20" s="11" t="s">
        <v>16</v>
      </c>
      <c r="F20" s="11" t="s">
        <v>27</v>
      </c>
      <c r="G20" s="11" t="s">
        <v>10</v>
      </c>
      <c r="H20" s="13" t="s">
        <v>8</v>
      </c>
      <c r="I20" s="13" t="s">
        <v>341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31</v>
      </c>
      <c r="AF20" s="14">
        <v>91440</v>
      </c>
      <c r="AG20" s="14">
        <v>11300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40</v>
      </c>
      <c r="AR20" s="14">
        <v>120000</v>
      </c>
      <c r="AS20" s="14">
        <v>2900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52</v>
      </c>
      <c r="BD20" s="14">
        <v>193680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5">
        <v>11620.8</v>
      </c>
      <c r="BM20" s="17">
        <v>419320</v>
      </c>
      <c r="BN20" s="9">
        <f t="shared" si="0"/>
        <v>407699.20000000001</v>
      </c>
      <c r="BO20" s="10">
        <f t="shared" si="1"/>
        <v>285389.44</v>
      </c>
    </row>
    <row r="21" spans="1:67" ht="24">
      <c r="A21" s="5" t="s">
        <v>14</v>
      </c>
      <c r="B21" s="11" t="s">
        <v>491</v>
      </c>
      <c r="C21" s="11">
        <v>389857</v>
      </c>
      <c r="D21" s="12"/>
      <c r="E21" s="11" t="s">
        <v>16</v>
      </c>
      <c r="F21" s="11" t="s">
        <v>35</v>
      </c>
      <c r="G21" s="11" t="s">
        <v>10</v>
      </c>
      <c r="H21" s="13" t="s">
        <v>7</v>
      </c>
      <c r="I21" s="13" t="s">
        <v>291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45</v>
      </c>
      <c r="AF21" s="14">
        <v>106900</v>
      </c>
      <c r="AG21" s="14">
        <v>27700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34</v>
      </c>
      <c r="AR21" s="14">
        <v>98900</v>
      </c>
      <c r="AS21" s="14">
        <v>6500</v>
      </c>
      <c r="AT21" s="13">
        <v>0</v>
      </c>
      <c r="AU21" s="13">
        <v>0</v>
      </c>
      <c r="AV21" s="13">
        <v>0</v>
      </c>
      <c r="AW21" s="13">
        <v>7</v>
      </c>
      <c r="AX21" s="14">
        <v>26880</v>
      </c>
      <c r="AY21" s="13">
        <v>0</v>
      </c>
      <c r="AZ21" s="13">
        <v>0</v>
      </c>
      <c r="BA21" s="13">
        <v>0</v>
      </c>
      <c r="BB21" s="13">
        <v>0</v>
      </c>
      <c r="BC21" s="13">
        <v>24</v>
      </c>
      <c r="BD21" s="14">
        <v>92160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5">
        <v>8217.6</v>
      </c>
      <c r="BM21" s="17">
        <v>359040</v>
      </c>
      <c r="BN21" s="9">
        <f t="shared" si="0"/>
        <v>350822.40000000002</v>
      </c>
      <c r="BO21" s="10">
        <f t="shared" si="1"/>
        <v>245575.67999999999</v>
      </c>
    </row>
    <row r="22" spans="1:67" ht="24">
      <c r="A22" s="5" t="s">
        <v>14</v>
      </c>
      <c r="B22" s="11" t="s">
        <v>254</v>
      </c>
      <c r="C22" s="11">
        <v>391329</v>
      </c>
      <c r="D22" s="12"/>
      <c r="E22" s="11" t="s">
        <v>16</v>
      </c>
      <c r="F22" s="11" t="s">
        <v>62</v>
      </c>
      <c r="G22" s="11" t="s">
        <v>10</v>
      </c>
      <c r="H22" s="13" t="s">
        <v>7</v>
      </c>
      <c r="I22" s="13" t="s">
        <v>255</v>
      </c>
      <c r="J22" s="13">
        <v>0</v>
      </c>
      <c r="K22" s="13">
        <v>3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6</v>
      </c>
      <c r="AF22" s="14">
        <v>19200</v>
      </c>
      <c r="AG22" s="13">
        <v>0</v>
      </c>
      <c r="AH22" s="13">
        <v>0</v>
      </c>
      <c r="AI22" s="13">
        <v>0</v>
      </c>
      <c r="AJ22" s="13">
        <v>0</v>
      </c>
      <c r="AK22" s="13">
        <v>1</v>
      </c>
      <c r="AL22" s="13">
        <v>600</v>
      </c>
      <c r="AM22" s="13">
        <v>0</v>
      </c>
      <c r="AN22" s="13">
        <v>0</v>
      </c>
      <c r="AO22" s="13">
        <v>0</v>
      </c>
      <c r="AP22" s="13">
        <v>0</v>
      </c>
      <c r="AQ22" s="13">
        <v>29</v>
      </c>
      <c r="AR22" s="14">
        <v>89300</v>
      </c>
      <c r="AS22" s="14">
        <v>2400</v>
      </c>
      <c r="AT22" s="13">
        <v>0</v>
      </c>
      <c r="AU22" s="13">
        <v>0</v>
      </c>
      <c r="AV22" s="13">
        <v>0</v>
      </c>
      <c r="AW22" s="13">
        <v>5</v>
      </c>
      <c r="AX22" s="14">
        <v>18600</v>
      </c>
      <c r="AY22" s="13">
        <v>0</v>
      </c>
      <c r="AZ22" s="13">
        <v>0</v>
      </c>
      <c r="BA22" s="13">
        <v>0</v>
      </c>
      <c r="BB22" s="13">
        <v>0</v>
      </c>
      <c r="BC22" s="13">
        <v>43</v>
      </c>
      <c r="BD22" s="14">
        <v>157560</v>
      </c>
      <c r="BE22" s="14">
        <v>1000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5">
        <v>11493.6</v>
      </c>
      <c r="BM22" s="17">
        <v>288660</v>
      </c>
      <c r="BN22" s="9">
        <f t="shared" si="0"/>
        <v>277166.40000000002</v>
      </c>
      <c r="BO22" s="10">
        <f t="shared" si="1"/>
        <v>194016.48</v>
      </c>
    </row>
    <row r="23" spans="1:67" ht="24">
      <c r="A23" s="5" t="s">
        <v>14</v>
      </c>
      <c r="B23" s="11" t="s">
        <v>68</v>
      </c>
      <c r="C23" s="11">
        <v>465250</v>
      </c>
      <c r="D23" s="12"/>
      <c r="E23" s="11" t="s">
        <v>16</v>
      </c>
      <c r="F23" s="11" t="s">
        <v>69</v>
      </c>
      <c r="G23" s="11" t="s">
        <v>337</v>
      </c>
      <c r="H23" s="13" t="s">
        <v>7</v>
      </c>
      <c r="I23" s="13" t="s">
        <v>70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4">
        <v>1073</v>
      </c>
      <c r="AF23" s="14">
        <v>92160</v>
      </c>
      <c r="AG23" s="14">
        <v>15200</v>
      </c>
      <c r="AH23" s="13">
        <v>0</v>
      </c>
      <c r="AI23" s="13">
        <v>0</v>
      </c>
      <c r="AJ23" s="13">
        <v>0</v>
      </c>
      <c r="AK23" s="13">
        <v>22</v>
      </c>
      <c r="AL23" s="13">
        <v>0</v>
      </c>
      <c r="AM23" s="14">
        <v>2200</v>
      </c>
      <c r="AN23" s="13">
        <v>0</v>
      </c>
      <c r="AO23" s="13">
        <v>0</v>
      </c>
      <c r="AP23" s="13">
        <v>0</v>
      </c>
      <c r="AQ23" s="13">
        <v>255</v>
      </c>
      <c r="AR23" s="14">
        <v>25300</v>
      </c>
      <c r="AS23" s="13">
        <v>200</v>
      </c>
      <c r="AT23" s="13">
        <v>0</v>
      </c>
      <c r="AU23" s="13">
        <v>0</v>
      </c>
      <c r="AV23" s="13">
        <v>0</v>
      </c>
      <c r="AW23" s="13">
        <v>99</v>
      </c>
      <c r="AX23" s="14">
        <v>11880</v>
      </c>
      <c r="AY23" s="13">
        <v>0</v>
      </c>
      <c r="AZ23" s="13">
        <v>0</v>
      </c>
      <c r="BA23" s="13">
        <v>0</v>
      </c>
      <c r="BB23" s="13">
        <v>0</v>
      </c>
      <c r="BC23" s="14">
        <v>1044</v>
      </c>
      <c r="BD23" s="14">
        <v>125280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5">
        <v>8704.7999999999993</v>
      </c>
      <c r="BM23" s="17">
        <v>272220</v>
      </c>
      <c r="BN23" s="9">
        <f t="shared" si="0"/>
        <v>263515.2</v>
      </c>
      <c r="BO23" s="10">
        <f t="shared" si="1"/>
        <v>184460.63999999998</v>
      </c>
    </row>
    <row r="24" spans="1:67" ht="24">
      <c r="A24" s="5" t="s">
        <v>14</v>
      </c>
      <c r="B24" s="11" t="s">
        <v>584</v>
      </c>
      <c r="C24" s="11">
        <v>454534</v>
      </c>
      <c r="D24" s="12"/>
      <c r="E24" s="11" t="s">
        <v>16</v>
      </c>
      <c r="F24" s="11" t="s">
        <v>35</v>
      </c>
      <c r="G24" s="11" t="s">
        <v>10</v>
      </c>
      <c r="H24" s="13" t="s">
        <v>7</v>
      </c>
      <c r="I24" s="13" t="s">
        <v>413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46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864</v>
      </c>
      <c r="AF24" s="14">
        <v>61580</v>
      </c>
      <c r="AG24" s="14">
        <v>25100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461</v>
      </c>
      <c r="AR24" s="14">
        <v>45500</v>
      </c>
      <c r="AS24" s="13">
        <v>600</v>
      </c>
      <c r="AT24" s="13">
        <v>0</v>
      </c>
      <c r="AU24" s="13">
        <v>0</v>
      </c>
      <c r="AV24" s="13">
        <v>0</v>
      </c>
      <c r="AW24" s="13">
        <v>123</v>
      </c>
      <c r="AX24" s="14">
        <v>14696</v>
      </c>
      <c r="AY24" s="13">
        <v>0</v>
      </c>
      <c r="AZ24" s="13">
        <v>0</v>
      </c>
      <c r="BA24" s="13">
        <v>0</v>
      </c>
      <c r="BB24" s="13">
        <v>0</v>
      </c>
      <c r="BC24" s="14">
        <v>1037</v>
      </c>
      <c r="BD24" s="14">
        <v>124440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5">
        <v>8936</v>
      </c>
      <c r="BM24" s="17">
        <v>271916</v>
      </c>
      <c r="BN24" s="9">
        <f t="shared" si="0"/>
        <v>262980</v>
      </c>
      <c r="BO24" s="10">
        <f t="shared" si="1"/>
        <v>184086</v>
      </c>
    </row>
    <row r="25" spans="1:67" ht="24">
      <c r="A25" s="5" t="s">
        <v>14</v>
      </c>
      <c r="B25" s="11" t="s">
        <v>585</v>
      </c>
      <c r="C25" s="11">
        <v>488059</v>
      </c>
      <c r="D25" s="12"/>
      <c r="E25" s="11" t="s">
        <v>16</v>
      </c>
      <c r="F25" s="11" t="s">
        <v>20</v>
      </c>
      <c r="G25" s="11" t="s">
        <v>10</v>
      </c>
      <c r="H25" s="13" t="s">
        <v>7</v>
      </c>
      <c r="I25" s="13" t="s">
        <v>586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9</v>
      </c>
      <c r="AF25" s="14">
        <v>25600</v>
      </c>
      <c r="AG25" s="14">
        <v>4900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19</v>
      </c>
      <c r="AR25" s="14">
        <v>54000</v>
      </c>
      <c r="AS25" s="14">
        <v>1300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51</v>
      </c>
      <c r="BD25" s="14">
        <v>185040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5">
        <v>11102.4</v>
      </c>
      <c r="BM25" s="17">
        <v>270840</v>
      </c>
      <c r="BN25" s="9">
        <f t="shared" si="0"/>
        <v>259737.60000000001</v>
      </c>
      <c r="BO25" s="10">
        <f t="shared" si="1"/>
        <v>181816.32000000001</v>
      </c>
    </row>
    <row r="26" spans="1:67" ht="24">
      <c r="A26" s="5" t="s">
        <v>14</v>
      </c>
      <c r="B26" s="11" t="s">
        <v>433</v>
      </c>
      <c r="C26" s="11">
        <v>478744</v>
      </c>
      <c r="D26" s="12"/>
      <c r="E26" s="11" t="s">
        <v>16</v>
      </c>
      <c r="F26" s="11" t="s">
        <v>434</v>
      </c>
      <c r="G26" s="11" t="s">
        <v>10</v>
      </c>
      <c r="H26" s="13" t="s">
        <v>7</v>
      </c>
      <c r="I26" s="13" t="s">
        <v>576</v>
      </c>
      <c r="J26" s="13">
        <v>0</v>
      </c>
      <c r="K26" s="14">
        <v>5945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9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653</v>
      </c>
      <c r="AF26" s="14">
        <v>38320</v>
      </c>
      <c r="AG26" s="14">
        <v>28600</v>
      </c>
      <c r="AH26" s="13">
        <v>0</v>
      </c>
      <c r="AI26" s="13">
        <v>0</v>
      </c>
      <c r="AJ26" s="13">
        <v>0</v>
      </c>
      <c r="AK26" s="13">
        <v>1</v>
      </c>
      <c r="AL26" s="13">
        <v>120</v>
      </c>
      <c r="AM26" s="13">
        <v>0</v>
      </c>
      <c r="AN26" s="13">
        <v>0</v>
      </c>
      <c r="AO26" s="13">
        <v>0</v>
      </c>
      <c r="AP26" s="13">
        <v>0</v>
      </c>
      <c r="AQ26" s="13">
        <v>421</v>
      </c>
      <c r="AR26" s="14">
        <v>40900</v>
      </c>
      <c r="AS26" s="14">
        <v>1200</v>
      </c>
      <c r="AT26" s="13">
        <v>0</v>
      </c>
      <c r="AU26" s="13">
        <v>0</v>
      </c>
      <c r="AV26" s="13">
        <v>0</v>
      </c>
      <c r="AW26" s="13">
        <v>166</v>
      </c>
      <c r="AX26" s="14">
        <v>19920</v>
      </c>
      <c r="AY26" s="13">
        <v>0</v>
      </c>
      <c r="AZ26" s="13">
        <v>0</v>
      </c>
      <c r="BA26" s="13">
        <v>0</v>
      </c>
      <c r="BB26" s="13">
        <v>0</v>
      </c>
      <c r="BC26" s="13">
        <v>939</v>
      </c>
      <c r="BD26" s="14">
        <v>112680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5">
        <v>8788.7999999999993</v>
      </c>
      <c r="BM26" s="17">
        <v>241740</v>
      </c>
      <c r="BN26" s="9">
        <f t="shared" si="0"/>
        <v>232951.2</v>
      </c>
      <c r="BO26" s="10">
        <f t="shared" si="1"/>
        <v>163065.84</v>
      </c>
    </row>
    <row r="27" spans="1:67" ht="24">
      <c r="A27" s="5" t="s">
        <v>14</v>
      </c>
      <c r="B27" s="11" t="s">
        <v>414</v>
      </c>
      <c r="C27" s="11">
        <v>476788</v>
      </c>
      <c r="D27" s="12"/>
      <c r="E27" s="11" t="s">
        <v>16</v>
      </c>
      <c r="F27" s="11" t="s">
        <v>415</v>
      </c>
      <c r="G27" s="11" t="s">
        <v>10</v>
      </c>
      <c r="H27" s="13" t="s">
        <v>7</v>
      </c>
      <c r="I27" s="13" t="s">
        <v>338</v>
      </c>
      <c r="J27" s="13">
        <v>1</v>
      </c>
      <c r="K27" s="13">
        <v>0</v>
      </c>
      <c r="L27" s="13">
        <v>100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83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527</v>
      </c>
      <c r="AF27" s="14">
        <v>44400</v>
      </c>
      <c r="AG27" s="14">
        <v>8300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757</v>
      </c>
      <c r="AR27" s="14">
        <v>75600</v>
      </c>
      <c r="AS27" s="13">
        <v>100</v>
      </c>
      <c r="AT27" s="13">
        <v>0</v>
      </c>
      <c r="AU27" s="13">
        <v>0</v>
      </c>
      <c r="AV27" s="13">
        <v>0</v>
      </c>
      <c r="AW27" s="13">
        <v>193</v>
      </c>
      <c r="AX27" s="14">
        <v>24255</v>
      </c>
      <c r="AY27" s="13">
        <v>0</v>
      </c>
      <c r="AZ27" s="13">
        <v>0</v>
      </c>
      <c r="BA27" s="13">
        <v>0</v>
      </c>
      <c r="BB27" s="13">
        <v>0</v>
      </c>
      <c r="BC27" s="13">
        <v>620</v>
      </c>
      <c r="BD27" s="14">
        <v>74400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5">
        <v>6889.5</v>
      </c>
      <c r="BM27" s="17">
        <v>227155</v>
      </c>
      <c r="BN27" s="9">
        <f t="shared" si="0"/>
        <v>220265.5</v>
      </c>
      <c r="BO27" s="10">
        <f t="shared" si="1"/>
        <v>154185.84999999998</v>
      </c>
    </row>
    <row r="28" spans="1:67" ht="24">
      <c r="A28" s="5" t="s">
        <v>14</v>
      </c>
      <c r="B28" s="11" t="s">
        <v>472</v>
      </c>
      <c r="C28" s="11">
        <v>381176</v>
      </c>
      <c r="D28" s="12"/>
      <c r="E28" s="11" t="s">
        <v>16</v>
      </c>
      <c r="F28" s="11" t="s">
        <v>35</v>
      </c>
      <c r="G28" s="11" t="s">
        <v>10</v>
      </c>
      <c r="H28" s="13" t="s">
        <v>7</v>
      </c>
      <c r="I28" s="13" t="s">
        <v>473</v>
      </c>
      <c r="J28" s="13">
        <v>0</v>
      </c>
      <c r="K28" s="13">
        <v>33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289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314</v>
      </c>
      <c r="AF28" s="14">
        <v>25160</v>
      </c>
      <c r="AG28" s="14">
        <v>8300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165</v>
      </c>
      <c r="AR28" s="14">
        <v>16300</v>
      </c>
      <c r="AS28" s="13">
        <v>200</v>
      </c>
      <c r="AT28" s="13">
        <v>0</v>
      </c>
      <c r="AU28" s="13">
        <v>0</v>
      </c>
      <c r="AV28" s="13">
        <v>0</v>
      </c>
      <c r="AW28" s="13">
        <v>307</v>
      </c>
      <c r="AX28" s="14">
        <v>36840</v>
      </c>
      <c r="AY28" s="13">
        <v>0</v>
      </c>
      <c r="AZ28" s="13">
        <v>0</v>
      </c>
      <c r="BA28" s="13">
        <v>0</v>
      </c>
      <c r="BB28" s="13">
        <v>0</v>
      </c>
      <c r="BC28" s="14">
        <v>1131</v>
      </c>
      <c r="BD28" s="14">
        <v>134520</v>
      </c>
      <c r="BE28" s="14">
        <v>1000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5">
        <v>11755.2</v>
      </c>
      <c r="BM28" s="17">
        <v>222320</v>
      </c>
      <c r="BN28" s="9">
        <f t="shared" si="0"/>
        <v>210564.8</v>
      </c>
      <c r="BO28" s="10">
        <f t="shared" si="1"/>
        <v>147395.35999999999</v>
      </c>
    </row>
    <row r="29" spans="1:67" ht="24">
      <c r="A29" s="5" t="s">
        <v>14</v>
      </c>
      <c r="B29" s="11" t="s">
        <v>56</v>
      </c>
      <c r="C29" s="11">
        <v>245889</v>
      </c>
      <c r="D29" s="12"/>
      <c r="E29" s="11" t="s">
        <v>16</v>
      </c>
      <c r="F29" s="11" t="s">
        <v>27</v>
      </c>
      <c r="G29" s="11" t="s">
        <v>10</v>
      </c>
      <c r="H29" s="13" t="s">
        <v>7</v>
      </c>
      <c r="I29" s="13" t="s">
        <v>57</v>
      </c>
      <c r="J29" s="13">
        <v>9</v>
      </c>
      <c r="K29" s="13">
        <v>0</v>
      </c>
      <c r="L29" s="13">
        <v>900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47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563</v>
      </c>
      <c r="AF29" s="13">
        <v>900</v>
      </c>
      <c r="AG29" s="14">
        <v>55400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350</v>
      </c>
      <c r="AR29" s="14">
        <v>34600</v>
      </c>
      <c r="AS29" s="13">
        <v>400</v>
      </c>
      <c r="AT29" s="13">
        <v>0</v>
      </c>
      <c r="AU29" s="13">
        <v>0</v>
      </c>
      <c r="AV29" s="13">
        <v>0</v>
      </c>
      <c r="AW29" s="13">
        <v>58</v>
      </c>
      <c r="AX29" s="14">
        <v>6960</v>
      </c>
      <c r="AY29" s="13">
        <v>0</v>
      </c>
      <c r="AZ29" s="13">
        <v>0</v>
      </c>
      <c r="BA29" s="13">
        <v>0</v>
      </c>
      <c r="BB29" s="13">
        <v>0</v>
      </c>
      <c r="BC29" s="14">
        <v>1020</v>
      </c>
      <c r="BD29" s="14">
        <v>122400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5">
        <v>8040</v>
      </c>
      <c r="BM29" s="17">
        <v>221560</v>
      </c>
      <c r="BN29" s="9">
        <f t="shared" si="0"/>
        <v>213520</v>
      </c>
      <c r="BO29" s="10">
        <f t="shared" si="1"/>
        <v>149464</v>
      </c>
    </row>
    <row r="30" spans="1:67" ht="24">
      <c r="A30" s="5" t="s">
        <v>14</v>
      </c>
      <c r="B30" s="11" t="s">
        <v>159</v>
      </c>
      <c r="C30" s="11">
        <v>316658</v>
      </c>
      <c r="D30" s="12"/>
      <c r="E30" s="11" t="s">
        <v>16</v>
      </c>
      <c r="F30" s="11" t="s">
        <v>62</v>
      </c>
      <c r="G30" s="11" t="s">
        <v>10</v>
      </c>
      <c r="H30" s="13" t="s">
        <v>7</v>
      </c>
      <c r="I30" s="13" t="s">
        <v>160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70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671</v>
      </c>
      <c r="AF30" s="14">
        <v>62240</v>
      </c>
      <c r="AG30" s="14">
        <v>7900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595</v>
      </c>
      <c r="AR30" s="14">
        <v>57500</v>
      </c>
      <c r="AS30" s="14">
        <v>2000</v>
      </c>
      <c r="AT30" s="13">
        <v>0</v>
      </c>
      <c r="AU30" s="13">
        <v>0</v>
      </c>
      <c r="AV30" s="13">
        <v>0</v>
      </c>
      <c r="AW30" s="13">
        <v>273</v>
      </c>
      <c r="AX30" s="14">
        <v>32760</v>
      </c>
      <c r="AY30" s="13">
        <v>0</v>
      </c>
      <c r="AZ30" s="13">
        <v>0</v>
      </c>
      <c r="BA30" s="13">
        <v>0</v>
      </c>
      <c r="BB30" s="13">
        <v>0</v>
      </c>
      <c r="BC30" s="13">
        <v>415</v>
      </c>
      <c r="BD30" s="14">
        <v>49800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5">
        <v>6264</v>
      </c>
      <c r="BM30" s="17">
        <v>212200</v>
      </c>
      <c r="BN30" s="9">
        <f t="shared" si="0"/>
        <v>205936</v>
      </c>
      <c r="BO30" s="10">
        <f t="shared" si="1"/>
        <v>144155.19999999998</v>
      </c>
    </row>
    <row r="31" spans="1:67" ht="24">
      <c r="A31" s="5" t="s">
        <v>14</v>
      </c>
      <c r="B31" s="11" t="s">
        <v>132</v>
      </c>
      <c r="C31" s="11">
        <v>367994</v>
      </c>
      <c r="D31" s="12"/>
      <c r="E31" s="11" t="s">
        <v>16</v>
      </c>
      <c r="F31" s="11" t="s">
        <v>30</v>
      </c>
      <c r="G31" s="11" t="s">
        <v>31</v>
      </c>
      <c r="H31" s="13" t="s">
        <v>8</v>
      </c>
      <c r="I31" s="13" t="s">
        <v>133</v>
      </c>
      <c r="J31" s="13">
        <v>0</v>
      </c>
      <c r="K31" s="13">
        <v>1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1</v>
      </c>
      <c r="T31" s="13">
        <v>51</v>
      </c>
      <c r="U31" s="13">
        <v>0</v>
      </c>
      <c r="V31" s="13">
        <v>100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386</v>
      </c>
      <c r="AF31" s="14">
        <v>27040</v>
      </c>
      <c r="AG31" s="14">
        <v>12900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101</v>
      </c>
      <c r="AR31" s="14">
        <v>9300</v>
      </c>
      <c r="AS31" s="13">
        <v>800</v>
      </c>
      <c r="AT31" s="13">
        <v>0</v>
      </c>
      <c r="AU31" s="13">
        <v>0</v>
      </c>
      <c r="AV31" s="13">
        <v>0</v>
      </c>
      <c r="AW31" s="13">
        <v>185</v>
      </c>
      <c r="AX31" s="14">
        <v>22200</v>
      </c>
      <c r="AY31" s="13">
        <v>0</v>
      </c>
      <c r="AZ31" s="13">
        <v>0</v>
      </c>
      <c r="BA31" s="13">
        <v>0</v>
      </c>
      <c r="BB31" s="13">
        <v>0</v>
      </c>
      <c r="BC31" s="14">
        <v>1074</v>
      </c>
      <c r="BD31" s="14">
        <v>128880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5">
        <v>9952.7999999999993</v>
      </c>
      <c r="BM31" s="17">
        <v>201220</v>
      </c>
      <c r="BN31" s="9">
        <f t="shared" si="0"/>
        <v>191267.20000000001</v>
      </c>
      <c r="BO31" s="10">
        <f t="shared" si="1"/>
        <v>133887.04000000001</v>
      </c>
    </row>
    <row r="32" spans="1:67" ht="24">
      <c r="A32" s="5" t="s">
        <v>14</v>
      </c>
      <c r="B32" s="11" t="s">
        <v>92</v>
      </c>
      <c r="C32" s="11">
        <v>388999</v>
      </c>
      <c r="D32" s="12"/>
      <c r="E32" s="11" t="s">
        <v>16</v>
      </c>
      <c r="F32" s="11" t="s">
        <v>62</v>
      </c>
      <c r="G32" s="11" t="s">
        <v>10</v>
      </c>
      <c r="H32" s="13" t="s">
        <v>7</v>
      </c>
      <c r="I32" s="13" t="s">
        <v>93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89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375</v>
      </c>
      <c r="AF32" s="14">
        <v>37400</v>
      </c>
      <c r="AG32" s="13">
        <v>100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299</v>
      </c>
      <c r="AR32" s="14">
        <v>29300</v>
      </c>
      <c r="AS32" s="13">
        <v>600</v>
      </c>
      <c r="AT32" s="13">
        <v>0</v>
      </c>
      <c r="AU32" s="13">
        <v>0</v>
      </c>
      <c r="AV32" s="13">
        <v>0</v>
      </c>
      <c r="AW32" s="13">
        <v>231</v>
      </c>
      <c r="AX32" s="14">
        <v>27720</v>
      </c>
      <c r="AY32" s="13">
        <v>0</v>
      </c>
      <c r="AZ32" s="13">
        <v>0</v>
      </c>
      <c r="BA32" s="13">
        <v>0</v>
      </c>
      <c r="BB32" s="13">
        <v>0</v>
      </c>
      <c r="BC32" s="13">
        <v>850</v>
      </c>
      <c r="BD32" s="14">
        <v>102000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5">
        <v>8892</v>
      </c>
      <c r="BM32" s="17">
        <v>197120</v>
      </c>
      <c r="BN32" s="9">
        <f t="shared" si="0"/>
        <v>188228</v>
      </c>
      <c r="BO32" s="10">
        <f t="shared" si="1"/>
        <v>131759.6</v>
      </c>
    </row>
    <row r="33" spans="1:67" ht="24">
      <c r="A33" s="5" t="s">
        <v>14</v>
      </c>
      <c r="B33" s="11" t="s">
        <v>98</v>
      </c>
      <c r="C33" s="11">
        <v>359539</v>
      </c>
      <c r="D33" s="12"/>
      <c r="E33" s="11" t="s">
        <v>16</v>
      </c>
      <c r="F33" s="11" t="s">
        <v>99</v>
      </c>
      <c r="G33" s="11" t="s">
        <v>31</v>
      </c>
      <c r="H33" s="13" t="s">
        <v>8</v>
      </c>
      <c r="I33" s="13" t="s">
        <v>100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20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258</v>
      </c>
      <c r="AF33" s="14">
        <v>19240</v>
      </c>
      <c r="AG33" s="14">
        <v>8300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146</v>
      </c>
      <c r="AR33" s="14">
        <v>14500</v>
      </c>
      <c r="AS33" s="13">
        <v>100</v>
      </c>
      <c r="AT33" s="13">
        <v>0</v>
      </c>
      <c r="AU33" s="13">
        <v>0</v>
      </c>
      <c r="AV33" s="13">
        <v>0</v>
      </c>
      <c r="AW33" s="13">
        <v>406</v>
      </c>
      <c r="AX33" s="14">
        <v>48600</v>
      </c>
      <c r="AY33" s="13">
        <v>100</v>
      </c>
      <c r="AZ33" s="13">
        <v>0</v>
      </c>
      <c r="BA33" s="13">
        <v>0</v>
      </c>
      <c r="BB33" s="13">
        <v>0</v>
      </c>
      <c r="BC33" s="13">
        <v>857</v>
      </c>
      <c r="BD33" s="14">
        <v>102840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5">
        <v>11030.4</v>
      </c>
      <c r="BM33" s="17">
        <v>193680</v>
      </c>
      <c r="BN33" s="9">
        <f t="shared" si="0"/>
        <v>182649.60000000001</v>
      </c>
      <c r="BO33" s="10">
        <f t="shared" si="1"/>
        <v>127854.72</v>
      </c>
    </row>
    <row r="34" spans="1:67" ht="24">
      <c r="A34" s="5" t="s">
        <v>14</v>
      </c>
      <c r="B34" s="11" t="s">
        <v>587</v>
      </c>
      <c r="C34" s="11">
        <v>490763</v>
      </c>
      <c r="D34" s="12"/>
      <c r="E34" s="11" t="s">
        <v>16</v>
      </c>
      <c r="F34" s="11" t="s">
        <v>588</v>
      </c>
      <c r="G34" s="11" t="s">
        <v>337</v>
      </c>
      <c r="H34" s="13" t="s">
        <v>8</v>
      </c>
      <c r="I34" s="13" t="s">
        <v>589</v>
      </c>
      <c r="J34" s="13">
        <v>0</v>
      </c>
      <c r="K34" s="14">
        <v>15647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684</v>
      </c>
      <c r="AF34" s="14">
        <v>28700</v>
      </c>
      <c r="AG34" s="14">
        <v>39800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154</v>
      </c>
      <c r="AR34" s="14">
        <v>15400</v>
      </c>
      <c r="AS34" s="13">
        <v>0</v>
      </c>
      <c r="AT34" s="13">
        <v>0</v>
      </c>
      <c r="AU34" s="13">
        <v>0</v>
      </c>
      <c r="AV34" s="13">
        <v>0</v>
      </c>
      <c r="AW34" s="13">
        <v>37</v>
      </c>
      <c r="AX34" s="14">
        <v>4405</v>
      </c>
      <c r="AY34" s="13">
        <v>0</v>
      </c>
      <c r="AZ34" s="13">
        <v>0</v>
      </c>
      <c r="BA34" s="13">
        <v>0</v>
      </c>
      <c r="BB34" s="13">
        <v>0</v>
      </c>
      <c r="BC34" s="13">
        <v>763</v>
      </c>
      <c r="BD34" s="14">
        <v>91560</v>
      </c>
      <c r="BE34" s="13">
        <v>0</v>
      </c>
      <c r="BF34" s="13">
        <v>0</v>
      </c>
      <c r="BG34" s="13">
        <v>0</v>
      </c>
      <c r="BH34" s="13">
        <v>0</v>
      </c>
      <c r="BI34" s="13">
        <v>25</v>
      </c>
      <c r="BJ34" s="14">
        <v>3000</v>
      </c>
      <c r="BK34" s="13">
        <v>0</v>
      </c>
      <c r="BL34" s="15">
        <v>6084.1</v>
      </c>
      <c r="BM34" s="17">
        <v>182865</v>
      </c>
      <c r="BN34" s="9">
        <f t="shared" si="0"/>
        <v>176780.9</v>
      </c>
      <c r="BO34" s="10">
        <f t="shared" si="1"/>
        <v>123746.62999999999</v>
      </c>
    </row>
    <row r="35" spans="1:67" ht="24">
      <c r="A35" s="5" t="s">
        <v>14</v>
      </c>
      <c r="B35" s="11" t="s">
        <v>590</v>
      </c>
      <c r="C35" s="11">
        <v>489946</v>
      </c>
      <c r="D35" s="12"/>
      <c r="E35" s="11" t="s">
        <v>16</v>
      </c>
      <c r="F35" s="11" t="s">
        <v>591</v>
      </c>
      <c r="G35" s="11" t="s">
        <v>10</v>
      </c>
      <c r="H35" s="13" t="s">
        <v>7</v>
      </c>
      <c r="I35" s="13" t="s">
        <v>592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335</v>
      </c>
      <c r="AF35" s="14">
        <v>30700</v>
      </c>
      <c r="AG35" s="14">
        <v>2800</v>
      </c>
      <c r="AH35" s="13">
        <v>0</v>
      </c>
      <c r="AI35" s="13">
        <v>0</v>
      </c>
      <c r="AJ35" s="13">
        <v>0</v>
      </c>
      <c r="AK35" s="13">
        <v>21</v>
      </c>
      <c r="AL35" s="13">
        <v>0</v>
      </c>
      <c r="AM35" s="14">
        <v>2100</v>
      </c>
      <c r="AN35" s="13">
        <v>0</v>
      </c>
      <c r="AO35" s="13">
        <v>0</v>
      </c>
      <c r="AP35" s="13">
        <v>0</v>
      </c>
      <c r="AQ35" s="13">
        <v>173</v>
      </c>
      <c r="AR35" s="14">
        <v>17300</v>
      </c>
      <c r="AS35" s="13">
        <v>0</v>
      </c>
      <c r="AT35" s="13">
        <v>0</v>
      </c>
      <c r="AU35" s="13">
        <v>0</v>
      </c>
      <c r="AV35" s="13">
        <v>0</v>
      </c>
      <c r="AW35" s="13">
        <v>31</v>
      </c>
      <c r="AX35" s="14">
        <v>3720</v>
      </c>
      <c r="AY35" s="13">
        <v>0</v>
      </c>
      <c r="AZ35" s="13">
        <v>0</v>
      </c>
      <c r="BA35" s="13">
        <v>0</v>
      </c>
      <c r="BB35" s="13">
        <v>0</v>
      </c>
      <c r="BC35" s="14">
        <v>1000</v>
      </c>
      <c r="BD35" s="14">
        <v>120000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5">
        <v>7572</v>
      </c>
      <c r="BM35" s="17">
        <v>176620</v>
      </c>
      <c r="BN35" s="9">
        <f t="shared" si="0"/>
        <v>169048</v>
      </c>
      <c r="BO35" s="10">
        <f t="shared" si="1"/>
        <v>118333.59999999999</v>
      </c>
    </row>
    <row r="36" spans="1:67" ht="24">
      <c r="A36" s="5" t="s">
        <v>14</v>
      </c>
      <c r="B36" s="11" t="s">
        <v>464</v>
      </c>
      <c r="C36" s="11">
        <v>484300</v>
      </c>
      <c r="D36" s="12"/>
      <c r="E36" s="11" t="s">
        <v>16</v>
      </c>
      <c r="F36" s="11" t="s">
        <v>465</v>
      </c>
      <c r="G36" s="11" t="s">
        <v>10</v>
      </c>
      <c r="H36" s="13" t="s">
        <v>7</v>
      </c>
      <c r="I36" s="13" t="s">
        <v>466</v>
      </c>
      <c r="J36" s="13">
        <v>6</v>
      </c>
      <c r="K36" s="13">
        <v>0</v>
      </c>
      <c r="L36" s="13">
        <v>600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440</v>
      </c>
      <c r="AF36" s="14">
        <v>39920</v>
      </c>
      <c r="AG36" s="14">
        <v>8000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652</v>
      </c>
      <c r="AR36" s="14">
        <v>62000</v>
      </c>
      <c r="AS36" s="14">
        <v>3200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306</v>
      </c>
      <c r="BD36" s="14">
        <v>36720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5">
        <v>2203.1999999999998</v>
      </c>
      <c r="BM36" s="17">
        <v>150440</v>
      </c>
      <c r="BN36" s="9">
        <f t="shared" si="0"/>
        <v>148236.79999999999</v>
      </c>
      <c r="BO36" s="10">
        <f t="shared" si="1"/>
        <v>103765.75999999998</v>
      </c>
    </row>
    <row r="37" spans="1:67" ht="24">
      <c r="A37" s="5" t="s">
        <v>14</v>
      </c>
      <c r="B37" s="11" t="s">
        <v>542</v>
      </c>
      <c r="C37" s="11">
        <v>418302</v>
      </c>
      <c r="D37" s="12"/>
      <c r="E37" s="11" t="s">
        <v>16</v>
      </c>
      <c r="F37" s="11" t="s">
        <v>30</v>
      </c>
      <c r="G37" s="11" t="s">
        <v>31</v>
      </c>
      <c r="H37" s="13" t="s">
        <v>265</v>
      </c>
      <c r="I37" s="13" t="s">
        <v>32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17</v>
      </c>
      <c r="AF37" s="14">
        <v>47920</v>
      </c>
      <c r="AG37" s="14">
        <v>26800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5</v>
      </c>
      <c r="AR37" s="14">
        <v>15300</v>
      </c>
      <c r="AS37" s="14">
        <v>3800</v>
      </c>
      <c r="AT37" s="13">
        <v>0</v>
      </c>
      <c r="AU37" s="13">
        <v>0</v>
      </c>
      <c r="AV37" s="13">
        <v>0</v>
      </c>
      <c r="AW37" s="13">
        <v>3</v>
      </c>
      <c r="AX37" s="14">
        <v>11880</v>
      </c>
      <c r="AY37" s="13">
        <v>0</v>
      </c>
      <c r="AZ37" s="13">
        <v>0</v>
      </c>
      <c r="BA37" s="13">
        <v>0</v>
      </c>
      <c r="BB37" s="13">
        <v>0</v>
      </c>
      <c r="BC37" s="13">
        <v>9</v>
      </c>
      <c r="BD37" s="14">
        <v>42840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5">
        <v>3758.4</v>
      </c>
      <c r="BM37" s="17">
        <v>148540</v>
      </c>
      <c r="BN37" s="9">
        <f t="shared" si="0"/>
        <v>144781.6</v>
      </c>
      <c r="BO37" s="10">
        <f t="shared" si="1"/>
        <v>101347.12</v>
      </c>
    </row>
    <row r="38" spans="1:67" ht="24">
      <c r="A38" s="5" t="s">
        <v>14</v>
      </c>
      <c r="B38" s="11" t="s">
        <v>89</v>
      </c>
      <c r="C38" s="11">
        <v>395179</v>
      </c>
      <c r="D38" s="12"/>
      <c r="E38" s="11" t="s">
        <v>16</v>
      </c>
      <c r="F38" s="11" t="s">
        <v>90</v>
      </c>
      <c r="G38" s="11" t="s">
        <v>10</v>
      </c>
      <c r="H38" s="13" t="s">
        <v>7</v>
      </c>
      <c r="I38" s="13" t="s">
        <v>91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14</v>
      </c>
      <c r="AF38" s="14">
        <v>7500</v>
      </c>
      <c r="AG38" s="14">
        <v>37300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26</v>
      </c>
      <c r="AX38" s="14">
        <v>99840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5">
        <v>9984</v>
      </c>
      <c r="BM38" s="17">
        <v>144640</v>
      </c>
      <c r="BN38" s="9">
        <f t="shared" si="0"/>
        <v>134656</v>
      </c>
      <c r="BO38" s="10">
        <f t="shared" si="1"/>
        <v>94259.199999999997</v>
      </c>
    </row>
    <row r="39" spans="1:67" ht="24">
      <c r="A39" s="5" t="s">
        <v>14</v>
      </c>
      <c r="B39" s="11" t="s">
        <v>36</v>
      </c>
      <c r="C39" s="11">
        <v>457807</v>
      </c>
      <c r="D39" s="12"/>
      <c r="E39" s="11" t="s">
        <v>16</v>
      </c>
      <c r="F39" s="11" t="s">
        <v>37</v>
      </c>
      <c r="G39" s="11" t="s">
        <v>31</v>
      </c>
      <c r="H39" s="13" t="s">
        <v>8</v>
      </c>
      <c r="I39" s="13" t="s">
        <v>336</v>
      </c>
      <c r="J39" s="13">
        <v>177</v>
      </c>
      <c r="K39" s="13">
        <v>0</v>
      </c>
      <c r="L39" s="14">
        <v>17700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31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252</v>
      </c>
      <c r="AF39" s="14">
        <v>12080</v>
      </c>
      <c r="AG39" s="14">
        <v>14500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186</v>
      </c>
      <c r="AR39" s="14">
        <v>18100</v>
      </c>
      <c r="AS39" s="13">
        <v>500</v>
      </c>
      <c r="AT39" s="13">
        <v>0</v>
      </c>
      <c r="AU39" s="13">
        <v>0</v>
      </c>
      <c r="AV39" s="13">
        <v>0</v>
      </c>
      <c r="AW39" s="13">
        <v>110</v>
      </c>
      <c r="AX39" s="14">
        <v>13200</v>
      </c>
      <c r="AY39" s="13">
        <v>0</v>
      </c>
      <c r="AZ39" s="13">
        <v>0</v>
      </c>
      <c r="BA39" s="13">
        <v>0</v>
      </c>
      <c r="BB39" s="13">
        <v>0</v>
      </c>
      <c r="BC39" s="13">
        <v>535</v>
      </c>
      <c r="BD39" s="14">
        <v>64200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5">
        <v>5172</v>
      </c>
      <c r="BM39" s="17">
        <v>140280</v>
      </c>
      <c r="BN39" s="9">
        <f t="shared" si="0"/>
        <v>135108</v>
      </c>
      <c r="BO39" s="10">
        <f t="shared" si="1"/>
        <v>94575.599999999991</v>
      </c>
    </row>
    <row r="40" spans="1:67" ht="24">
      <c r="A40" s="5" t="s">
        <v>14</v>
      </c>
      <c r="B40" s="11" t="s">
        <v>123</v>
      </c>
      <c r="C40" s="11">
        <v>359912</v>
      </c>
      <c r="D40" s="12"/>
      <c r="E40" s="11" t="s">
        <v>16</v>
      </c>
      <c r="F40" s="11" t="s">
        <v>124</v>
      </c>
      <c r="G40" s="11" t="s">
        <v>31</v>
      </c>
      <c r="H40" s="13" t="s">
        <v>8</v>
      </c>
      <c r="I40" s="13" t="s">
        <v>324</v>
      </c>
      <c r="J40" s="13">
        <v>0</v>
      </c>
      <c r="K40" s="13">
        <v>1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1</v>
      </c>
      <c r="T40" s="13">
        <v>44</v>
      </c>
      <c r="U40" s="13">
        <v>0</v>
      </c>
      <c r="V40" s="13">
        <v>100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169</v>
      </c>
      <c r="AF40" s="14">
        <v>14500</v>
      </c>
      <c r="AG40" s="14">
        <v>3100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343</v>
      </c>
      <c r="AR40" s="14">
        <v>30300</v>
      </c>
      <c r="AS40" s="14">
        <v>4000</v>
      </c>
      <c r="AT40" s="13">
        <v>0</v>
      </c>
      <c r="AU40" s="13">
        <v>0</v>
      </c>
      <c r="AV40" s="13">
        <v>0</v>
      </c>
      <c r="AW40" s="13">
        <v>187</v>
      </c>
      <c r="AX40" s="14">
        <v>22440</v>
      </c>
      <c r="AY40" s="13">
        <v>0</v>
      </c>
      <c r="AZ40" s="13">
        <v>0</v>
      </c>
      <c r="BA40" s="13">
        <v>0</v>
      </c>
      <c r="BB40" s="13">
        <v>0</v>
      </c>
      <c r="BC40" s="13">
        <v>471</v>
      </c>
      <c r="BD40" s="14">
        <v>56520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5">
        <v>5635.2</v>
      </c>
      <c r="BM40" s="17">
        <v>130960</v>
      </c>
      <c r="BN40" s="9">
        <f t="shared" si="0"/>
        <v>125324.8</v>
      </c>
      <c r="BO40" s="10">
        <f t="shared" si="1"/>
        <v>87727.360000000001</v>
      </c>
    </row>
    <row r="41" spans="1:67" ht="24">
      <c r="A41" s="5" t="s">
        <v>14</v>
      </c>
      <c r="B41" s="11" t="s">
        <v>146</v>
      </c>
      <c r="C41" s="11">
        <v>376361</v>
      </c>
      <c r="D41" s="12"/>
      <c r="E41" s="11" t="s">
        <v>16</v>
      </c>
      <c r="F41" s="11" t="s">
        <v>43</v>
      </c>
      <c r="G41" s="11" t="s">
        <v>31</v>
      </c>
      <c r="H41" s="13" t="s">
        <v>8</v>
      </c>
      <c r="I41" s="13" t="s">
        <v>522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44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449</v>
      </c>
      <c r="AF41" s="14">
        <v>21600</v>
      </c>
      <c r="AG41" s="14">
        <v>23300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122</v>
      </c>
      <c r="AR41" s="14">
        <v>12200</v>
      </c>
      <c r="AS41" s="13">
        <v>0</v>
      </c>
      <c r="AT41" s="13">
        <v>0</v>
      </c>
      <c r="AU41" s="13">
        <v>0</v>
      </c>
      <c r="AV41" s="13">
        <v>0</v>
      </c>
      <c r="AW41" s="13">
        <v>76</v>
      </c>
      <c r="AX41" s="14">
        <v>9120</v>
      </c>
      <c r="AY41" s="13">
        <v>0</v>
      </c>
      <c r="AZ41" s="13">
        <v>0</v>
      </c>
      <c r="BA41" s="13">
        <v>0</v>
      </c>
      <c r="BB41" s="13">
        <v>0</v>
      </c>
      <c r="BC41" s="13">
        <v>467</v>
      </c>
      <c r="BD41" s="14">
        <v>56040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5">
        <v>4274.3999999999996</v>
      </c>
      <c r="BM41" s="17">
        <v>122260</v>
      </c>
      <c r="BN41" s="9">
        <f t="shared" si="0"/>
        <v>117985.60000000001</v>
      </c>
      <c r="BO41" s="10">
        <f t="shared" si="1"/>
        <v>82589.919999999998</v>
      </c>
    </row>
    <row r="42" spans="1:67" ht="24">
      <c r="A42" s="5" t="s">
        <v>14</v>
      </c>
      <c r="B42" s="11" t="s">
        <v>593</v>
      </c>
      <c r="C42" s="11">
        <v>489720</v>
      </c>
      <c r="D42" s="12"/>
      <c r="E42" s="11" t="s">
        <v>16</v>
      </c>
      <c r="F42" s="11" t="s">
        <v>486</v>
      </c>
      <c r="G42" s="11" t="s">
        <v>10</v>
      </c>
      <c r="H42" s="13" t="s">
        <v>7</v>
      </c>
      <c r="I42" s="13" t="s">
        <v>594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181</v>
      </c>
      <c r="AF42" s="14">
        <v>18100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282</v>
      </c>
      <c r="AR42" s="14">
        <v>28000</v>
      </c>
      <c r="AS42" s="13">
        <v>200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614</v>
      </c>
      <c r="BD42" s="14">
        <v>73680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5">
        <v>4420.8</v>
      </c>
      <c r="BM42" s="17">
        <v>119980</v>
      </c>
      <c r="BN42" s="9">
        <f t="shared" si="0"/>
        <v>115559.2</v>
      </c>
      <c r="BO42" s="10">
        <f t="shared" si="1"/>
        <v>80891.439999999988</v>
      </c>
    </row>
    <row r="43" spans="1:67" ht="24">
      <c r="A43" s="5" t="s">
        <v>14</v>
      </c>
      <c r="B43" s="11" t="s">
        <v>595</v>
      </c>
      <c r="C43" s="11">
        <v>481360</v>
      </c>
      <c r="D43" s="12"/>
      <c r="E43" s="11" t="s">
        <v>16</v>
      </c>
      <c r="F43" s="11" t="s">
        <v>24</v>
      </c>
      <c r="G43" s="11" t="s">
        <v>10</v>
      </c>
      <c r="H43" s="13" t="s">
        <v>7</v>
      </c>
      <c r="I43" s="13" t="s">
        <v>432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5</v>
      </c>
      <c r="AF43" s="14">
        <v>17280</v>
      </c>
      <c r="AG43" s="13">
        <v>0</v>
      </c>
      <c r="AH43" s="13">
        <v>0</v>
      </c>
      <c r="AI43" s="13">
        <v>0</v>
      </c>
      <c r="AJ43" s="13">
        <v>0</v>
      </c>
      <c r="AK43" s="13">
        <v>3</v>
      </c>
      <c r="AL43" s="13">
        <v>0</v>
      </c>
      <c r="AM43" s="14">
        <v>9600</v>
      </c>
      <c r="AN43" s="13">
        <v>0</v>
      </c>
      <c r="AO43" s="13">
        <v>0</v>
      </c>
      <c r="AP43" s="13">
        <v>0</v>
      </c>
      <c r="AQ43" s="13">
        <v>7</v>
      </c>
      <c r="AR43" s="14">
        <v>22200</v>
      </c>
      <c r="AS43" s="13">
        <v>200</v>
      </c>
      <c r="AT43" s="13">
        <v>0</v>
      </c>
      <c r="AU43" s="13">
        <v>0</v>
      </c>
      <c r="AV43" s="13">
        <v>0</v>
      </c>
      <c r="AW43" s="13">
        <v>10</v>
      </c>
      <c r="AX43" s="14">
        <v>38400</v>
      </c>
      <c r="AY43" s="13">
        <v>0</v>
      </c>
      <c r="AZ43" s="13">
        <v>0</v>
      </c>
      <c r="BA43" s="13">
        <v>0</v>
      </c>
      <c r="BB43" s="13">
        <v>0</v>
      </c>
      <c r="BC43" s="13">
        <v>8</v>
      </c>
      <c r="BD43" s="14">
        <v>28800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5">
        <v>5568</v>
      </c>
      <c r="BM43" s="17">
        <v>116480</v>
      </c>
      <c r="BN43" s="9">
        <f t="shared" si="0"/>
        <v>110912</v>
      </c>
      <c r="BO43" s="10">
        <f t="shared" si="1"/>
        <v>77638.399999999994</v>
      </c>
    </row>
    <row r="44" spans="1:67" ht="24">
      <c r="A44" s="5" t="s">
        <v>14</v>
      </c>
      <c r="B44" s="11" t="s">
        <v>82</v>
      </c>
      <c r="C44" s="11">
        <v>364724</v>
      </c>
      <c r="D44" s="12"/>
      <c r="E44" s="11" t="s">
        <v>16</v>
      </c>
      <c r="F44" s="11" t="s">
        <v>83</v>
      </c>
      <c r="G44" s="11" t="s">
        <v>10</v>
      </c>
      <c r="H44" s="13" t="s">
        <v>7</v>
      </c>
      <c r="I44" s="13" t="s">
        <v>84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25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411</v>
      </c>
      <c r="AF44" s="14">
        <v>22120</v>
      </c>
      <c r="AG44" s="14">
        <v>19600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92</v>
      </c>
      <c r="AR44" s="14">
        <v>9000</v>
      </c>
      <c r="AS44" s="13">
        <v>200</v>
      </c>
      <c r="AT44" s="13">
        <v>0</v>
      </c>
      <c r="AU44" s="13">
        <v>0</v>
      </c>
      <c r="AV44" s="13">
        <v>0</v>
      </c>
      <c r="AW44" s="13">
        <v>280</v>
      </c>
      <c r="AX44" s="14">
        <v>33600</v>
      </c>
      <c r="AY44" s="13">
        <v>0</v>
      </c>
      <c r="AZ44" s="13">
        <v>0</v>
      </c>
      <c r="BA44" s="13">
        <v>0</v>
      </c>
      <c r="BB44" s="13">
        <v>0</v>
      </c>
      <c r="BC44" s="13">
        <v>247</v>
      </c>
      <c r="BD44" s="14">
        <v>29640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5">
        <v>5138.3999999999996</v>
      </c>
      <c r="BM44" s="17">
        <v>114160</v>
      </c>
      <c r="BN44" s="9">
        <f t="shared" si="0"/>
        <v>109021.6</v>
      </c>
      <c r="BO44" s="10">
        <f t="shared" si="1"/>
        <v>76315.12</v>
      </c>
    </row>
    <row r="45" spans="1:67" ht="24">
      <c r="A45" s="5" t="s">
        <v>14</v>
      </c>
      <c r="B45" s="11" t="s">
        <v>118</v>
      </c>
      <c r="C45" s="11">
        <v>290890</v>
      </c>
      <c r="D45" s="12"/>
      <c r="E45" s="11" t="s">
        <v>16</v>
      </c>
      <c r="F45" s="11" t="s">
        <v>27</v>
      </c>
      <c r="G45" s="11" t="s">
        <v>10</v>
      </c>
      <c r="H45" s="13" t="s">
        <v>7</v>
      </c>
      <c r="I45" s="13" t="s">
        <v>119</v>
      </c>
      <c r="J45" s="13">
        <v>0</v>
      </c>
      <c r="K45" s="13">
        <v>1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10</v>
      </c>
      <c r="AC45" s="14">
        <v>7560</v>
      </c>
      <c r="AD45" s="14">
        <v>2000</v>
      </c>
      <c r="AE45" s="13">
        <v>4</v>
      </c>
      <c r="AF45" s="14">
        <v>15360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12</v>
      </c>
      <c r="AO45" s="14">
        <v>9900</v>
      </c>
      <c r="AP45" s="13">
        <v>900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29</v>
      </c>
      <c r="BA45" s="14">
        <v>31080</v>
      </c>
      <c r="BB45" s="13">
        <v>0</v>
      </c>
      <c r="BC45" s="13">
        <v>12</v>
      </c>
      <c r="BD45" s="14">
        <v>46080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5">
        <v>4629.6000000000004</v>
      </c>
      <c r="BM45" s="17">
        <v>112880</v>
      </c>
      <c r="BN45" s="9">
        <f t="shared" si="0"/>
        <v>108250.4</v>
      </c>
      <c r="BO45" s="10">
        <f t="shared" si="1"/>
        <v>75775.279999999984</v>
      </c>
    </row>
    <row r="46" spans="1:67" ht="24">
      <c r="A46" s="5" t="s">
        <v>14</v>
      </c>
      <c r="B46" s="11" t="s">
        <v>87</v>
      </c>
      <c r="C46" s="11">
        <v>211158</v>
      </c>
      <c r="D46" s="12"/>
      <c r="E46" s="11" t="s">
        <v>16</v>
      </c>
      <c r="F46" s="11" t="s">
        <v>27</v>
      </c>
      <c r="G46" s="11" t="s">
        <v>10</v>
      </c>
      <c r="H46" s="13" t="s">
        <v>7</v>
      </c>
      <c r="I46" s="13" t="s">
        <v>88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20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416</v>
      </c>
      <c r="AF46" s="14">
        <v>20200</v>
      </c>
      <c r="AG46" s="14">
        <v>21400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278</v>
      </c>
      <c r="AR46" s="14">
        <v>27400</v>
      </c>
      <c r="AS46" s="13">
        <v>400</v>
      </c>
      <c r="AT46" s="13">
        <v>0</v>
      </c>
      <c r="AU46" s="13">
        <v>0</v>
      </c>
      <c r="AV46" s="13">
        <v>0</v>
      </c>
      <c r="AW46" s="13">
        <v>55</v>
      </c>
      <c r="AX46" s="14">
        <v>6600</v>
      </c>
      <c r="AY46" s="13">
        <v>0</v>
      </c>
      <c r="AZ46" s="13">
        <v>0</v>
      </c>
      <c r="BA46" s="13">
        <v>0</v>
      </c>
      <c r="BB46" s="13">
        <v>0</v>
      </c>
      <c r="BC46" s="13">
        <v>186</v>
      </c>
      <c r="BD46" s="14">
        <v>22320</v>
      </c>
      <c r="BE46" s="13">
        <v>0</v>
      </c>
      <c r="BF46" s="13">
        <v>0</v>
      </c>
      <c r="BG46" s="13">
        <v>0</v>
      </c>
      <c r="BH46" s="13">
        <v>0</v>
      </c>
      <c r="BI46" s="13">
        <v>101</v>
      </c>
      <c r="BJ46" s="14">
        <v>12120</v>
      </c>
      <c r="BK46" s="13">
        <v>0</v>
      </c>
      <c r="BL46" s="15">
        <v>2605.1999999999998</v>
      </c>
      <c r="BM46" s="17">
        <v>110440</v>
      </c>
      <c r="BN46" s="9">
        <f t="shared" si="0"/>
        <v>107834.8</v>
      </c>
      <c r="BO46" s="10">
        <f t="shared" si="1"/>
        <v>75484.36</v>
      </c>
    </row>
    <row r="47" spans="1:67" ht="24">
      <c r="A47" s="5" t="s">
        <v>14</v>
      </c>
      <c r="B47" s="11" t="s">
        <v>596</v>
      </c>
      <c r="C47" s="11">
        <v>325640</v>
      </c>
      <c r="D47" s="12"/>
      <c r="E47" s="11" t="s">
        <v>16</v>
      </c>
      <c r="F47" s="11" t="s">
        <v>169</v>
      </c>
      <c r="G47" s="11" t="s">
        <v>10</v>
      </c>
      <c r="H47" s="13" t="s">
        <v>7</v>
      </c>
      <c r="I47" s="13" t="s">
        <v>170</v>
      </c>
      <c r="J47" s="13">
        <v>0</v>
      </c>
      <c r="K47" s="13">
        <v>6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4</v>
      </c>
      <c r="T47" s="13">
        <v>58</v>
      </c>
      <c r="U47" s="13">
        <v>0</v>
      </c>
      <c r="V47" s="13">
        <v>400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501</v>
      </c>
      <c r="AF47" s="14">
        <v>22680</v>
      </c>
      <c r="AG47" s="14">
        <v>27500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275</v>
      </c>
      <c r="AR47" s="14">
        <v>27100</v>
      </c>
      <c r="AS47" s="13">
        <v>400</v>
      </c>
      <c r="AT47" s="13">
        <v>0</v>
      </c>
      <c r="AU47" s="13">
        <v>0</v>
      </c>
      <c r="AV47" s="13">
        <v>0</v>
      </c>
      <c r="AW47" s="13">
        <v>194</v>
      </c>
      <c r="AX47" s="14">
        <v>23280</v>
      </c>
      <c r="AY47" s="13">
        <v>0</v>
      </c>
      <c r="AZ47" s="13">
        <v>0</v>
      </c>
      <c r="BA47" s="13">
        <v>0</v>
      </c>
      <c r="BB47" s="13">
        <v>0</v>
      </c>
      <c r="BC47" s="13">
        <v>57</v>
      </c>
      <c r="BD47" s="14">
        <v>6840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5">
        <v>2738.4</v>
      </c>
      <c r="BM47" s="17">
        <v>108200</v>
      </c>
      <c r="BN47" s="9">
        <f t="shared" si="0"/>
        <v>105461.6</v>
      </c>
      <c r="BO47" s="10">
        <f t="shared" si="1"/>
        <v>73823.12</v>
      </c>
    </row>
    <row r="48" spans="1:67" ht="24">
      <c r="A48" s="5" t="s">
        <v>14</v>
      </c>
      <c r="B48" s="11" t="s">
        <v>111</v>
      </c>
      <c r="C48" s="11">
        <v>390809</v>
      </c>
      <c r="D48" s="12"/>
      <c r="E48" s="11" t="s">
        <v>16</v>
      </c>
      <c r="F48" s="11" t="s">
        <v>112</v>
      </c>
      <c r="G48" s="11" t="s">
        <v>31</v>
      </c>
      <c r="H48" s="13" t="s">
        <v>8</v>
      </c>
      <c r="I48" s="13" t="s">
        <v>32</v>
      </c>
      <c r="J48" s="13">
        <v>0</v>
      </c>
      <c r="K48" s="13">
        <v>2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18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250</v>
      </c>
      <c r="AF48" s="14">
        <v>13360</v>
      </c>
      <c r="AG48" s="14">
        <v>13000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65</v>
      </c>
      <c r="AR48" s="14">
        <v>6300</v>
      </c>
      <c r="AS48" s="13">
        <v>200</v>
      </c>
      <c r="AT48" s="13">
        <v>0</v>
      </c>
      <c r="AU48" s="13">
        <v>0</v>
      </c>
      <c r="AV48" s="13">
        <v>0</v>
      </c>
      <c r="AW48" s="13">
        <v>196</v>
      </c>
      <c r="AX48" s="14">
        <v>23520</v>
      </c>
      <c r="AY48" s="13">
        <v>0</v>
      </c>
      <c r="AZ48" s="13">
        <v>0</v>
      </c>
      <c r="BA48" s="13">
        <v>0</v>
      </c>
      <c r="BB48" s="13">
        <v>0</v>
      </c>
      <c r="BC48" s="13">
        <v>428</v>
      </c>
      <c r="BD48" s="14">
        <v>51360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5">
        <v>5433.6</v>
      </c>
      <c r="BM48" s="17">
        <v>107740</v>
      </c>
      <c r="BN48" s="9">
        <f t="shared" si="0"/>
        <v>102306.4</v>
      </c>
      <c r="BO48" s="10">
        <f t="shared" si="1"/>
        <v>71614.48</v>
      </c>
    </row>
    <row r="49" spans="1:67" ht="24">
      <c r="A49" s="5" t="s">
        <v>14</v>
      </c>
      <c r="B49" s="11" t="s">
        <v>79</v>
      </c>
      <c r="C49" s="11">
        <v>422032</v>
      </c>
      <c r="D49" s="12"/>
      <c r="E49" s="11" t="s">
        <v>16</v>
      </c>
      <c r="F49" s="11" t="s">
        <v>80</v>
      </c>
      <c r="G49" s="11" t="s">
        <v>10</v>
      </c>
      <c r="H49" s="13" t="s">
        <v>9</v>
      </c>
      <c r="I49" s="13" t="s">
        <v>81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22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121</v>
      </c>
      <c r="AF49" s="14">
        <v>11140</v>
      </c>
      <c r="AG49" s="14">
        <v>2800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39</v>
      </c>
      <c r="AR49" s="14">
        <v>3900</v>
      </c>
      <c r="AS49" s="13">
        <v>0</v>
      </c>
      <c r="AT49" s="13">
        <v>0</v>
      </c>
      <c r="AU49" s="13">
        <v>0</v>
      </c>
      <c r="AV49" s="13">
        <v>0</v>
      </c>
      <c r="AW49" s="13">
        <v>62</v>
      </c>
      <c r="AX49" s="14">
        <v>7440</v>
      </c>
      <c r="AY49" s="13">
        <v>0</v>
      </c>
      <c r="AZ49" s="13">
        <v>0</v>
      </c>
      <c r="BA49" s="13">
        <v>0</v>
      </c>
      <c r="BB49" s="13">
        <v>0</v>
      </c>
      <c r="BC49" s="13">
        <v>683</v>
      </c>
      <c r="BD49" s="14">
        <v>81960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5">
        <v>5661.6</v>
      </c>
      <c r="BM49" s="17">
        <v>107240</v>
      </c>
      <c r="BN49" s="9">
        <f t="shared" si="0"/>
        <v>101578.4</v>
      </c>
      <c r="BO49" s="10">
        <f t="shared" si="1"/>
        <v>71104.87999999999</v>
      </c>
    </row>
    <row r="50" spans="1:67" ht="24">
      <c r="A50" s="5" t="s">
        <v>14</v>
      </c>
      <c r="B50" s="11" t="s">
        <v>94</v>
      </c>
      <c r="C50" s="11">
        <v>287641</v>
      </c>
      <c r="D50" s="12"/>
      <c r="E50" s="11" t="s">
        <v>16</v>
      </c>
      <c r="F50" s="11" t="s">
        <v>27</v>
      </c>
      <c r="G50" s="11" t="s">
        <v>10</v>
      </c>
      <c r="H50" s="13" t="s">
        <v>7</v>
      </c>
      <c r="I50" s="13" t="s">
        <v>95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3</v>
      </c>
      <c r="AF50" s="13">
        <v>0</v>
      </c>
      <c r="AG50" s="14">
        <v>9600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6</v>
      </c>
      <c r="AR50" s="14">
        <v>19000</v>
      </c>
      <c r="AS50" s="13">
        <v>200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19</v>
      </c>
      <c r="BD50" s="14">
        <v>72960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5">
        <v>4377.6000000000004</v>
      </c>
      <c r="BM50" s="17">
        <v>101760</v>
      </c>
      <c r="BN50" s="9">
        <f t="shared" si="0"/>
        <v>97382.399999999994</v>
      </c>
      <c r="BO50" s="10">
        <f t="shared" si="1"/>
        <v>68167.679999999993</v>
      </c>
    </row>
    <row r="51" spans="1:67" ht="24">
      <c r="A51" s="5" t="s">
        <v>14</v>
      </c>
      <c r="B51" s="11" t="s">
        <v>498</v>
      </c>
      <c r="C51" s="11">
        <v>428121</v>
      </c>
      <c r="D51" s="12"/>
      <c r="E51" s="11" t="s">
        <v>16</v>
      </c>
      <c r="F51" s="11" t="s">
        <v>446</v>
      </c>
      <c r="G51" s="11" t="s">
        <v>31</v>
      </c>
      <c r="H51" s="13" t="s">
        <v>265</v>
      </c>
      <c r="I51" s="13" t="s">
        <v>462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4</v>
      </c>
      <c r="AF51" s="14">
        <v>13860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5</v>
      </c>
      <c r="AR51" s="14">
        <v>16500</v>
      </c>
      <c r="AS51" s="13">
        <v>0</v>
      </c>
      <c r="AT51" s="13">
        <v>0</v>
      </c>
      <c r="AU51" s="13">
        <v>0</v>
      </c>
      <c r="AV51" s="13">
        <v>0</v>
      </c>
      <c r="AW51" s="13">
        <v>2</v>
      </c>
      <c r="AX51" s="14">
        <v>7920</v>
      </c>
      <c r="AY51" s="13">
        <v>0</v>
      </c>
      <c r="AZ51" s="13">
        <v>0</v>
      </c>
      <c r="BA51" s="13">
        <v>0</v>
      </c>
      <c r="BB51" s="13">
        <v>0</v>
      </c>
      <c r="BC51" s="13">
        <v>16</v>
      </c>
      <c r="BD51" s="14">
        <v>63360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5">
        <v>4593.6000000000004</v>
      </c>
      <c r="BM51" s="17">
        <v>101640</v>
      </c>
      <c r="BN51" s="9">
        <f t="shared" si="0"/>
        <v>97046.399999999994</v>
      </c>
      <c r="BO51" s="10">
        <f t="shared" si="1"/>
        <v>67932.479999999996</v>
      </c>
    </row>
    <row r="52" spans="1:67" ht="24">
      <c r="A52" s="5" t="s">
        <v>14</v>
      </c>
      <c r="B52" s="11" t="s">
        <v>50</v>
      </c>
      <c r="C52" s="11">
        <v>463946</v>
      </c>
      <c r="D52" s="12"/>
      <c r="E52" s="11" t="s">
        <v>16</v>
      </c>
      <c r="F52" s="11" t="s">
        <v>51</v>
      </c>
      <c r="G52" s="11" t="s">
        <v>10</v>
      </c>
      <c r="H52" s="13" t="s">
        <v>7</v>
      </c>
      <c r="I52" s="13" t="s">
        <v>52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8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254</v>
      </c>
      <c r="AF52" s="14">
        <v>9400</v>
      </c>
      <c r="AG52" s="14">
        <v>16000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71</v>
      </c>
      <c r="AR52" s="14">
        <v>7100</v>
      </c>
      <c r="AS52" s="13">
        <v>0</v>
      </c>
      <c r="AT52" s="13">
        <v>0</v>
      </c>
      <c r="AU52" s="13">
        <v>0</v>
      </c>
      <c r="AV52" s="13">
        <v>0</v>
      </c>
      <c r="AW52" s="13">
        <v>345</v>
      </c>
      <c r="AX52" s="14">
        <v>41400</v>
      </c>
      <c r="AY52" s="13">
        <v>0</v>
      </c>
      <c r="AZ52" s="13">
        <v>0</v>
      </c>
      <c r="BA52" s="13">
        <v>0</v>
      </c>
      <c r="BB52" s="13">
        <v>0</v>
      </c>
      <c r="BC52" s="13">
        <v>185</v>
      </c>
      <c r="BD52" s="14">
        <v>22200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5">
        <v>5472</v>
      </c>
      <c r="BM52" s="17">
        <v>96100</v>
      </c>
      <c r="BN52" s="9">
        <f t="shared" si="0"/>
        <v>90628</v>
      </c>
      <c r="BO52" s="10">
        <f t="shared" si="1"/>
        <v>63439.6</v>
      </c>
    </row>
    <row r="53" spans="1:67" ht="24">
      <c r="A53" s="5" t="s">
        <v>14</v>
      </c>
      <c r="B53" s="11" t="s">
        <v>416</v>
      </c>
      <c r="C53" s="11">
        <v>473533</v>
      </c>
      <c r="D53" s="12"/>
      <c r="E53" s="11" t="s">
        <v>16</v>
      </c>
      <c r="F53" s="11" t="s">
        <v>347</v>
      </c>
      <c r="G53" s="11" t="s">
        <v>10</v>
      </c>
      <c r="H53" s="13" t="s">
        <v>7</v>
      </c>
      <c r="I53" s="13" t="s">
        <v>576</v>
      </c>
      <c r="J53" s="13">
        <v>0</v>
      </c>
      <c r="K53" s="14">
        <v>1333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25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388</v>
      </c>
      <c r="AF53" s="14">
        <v>18380</v>
      </c>
      <c r="AG53" s="14">
        <v>21400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17</v>
      </c>
      <c r="AR53" s="14">
        <v>1700</v>
      </c>
      <c r="AS53" s="13">
        <v>0</v>
      </c>
      <c r="AT53" s="13">
        <v>0</v>
      </c>
      <c r="AU53" s="13">
        <v>0</v>
      </c>
      <c r="AV53" s="13">
        <v>0</v>
      </c>
      <c r="AW53" s="13">
        <v>77</v>
      </c>
      <c r="AX53" s="14">
        <v>9240</v>
      </c>
      <c r="AY53" s="13">
        <v>0</v>
      </c>
      <c r="AZ53" s="13">
        <v>0</v>
      </c>
      <c r="BA53" s="13">
        <v>0</v>
      </c>
      <c r="BB53" s="13">
        <v>0</v>
      </c>
      <c r="BC53" s="13">
        <v>353</v>
      </c>
      <c r="BD53" s="14">
        <v>42360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5">
        <v>3465.6</v>
      </c>
      <c r="BM53" s="17">
        <v>93080</v>
      </c>
      <c r="BN53" s="9">
        <f t="shared" si="0"/>
        <v>89614.399999999994</v>
      </c>
      <c r="BO53" s="10">
        <f t="shared" si="1"/>
        <v>62730.079999999994</v>
      </c>
    </row>
    <row r="54" spans="1:67" ht="24">
      <c r="A54" s="5" t="s">
        <v>14</v>
      </c>
      <c r="B54" s="11" t="s">
        <v>104</v>
      </c>
      <c r="C54" s="11">
        <v>425289</v>
      </c>
      <c r="D54" s="12"/>
      <c r="E54" s="11" t="s">
        <v>16</v>
      </c>
      <c r="F54" s="11" t="s">
        <v>90</v>
      </c>
      <c r="G54" s="11" t="s">
        <v>10</v>
      </c>
      <c r="H54" s="13" t="s">
        <v>7</v>
      </c>
      <c r="I54" s="13" t="s">
        <v>105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36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158</v>
      </c>
      <c r="AF54" s="14">
        <v>2300</v>
      </c>
      <c r="AG54" s="14">
        <v>13500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1</v>
      </c>
      <c r="AX54" s="13">
        <v>120</v>
      </c>
      <c r="AY54" s="13">
        <v>0</v>
      </c>
      <c r="AZ54" s="13">
        <v>0</v>
      </c>
      <c r="BA54" s="13">
        <v>0</v>
      </c>
      <c r="BB54" s="13">
        <v>0</v>
      </c>
      <c r="BC54" s="13">
        <v>627</v>
      </c>
      <c r="BD54" s="14">
        <v>75240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5">
        <v>4526.3999999999996</v>
      </c>
      <c r="BM54" s="17">
        <v>91160</v>
      </c>
      <c r="BN54" s="9">
        <f t="shared" si="0"/>
        <v>86633.600000000006</v>
      </c>
      <c r="BO54" s="10">
        <f t="shared" si="1"/>
        <v>60643.519999999997</v>
      </c>
    </row>
    <row r="55" spans="1:67" ht="24">
      <c r="A55" s="5" t="s">
        <v>14</v>
      </c>
      <c r="B55" s="11" t="s">
        <v>134</v>
      </c>
      <c r="C55" s="11">
        <v>328404</v>
      </c>
      <c r="D55" s="12"/>
      <c r="E55" s="11" t="s">
        <v>16</v>
      </c>
      <c r="F55" s="11" t="s">
        <v>30</v>
      </c>
      <c r="G55" s="11" t="s">
        <v>31</v>
      </c>
      <c r="H55" s="13" t="s">
        <v>8</v>
      </c>
      <c r="I55" s="13" t="s">
        <v>135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26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168</v>
      </c>
      <c r="AF55" s="14">
        <v>15900</v>
      </c>
      <c r="AG55" s="13">
        <v>900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155</v>
      </c>
      <c r="AR55" s="14">
        <v>15500</v>
      </c>
      <c r="AS55" s="13">
        <v>0</v>
      </c>
      <c r="AT55" s="13">
        <v>0</v>
      </c>
      <c r="AU55" s="13">
        <v>0</v>
      </c>
      <c r="AV55" s="13">
        <v>0</v>
      </c>
      <c r="AW55" s="13">
        <v>127</v>
      </c>
      <c r="AX55" s="14">
        <v>15240</v>
      </c>
      <c r="AY55" s="13">
        <v>0</v>
      </c>
      <c r="AZ55" s="13">
        <v>0</v>
      </c>
      <c r="BA55" s="13">
        <v>0</v>
      </c>
      <c r="BB55" s="13">
        <v>0</v>
      </c>
      <c r="BC55" s="13">
        <v>358</v>
      </c>
      <c r="BD55" s="14">
        <v>42960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5">
        <v>4101.6000000000004</v>
      </c>
      <c r="BM55" s="17">
        <v>90500</v>
      </c>
      <c r="BN55" s="9">
        <f t="shared" si="0"/>
        <v>86398.399999999994</v>
      </c>
      <c r="BO55" s="10">
        <f t="shared" si="1"/>
        <v>60478.87999999999</v>
      </c>
    </row>
    <row r="56" spans="1:67" ht="24">
      <c r="A56" s="5" t="s">
        <v>14</v>
      </c>
      <c r="B56" s="11" t="s">
        <v>201</v>
      </c>
      <c r="C56" s="11">
        <v>399878</v>
      </c>
      <c r="D56" s="12"/>
      <c r="E56" s="11" t="s">
        <v>16</v>
      </c>
      <c r="F56" s="11" t="s">
        <v>202</v>
      </c>
      <c r="G56" s="11" t="s">
        <v>31</v>
      </c>
      <c r="H56" s="13" t="s">
        <v>8</v>
      </c>
      <c r="I56" s="13" t="s">
        <v>203</v>
      </c>
      <c r="J56" s="13">
        <v>0</v>
      </c>
      <c r="K56" s="13">
        <v>504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13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111</v>
      </c>
      <c r="AF56" s="14">
        <v>5100</v>
      </c>
      <c r="AG56" s="14">
        <v>6000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189</v>
      </c>
      <c r="AR56" s="14">
        <v>18500</v>
      </c>
      <c r="AS56" s="13">
        <v>400</v>
      </c>
      <c r="AT56" s="13">
        <v>0</v>
      </c>
      <c r="AU56" s="13">
        <v>0</v>
      </c>
      <c r="AV56" s="13">
        <v>0</v>
      </c>
      <c r="AW56" s="13">
        <v>72</v>
      </c>
      <c r="AX56" s="14">
        <v>8640</v>
      </c>
      <c r="AY56" s="13">
        <v>0</v>
      </c>
      <c r="AZ56" s="13">
        <v>0</v>
      </c>
      <c r="BA56" s="13">
        <v>0</v>
      </c>
      <c r="BB56" s="13">
        <v>0</v>
      </c>
      <c r="BC56" s="13">
        <v>406</v>
      </c>
      <c r="BD56" s="14">
        <v>48720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5">
        <v>3787.2</v>
      </c>
      <c r="BM56" s="17">
        <v>87360</v>
      </c>
      <c r="BN56" s="9">
        <f t="shared" si="0"/>
        <v>83572.800000000003</v>
      </c>
      <c r="BO56" s="10">
        <f t="shared" si="1"/>
        <v>58500.959999999999</v>
      </c>
    </row>
    <row r="57" spans="1:67" ht="24">
      <c r="A57" s="5" t="s">
        <v>14</v>
      </c>
      <c r="B57" s="11" t="s">
        <v>120</v>
      </c>
      <c r="C57" s="11">
        <v>383229</v>
      </c>
      <c r="D57" s="12"/>
      <c r="E57" s="11" t="s">
        <v>16</v>
      </c>
      <c r="F57" s="11" t="s">
        <v>121</v>
      </c>
      <c r="G57" s="11" t="s">
        <v>31</v>
      </c>
      <c r="H57" s="13" t="s">
        <v>8</v>
      </c>
      <c r="I57" s="13" t="s">
        <v>122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22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154</v>
      </c>
      <c r="AF57" s="14">
        <v>11460</v>
      </c>
      <c r="AG57" s="14">
        <v>4000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122</v>
      </c>
      <c r="AR57" s="14">
        <v>12200</v>
      </c>
      <c r="AS57" s="13">
        <v>0</v>
      </c>
      <c r="AT57" s="13">
        <v>0</v>
      </c>
      <c r="AU57" s="13">
        <v>0</v>
      </c>
      <c r="AV57" s="13">
        <v>0</v>
      </c>
      <c r="AW57" s="13">
        <v>129</v>
      </c>
      <c r="AX57" s="14">
        <v>15480</v>
      </c>
      <c r="AY57" s="13">
        <v>0</v>
      </c>
      <c r="AZ57" s="13">
        <v>0</v>
      </c>
      <c r="BA57" s="13">
        <v>0</v>
      </c>
      <c r="BB57" s="13">
        <v>0</v>
      </c>
      <c r="BC57" s="13">
        <v>367</v>
      </c>
      <c r="BD57" s="14">
        <v>44040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5">
        <v>4190.3999999999996</v>
      </c>
      <c r="BM57" s="17">
        <v>87180</v>
      </c>
      <c r="BN57" s="9">
        <f t="shared" si="0"/>
        <v>82989.600000000006</v>
      </c>
      <c r="BO57" s="10">
        <f t="shared" si="1"/>
        <v>58092.72</v>
      </c>
    </row>
    <row r="58" spans="1:67" ht="24">
      <c r="A58" s="5" t="s">
        <v>14</v>
      </c>
      <c r="B58" s="11" t="s">
        <v>569</v>
      </c>
      <c r="C58" s="11">
        <v>454879</v>
      </c>
      <c r="D58" s="12"/>
      <c r="E58" s="11" t="s">
        <v>16</v>
      </c>
      <c r="F58" s="11" t="s">
        <v>553</v>
      </c>
      <c r="G58" s="11" t="s">
        <v>31</v>
      </c>
      <c r="H58" s="13" t="s">
        <v>265</v>
      </c>
      <c r="I58" s="13" t="s">
        <v>570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2</v>
      </c>
      <c r="AF58" s="14">
        <v>12500</v>
      </c>
      <c r="AG58" s="14">
        <v>4800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1</v>
      </c>
      <c r="AR58" s="14">
        <v>5600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5</v>
      </c>
      <c r="BD58" s="14">
        <v>62520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5">
        <v>3751.2</v>
      </c>
      <c r="BM58" s="17">
        <v>85420</v>
      </c>
      <c r="BN58" s="9">
        <f t="shared" si="0"/>
        <v>81668.800000000003</v>
      </c>
      <c r="BO58" s="10">
        <f t="shared" si="1"/>
        <v>57168.159999999996</v>
      </c>
    </row>
    <row r="59" spans="1:67" ht="24">
      <c r="A59" s="5" t="s">
        <v>14</v>
      </c>
      <c r="B59" s="11" t="s">
        <v>597</v>
      </c>
      <c r="C59" s="11">
        <v>489732</v>
      </c>
      <c r="D59" s="12"/>
      <c r="E59" s="11" t="s">
        <v>16</v>
      </c>
      <c r="F59" s="11" t="s">
        <v>598</v>
      </c>
      <c r="G59" s="11" t="s">
        <v>10</v>
      </c>
      <c r="H59" s="13" t="s">
        <v>7</v>
      </c>
      <c r="I59" s="13" t="s">
        <v>599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566</v>
      </c>
      <c r="AF59" s="14">
        <v>20700</v>
      </c>
      <c r="AG59" s="14">
        <v>35900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40</v>
      </c>
      <c r="AR59" s="14">
        <v>4000</v>
      </c>
      <c r="AS59" s="13">
        <v>0</v>
      </c>
      <c r="AT59" s="13">
        <v>0</v>
      </c>
      <c r="AU59" s="13">
        <v>0</v>
      </c>
      <c r="AV59" s="13">
        <v>0</v>
      </c>
      <c r="AW59" s="13">
        <v>189</v>
      </c>
      <c r="AX59" s="14">
        <v>22680</v>
      </c>
      <c r="AY59" s="13">
        <v>0</v>
      </c>
      <c r="AZ59" s="13">
        <v>0</v>
      </c>
      <c r="BA59" s="13">
        <v>0</v>
      </c>
      <c r="BB59" s="13">
        <v>0</v>
      </c>
      <c r="BC59" s="13">
        <v>2</v>
      </c>
      <c r="BD59" s="13">
        <v>240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5">
        <v>2282.4</v>
      </c>
      <c r="BM59" s="17">
        <v>83520</v>
      </c>
      <c r="BN59" s="9">
        <f t="shared" si="0"/>
        <v>81237.600000000006</v>
      </c>
      <c r="BO59" s="10">
        <f t="shared" si="1"/>
        <v>56866.32</v>
      </c>
    </row>
    <row r="60" spans="1:67" ht="24">
      <c r="A60" s="5" t="s">
        <v>14</v>
      </c>
      <c r="B60" s="11" t="s">
        <v>101</v>
      </c>
      <c r="C60" s="11">
        <v>428379</v>
      </c>
      <c r="D60" s="12"/>
      <c r="E60" s="11" t="s">
        <v>16</v>
      </c>
      <c r="F60" s="11" t="s">
        <v>102</v>
      </c>
      <c r="G60" s="11" t="s">
        <v>337</v>
      </c>
      <c r="H60" s="13" t="s">
        <v>8</v>
      </c>
      <c r="I60" s="13" t="s">
        <v>103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4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149</v>
      </c>
      <c r="AF60" s="14">
        <v>8260</v>
      </c>
      <c r="AG60" s="14">
        <v>7600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78</v>
      </c>
      <c r="AR60" s="14">
        <v>7600</v>
      </c>
      <c r="AS60" s="13">
        <v>200</v>
      </c>
      <c r="AT60" s="13">
        <v>0</v>
      </c>
      <c r="AU60" s="13">
        <v>0</v>
      </c>
      <c r="AV60" s="13">
        <v>0</v>
      </c>
      <c r="AW60" s="13">
        <v>103</v>
      </c>
      <c r="AX60" s="14">
        <v>12360</v>
      </c>
      <c r="AY60" s="13">
        <v>0</v>
      </c>
      <c r="AZ60" s="13">
        <v>0</v>
      </c>
      <c r="BA60" s="13">
        <v>0</v>
      </c>
      <c r="BB60" s="13">
        <v>0</v>
      </c>
      <c r="BC60" s="13">
        <v>395</v>
      </c>
      <c r="BD60" s="14">
        <v>47400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5">
        <v>4080</v>
      </c>
      <c r="BM60" s="17">
        <v>83420</v>
      </c>
      <c r="BN60" s="9">
        <f t="shared" si="0"/>
        <v>79340</v>
      </c>
      <c r="BO60" s="10">
        <f t="shared" si="1"/>
        <v>55538</v>
      </c>
    </row>
    <row r="61" spans="1:67" ht="24">
      <c r="A61" s="5" t="s">
        <v>14</v>
      </c>
      <c r="B61" s="11" t="s">
        <v>65</v>
      </c>
      <c r="C61" s="11">
        <v>219203</v>
      </c>
      <c r="D61" s="12"/>
      <c r="E61" s="11" t="s">
        <v>16</v>
      </c>
      <c r="F61" s="11" t="s">
        <v>66</v>
      </c>
      <c r="G61" s="11" t="s">
        <v>10</v>
      </c>
      <c r="H61" s="13" t="s">
        <v>7</v>
      </c>
      <c r="I61" s="13" t="s">
        <v>67</v>
      </c>
      <c r="J61" s="13">
        <v>87</v>
      </c>
      <c r="K61" s="13">
        <v>27</v>
      </c>
      <c r="L61" s="13">
        <v>200</v>
      </c>
      <c r="M61" s="13">
        <v>0</v>
      </c>
      <c r="N61" s="14">
        <v>8500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236</v>
      </c>
      <c r="AC61" s="14">
        <v>12100</v>
      </c>
      <c r="AD61" s="14">
        <v>11500</v>
      </c>
      <c r="AE61" s="13">
        <v>10</v>
      </c>
      <c r="AF61" s="14">
        <v>1500</v>
      </c>
      <c r="AG61" s="14">
        <v>1500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239</v>
      </c>
      <c r="AO61" s="14">
        <v>23600</v>
      </c>
      <c r="AP61" s="13">
        <v>300</v>
      </c>
      <c r="AQ61" s="13">
        <v>1</v>
      </c>
      <c r="AR61" s="13">
        <v>300</v>
      </c>
      <c r="AS61" s="13">
        <v>0</v>
      </c>
      <c r="AT61" s="13">
        <v>4</v>
      </c>
      <c r="AU61" s="13">
        <v>480</v>
      </c>
      <c r="AV61" s="13">
        <v>0</v>
      </c>
      <c r="AW61" s="13">
        <v>1</v>
      </c>
      <c r="AX61" s="13">
        <v>360</v>
      </c>
      <c r="AY61" s="13">
        <v>0</v>
      </c>
      <c r="AZ61" s="13">
        <v>168</v>
      </c>
      <c r="BA61" s="14">
        <v>20160</v>
      </c>
      <c r="BB61" s="13">
        <v>0</v>
      </c>
      <c r="BC61" s="13">
        <v>7</v>
      </c>
      <c r="BD61" s="14">
        <v>2520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5">
        <v>1444.8</v>
      </c>
      <c r="BM61" s="17">
        <v>83020</v>
      </c>
      <c r="BN61" s="9">
        <f t="shared" si="0"/>
        <v>81575.199999999997</v>
      </c>
      <c r="BO61" s="10">
        <f t="shared" si="1"/>
        <v>57102.639999999992</v>
      </c>
    </row>
    <row r="62" spans="1:67" ht="24">
      <c r="A62" s="5" t="s">
        <v>14</v>
      </c>
      <c r="B62" s="11" t="s">
        <v>600</v>
      </c>
      <c r="C62" s="11">
        <v>445688</v>
      </c>
      <c r="D62" s="12"/>
      <c r="E62" s="11" t="s">
        <v>16</v>
      </c>
      <c r="F62" s="11" t="s">
        <v>22</v>
      </c>
      <c r="G62" s="11" t="s">
        <v>10</v>
      </c>
      <c r="H62" s="13" t="s">
        <v>7</v>
      </c>
      <c r="I62" s="13" t="s">
        <v>23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105</v>
      </c>
      <c r="AF62" s="13">
        <v>900</v>
      </c>
      <c r="AG62" s="14">
        <v>9600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434</v>
      </c>
      <c r="AR62" s="14">
        <v>42500</v>
      </c>
      <c r="AS62" s="13">
        <v>900</v>
      </c>
      <c r="AT62" s="13">
        <v>0</v>
      </c>
      <c r="AU62" s="13">
        <v>0</v>
      </c>
      <c r="AV62" s="13">
        <v>0</v>
      </c>
      <c r="AW62" s="13">
        <v>65</v>
      </c>
      <c r="AX62" s="14">
        <v>7800</v>
      </c>
      <c r="AY62" s="13">
        <v>0</v>
      </c>
      <c r="AZ62" s="13">
        <v>0</v>
      </c>
      <c r="BA62" s="13">
        <v>0</v>
      </c>
      <c r="BB62" s="13">
        <v>0</v>
      </c>
      <c r="BC62" s="13">
        <v>124</v>
      </c>
      <c r="BD62" s="14">
        <v>13680</v>
      </c>
      <c r="BE62" s="14">
        <v>1000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5">
        <v>1600.8</v>
      </c>
      <c r="BM62" s="17">
        <v>76380</v>
      </c>
      <c r="BN62" s="9">
        <f t="shared" si="0"/>
        <v>74779.199999999997</v>
      </c>
      <c r="BO62" s="10">
        <f t="shared" si="1"/>
        <v>52345.439999999995</v>
      </c>
    </row>
    <row r="63" spans="1:67" ht="24">
      <c r="A63" s="5" t="s">
        <v>14</v>
      </c>
      <c r="B63" s="11" t="s">
        <v>125</v>
      </c>
      <c r="C63" s="11">
        <v>406849</v>
      </c>
      <c r="D63" s="12"/>
      <c r="E63" s="11" t="s">
        <v>16</v>
      </c>
      <c r="F63" s="11" t="s">
        <v>106</v>
      </c>
      <c r="G63" s="11" t="s">
        <v>10</v>
      </c>
      <c r="H63" s="13" t="s">
        <v>7</v>
      </c>
      <c r="I63" s="13" t="s">
        <v>126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37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190</v>
      </c>
      <c r="AF63" s="14">
        <v>18800</v>
      </c>
      <c r="AG63" s="13">
        <v>200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160</v>
      </c>
      <c r="AR63" s="14">
        <v>16000</v>
      </c>
      <c r="AS63" s="13">
        <v>0</v>
      </c>
      <c r="AT63" s="13">
        <v>0</v>
      </c>
      <c r="AU63" s="13">
        <v>0</v>
      </c>
      <c r="AV63" s="13">
        <v>0</v>
      </c>
      <c r="AW63" s="13">
        <v>201</v>
      </c>
      <c r="AX63" s="14">
        <v>24120</v>
      </c>
      <c r="AY63" s="13">
        <v>0</v>
      </c>
      <c r="AZ63" s="13">
        <v>0</v>
      </c>
      <c r="BA63" s="13">
        <v>0</v>
      </c>
      <c r="BB63" s="13">
        <v>0</v>
      </c>
      <c r="BC63" s="13">
        <v>138</v>
      </c>
      <c r="BD63" s="14">
        <v>16560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5">
        <v>3405.6</v>
      </c>
      <c r="BM63" s="17">
        <v>75680</v>
      </c>
      <c r="BN63" s="9">
        <f t="shared" si="0"/>
        <v>72274.399999999994</v>
      </c>
      <c r="BO63" s="10">
        <f t="shared" si="1"/>
        <v>50592.079999999994</v>
      </c>
    </row>
    <row r="64" spans="1:67" ht="24">
      <c r="A64" s="5" t="s">
        <v>14</v>
      </c>
      <c r="B64" s="11" t="s">
        <v>53</v>
      </c>
      <c r="C64" s="11">
        <v>464776</v>
      </c>
      <c r="D64" s="12"/>
      <c r="E64" s="11" t="s">
        <v>16</v>
      </c>
      <c r="F64" s="11" t="s">
        <v>54</v>
      </c>
      <c r="G64" s="11" t="s">
        <v>337</v>
      </c>
      <c r="H64" s="13" t="s">
        <v>9</v>
      </c>
      <c r="I64" s="13" t="s">
        <v>55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327</v>
      </c>
      <c r="AF64" s="14">
        <v>24120</v>
      </c>
      <c r="AG64" s="14">
        <v>8600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94</v>
      </c>
      <c r="AR64" s="14">
        <v>9400</v>
      </c>
      <c r="AS64" s="13">
        <v>0</v>
      </c>
      <c r="AT64" s="13">
        <v>0</v>
      </c>
      <c r="AU64" s="13">
        <v>0</v>
      </c>
      <c r="AV64" s="13">
        <v>0</v>
      </c>
      <c r="AW64" s="13">
        <v>6</v>
      </c>
      <c r="AX64" s="13">
        <v>720</v>
      </c>
      <c r="AY64" s="13">
        <v>0</v>
      </c>
      <c r="AZ64" s="13">
        <v>0</v>
      </c>
      <c r="BA64" s="13">
        <v>0</v>
      </c>
      <c r="BB64" s="13">
        <v>0</v>
      </c>
      <c r="BC64" s="13">
        <v>270</v>
      </c>
      <c r="BD64" s="14">
        <v>32400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5">
        <v>2016</v>
      </c>
      <c r="BM64" s="17">
        <v>75240</v>
      </c>
      <c r="BN64" s="9">
        <f t="shared" si="0"/>
        <v>73224</v>
      </c>
      <c r="BO64" s="10">
        <f t="shared" si="1"/>
        <v>51256.799999999996</v>
      </c>
    </row>
    <row r="65" spans="1:67" ht="24">
      <c r="A65" s="5" t="s">
        <v>14</v>
      </c>
      <c r="B65" s="11" t="s">
        <v>215</v>
      </c>
      <c r="C65" s="11">
        <v>462361</v>
      </c>
      <c r="D65" s="12"/>
      <c r="E65" s="11" t="s">
        <v>16</v>
      </c>
      <c r="F65" s="11" t="s">
        <v>35</v>
      </c>
      <c r="G65" s="11" t="s">
        <v>10</v>
      </c>
      <c r="H65" s="13" t="s">
        <v>7</v>
      </c>
      <c r="I65" s="13" t="s">
        <v>216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4</v>
      </c>
      <c r="AF65" s="14">
        <v>9600</v>
      </c>
      <c r="AG65" s="13">
        <v>100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3</v>
      </c>
      <c r="AR65" s="14">
        <v>9600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13</v>
      </c>
      <c r="BD65" s="14">
        <v>49800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5">
        <v>2988</v>
      </c>
      <c r="BM65" s="17">
        <v>69100</v>
      </c>
      <c r="BN65" s="9">
        <f t="shared" si="0"/>
        <v>66112</v>
      </c>
      <c r="BO65" s="10">
        <f t="shared" si="1"/>
        <v>46278.399999999994</v>
      </c>
    </row>
    <row r="66" spans="1:67" ht="24">
      <c r="A66" s="5" t="s">
        <v>14</v>
      </c>
      <c r="B66" s="11" t="s">
        <v>142</v>
      </c>
      <c r="C66" s="11">
        <v>394079</v>
      </c>
      <c r="D66" s="12"/>
      <c r="E66" s="11" t="s">
        <v>16</v>
      </c>
      <c r="F66" s="11" t="s">
        <v>48</v>
      </c>
      <c r="G66" s="11" t="s">
        <v>31</v>
      </c>
      <c r="H66" s="13" t="s">
        <v>8</v>
      </c>
      <c r="I66" s="13" t="s">
        <v>143</v>
      </c>
      <c r="J66" s="13">
        <v>0</v>
      </c>
      <c r="K66" s="13">
        <v>2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277</v>
      </c>
      <c r="AF66" s="14">
        <v>26080</v>
      </c>
      <c r="AG66" s="14">
        <v>3300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28</v>
      </c>
      <c r="AX66" s="14">
        <v>3360</v>
      </c>
      <c r="AY66" s="13">
        <v>0</v>
      </c>
      <c r="AZ66" s="13">
        <v>0</v>
      </c>
      <c r="BA66" s="13">
        <v>0</v>
      </c>
      <c r="BB66" s="13">
        <v>0</v>
      </c>
      <c r="BC66" s="13">
        <v>297</v>
      </c>
      <c r="BD66" s="14">
        <v>35640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5">
        <v>2474.4</v>
      </c>
      <c r="BM66" s="17">
        <v>68380</v>
      </c>
      <c r="BN66" s="9">
        <f t="shared" si="0"/>
        <v>65905.600000000006</v>
      </c>
      <c r="BO66" s="10">
        <f t="shared" si="1"/>
        <v>46133.919999999998</v>
      </c>
    </row>
    <row r="67" spans="1:67" ht="24">
      <c r="A67" s="5" t="s">
        <v>14</v>
      </c>
      <c r="B67" s="11" t="s">
        <v>420</v>
      </c>
      <c r="C67" s="11">
        <v>475995</v>
      </c>
      <c r="D67" s="12"/>
      <c r="E67" s="11" t="s">
        <v>16</v>
      </c>
      <c r="F67" s="11" t="s">
        <v>51</v>
      </c>
      <c r="G67" s="11" t="s">
        <v>10</v>
      </c>
      <c r="H67" s="13" t="s">
        <v>7</v>
      </c>
      <c r="I67" s="13" t="s">
        <v>341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5</v>
      </c>
      <c r="AF67" s="14">
        <v>9600</v>
      </c>
      <c r="AG67" s="14">
        <v>4800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5</v>
      </c>
      <c r="AR67" s="14">
        <v>14400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10</v>
      </c>
      <c r="BD67" s="14">
        <v>38400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5">
        <v>2304</v>
      </c>
      <c r="BM67" s="17">
        <v>67200</v>
      </c>
      <c r="BN67" s="9">
        <f t="shared" ref="BN67:BN130" si="2">BM67-BL67</f>
        <v>64896</v>
      </c>
      <c r="BO67" s="10">
        <f t="shared" ref="BO67:BO130" si="3">BN67*70%</f>
        <v>45427.199999999997</v>
      </c>
    </row>
    <row r="68" spans="1:67" ht="24">
      <c r="A68" s="5" t="s">
        <v>14</v>
      </c>
      <c r="B68" s="11" t="s">
        <v>115</v>
      </c>
      <c r="C68" s="11">
        <v>386704</v>
      </c>
      <c r="D68" s="12"/>
      <c r="E68" s="11" t="s">
        <v>16</v>
      </c>
      <c r="F68" s="11" t="s">
        <v>116</v>
      </c>
      <c r="G68" s="11" t="s">
        <v>31</v>
      </c>
      <c r="H68" s="13" t="s">
        <v>8</v>
      </c>
      <c r="I68" s="13" t="s">
        <v>117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10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170</v>
      </c>
      <c r="AF68" s="14">
        <v>19320</v>
      </c>
      <c r="AG68" s="13">
        <v>900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7</v>
      </c>
      <c r="AR68" s="13">
        <v>700</v>
      </c>
      <c r="AS68" s="13">
        <v>0</v>
      </c>
      <c r="AT68" s="13">
        <v>0</v>
      </c>
      <c r="AU68" s="13">
        <v>0</v>
      </c>
      <c r="AV68" s="13">
        <v>0</v>
      </c>
      <c r="AW68" s="13">
        <v>45</v>
      </c>
      <c r="AX68" s="14">
        <v>5400</v>
      </c>
      <c r="AY68" s="13">
        <v>0</v>
      </c>
      <c r="AZ68" s="13">
        <v>0</v>
      </c>
      <c r="BA68" s="13">
        <v>0</v>
      </c>
      <c r="BB68" s="13">
        <v>0</v>
      </c>
      <c r="BC68" s="13">
        <v>331</v>
      </c>
      <c r="BD68" s="14">
        <v>39720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5">
        <v>2923.2</v>
      </c>
      <c r="BM68" s="17">
        <v>66040</v>
      </c>
      <c r="BN68" s="9">
        <f t="shared" si="2"/>
        <v>63116.800000000003</v>
      </c>
      <c r="BO68" s="10">
        <f t="shared" si="3"/>
        <v>44181.760000000002</v>
      </c>
    </row>
    <row r="69" spans="1:67" ht="24">
      <c r="A69" s="5" t="s">
        <v>14</v>
      </c>
      <c r="B69" s="11" t="s">
        <v>58</v>
      </c>
      <c r="C69" s="11">
        <v>386960</v>
      </c>
      <c r="D69" s="12"/>
      <c r="E69" s="11" t="s">
        <v>16</v>
      </c>
      <c r="F69" s="11" t="s">
        <v>59</v>
      </c>
      <c r="G69" s="11" t="s">
        <v>10</v>
      </c>
      <c r="H69" s="13" t="s">
        <v>7</v>
      </c>
      <c r="I69" s="13" t="s">
        <v>60</v>
      </c>
      <c r="J69" s="13">
        <v>0</v>
      </c>
      <c r="K69" s="13">
        <v>11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17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425</v>
      </c>
      <c r="AF69" s="14">
        <v>21700</v>
      </c>
      <c r="AG69" s="14">
        <v>20800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3</v>
      </c>
      <c r="AR69" s="13">
        <v>300</v>
      </c>
      <c r="AS69" s="13">
        <v>0</v>
      </c>
      <c r="AT69" s="13">
        <v>0</v>
      </c>
      <c r="AU69" s="13">
        <v>0</v>
      </c>
      <c r="AV69" s="13">
        <v>0</v>
      </c>
      <c r="AW69" s="13">
        <v>108</v>
      </c>
      <c r="AX69" s="14">
        <v>12960</v>
      </c>
      <c r="AY69" s="13">
        <v>0</v>
      </c>
      <c r="AZ69" s="13">
        <v>0</v>
      </c>
      <c r="BA69" s="13">
        <v>0</v>
      </c>
      <c r="BB69" s="13">
        <v>0</v>
      </c>
      <c r="BC69" s="13">
        <v>60</v>
      </c>
      <c r="BD69" s="14">
        <v>7200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5">
        <v>1728</v>
      </c>
      <c r="BM69" s="17">
        <v>62960</v>
      </c>
      <c r="BN69" s="9">
        <f t="shared" si="2"/>
        <v>61232</v>
      </c>
      <c r="BO69" s="10">
        <f t="shared" si="3"/>
        <v>42862.399999999994</v>
      </c>
    </row>
    <row r="70" spans="1:67" ht="24">
      <c r="A70" s="5" t="s">
        <v>14</v>
      </c>
      <c r="B70" s="11" t="s">
        <v>85</v>
      </c>
      <c r="C70" s="11">
        <v>462353</v>
      </c>
      <c r="D70" s="12"/>
      <c r="E70" s="11" t="s">
        <v>16</v>
      </c>
      <c r="F70" s="11" t="s">
        <v>35</v>
      </c>
      <c r="G70" s="11" t="s">
        <v>10</v>
      </c>
      <c r="H70" s="13" t="s">
        <v>7</v>
      </c>
      <c r="I70" s="13" t="s">
        <v>86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12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244</v>
      </c>
      <c r="AF70" s="14">
        <v>14260</v>
      </c>
      <c r="AG70" s="14">
        <v>10700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100</v>
      </c>
      <c r="AR70" s="14">
        <v>9800</v>
      </c>
      <c r="AS70" s="13">
        <v>200</v>
      </c>
      <c r="AT70" s="13">
        <v>0</v>
      </c>
      <c r="AU70" s="13">
        <v>0</v>
      </c>
      <c r="AV70" s="13">
        <v>0</v>
      </c>
      <c r="AW70" s="13">
        <v>134</v>
      </c>
      <c r="AX70" s="14">
        <v>16080</v>
      </c>
      <c r="AY70" s="13">
        <v>0</v>
      </c>
      <c r="AZ70" s="13">
        <v>0</v>
      </c>
      <c r="BA70" s="13">
        <v>0</v>
      </c>
      <c r="BB70" s="13">
        <v>0</v>
      </c>
      <c r="BC70" s="13">
        <v>81</v>
      </c>
      <c r="BD70" s="14">
        <v>9720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5">
        <v>2191.1999999999998</v>
      </c>
      <c r="BM70" s="17">
        <v>60760</v>
      </c>
      <c r="BN70" s="9">
        <f t="shared" si="2"/>
        <v>58568.800000000003</v>
      </c>
      <c r="BO70" s="10">
        <f t="shared" si="3"/>
        <v>40998.159999999996</v>
      </c>
    </row>
    <row r="71" spans="1:67" ht="24">
      <c r="A71" s="5" t="s">
        <v>14</v>
      </c>
      <c r="B71" s="11" t="s">
        <v>107</v>
      </c>
      <c r="C71" s="11">
        <v>415710</v>
      </c>
      <c r="D71" s="12"/>
      <c r="E71" s="11" t="s">
        <v>16</v>
      </c>
      <c r="F71" s="11" t="s">
        <v>48</v>
      </c>
      <c r="G71" s="11" t="s">
        <v>31</v>
      </c>
      <c r="H71" s="13" t="s">
        <v>8</v>
      </c>
      <c r="I71" s="13" t="s">
        <v>108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11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20</v>
      </c>
      <c r="AF71" s="13">
        <v>120</v>
      </c>
      <c r="AG71" s="14">
        <v>1900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25</v>
      </c>
      <c r="AR71" s="14">
        <v>2400</v>
      </c>
      <c r="AS71" s="13">
        <v>100</v>
      </c>
      <c r="AT71" s="13">
        <v>0</v>
      </c>
      <c r="AU71" s="13">
        <v>0</v>
      </c>
      <c r="AV71" s="13">
        <v>0</v>
      </c>
      <c r="AW71" s="13">
        <v>26</v>
      </c>
      <c r="AX71" s="14">
        <v>3120</v>
      </c>
      <c r="AY71" s="13">
        <v>0</v>
      </c>
      <c r="AZ71" s="13">
        <v>0</v>
      </c>
      <c r="BA71" s="13">
        <v>0</v>
      </c>
      <c r="BB71" s="13">
        <v>0</v>
      </c>
      <c r="BC71" s="13">
        <v>420</v>
      </c>
      <c r="BD71" s="14">
        <v>50400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5">
        <v>3336</v>
      </c>
      <c r="BM71" s="17">
        <v>58040</v>
      </c>
      <c r="BN71" s="9">
        <f t="shared" si="2"/>
        <v>54704</v>
      </c>
      <c r="BO71" s="10">
        <f t="shared" si="3"/>
        <v>38292.799999999996</v>
      </c>
    </row>
    <row r="72" spans="1:67" ht="24">
      <c r="A72" s="5" t="s">
        <v>14</v>
      </c>
      <c r="B72" s="11" t="s">
        <v>521</v>
      </c>
      <c r="C72" s="11">
        <v>486624</v>
      </c>
      <c r="D72" s="12"/>
      <c r="E72" s="11" t="s">
        <v>16</v>
      </c>
      <c r="F72" s="11" t="s">
        <v>263</v>
      </c>
      <c r="G72" s="11" t="s">
        <v>31</v>
      </c>
      <c r="H72" s="13" t="s">
        <v>8</v>
      </c>
      <c r="I72" s="13" t="s">
        <v>463</v>
      </c>
      <c r="J72" s="13">
        <v>0</v>
      </c>
      <c r="K72" s="13">
        <v>65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137</v>
      </c>
      <c r="AF72" s="14">
        <v>11500</v>
      </c>
      <c r="AG72" s="14">
        <v>2900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122</v>
      </c>
      <c r="AR72" s="14">
        <v>12200</v>
      </c>
      <c r="AS72" s="13">
        <v>0</v>
      </c>
      <c r="AT72" s="13">
        <v>0</v>
      </c>
      <c r="AU72" s="13">
        <v>0</v>
      </c>
      <c r="AV72" s="13">
        <v>0</v>
      </c>
      <c r="AW72" s="13">
        <v>49</v>
      </c>
      <c r="AX72" s="14">
        <v>5880</v>
      </c>
      <c r="AY72" s="13">
        <v>0</v>
      </c>
      <c r="AZ72" s="13">
        <v>0</v>
      </c>
      <c r="BA72" s="13">
        <v>0</v>
      </c>
      <c r="BB72" s="13">
        <v>0</v>
      </c>
      <c r="BC72" s="13">
        <v>204</v>
      </c>
      <c r="BD72" s="14">
        <v>24480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5">
        <v>2056.8000000000002</v>
      </c>
      <c r="BM72" s="17">
        <v>56960</v>
      </c>
      <c r="BN72" s="9">
        <f t="shared" si="2"/>
        <v>54903.199999999997</v>
      </c>
      <c r="BO72" s="10">
        <f t="shared" si="3"/>
        <v>38432.239999999998</v>
      </c>
    </row>
    <row r="73" spans="1:67" ht="24">
      <c r="A73" s="5" t="s">
        <v>14</v>
      </c>
      <c r="B73" s="11" t="s">
        <v>601</v>
      </c>
      <c r="C73" s="11">
        <v>462656</v>
      </c>
      <c r="D73" s="12"/>
      <c r="E73" s="11" t="s">
        <v>16</v>
      </c>
      <c r="F73" s="11" t="s">
        <v>233</v>
      </c>
      <c r="G73" s="11" t="s">
        <v>31</v>
      </c>
      <c r="H73" s="13" t="s">
        <v>265</v>
      </c>
      <c r="I73" s="13" t="s">
        <v>86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7</v>
      </c>
      <c r="AF73" s="14">
        <v>15200</v>
      </c>
      <c r="AG73" s="14">
        <v>9600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4</v>
      </c>
      <c r="AR73" s="14">
        <v>13000</v>
      </c>
      <c r="AS73" s="13">
        <v>200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4</v>
      </c>
      <c r="BD73" s="14">
        <v>18240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5">
        <v>1094.4000000000001</v>
      </c>
      <c r="BM73" s="17">
        <v>56240</v>
      </c>
      <c r="BN73" s="9">
        <f t="shared" si="2"/>
        <v>55145.599999999999</v>
      </c>
      <c r="BO73" s="10">
        <f t="shared" si="3"/>
        <v>38601.919999999998</v>
      </c>
    </row>
    <row r="74" spans="1:67" ht="24">
      <c r="A74" s="5" t="s">
        <v>14</v>
      </c>
      <c r="B74" s="11" t="s">
        <v>602</v>
      </c>
      <c r="C74" s="11">
        <v>425414</v>
      </c>
      <c r="D74" s="12"/>
      <c r="E74" s="11" t="s">
        <v>16</v>
      </c>
      <c r="F74" s="11" t="s">
        <v>113</v>
      </c>
      <c r="G74" s="11" t="s">
        <v>10</v>
      </c>
      <c r="H74" s="13" t="s">
        <v>7</v>
      </c>
      <c r="I74" s="13" t="s">
        <v>114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26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216</v>
      </c>
      <c r="AF74" s="14">
        <v>20100</v>
      </c>
      <c r="AG74" s="14">
        <v>1500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243</v>
      </c>
      <c r="AR74" s="14">
        <v>24100</v>
      </c>
      <c r="AS74" s="13">
        <v>200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69</v>
      </c>
      <c r="BD74" s="14">
        <v>8280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496.8</v>
      </c>
      <c r="BM74" s="17">
        <v>54180</v>
      </c>
      <c r="BN74" s="9">
        <f t="shared" si="2"/>
        <v>53683.199999999997</v>
      </c>
      <c r="BO74" s="10">
        <f t="shared" si="3"/>
        <v>37578.239999999998</v>
      </c>
    </row>
    <row r="75" spans="1:67" ht="24">
      <c r="A75" s="5" t="s">
        <v>14</v>
      </c>
      <c r="B75" s="11" t="s">
        <v>331</v>
      </c>
      <c r="C75" s="11">
        <v>470379</v>
      </c>
      <c r="D75" s="12"/>
      <c r="E75" s="11" t="s">
        <v>16</v>
      </c>
      <c r="F75" s="11" t="s">
        <v>69</v>
      </c>
      <c r="G75" s="11" t="s">
        <v>337</v>
      </c>
      <c r="H75" s="13" t="s">
        <v>7</v>
      </c>
      <c r="I75" s="13" t="s">
        <v>18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7</v>
      </c>
      <c r="AF75" s="14">
        <v>27300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1</v>
      </c>
      <c r="AR75" s="14">
        <v>1500</v>
      </c>
      <c r="AS75" s="13">
        <v>200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6</v>
      </c>
      <c r="BD75" s="14">
        <v>23160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5">
        <v>1389.6</v>
      </c>
      <c r="BM75" s="17">
        <v>52160</v>
      </c>
      <c r="BN75" s="9">
        <f t="shared" si="2"/>
        <v>50770.400000000001</v>
      </c>
      <c r="BO75" s="10">
        <f t="shared" si="3"/>
        <v>35539.279999999999</v>
      </c>
    </row>
    <row r="76" spans="1:67" ht="24">
      <c r="A76" s="5" t="s">
        <v>14</v>
      </c>
      <c r="B76" s="11" t="s">
        <v>161</v>
      </c>
      <c r="C76" s="11">
        <v>370192</v>
      </c>
      <c r="D76" s="12"/>
      <c r="E76" s="11" t="s">
        <v>16</v>
      </c>
      <c r="F76" s="11" t="s">
        <v>124</v>
      </c>
      <c r="G76" s="11" t="s">
        <v>31</v>
      </c>
      <c r="H76" s="13" t="s">
        <v>8</v>
      </c>
      <c r="I76" s="13" t="s">
        <v>162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16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199</v>
      </c>
      <c r="AF76" s="14">
        <v>15880</v>
      </c>
      <c r="AG76" s="14">
        <v>4400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63</v>
      </c>
      <c r="AR76" s="14">
        <v>6300</v>
      </c>
      <c r="AS76" s="13">
        <v>0</v>
      </c>
      <c r="AT76" s="13">
        <v>0</v>
      </c>
      <c r="AU76" s="13">
        <v>0</v>
      </c>
      <c r="AV76" s="13">
        <v>0</v>
      </c>
      <c r="AW76" s="13">
        <v>135</v>
      </c>
      <c r="AX76" s="14">
        <v>16200</v>
      </c>
      <c r="AY76" s="13">
        <v>0</v>
      </c>
      <c r="AZ76" s="13">
        <v>0</v>
      </c>
      <c r="BA76" s="13">
        <v>0</v>
      </c>
      <c r="BB76" s="13">
        <v>0</v>
      </c>
      <c r="BC76" s="13">
        <v>61</v>
      </c>
      <c r="BD76" s="14">
        <v>7320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5">
        <v>2059.1999999999998</v>
      </c>
      <c r="BM76" s="17">
        <v>50100</v>
      </c>
      <c r="BN76" s="9">
        <f t="shared" si="2"/>
        <v>48040.800000000003</v>
      </c>
      <c r="BO76" s="10">
        <f t="shared" si="3"/>
        <v>33628.559999999998</v>
      </c>
    </row>
    <row r="77" spans="1:67" ht="24">
      <c r="A77" s="5" t="s">
        <v>14</v>
      </c>
      <c r="B77" s="11" t="s">
        <v>411</v>
      </c>
      <c r="C77" s="11">
        <v>478890</v>
      </c>
      <c r="D77" s="12"/>
      <c r="E77" s="11" t="s">
        <v>16</v>
      </c>
      <c r="F77" s="11" t="s">
        <v>348</v>
      </c>
      <c r="G77" s="11" t="s">
        <v>337</v>
      </c>
      <c r="H77" s="13" t="s">
        <v>8</v>
      </c>
      <c r="I77" s="13" t="s">
        <v>412</v>
      </c>
      <c r="J77" s="13">
        <v>69</v>
      </c>
      <c r="K77" s="13">
        <v>0</v>
      </c>
      <c r="L77" s="14">
        <v>6900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243</v>
      </c>
      <c r="AF77" s="14">
        <v>22240</v>
      </c>
      <c r="AG77" s="14">
        <v>3400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4</v>
      </c>
      <c r="AR77" s="13">
        <v>400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118</v>
      </c>
      <c r="BD77" s="14">
        <v>14160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849.6</v>
      </c>
      <c r="BM77" s="17">
        <v>47100</v>
      </c>
      <c r="BN77" s="9">
        <f t="shared" si="2"/>
        <v>46250.400000000001</v>
      </c>
      <c r="BO77" s="10">
        <f t="shared" si="3"/>
        <v>32375.279999999999</v>
      </c>
    </row>
    <row r="78" spans="1:67" ht="24">
      <c r="A78" s="5" t="s">
        <v>14</v>
      </c>
      <c r="B78" s="11" t="s">
        <v>485</v>
      </c>
      <c r="C78" s="11">
        <v>410077</v>
      </c>
      <c r="D78" s="12"/>
      <c r="E78" s="11" t="s">
        <v>16</v>
      </c>
      <c r="F78" s="11" t="s">
        <v>486</v>
      </c>
      <c r="G78" s="11" t="s">
        <v>10</v>
      </c>
      <c r="H78" s="13" t="s">
        <v>7</v>
      </c>
      <c r="I78" s="13" t="s">
        <v>193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6</v>
      </c>
      <c r="AR78" s="14">
        <v>19000</v>
      </c>
      <c r="AS78" s="13">
        <v>200</v>
      </c>
      <c r="AT78" s="13">
        <v>0</v>
      </c>
      <c r="AU78" s="13">
        <v>0</v>
      </c>
      <c r="AV78" s="13">
        <v>0</v>
      </c>
      <c r="AW78" s="13">
        <v>5</v>
      </c>
      <c r="AX78" s="14">
        <v>19200</v>
      </c>
      <c r="AY78" s="13">
        <v>0</v>
      </c>
      <c r="AZ78" s="13">
        <v>0</v>
      </c>
      <c r="BA78" s="13">
        <v>0</v>
      </c>
      <c r="BB78" s="13">
        <v>0</v>
      </c>
      <c r="BC78" s="13">
        <v>1</v>
      </c>
      <c r="BD78" s="14">
        <v>3840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5">
        <v>2150.4</v>
      </c>
      <c r="BM78" s="17">
        <v>42240</v>
      </c>
      <c r="BN78" s="9">
        <f t="shared" si="2"/>
        <v>40089.599999999999</v>
      </c>
      <c r="BO78" s="10">
        <f t="shared" si="3"/>
        <v>28062.719999999998</v>
      </c>
    </row>
    <row r="79" spans="1:67" ht="24">
      <c r="A79" s="5" t="s">
        <v>14</v>
      </c>
      <c r="B79" s="11" t="s">
        <v>109</v>
      </c>
      <c r="C79" s="11">
        <v>379813</v>
      </c>
      <c r="D79" s="12"/>
      <c r="E79" s="11" t="s">
        <v>16</v>
      </c>
      <c r="F79" s="11" t="s">
        <v>27</v>
      </c>
      <c r="G79" s="11" t="s">
        <v>10</v>
      </c>
      <c r="H79" s="13" t="s">
        <v>7</v>
      </c>
      <c r="I79" s="13" t="s">
        <v>110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9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76</v>
      </c>
      <c r="AF79" s="13">
        <v>0</v>
      </c>
      <c r="AG79" s="14">
        <v>7600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334</v>
      </c>
      <c r="AR79" s="14">
        <v>31900</v>
      </c>
      <c r="AS79" s="14">
        <v>1500</v>
      </c>
      <c r="AT79" s="13">
        <v>0</v>
      </c>
      <c r="AU79" s="13">
        <v>0</v>
      </c>
      <c r="AV79" s="13">
        <v>0</v>
      </c>
      <c r="AW79" s="13">
        <v>3</v>
      </c>
      <c r="AX79" s="13">
        <v>360</v>
      </c>
      <c r="AY79" s="13">
        <v>0</v>
      </c>
      <c r="AZ79" s="13">
        <v>0</v>
      </c>
      <c r="BA79" s="13">
        <v>0</v>
      </c>
      <c r="BB79" s="13">
        <v>0</v>
      </c>
      <c r="BC79" s="13">
        <v>4</v>
      </c>
      <c r="BD79" s="13">
        <v>480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64.8</v>
      </c>
      <c r="BM79" s="17">
        <v>41840</v>
      </c>
      <c r="BN79" s="9">
        <f t="shared" si="2"/>
        <v>41775.199999999997</v>
      </c>
      <c r="BO79" s="10">
        <f t="shared" si="3"/>
        <v>29242.639999999996</v>
      </c>
    </row>
    <row r="80" spans="1:67" ht="24">
      <c r="A80" s="5" t="s">
        <v>14</v>
      </c>
      <c r="B80" s="11" t="s">
        <v>139</v>
      </c>
      <c r="C80" s="11">
        <v>350894</v>
      </c>
      <c r="D80" s="12"/>
      <c r="E80" s="11" t="s">
        <v>16</v>
      </c>
      <c r="F80" s="11" t="s">
        <v>140</v>
      </c>
      <c r="G80" s="11" t="s">
        <v>31</v>
      </c>
      <c r="H80" s="13" t="s">
        <v>8</v>
      </c>
      <c r="I80" s="13" t="s">
        <v>141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13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85</v>
      </c>
      <c r="AF80" s="14">
        <v>6200</v>
      </c>
      <c r="AG80" s="14">
        <v>2300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26</v>
      </c>
      <c r="AR80" s="14">
        <v>2600</v>
      </c>
      <c r="AS80" s="13">
        <v>0</v>
      </c>
      <c r="AT80" s="13">
        <v>0</v>
      </c>
      <c r="AU80" s="13">
        <v>0</v>
      </c>
      <c r="AV80" s="13">
        <v>0</v>
      </c>
      <c r="AW80" s="13">
        <v>25</v>
      </c>
      <c r="AX80" s="14">
        <v>3000</v>
      </c>
      <c r="AY80" s="13">
        <v>0</v>
      </c>
      <c r="AZ80" s="13">
        <v>0</v>
      </c>
      <c r="BA80" s="13">
        <v>0</v>
      </c>
      <c r="BB80" s="13">
        <v>0</v>
      </c>
      <c r="BC80" s="13">
        <v>222</v>
      </c>
      <c r="BD80" s="14">
        <v>26640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5">
        <v>1898.4</v>
      </c>
      <c r="BM80" s="17">
        <v>40740</v>
      </c>
      <c r="BN80" s="9">
        <f t="shared" si="2"/>
        <v>38841.599999999999</v>
      </c>
      <c r="BO80" s="10">
        <f t="shared" si="3"/>
        <v>27189.119999999999</v>
      </c>
    </row>
    <row r="81" spans="1:67" ht="24">
      <c r="A81" s="5" t="s">
        <v>14</v>
      </c>
      <c r="B81" s="11" t="s">
        <v>163</v>
      </c>
      <c r="C81" s="11">
        <v>359006</v>
      </c>
      <c r="D81" s="12"/>
      <c r="E81" s="11" t="s">
        <v>16</v>
      </c>
      <c r="F81" s="11" t="s">
        <v>121</v>
      </c>
      <c r="G81" s="11" t="s">
        <v>31</v>
      </c>
      <c r="H81" s="13" t="s">
        <v>8</v>
      </c>
      <c r="I81" s="13" t="s">
        <v>164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11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188</v>
      </c>
      <c r="AF81" s="14">
        <v>5600</v>
      </c>
      <c r="AG81" s="14">
        <v>13200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111</v>
      </c>
      <c r="AR81" s="14">
        <v>11100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74</v>
      </c>
      <c r="BD81" s="14">
        <v>8880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532.79999999999995</v>
      </c>
      <c r="BM81" s="17">
        <v>38780</v>
      </c>
      <c r="BN81" s="9">
        <f t="shared" si="2"/>
        <v>38247.199999999997</v>
      </c>
      <c r="BO81" s="10">
        <f t="shared" si="3"/>
        <v>26773.039999999997</v>
      </c>
    </row>
    <row r="82" spans="1:67" ht="24">
      <c r="A82" s="5" t="s">
        <v>14</v>
      </c>
      <c r="B82" s="11" t="s">
        <v>439</v>
      </c>
      <c r="C82" s="11">
        <v>134596</v>
      </c>
      <c r="D82" s="12" t="s">
        <v>440</v>
      </c>
      <c r="E82" s="11" t="s">
        <v>16</v>
      </c>
      <c r="F82" s="11" t="s">
        <v>27</v>
      </c>
      <c r="G82" s="11" t="s">
        <v>10</v>
      </c>
      <c r="H82" s="13" t="s">
        <v>7</v>
      </c>
      <c r="I82" s="13" t="s">
        <v>441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10</v>
      </c>
      <c r="BD82" s="14">
        <v>38400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5">
        <v>2304</v>
      </c>
      <c r="BM82" s="17">
        <v>38400</v>
      </c>
      <c r="BN82" s="9">
        <f t="shared" si="2"/>
        <v>36096</v>
      </c>
      <c r="BO82" s="10">
        <f t="shared" si="3"/>
        <v>25267.199999999997</v>
      </c>
    </row>
    <row r="83" spans="1:67" ht="24">
      <c r="A83" s="5" t="s">
        <v>14</v>
      </c>
      <c r="B83" s="11" t="s">
        <v>342</v>
      </c>
      <c r="C83" s="11">
        <v>476783</v>
      </c>
      <c r="D83" s="12"/>
      <c r="E83" s="11" t="s">
        <v>16</v>
      </c>
      <c r="F83" s="11" t="s">
        <v>343</v>
      </c>
      <c r="G83" s="11" t="s">
        <v>31</v>
      </c>
      <c r="H83" s="13" t="s">
        <v>8</v>
      </c>
      <c r="I83" s="13" t="s">
        <v>344</v>
      </c>
      <c r="J83" s="13">
        <v>27</v>
      </c>
      <c r="K83" s="14">
        <v>1605</v>
      </c>
      <c r="L83" s="14">
        <v>2700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99</v>
      </c>
      <c r="AF83" s="14">
        <v>1380</v>
      </c>
      <c r="AG83" s="14">
        <v>8600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60</v>
      </c>
      <c r="AR83" s="14">
        <v>5800</v>
      </c>
      <c r="AS83" s="13">
        <v>200</v>
      </c>
      <c r="AT83" s="13">
        <v>0</v>
      </c>
      <c r="AU83" s="13">
        <v>0</v>
      </c>
      <c r="AV83" s="13">
        <v>0</v>
      </c>
      <c r="AW83" s="13">
        <v>7</v>
      </c>
      <c r="AX83" s="13">
        <v>840</v>
      </c>
      <c r="AY83" s="13">
        <v>0</v>
      </c>
      <c r="AZ83" s="13">
        <v>0</v>
      </c>
      <c r="BA83" s="13">
        <v>0</v>
      </c>
      <c r="BB83" s="13">
        <v>0</v>
      </c>
      <c r="BC83" s="13">
        <v>157</v>
      </c>
      <c r="BD83" s="14">
        <v>18840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5">
        <v>1214.4000000000001</v>
      </c>
      <c r="BM83" s="17">
        <v>38360</v>
      </c>
      <c r="BN83" s="9">
        <f t="shared" si="2"/>
        <v>37145.599999999999</v>
      </c>
      <c r="BO83" s="10">
        <f t="shared" si="3"/>
        <v>26001.919999999998</v>
      </c>
    </row>
    <row r="84" spans="1:67" ht="24">
      <c r="A84" s="5" t="s">
        <v>14</v>
      </c>
      <c r="B84" s="11" t="s">
        <v>127</v>
      </c>
      <c r="C84" s="11">
        <v>337887</v>
      </c>
      <c r="D84" s="12"/>
      <c r="E84" s="11" t="s">
        <v>16</v>
      </c>
      <c r="F84" s="11" t="s">
        <v>124</v>
      </c>
      <c r="G84" s="11" t="s">
        <v>31</v>
      </c>
      <c r="H84" s="13" t="s">
        <v>8</v>
      </c>
      <c r="I84" s="13" t="s">
        <v>128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5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117</v>
      </c>
      <c r="AF84" s="14">
        <v>10600</v>
      </c>
      <c r="AG84" s="14">
        <v>1100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40</v>
      </c>
      <c r="AR84" s="14">
        <v>3000</v>
      </c>
      <c r="AS84" s="14">
        <v>1000</v>
      </c>
      <c r="AT84" s="13">
        <v>0</v>
      </c>
      <c r="AU84" s="13">
        <v>0</v>
      </c>
      <c r="AV84" s="13">
        <v>0</v>
      </c>
      <c r="AW84" s="13">
        <v>43</v>
      </c>
      <c r="AX84" s="14">
        <v>5160</v>
      </c>
      <c r="AY84" s="13">
        <v>0</v>
      </c>
      <c r="AZ84" s="13">
        <v>0</v>
      </c>
      <c r="BA84" s="13">
        <v>0</v>
      </c>
      <c r="BB84" s="13">
        <v>0</v>
      </c>
      <c r="BC84" s="13">
        <v>141</v>
      </c>
      <c r="BD84" s="14">
        <v>16920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5">
        <v>1531.2</v>
      </c>
      <c r="BM84" s="17">
        <v>37780</v>
      </c>
      <c r="BN84" s="9">
        <f t="shared" si="2"/>
        <v>36248.800000000003</v>
      </c>
      <c r="BO84" s="10">
        <f t="shared" si="3"/>
        <v>25374.16</v>
      </c>
    </row>
    <row r="85" spans="1:67" ht="24">
      <c r="A85" s="5" t="s">
        <v>14</v>
      </c>
      <c r="B85" s="11" t="s">
        <v>204</v>
      </c>
      <c r="C85" s="11">
        <v>382446</v>
      </c>
      <c r="D85" s="12"/>
      <c r="E85" s="11" t="s">
        <v>16</v>
      </c>
      <c r="F85" s="11" t="s">
        <v>48</v>
      </c>
      <c r="G85" s="11" t="s">
        <v>31</v>
      </c>
      <c r="H85" s="13" t="s">
        <v>8</v>
      </c>
      <c r="I85" s="13" t="s">
        <v>205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3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65</v>
      </c>
      <c r="AF85" s="14">
        <v>6300</v>
      </c>
      <c r="AG85" s="13">
        <v>200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32</v>
      </c>
      <c r="AR85" s="14">
        <v>3200</v>
      </c>
      <c r="AS85" s="13">
        <v>0</v>
      </c>
      <c r="AT85" s="13">
        <v>0</v>
      </c>
      <c r="AU85" s="13">
        <v>0</v>
      </c>
      <c r="AV85" s="13">
        <v>0</v>
      </c>
      <c r="AW85" s="13">
        <v>33</v>
      </c>
      <c r="AX85" s="14">
        <v>4074</v>
      </c>
      <c r="AY85" s="13">
        <v>0</v>
      </c>
      <c r="AZ85" s="13">
        <v>0</v>
      </c>
      <c r="BA85" s="13">
        <v>0</v>
      </c>
      <c r="BB85" s="13">
        <v>0</v>
      </c>
      <c r="BC85" s="13">
        <v>194</v>
      </c>
      <c r="BD85" s="14">
        <v>23280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5">
        <v>1804.2</v>
      </c>
      <c r="BM85" s="17">
        <v>37054</v>
      </c>
      <c r="BN85" s="9">
        <f t="shared" si="2"/>
        <v>35249.800000000003</v>
      </c>
      <c r="BO85" s="10">
        <f t="shared" si="3"/>
        <v>24674.86</v>
      </c>
    </row>
    <row r="86" spans="1:67" ht="24">
      <c r="A86" s="5" t="s">
        <v>14</v>
      </c>
      <c r="B86" s="11" t="s">
        <v>187</v>
      </c>
      <c r="C86" s="11">
        <v>393598</v>
      </c>
      <c r="D86" s="12"/>
      <c r="E86" s="11" t="s">
        <v>16</v>
      </c>
      <c r="F86" s="11" t="s">
        <v>553</v>
      </c>
      <c r="G86" s="11" t="s">
        <v>31</v>
      </c>
      <c r="H86" s="13" t="s">
        <v>8</v>
      </c>
      <c r="I86" s="13" t="s">
        <v>188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19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9</v>
      </c>
      <c r="AF86" s="13">
        <v>300</v>
      </c>
      <c r="AG86" s="13">
        <v>600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171</v>
      </c>
      <c r="AR86" s="14">
        <v>15100</v>
      </c>
      <c r="AS86" s="14">
        <v>2000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124</v>
      </c>
      <c r="BD86" s="14">
        <v>14880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892.8</v>
      </c>
      <c r="BM86" s="17">
        <v>32880</v>
      </c>
      <c r="BN86" s="9">
        <f t="shared" si="2"/>
        <v>31987.200000000001</v>
      </c>
      <c r="BO86" s="10">
        <f t="shared" si="3"/>
        <v>22391.040000000001</v>
      </c>
    </row>
    <row r="87" spans="1:67" ht="24">
      <c r="A87" s="5" t="s">
        <v>14</v>
      </c>
      <c r="B87" s="11" t="s">
        <v>269</v>
      </c>
      <c r="C87" s="11">
        <v>363413</v>
      </c>
      <c r="D87" s="12"/>
      <c r="E87" s="11" t="s">
        <v>16</v>
      </c>
      <c r="F87" s="11" t="s">
        <v>99</v>
      </c>
      <c r="G87" s="11" t="s">
        <v>31</v>
      </c>
      <c r="H87" s="13" t="s">
        <v>8</v>
      </c>
      <c r="I87" s="13" t="s">
        <v>270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10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70</v>
      </c>
      <c r="AF87" s="14">
        <v>2800</v>
      </c>
      <c r="AG87" s="14">
        <v>4200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84</v>
      </c>
      <c r="AR87" s="14">
        <v>8100</v>
      </c>
      <c r="AS87" s="13">
        <v>300</v>
      </c>
      <c r="AT87" s="13">
        <v>0</v>
      </c>
      <c r="AU87" s="13">
        <v>0</v>
      </c>
      <c r="AV87" s="13">
        <v>0</v>
      </c>
      <c r="AW87" s="13">
        <v>59</v>
      </c>
      <c r="AX87" s="14">
        <v>7080</v>
      </c>
      <c r="AY87" s="13">
        <v>0</v>
      </c>
      <c r="AZ87" s="13">
        <v>0</v>
      </c>
      <c r="BA87" s="13">
        <v>0</v>
      </c>
      <c r="BB87" s="13">
        <v>0</v>
      </c>
      <c r="BC87" s="13">
        <v>85</v>
      </c>
      <c r="BD87" s="14">
        <v>10200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5">
        <v>1320</v>
      </c>
      <c r="BM87" s="17">
        <v>32680</v>
      </c>
      <c r="BN87" s="9">
        <f t="shared" si="2"/>
        <v>31360</v>
      </c>
      <c r="BO87" s="10">
        <f t="shared" si="3"/>
        <v>21952</v>
      </c>
    </row>
    <row r="88" spans="1:67" ht="24">
      <c r="A88" s="5" t="s">
        <v>14</v>
      </c>
      <c r="B88" s="11" t="s">
        <v>250</v>
      </c>
      <c r="C88" s="11">
        <v>392673</v>
      </c>
      <c r="D88" s="12"/>
      <c r="E88" s="11" t="s">
        <v>16</v>
      </c>
      <c r="F88" s="11" t="s">
        <v>99</v>
      </c>
      <c r="G88" s="11" t="s">
        <v>31</v>
      </c>
      <c r="H88" s="13" t="s">
        <v>8</v>
      </c>
      <c r="I88" s="13" t="s">
        <v>251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2</v>
      </c>
      <c r="AF88" s="13">
        <v>0</v>
      </c>
      <c r="AG88" s="14">
        <v>6400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1</v>
      </c>
      <c r="AR88" s="14">
        <v>3200</v>
      </c>
      <c r="AS88" s="13">
        <v>0</v>
      </c>
      <c r="AT88" s="13">
        <v>0</v>
      </c>
      <c r="AU88" s="13">
        <v>0</v>
      </c>
      <c r="AV88" s="13">
        <v>0</v>
      </c>
      <c r="AW88" s="13">
        <v>1</v>
      </c>
      <c r="AX88" s="14">
        <v>3840</v>
      </c>
      <c r="AY88" s="13">
        <v>0</v>
      </c>
      <c r="AZ88" s="13">
        <v>0</v>
      </c>
      <c r="BA88" s="13">
        <v>0</v>
      </c>
      <c r="BB88" s="13">
        <v>0</v>
      </c>
      <c r="BC88" s="13">
        <v>5</v>
      </c>
      <c r="BD88" s="14">
        <v>19200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5">
        <v>1536</v>
      </c>
      <c r="BM88" s="17">
        <v>32640</v>
      </c>
      <c r="BN88" s="9">
        <f t="shared" si="2"/>
        <v>31104</v>
      </c>
      <c r="BO88" s="10">
        <f t="shared" si="3"/>
        <v>21772.799999999999</v>
      </c>
    </row>
    <row r="89" spans="1:67" ht="24">
      <c r="A89" s="5" t="s">
        <v>14</v>
      </c>
      <c r="B89" s="11" t="s">
        <v>504</v>
      </c>
      <c r="C89" s="11">
        <v>381684</v>
      </c>
      <c r="D89" s="12"/>
      <c r="E89" s="11" t="s">
        <v>16</v>
      </c>
      <c r="F89" s="11" t="s">
        <v>124</v>
      </c>
      <c r="G89" s="11" t="s">
        <v>31</v>
      </c>
      <c r="H89" s="13" t="s">
        <v>265</v>
      </c>
      <c r="I89" s="13" t="s">
        <v>505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1</v>
      </c>
      <c r="AF89" s="13">
        <v>0</v>
      </c>
      <c r="AG89" s="14">
        <v>3800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2</v>
      </c>
      <c r="AX89" s="14">
        <v>9120</v>
      </c>
      <c r="AY89" s="13">
        <v>0</v>
      </c>
      <c r="AZ89" s="13">
        <v>0</v>
      </c>
      <c r="BA89" s="13">
        <v>0</v>
      </c>
      <c r="BB89" s="13">
        <v>0</v>
      </c>
      <c r="BC89" s="13">
        <v>4</v>
      </c>
      <c r="BD89" s="14">
        <v>18240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5">
        <v>2006.4</v>
      </c>
      <c r="BM89" s="17">
        <v>31160</v>
      </c>
      <c r="BN89" s="9">
        <f t="shared" si="2"/>
        <v>29153.599999999999</v>
      </c>
      <c r="BO89" s="10">
        <f t="shared" si="3"/>
        <v>20407.519999999997</v>
      </c>
    </row>
    <row r="90" spans="1:67" ht="24">
      <c r="A90" s="5" t="s">
        <v>14</v>
      </c>
      <c r="B90" s="11" t="s">
        <v>496</v>
      </c>
      <c r="C90" s="11">
        <v>485788</v>
      </c>
      <c r="D90" s="12"/>
      <c r="E90" s="11" t="s">
        <v>16</v>
      </c>
      <c r="F90" s="11" t="s">
        <v>415</v>
      </c>
      <c r="G90" s="11" t="s">
        <v>10</v>
      </c>
      <c r="H90" s="13" t="s">
        <v>7</v>
      </c>
      <c r="I90" s="13" t="s">
        <v>497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1</v>
      </c>
      <c r="AR90" s="14">
        <v>3200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7</v>
      </c>
      <c r="BD90" s="14">
        <v>26880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5">
        <v>1612.8</v>
      </c>
      <c r="BM90" s="17">
        <v>30080</v>
      </c>
      <c r="BN90" s="9">
        <f t="shared" si="2"/>
        <v>28467.200000000001</v>
      </c>
      <c r="BO90" s="10">
        <f t="shared" si="3"/>
        <v>19927.04</v>
      </c>
    </row>
    <row r="91" spans="1:67" ht="24">
      <c r="A91" s="5" t="s">
        <v>14</v>
      </c>
      <c r="B91" s="11" t="s">
        <v>174</v>
      </c>
      <c r="C91" s="11">
        <v>445861</v>
      </c>
      <c r="D91" s="12"/>
      <c r="E91" s="11" t="s">
        <v>16</v>
      </c>
      <c r="F91" s="11" t="s">
        <v>43</v>
      </c>
      <c r="G91" s="11" t="s">
        <v>31</v>
      </c>
      <c r="H91" s="13" t="s">
        <v>8</v>
      </c>
      <c r="I91" s="13" t="s">
        <v>175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2</v>
      </c>
      <c r="AF91" s="13">
        <v>0</v>
      </c>
      <c r="AG91" s="14">
        <v>3400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6</v>
      </c>
      <c r="AX91" s="14">
        <v>20160</v>
      </c>
      <c r="AY91" s="13">
        <v>0</v>
      </c>
      <c r="AZ91" s="13">
        <v>0</v>
      </c>
      <c r="BA91" s="13">
        <v>0</v>
      </c>
      <c r="BB91" s="13">
        <v>0</v>
      </c>
      <c r="BC91" s="13">
        <v>2</v>
      </c>
      <c r="BD91" s="14">
        <v>6000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5">
        <v>2376</v>
      </c>
      <c r="BM91" s="17">
        <v>29560</v>
      </c>
      <c r="BN91" s="9">
        <f t="shared" si="2"/>
        <v>27184</v>
      </c>
      <c r="BO91" s="10">
        <f t="shared" si="3"/>
        <v>19028.8</v>
      </c>
    </row>
    <row r="92" spans="1:67" ht="24">
      <c r="A92" s="5" t="s">
        <v>14</v>
      </c>
      <c r="B92" s="11" t="s">
        <v>603</v>
      </c>
      <c r="C92" s="11">
        <v>420420</v>
      </c>
      <c r="D92" s="12"/>
      <c r="E92" s="11" t="s">
        <v>16</v>
      </c>
      <c r="F92" s="11" t="s">
        <v>130</v>
      </c>
      <c r="G92" s="11" t="s">
        <v>31</v>
      </c>
      <c r="H92" s="13" t="s">
        <v>265</v>
      </c>
      <c r="I92" s="13" t="s">
        <v>604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2</v>
      </c>
      <c r="AF92" s="13">
        <v>0</v>
      </c>
      <c r="AG92" s="14">
        <v>5600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5</v>
      </c>
      <c r="BD92" s="14">
        <v>19200</v>
      </c>
      <c r="BE92" s="13">
        <v>0</v>
      </c>
      <c r="BF92" s="13">
        <v>0</v>
      </c>
      <c r="BG92" s="13">
        <v>0</v>
      </c>
      <c r="BH92" s="13">
        <v>0</v>
      </c>
      <c r="BI92" s="13">
        <v>1</v>
      </c>
      <c r="BJ92" s="14">
        <v>4320</v>
      </c>
      <c r="BK92" s="13">
        <v>0</v>
      </c>
      <c r="BL92" s="15">
        <v>1368</v>
      </c>
      <c r="BM92" s="17">
        <v>29120</v>
      </c>
      <c r="BN92" s="9">
        <f t="shared" si="2"/>
        <v>27752</v>
      </c>
      <c r="BO92" s="10">
        <f t="shared" si="3"/>
        <v>19426.399999999998</v>
      </c>
    </row>
    <row r="93" spans="1:67" ht="24">
      <c r="A93" s="5" t="s">
        <v>14</v>
      </c>
      <c r="B93" s="11" t="s">
        <v>605</v>
      </c>
      <c r="C93" s="11">
        <v>433508</v>
      </c>
      <c r="D93" s="12"/>
      <c r="E93" s="11" t="s">
        <v>16</v>
      </c>
      <c r="F93" s="11" t="s">
        <v>144</v>
      </c>
      <c r="G93" s="11" t="s">
        <v>10</v>
      </c>
      <c r="H93" s="13" t="s">
        <v>7</v>
      </c>
      <c r="I93" s="13" t="s">
        <v>145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9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27</v>
      </c>
      <c r="AF93" s="14">
        <v>2700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20</v>
      </c>
      <c r="AR93" s="14">
        <v>2000</v>
      </c>
      <c r="AS93" s="13">
        <v>0</v>
      </c>
      <c r="AT93" s="13">
        <v>0</v>
      </c>
      <c r="AU93" s="13">
        <v>0</v>
      </c>
      <c r="AV93" s="13">
        <v>0</v>
      </c>
      <c r="AW93" s="13">
        <v>166</v>
      </c>
      <c r="AX93" s="14">
        <v>19920</v>
      </c>
      <c r="AY93" s="13">
        <v>0</v>
      </c>
      <c r="AZ93" s="13">
        <v>0</v>
      </c>
      <c r="BA93" s="13">
        <v>0</v>
      </c>
      <c r="BB93" s="13">
        <v>0</v>
      </c>
      <c r="BC93" s="13">
        <v>27</v>
      </c>
      <c r="BD93" s="14">
        <v>3240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5">
        <v>2186.4</v>
      </c>
      <c r="BM93" s="17">
        <v>27860</v>
      </c>
      <c r="BN93" s="9">
        <f t="shared" si="2"/>
        <v>25673.599999999999</v>
      </c>
      <c r="BO93" s="10">
        <f t="shared" si="3"/>
        <v>17971.519999999997</v>
      </c>
    </row>
    <row r="94" spans="1:67" ht="24">
      <c r="A94" s="5" t="s">
        <v>14</v>
      </c>
      <c r="B94" s="11" t="s">
        <v>167</v>
      </c>
      <c r="C94" s="11">
        <v>423328</v>
      </c>
      <c r="D94" s="12"/>
      <c r="E94" s="11" t="s">
        <v>16</v>
      </c>
      <c r="F94" s="11" t="s">
        <v>27</v>
      </c>
      <c r="G94" s="11" t="s">
        <v>10</v>
      </c>
      <c r="H94" s="13" t="s">
        <v>7</v>
      </c>
      <c r="I94" s="13" t="s">
        <v>168</v>
      </c>
      <c r="J94" s="13">
        <v>3</v>
      </c>
      <c r="K94" s="13">
        <v>0</v>
      </c>
      <c r="L94" s="13">
        <v>300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13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123</v>
      </c>
      <c r="AF94" s="13">
        <v>720</v>
      </c>
      <c r="AG94" s="14">
        <v>11700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18</v>
      </c>
      <c r="AR94" s="14">
        <v>1800</v>
      </c>
      <c r="AS94" s="13">
        <v>0</v>
      </c>
      <c r="AT94" s="13">
        <v>0</v>
      </c>
      <c r="AU94" s="13">
        <v>0</v>
      </c>
      <c r="AV94" s="13">
        <v>0</v>
      </c>
      <c r="AW94" s="13">
        <v>26</v>
      </c>
      <c r="AX94" s="14">
        <v>3120</v>
      </c>
      <c r="AY94" s="13">
        <v>0</v>
      </c>
      <c r="AZ94" s="13">
        <v>0</v>
      </c>
      <c r="BA94" s="13">
        <v>0</v>
      </c>
      <c r="BB94" s="13">
        <v>0</v>
      </c>
      <c r="BC94" s="13">
        <v>71</v>
      </c>
      <c r="BD94" s="14">
        <v>8520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823.2</v>
      </c>
      <c r="BM94" s="17">
        <v>26160</v>
      </c>
      <c r="BN94" s="9">
        <f t="shared" si="2"/>
        <v>25336.799999999999</v>
      </c>
      <c r="BO94" s="10">
        <f t="shared" si="3"/>
        <v>17735.759999999998</v>
      </c>
    </row>
    <row r="95" spans="1:67" ht="24">
      <c r="A95" s="5" t="s">
        <v>14</v>
      </c>
      <c r="B95" s="11" t="s">
        <v>606</v>
      </c>
      <c r="C95" s="11">
        <v>410076</v>
      </c>
      <c r="D95" s="12"/>
      <c r="E95" s="11" t="s">
        <v>16</v>
      </c>
      <c r="F95" s="11" t="s">
        <v>62</v>
      </c>
      <c r="G95" s="11" t="s">
        <v>10</v>
      </c>
      <c r="H95" s="13" t="s">
        <v>7</v>
      </c>
      <c r="I95" s="13" t="s">
        <v>193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8</v>
      </c>
      <c r="AR95" s="14">
        <v>25600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7">
        <v>25600</v>
      </c>
      <c r="BN95" s="9">
        <f t="shared" si="2"/>
        <v>25600</v>
      </c>
      <c r="BO95" s="10">
        <f t="shared" si="3"/>
        <v>17920</v>
      </c>
    </row>
    <row r="96" spans="1:67" ht="24">
      <c r="A96" s="5" t="s">
        <v>14</v>
      </c>
      <c r="B96" s="11" t="s">
        <v>339</v>
      </c>
      <c r="C96" s="11">
        <v>476035</v>
      </c>
      <c r="D96" s="12"/>
      <c r="E96" s="11" t="s">
        <v>16</v>
      </c>
      <c r="F96" s="11" t="s">
        <v>340</v>
      </c>
      <c r="G96" s="11" t="s">
        <v>337</v>
      </c>
      <c r="H96" s="13" t="s">
        <v>9</v>
      </c>
      <c r="I96" s="13" t="s">
        <v>341</v>
      </c>
      <c r="J96" s="13">
        <v>28</v>
      </c>
      <c r="K96" s="13">
        <v>577</v>
      </c>
      <c r="L96" s="14">
        <v>2800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33</v>
      </c>
      <c r="AF96" s="14">
        <v>1780</v>
      </c>
      <c r="AG96" s="14">
        <v>1700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40</v>
      </c>
      <c r="AR96" s="14">
        <v>3800</v>
      </c>
      <c r="AS96" s="13">
        <v>200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122</v>
      </c>
      <c r="BD96" s="14">
        <v>14640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878.4</v>
      </c>
      <c r="BM96" s="17">
        <v>24920</v>
      </c>
      <c r="BN96" s="9">
        <f t="shared" si="2"/>
        <v>24041.599999999999</v>
      </c>
      <c r="BO96" s="10">
        <f t="shared" si="3"/>
        <v>16829.12</v>
      </c>
    </row>
    <row r="97" spans="1:67" ht="24">
      <c r="A97" s="5" t="s">
        <v>14</v>
      </c>
      <c r="B97" s="11" t="s">
        <v>71</v>
      </c>
      <c r="C97" s="11">
        <v>387942</v>
      </c>
      <c r="D97" s="12"/>
      <c r="E97" s="11" t="s">
        <v>16</v>
      </c>
      <c r="F97" s="11" t="s">
        <v>72</v>
      </c>
      <c r="G97" s="11" t="s">
        <v>10</v>
      </c>
      <c r="H97" s="13" t="s">
        <v>7</v>
      </c>
      <c r="I97" s="13" t="s">
        <v>73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8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188</v>
      </c>
      <c r="AF97" s="14">
        <v>18400</v>
      </c>
      <c r="AG97" s="13">
        <v>400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47</v>
      </c>
      <c r="AR97" s="14">
        <v>4700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1</v>
      </c>
      <c r="BD97" s="13">
        <v>120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7.2</v>
      </c>
      <c r="BM97" s="17">
        <v>23620</v>
      </c>
      <c r="BN97" s="9">
        <f t="shared" si="2"/>
        <v>23612.799999999999</v>
      </c>
      <c r="BO97" s="10">
        <f t="shared" si="3"/>
        <v>16528.96</v>
      </c>
    </row>
    <row r="98" spans="1:67" ht="24">
      <c r="A98" s="5" t="s">
        <v>14</v>
      </c>
      <c r="B98" s="11" t="s">
        <v>286</v>
      </c>
      <c r="C98" s="11">
        <v>278898</v>
      </c>
      <c r="D98" s="12"/>
      <c r="E98" s="11" t="s">
        <v>16</v>
      </c>
      <c r="F98" s="11" t="s">
        <v>287</v>
      </c>
      <c r="G98" s="11" t="s">
        <v>10</v>
      </c>
      <c r="H98" s="13" t="s">
        <v>7</v>
      </c>
      <c r="I98" s="13" t="s">
        <v>288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12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7</v>
      </c>
      <c r="AF98" s="13">
        <v>0</v>
      </c>
      <c r="AG98" s="13">
        <v>700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191</v>
      </c>
      <c r="AX98" s="14">
        <v>22920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5">
        <v>2292</v>
      </c>
      <c r="BM98" s="17">
        <v>23620</v>
      </c>
      <c r="BN98" s="9">
        <f t="shared" si="2"/>
        <v>21328</v>
      </c>
      <c r="BO98" s="10">
        <f t="shared" si="3"/>
        <v>14929.599999999999</v>
      </c>
    </row>
    <row r="99" spans="1:67" ht="24">
      <c r="A99" s="5" t="s">
        <v>14</v>
      </c>
      <c r="B99" s="11" t="s">
        <v>47</v>
      </c>
      <c r="C99" s="11">
        <v>369720</v>
      </c>
      <c r="D99" s="12"/>
      <c r="E99" s="11" t="s">
        <v>16</v>
      </c>
      <c r="F99" s="11" t="s">
        <v>48</v>
      </c>
      <c r="G99" s="11" t="s">
        <v>31</v>
      </c>
      <c r="H99" s="13" t="s">
        <v>8</v>
      </c>
      <c r="I99" s="13" t="s">
        <v>49</v>
      </c>
      <c r="J99" s="13">
        <v>0</v>
      </c>
      <c r="K99" s="13">
        <v>8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3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28</v>
      </c>
      <c r="AF99" s="13">
        <v>800</v>
      </c>
      <c r="AG99" s="14">
        <v>2100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3</v>
      </c>
      <c r="AR99" s="13">
        <v>300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159</v>
      </c>
      <c r="BD99" s="14">
        <v>19080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5">
        <v>1144.8</v>
      </c>
      <c r="BM99" s="17">
        <v>22280</v>
      </c>
      <c r="BN99" s="9">
        <f t="shared" si="2"/>
        <v>21135.200000000001</v>
      </c>
      <c r="BO99" s="10">
        <f t="shared" si="3"/>
        <v>14794.64</v>
      </c>
    </row>
    <row r="100" spans="1:67" ht="24">
      <c r="A100" s="5" t="s">
        <v>14</v>
      </c>
      <c r="B100" s="11" t="s">
        <v>212</v>
      </c>
      <c r="C100" s="11">
        <v>458561</v>
      </c>
      <c r="D100" s="12"/>
      <c r="E100" s="11" t="s">
        <v>16</v>
      </c>
      <c r="F100" s="11" t="s">
        <v>27</v>
      </c>
      <c r="G100" s="11" t="s">
        <v>10</v>
      </c>
      <c r="H100" s="13" t="s">
        <v>7</v>
      </c>
      <c r="I100" s="13" t="s">
        <v>179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1</v>
      </c>
      <c r="AF100" s="13">
        <v>0</v>
      </c>
      <c r="AG100" s="13">
        <v>100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13</v>
      </c>
      <c r="AX100" s="14">
        <v>1560</v>
      </c>
      <c r="AY100" s="13">
        <v>0</v>
      </c>
      <c r="AZ100" s="13">
        <v>0</v>
      </c>
      <c r="BA100" s="13">
        <v>0</v>
      </c>
      <c r="BB100" s="13">
        <v>0</v>
      </c>
      <c r="BC100" s="13">
        <v>170</v>
      </c>
      <c r="BD100" s="14">
        <v>20400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5">
        <v>1380</v>
      </c>
      <c r="BM100" s="17">
        <v>22060</v>
      </c>
      <c r="BN100" s="9">
        <f t="shared" si="2"/>
        <v>20680</v>
      </c>
      <c r="BO100" s="10">
        <f t="shared" si="3"/>
        <v>14475.999999999998</v>
      </c>
    </row>
    <row r="101" spans="1:67" ht="24">
      <c r="A101" s="5" t="s">
        <v>14</v>
      </c>
      <c r="B101" s="11" t="s">
        <v>436</v>
      </c>
      <c r="C101" s="11">
        <v>483179</v>
      </c>
      <c r="D101" s="12"/>
      <c r="E101" s="11" t="s">
        <v>16</v>
      </c>
      <c r="F101" s="11" t="s">
        <v>437</v>
      </c>
      <c r="G101" s="11" t="s">
        <v>31</v>
      </c>
      <c r="H101" s="13" t="s">
        <v>8</v>
      </c>
      <c r="I101" s="13" t="s">
        <v>438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175</v>
      </c>
      <c r="AF101" s="14">
        <v>5400</v>
      </c>
      <c r="AG101" s="14">
        <v>12500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3</v>
      </c>
      <c r="AR101" s="13">
        <v>300</v>
      </c>
      <c r="AS101" s="13">
        <v>0</v>
      </c>
      <c r="AT101" s="13">
        <v>0</v>
      </c>
      <c r="AU101" s="13">
        <v>0</v>
      </c>
      <c r="AV101" s="13">
        <v>0</v>
      </c>
      <c r="AW101" s="13">
        <v>15</v>
      </c>
      <c r="AX101" s="14">
        <v>1800</v>
      </c>
      <c r="AY101" s="13">
        <v>0</v>
      </c>
      <c r="AZ101" s="13">
        <v>0</v>
      </c>
      <c r="BA101" s="13">
        <v>0</v>
      </c>
      <c r="BB101" s="13">
        <v>0</v>
      </c>
      <c r="BC101" s="13">
        <v>14</v>
      </c>
      <c r="BD101" s="14">
        <v>1680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280.8</v>
      </c>
      <c r="BM101" s="17">
        <v>21680</v>
      </c>
      <c r="BN101" s="9">
        <f t="shared" si="2"/>
        <v>21399.200000000001</v>
      </c>
      <c r="BO101" s="10">
        <f t="shared" si="3"/>
        <v>14979.439999999999</v>
      </c>
    </row>
    <row r="102" spans="1:67" ht="24">
      <c r="A102" s="5" t="s">
        <v>14</v>
      </c>
      <c r="B102" s="11" t="s">
        <v>74</v>
      </c>
      <c r="C102" s="11">
        <v>429621</v>
      </c>
      <c r="D102" s="12"/>
      <c r="E102" s="11" t="s">
        <v>16</v>
      </c>
      <c r="F102" s="11" t="s">
        <v>75</v>
      </c>
      <c r="G102" s="11" t="s">
        <v>337</v>
      </c>
      <c r="H102" s="13" t="s">
        <v>8</v>
      </c>
      <c r="I102" s="13" t="s">
        <v>76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94</v>
      </c>
      <c r="AF102" s="14">
        <v>8960</v>
      </c>
      <c r="AG102" s="13">
        <v>900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23</v>
      </c>
      <c r="AR102" s="14">
        <v>2300</v>
      </c>
      <c r="AS102" s="13">
        <v>0</v>
      </c>
      <c r="AT102" s="13">
        <v>0</v>
      </c>
      <c r="AU102" s="13">
        <v>0</v>
      </c>
      <c r="AV102" s="13">
        <v>0</v>
      </c>
      <c r="AW102" s="13">
        <v>9</v>
      </c>
      <c r="AX102" s="14">
        <v>1080</v>
      </c>
      <c r="AY102" s="13">
        <v>0</v>
      </c>
      <c r="AZ102" s="13">
        <v>0</v>
      </c>
      <c r="BA102" s="13">
        <v>0</v>
      </c>
      <c r="BB102" s="13">
        <v>0</v>
      </c>
      <c r="BC102" s="13">
        <v>70</v>
      </c>
      <c r="BD102" s="14">
        <v>8400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612</v>
      </c>
      <c r="BM102" s="17">
        <v>21640</v>
      </c>
      <c r="BN102" s="9">
        <f t="shared" si="2"/>
        <v>21028</v>
      </c>
      <c r="BO102" s="10">
        <f t="shared" si="3"/>
        <v>14719.599999999999</v>
      </c>
    </row>
    <row r="103" spans="1:67" ht="24">
      <c r="A103" s="5" t="s">
        <v>14</v>
      </c>
      <c r="B103" s="11" t="s">
        <v>607</v>
      </c>
      <c r="C103" s="11">
        <v>488804</v>
      </c>
      <c r="D103" s="12"/>
      <c r="E103" s="11" t="s">
        <v>16</v>
      </c>
      <c r="F103" s="11" t="s">
        <v>608</v>
      </c>
      <c r="G103" s="11" t="s">
        <v>31</v>
      </c>
      <c r="H103" s="13" t="s">
        <v>8</v>
      </c>
      <c r="I103" s="13" t="s">
        <v>609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4</v>
      </c>
      <c r="AF103" s="14">
        <v>3240</v>
      </c>
      <c r="AG103" s="14">
        <v>8100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3</v>
      </c>
      <c r="BD103" s="14">
        <v>9720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583.20000000000005</v>
      </c>
      <c r="BM103" s="17">
        <v>21060</v>
      </c>
      <c r="BN103" s="9">
        <f t="shared" si="2"/>
        <v>20476.8</v>
      </c>
      <c r="BO103" s="10">
        <f t="shared" si="3"/>
        <v>14333.759999999998</v>
      </c>
    </row>
    <row r="104" spans="1:67" ht="24">
      <c r="A104" s="5" t="s">
        <v>14</v>
      </c>
      <c r="B104" s="11" t="s">
        <v>259</v>
      </c>
      <c r="C104" s="11">
        <v>445862</v>
      </c>
      <c r="D104" s="12"/>
      <c r="E104" s="11" t="s">
        <v>16</v>
      </c>
      <c r="F104" s="11" t="s">
        <v>43</v>
      </c>
      <c r="G104" s="11" t="s">
        <v>31</v>
      </c>
      <c r="H104" s="13" t="s">
        <v>8</v>
      </c>
      <c r="I104" s="13" t="s">
        <v>175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2</v>
      </c>
      <c r="AF104" s="14">
        <v>1920</v>
      </c>
      <c r="AG104" s="14">
        <v>2800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2</v>
      </c>
      <c r="AX104" s="14">
        <v>5280</v>
      </c>
      <c r="AY104" s="13">
        <v>0</v>
      </c>
      <c r="AZ104" s="13">
        <v>0</v>
      </c>
      <c r="BA104" s="13">
        <v>0</v>
      </c>
      <c r="BB104" s="13">
        <v>0</v>
      </c>
      <c r="BC104" s="13">
        <v>4</v>
      </c>
      <c r="BD104" s="14">
        <v>10560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5">
        <v>1161.5999999999999</v>
      </c>
      <c r="BM104" s="17">
        <v>20560</v>
      </c>
      <c r="BN104" s="9">
        <f t="shared" si="2"/>
        <v>19398.400000000001</v>
      </c>
      <c r="BO104" s="10">
        <f t="shared" si="3"/>
        <v>13578.880000000001</v>
      </c>
    </row>
    <row r="105" spans="1:67" ht="24">
      <c r="A105" s="5" t="s">
        <v>14</v>
      </c>
      <c r="B105" s="11" t="s">
        <v>308</v>
      </c>
      <c r="C105" s="11">
        <v>377683</v>
      </c>
      <c r="D105" s="12"/>
      <c r="E105" s="11" t="s">
        <v>16</v>
      </c>
      <c r="F105" s="11" t="s">
        <v>30</v>
      </c>
      <c r="G105" s="11" t="s">
        <v>31</v>
      </c>
      <c r="H105" s="13" t="s">
        <v>265</v>
      </c>
      <c r="I105" s="13" t="s">
        <v>309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1</v>
      </c>
      <c r="AF105" s="14">
        <v>3000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1</v>
      </c>
      <c r="AR105" s="14">
        <v>3000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4</v>
      </c>
      <c r="BD105" s="14">
        <v>14400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864</v>
      </c>
      <c r="BM105" s="17">
        <v>20400</v>
      </c>
      <c r="BN105" s="9">
        <f t="shared" si="2"/>
        <v>19536</v>
      </c>
      <c r="BO105" s="10">
        <f t="shared" si="3"/>
        <v>13675.199999999999</v>
      </c>
    </row>
    <row r="106" spans="1:67" ht="24">
      <c r="A106" s="5" t="s">
        <v>14</v>
      </c>
      <c r="B106" s="11" t="s">
        <v>418</v>
      </c>
      <c r="C106" s="11">
        <v>469075</v>
      </c>
      <c r="D106" s="12"/>
      <c r="E106" s="11" t="s">
        <v>16</v>
      </c>
      <c r="F106" s="11" t="s">
        <v>54</v>
      </c>
      <c r="G106" s="11" t="s">
        <v>337</v>
      </c>
      <c r="H106" s="13" t="s">
        <v>9</v>
      </c>
      <c r="I106" s="13" t="s">
        <v>419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1</v>
      </c>
      <c r="AX106" s="14">
        <v>4920</v>
      </c>
      <c r="AY106" s="13">
        <v>0</v>
      </c>
      <c r="AZ106" s="13">
        <v>0</v>
      </c>
      <c r="BA106" s="13">
        <v>0</v>
      </c>
      <c r="BB106" s="13">
        <v>0</v>
      </c>
      <c r="BC106" s="13">
        <v>3</v>
      </c>
      <c r="BD106" s="14">
        <v>14760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5">
        <v>1377.6</v>
      </c>
      <c r="BM106" s="17">
        <v>19680</v>
      </c>
      <c r="BN106" s="9">
        <f t="shared" si="2"/>
        <v>18302.400000000001</v>
      </c>
      <c r="BO106" s="10">
        <f t="shared" si="3"/>
        <v>12811.68</v>
      </c>
    </row>
    <row r="107" spans="1:67" ht="24">
      <c r="A107" s="5" t="s">
        <v>14</v>
      </c>
      <c r="B107" s="11" t="s">
        <v>178</v>
      </c>
      <c r="C107" s="11">
        <v>458566</v>
      </c>
      <c r="D107" s="12"/>
      <c r="E107" s="11" t="s">
        <v>16</v>
      </c>
      <c r="F107" s="11" t="s">
        <v>27</v>
      </c>
      <c r="G107" s="11" t="s">
        <v>10</v>
      </c>
      <c r="H107" s="13" t="s">
        <v>7</v>
      </c>
      <c r="I107" s="13" t="s">
        <v>179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4</v>
      </c>
      <c r="AF107" s="14">
        <v>14880</v>
      </c>
      <c r="AG107" s="13">
        <v>400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1</v>
      </c>
      <c r="AX107" s="14">
        <v>4256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425.6</v>
      </c>
      <c r="BM107" s="17">
        <v>19536</v>
      </c>
      <c r="BN107" s="9">
        <f t="shared" si="2"/>
        <v>19110.400000000001</v>
      </c>
      <c r="BO107" s="10">
        <f t="shared" si="3"/>
        <v>13377.28</v>
      </c>
    </row>
    <row r="108" spans="1:67" ht="24">
      <c r="A108" s="5" t="s">
        <v>14</v>
      </c>
      <c r="B108" s="11" t="s">
        <v>430</v>
      </c>
      <c r="C108" s="11">
        <v>481322</v>
      </c>
      <c r="D108" s="12"/>
      <c r="E108" s="11" t="s">
        <v>16</v>
      </c>
      <c r="F108" s="11" t="s">
        <v>431</v>
      </c>
      <c r="G108" s="11" t="s">
        <v>10</v>
      </c>
      <c r="H108" s="13" t="s">
        <v>7</v>
      </c>
      <c r="I108" s="13" t="s">
        <v>432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1</v>
      </c>
      <c r="AF108" s="13">
        <v>100</v>
      </c>
      <c r="AG108" s="13">
        <v>0</v>
      </c>
      <c r="AH108" s="13">
        <v>0</v>
      </c>
      <c r="AI108" s="13">
        <v>0</v>
      </c>
      <c r="AJ108" s="13">
        <v>0</v>
      </c>
      <c r="AK108" s="13">
        <v>53</v>
      </c>
      <c r="AL108" s="14">
        <v>6360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33</v>
      </c>
      <c r="AX108" s="14">
        <v>3960</v>
      </c>
      <c r="AY108" s="13">
        <v>0</v>
      </c>
      <c r="AZ108" s="13">
        <v>0</v>
      </c>
      <c r="BA108" s="13">
        <v>0</v>
      </c>
      <c r="BB108" s="13">
        <v>0</v>
      </c>
      <c r="BC108" s="13">
        <v>75</v>
      </c>
      <c r="BD108" s="14">
        <v>9000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5">
        <v>2844</v>
      </c>
      <c r="BM108" s="17">
        <v>19420</v>
      </c>
      <c r="BN108" s="9">
        <f t="shared" si="2"/>
        <v>16576</v>
      </c>
      <c r="BO108" s="10">
        <f t="shared" si="3"/>
        <v>11603.199999999999</v>
      </c>
    </row>
    <row r="109" spans="1:67" ht="24">
      <c r="A109" s="5" t="s">
        <v>14</v>
      </c>
      <c r="B109" s="11" t="s">
        <v>223</v>
      </c>
      <c r="C109" s="11">
        <v>297776</v>
      </c>
      <c r="D109" s="12"/>
      <c r="E109" s="11" t="s">
        <v>16</v>
      </c>
      <c r="F109" s="11" t="s">
        <v>224</v>
      </c>
      <c r="G109" s="11" t="s">
        <v>337</v>
      </c>
      <c r="H109" s="13" t="s">
        <v>9</v>
      </c>
      <c r="I109" s="13" t="s">
        <v>225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6</v>
      </c>
      <c r="AF109" s="13">
        <v>100</v>
      </c>
      <c r="AG109" s="13">
        <v>500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4</v>
      </c>
      <c r="AR109" s="13">
        <v>300</v>
      </c>
      <c r="AS109" s="13">
        <v>100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150</v>
      </c>
      <c r="BD109" s="14">
        <v>18000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5">
        <v>1080</v>
      </c>
      <c r="BM109" s="17">
        <v>19000</v>
      </c>
      <c r="BN109" s="9">
        <f t="shared" si="2"/>
        <v>17920</v>
      </c>
      <c r="BO109" s="10">
        <f t="shared" si="3"/>
        <v>12544</v>
      </c>
    </row>
    <row r="110" spans="1:67" ht="24">
      <c r="A110" s="5" t="s">
        <v>14</v>
      </c>
      <c r="B110" s="11" t="s">
        <v>525</v>
      </c>
      <c r="C110" s="11">
        <v>486615</v>
      </c>
      <c r="D110" s="12"/>
      <c r="E110" s="11" t="s">
        <v>16</v>
      </c>
      <c r="F110" s="11" t="s">
        <v>526</v>
      </c>
      <c r="G110" s="11" t="s">
        <v>337</v>
      </c>
      <c r="H110" s="13" t="s">
        <v>8</v>
      </c>
      <c r="I110" s="13" t="s">
        <v>463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76</v>
      </c>
      <c r="AF110" s="13">
        <v>0</v>
      </c>
      <c r="AG110" s="14">
        <v>7600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43</v>
      </c>
      <c r="AR110" s="14">
        <v>4100</v>
      </c>
      <c r="AS110" s="13">
        <v>200</v>
      </c>
      <c r="AT110" s="13">
        <v>0</v>
      </c>
      <c r="AU110" s="13">
        <v>0</v>
      </c>
      <c r="AV110" s="13">
        <v>0</v>
      </c>
      <c r="AW110" s="13">
        <v>6</v>
      </c>
      <c r="AX110" s="13">
        <v>720</v>
      </c>
      <c r="AY110" s="13">
        <v>0</v>
      </c>
      <c r="AZ110" s="13">
        <v>0</v>
      </c>
      <c r="BA110" s="13">
        <v>0</v>
      </c>
      <c r="BB110" s="13">
        <v>0</v>
      </c>
      <c r="BC110" s="13">
        <v>53</v>
      </c>
      <c r="BD110" s="14">
        <v>6360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453.6</v>
      </c>
      <c r="BM110" s="17">
        <v>18980</v>
      </c>
      <c r="BN110" s="9">
        <f t="shared" si="2"/>
        <v>18526.400000000001</v>
      </c>
      <c r="BO110" s="10">
        <f t="shared" si="3"/>
        <v>12968.48</v>
      </c>
    </row>
    <row r="111" spans="1:67" ht="24">
      <c r="A111" s="5" t="s">
        <v>14</v>
      </c>
      <c r="B111" s="11" t="s">
        <v>476</v>
      </c>
      <c r="C111" s="11">
        <v>397371</v>
      </c>
      <c r="D111" s="12"/>
      <c r="E111" s="11" t="s">
        <v>16</v>
      </c>
      <c r="F111" s="11" t="s">
        <v>477</v>
      </c>
      <c r="G111" s="11" t="s">
        <v>31</v>
      </c>
      <c r="H111" s="13" t="s">
        <v>265</v>
      </c>
      <c r="I111" s="13" t="s">
        <v>478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6</v>
      </c>
      <c r="BD111" s="14">
        <v>18720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5">
        <v>1123.2</v>
      </c>
      <c r="BM111" s="17">
        <v>18720</v>
      </c>
      <c r="BN111" s="9">
        <f t="shared" si="2"/>
        <v>17596.8</v>
      </c>
      <c r="BO111" s="10">
        <f t="shared" si="3"/>
        <v>12317.759999999998</v>
      </c>
    </row>
    <row r="112" spans="1:67" ht="24">
      <c r="A112" s="5" t="s">
        <v>14</v>
      </c>
      <c r="B112" s="11" t="s">
        <v>138</v>
      </c>
      <c r="C112" s="11">
        <v>428319</v>
      </c>
      <c r="D112" s="12"/>
      <c r="E112" s="11" t="s">
        <v>16</v>
      </c>
      <c r="F112" s="11" t="s">
        <v>90</v>
      </c>
      <c r="G112" s="11" t="s">
        <v>10</v>
      </c>
      <c r="H112" s="13" t="s">
        <v>7</v>
      </c>
      <c r="I112" s="13" t="s">
        <v>103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10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150</v>
      </c>
      <c r="AR112" s="14">
        <v>15000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30</v>
      </c>
      <c r="BD112" s="14">
        <v>3600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216</v>
      </c>
      <c r="BM112" s="17">
        <v>18600</v>
      </c>
      <c r="BN112" s="9">
        <f t="shared" si="2"/>
        <v>18384</v>
      </c>
      <c r="BO112" s="10">
        <f t="shared" si="3"/>
        <v>12868.8</v>
      </c>
    </row>
    <row r="113" spans="1:67" ht="24">
      <c r="A113" s="5" t="s">
        <v>14</v>
      </c>
      <c r="B113" s="11" t="s">
        <v>45</v>
      </c>
      <c r="C113" s="11">
        <v>459997</v>
      </c>
      <c r="D113" s="12"/>
      <c r="E113" s="11" t="s">
        <v>16</v>
      </c>
      <c r="F113" s="11" t="s">
        <v>46</v>
      </c>
      <c r="G113" s="11" t="s">
        <v>10</v>
      </c>
      <c r="H113" s="13" t="s">
        <v>7</v>
      </c>
      <c r="I113" s="13" t="s">
        <v>610</v>
      </c>
      <c r="J113" s="13">
        <v>0</v>
      </c>
      <c r="K113" s="13">
        <v>173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4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95</v>
      </c>
      <c r="AF113" s="14">
        <v>4800</v>
      </c>
      <c r="AG113" s="14">
        <v>5500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10</v>
      </c>
      <c r="AR113" s="14">
        <v>1000</v>
      </c>
      <c r="AS113" s="13">
        <v>0</v>
      </c>
      <c r="AT113" s="13">
        <v>0</v>
      </c>
      <c r="AU113" s="13">
        <v>0</v>
      </c>
      <c r="AV113" s="13">
        <v>0</v>
      </c>
      <c r="AW113" s="13">
        <v>49</v>
      </c>
      <c r="AX113" s="14">
        <v>5880</v>
      </c>
      <c r="AY113" s="13">
        <v>0</v>
      </c>
      <c r="AZ113" s="13">
        <v>0</v>
      </c>
      <c r="BA113" s="13">
        <v>0</v>
      </c>
      <c r="BB113" s="13">
        <v>0</v>
      </c>
      <c r="BC113" s="13">
        <v>8</v>
      </c>
      <c r="BD113" s="13">
        <v>960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645.6</v>
      </c>
      <c r="BM113" s="17">
        <v>18140</v>
      </c>
      <c r="BN113" s="9">
        <f t="shared" si="2"/>
        <v>17494.400000000001</v>
      </c>
      <c r="BO113" s="10">
        <f t="shared" si="3"/>
        <v>12246.08</v>
      </c>
    </row>
    <row r="114" spans="1:67" ht="24">
      <c r="A114" s="5" t="s">
        <v>14</v>
      </c>
      <c r="B114" s="11" t="s">
        <v>611</v>
      </c>
      <c r="C114" s="11">
        <v>455227</v>
      </c>
      <c r="D114" s="12"/>
      <c r="E114" s="11" t="s">
        <v>16</v>
      </c>
      <c r="F114" s="11" t="s">
        <v>612</v>
      </c>
      <c r="G114" s="11" t="s">
        <v>10</v>
      </c>
      <c r="H114" s="13" t="s">
        <v>8</v>
      </c>
      <c r="I114" s="13" t="s">
        <v>592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6</v>
      </c>
      <c r="AF114" s="13">
        <v>600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145</v>
      </c>
      <c r="BD114" s="14">
        <v>17400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5">
        <v>1044</v>
      </c>
      <c r="BM114" s="17">
        <v>18000</v>
      </c>
      <c r="BN114" s="9">
        <f t="shared" si="2"/>
        <v>16956</v>
      </c>
      <c r="BO114" s="10">
        <f t="shared" si="3"/>
        <v>11869.199999999999</v>
      </c>
    </row>
    <row r="115" spans="1:67" ht="24">
      <c r="A115" s="5" t="s">
        <v>14</v>
      </c>
      <c r="B115" s="11" t="s">
        <v>613</v>
      </c>
      <c r="C115" s="11">
        <v>490073</v>
      </c>
      <c r="D115" s="12"/>
      <c r="E115" s="11" t="s">
        <v>16</v>
      </c>
      <c r="F115" s="11" t="s">
        <v>35</v>
      </c>
      <c r="G115" s="11" t="s">
        <v>10</v>
      </c>
      <c r="H115" s="13" t="s">
        <v>7</v>
      </c>
      <c r="I115" s="13" t="s">
        <v>575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2</v>
      </c>
      <c r="AF115" s="13">
        <v>0</v>
      </c>
      <c r="AG115" s="14">
        <v>6000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1</v>
      </c>
      <c r="AR115" s="13">
        <v>400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3</v>
      </c>
      <c r="BD115" s="14">
        <v>11520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691.2</v>
      </c>
      <c r="BM115" s="17">
        <v>17920</v>
      </c>
      <c r="BN115" s="9">
        <f t="shared" si="2"/>
        <v>17228.8</v>
      </c>
      <c r="BO115" s="10">
        <f t="shared" si="3"/>
        <v>12060.159999999998</v>
      </c>
    </row>
    <row r="116" spans="1:67" ht="24">
      <c r="A116" s="5" t="s">
        <v>14</v>
      </c>
      <c r="B116" s="11" t="s">
        <v>235</v>
      </c>
      <c r="C116" s="11">
        <v>417258</v>
      </c>
      <c r="D116" s="12"/>
      <c r="E116" s="11" t="s">
        <v>16</v>
      </c>
      <c r="F116" s="11" t="s">
        <v>236</v>
      </c>
      <c r="G116" s="11" t="s">
        <v>31</v>
      </c>
      <c r="H116" s="13" t="s">
        <v>8</v>
      </c>
      <c r="I116" s="13" t="s">
        <v>237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7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1</v>
      </c>
      <c r="AF116" s="13">
        <v>0</v>
      </c>
      <c r="AG116" s="13">
        <v>100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111</v>
      </c>
      <c r="AR116" s="14">
        <v>10900</v>
      </c>
      <c r="AS116" s="13">
        <v>200</v>
      </c>
      <c r="AT116" s="13">
        <v>0</v>
      </c>
      <c r="AU116" s="13">
        <v>0</v>
      </c>
      <c r="AV116" s="13">
        <v>0</v>
      </c>
      <c r="AW116" s="13">
        <v>12</v>
      </c>
      <c r="AX116" s="14">
        <v>1440</v>
      </c>
      <c r="AY116" s="13">
        <v>0</v>
      </c>
      <c r="AZ116" s="13">
        <v>0</v>
      </c>
      <c r="BA116" s="13">
        <v>0</v>
      </c>
      <c r="BB116" s="13">
        <v>0</v>
      </c>
      <c r="BC116" s="13">
        <v>38</v>
      </c>
      <c r="BD116" s="14">
        <v>4560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417.6</v>
      </c>
      <c r="BM116" s="17">
        <v>17200</v>
      </c>
      <c r="BN116" s="9">
        <f t="shared" si="2"/>
        <v>16782.400000000001</v>
      </c>
      <c r="BO116" s="10">
        <f t="shared" si="3"/>
        <v>11747.68</v>
      </c>
    </row>
    <row r="117" spans="1:67" ht="24">
      <c r="A117" s="5" t="s">
        <v>14</v>
      </c>
      <c r="B117" s="11" t="s">
        <v>256</v>
      </c>
      <c r="C117" s="11">
        <v>355320</v>
      </c>
      <c r="D117" s="12"/>
      <c r="E117" s="11" t="s">
        <v>16</v>
      </c>
      <c r="F117" s="11" t="s">
        <v>257</v>
      </c>
      <c r="G117" s="11" t="s">
        <v>31</v>
      </c>
      <c r="H117" s="13" t="s">
        <v>8</v>
      </c>
      <c r="I117" s="13" t="s">
        <v>258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11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106</v>
      </c>
      <c r="AF117" s="14">
        <v>6000</v>
      </c>
      <c r="AG117" s="14">
        <v>4600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3</v>
      </c>
      <c r="AR117" s="13">
        <v>300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52</v>
      </c>
      <c r="BD117" s="14">
        <v>6240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374.4</v>
      </c>
      <c r="BM117" s="17">
        <v>17140</v>
      </c>
      <c r="BN117" s="9">
        <f t="shared" si="2"/>
        <v>16765.599999999999</v>
      </c>
      <c r="BO117" s="10">
        <f t="shared" si="3"/>
        <v>11735.919999999998</v>
      </c>
    </row>
    <row r="118" spans="1:67" ht="24">
      <c r="A118" s="5" t="s">
        <v>14</v>
      </c>
      <c r="B118" s="11" t="s">
        <v>417</v>
      </c>
      <c r="C118" s="11">
        <v>408579</v>
      </c>
      <c r="D118" s="12"/>
      <c r="E118" s="11" t="s">
        <v>16</v>
      </c>
      <c r="F118" s="11" t="s">
        <v>27</v>
      </c>
      <c r="G118" s="11" t="s">
        <v>10</v>
      </c>
      <c r="H118" s="13" t="s">
        <v>7</v>
      </c>
      <c r="I118" s="13" t="s">
        <v>206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5</v>
      </c>
      <c r="AF118" s="13">
        <v>0</v>
      </c>
      <c r="AG118" s="14">
        <v>16000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7">
        <v>16000</v>
      </c>
      <c r="BN118" s="9">
        <f t="shared" si="2"/>
        <v>16000</v>
      </c>
      <c r="BO118" s="10">
        <f t="shared" si="3"/>
        <v>11200</v>
      </c>
    </row>
    <row r="119" spans="1:67" ht="24">
      <c r="A119" s="5" t="s">
        <v>14</v>
      </c>
      <c r="B119" s="11" t="s">
        <v>567</v>
      </c>
      <c r="C119" s="11">
        <v>331748</v>
      </c>
      <c r="D119" s="12"/>
      <c r="E119" s="11" t="s">
        <v>16</v>
      </c>
      <c r="F119" s="11" t="s">
        <v>185</v>
      </c>
      <c r="G119" s="11" t="s">
        <v>31</v>
      </c>
      <c r="H119" s="13" t="s">
        <v>265</v>
      </c>
      <c r="I119" s="13" t="s">
        <v>568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2</v>
      </c>
      <c r="AR119" s="14">
        <v>9800</v>
      </c>
      <c r="AS119" s="13">
        <v>0</v>
      </c>
      <c r="AT119" s="13">
        <v>0</v>
      </c>
      <c r="AU119" s="13">
        <v>0</v>
      </c>
      <c r="AV119" s="13">
        <v>0</v>
      </c>
      <c r="AW119" s="13">
        <v>1</v>
      </c>
      <c r="AX119" s="14">
        <v>5880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588</v>
      </c>
      <c r="BM119" s="17">
        <v>15680</v>
      </c>
      <c r="BN119" s="9">
        <f t="shared" si="2"/>
        <v>15092</v>
      </c>
      <c r="BO119" s="10">
        <f t="shared" si="3"/>
        <v>10564.4</v>
      </c>
    </row>
    <row r="120" spans="1:67" ht="24">
      <c r="A120" s="5" t="s">
        <v>14</v>
      </c>
      <c r="B120" s="11" t="s">
        <v>213</v>
      </c>
      <c r="C120" s="11">
        <v>251205</v>
      </c>
      <c r="D120" s="12"/>
      <c r="E120" s="11" t="s">
        <v>16</v>
      </c>
      <c r="F120" s="11" t="s">
        <v>62</v>
      </c>
      <c r="G120" s="11" t="s">
        <v>10</v>
      </c>
      <c r="H120" s="13" t="s">
        <v>7</v>
      </c>
      <c r="I120" s="13" t="s">
        <v>214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9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7</v>
      </c>
      <c r="AF120" s="13">
        <v>0</v>
      </c>
      <c r="AG120" s="13">
        <v>700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94</v>
      </c>
      <c r="AR120" s="14">
        <v>9400</v>
      </c>
      <c r="AS120" s="13">
        <v>0</v>
      </c>
      <c r="AT120" s="13">
        <v>0</v>
      </c>
      <c r="AU120" s="13">
        <v>0</v>
      </c>
      <c r="AV120" s="13">
        <v>0</v>
      </c>
      <c r="AW120" s="13">
        <v>46</v>
      </c>
      <c r="AX120" s="14">
        <v>5520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552</v>
      </c>
      <c r="BM120" s="17">
        <v>15620</v>
      </c>
      <c r="BN120" s="9">
        <f t="shared" si="2"/>
        <v>15068</v>
      </c>
      <c r="BO120" s="10">
        <f t="shared" si="3"/>
        <v>10547.599999999999</v>
      </c>
    </row>
    <row r="121" spans="1:67" ht="24">
      <c r="A121" s="5" t="s">
        <v>14</v>
      </c>
      <c r="B121" s="11" t="s">
        <v>307</v>
      </c>
      <c r="C121" s="11">
        <v>446880</v>
      </c>
      <c r="D121" s="12"/>
      <c r="E121" s="11" t="s">
        <v>16</v>
      </c>
      <c r="F121" s="11" t="s">
        <v>233</v>
      </c>
      <c r="G121" s="11" t="s">
        <v>31</v>
      </c>
      <c r="H121" s="13" t="s">
        <v>265</v>
      </c>
      <c r="I121" s="13" t="s">
        <v>274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2</v>
      </c>
      <c r="AF121" s="14">
        <v>7000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2</v>
      </c>
      <c r="BD121" s="14">
        <v>8400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504</v>
      </c>
      <c r="BM121" s="17">
        <v>15400</v>
      </c>
      <c r="BN121" s="9">
        <f t="shared" si="2"/>
        <v>14896</v>
      </c>
      <c r="BO121" s="10">
        <f t="shared" si="3"/>
        <v>10427.199999999999</v>
      </c>
    </row>
    <row r="122" spans="1:67" ht="24">
      <c r="A122" s="5" t="s">
        <v>14</v>
      </c>
      <c r="B122" s="11" t="s">
        <v>283</v>
      </c>
      <c r="C122" s="11">
        <v>406872</v>
      </c>
      <c r="D122" s="12"/>
      <c r="E122" s="11" t="s">
        <v>16</v>
      </c>
      <c r="F122" s="11" t="s">
        <v>284</v>
      </c>
      <c r="G122" s="11" t="s">
        <v>337</v>
      </c>
      <c r="H122" s="13" t="s">
        <v>9</v>
      </c>
      <c r="I122" s="13" t="s">
        <v>285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6</v>
      </c>
      <c r="AF122" s="13">
        <v>600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52</v>
      </c>
      <c r="AX122" s="14">
        <v>6240</v>
      </c>
      <c r="AY122" s="13">
        <v>0</v>
      </c>
      <c r="AZ122" s="13">
        <v>0</v>
      </c>
      <c r="BA122" s="13">
        <v>0</v>
      </c>
      <c r="BB122" s="13">
        <v>0</v>
      </c>
      <c r="BC122" s="13">
        <v>68</v>
      </c>
      <c r="BD122" s="14">
        <v>8160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5">
        <v>1113.5999999999999</v>
      </c>
      <c r="BM122" s="17">
        <v>15000</v>
      </c>
      <c r="BN122" s="9">
        <f t="shared" si="2"/>
        <v>13886.4</v>
      </c>
      <c r="BO122" s="10">
        <f t="shared" si="3"/>
        <v>9720.48</v>
      </c>
    </row>
    <row r="123" spans="1:67" ht="24">
      <c r="A123" s="5" t="s">
        <v>14</v>
      </c>
      <c r="B123" s="11" t="s">
        <v>238</v>
      </c>
      <c r="C123" s="11">
        <v>358724</v>
      </c>
      <c r="D123" s="12"/>
      <c r="E123" s="11" t="s">
        <v>16</v>
      </c>
      <c r="F123" s="11" t="s">
        <v>239</v>
      </c>
      <c r="G123" s="11" t="s">
        <v>31</v>
      </c>
      <c r="H123" s="13" t="s">
        <v>8</v>
      </c>
      <c r="I123" s="13" t="s">
        <v>100</v>
      </c>
      <c r="J123" s="13">
        <v>17</v>
      </c>
      <c r="K123" s="13">
        <v>0</v>
      </c>
      <c r="L123" s="14">
        <v>1700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5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56</v>
      </c>
      <c r="AR123" s="14">
        <v>5600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64</v>
      </c>
      <c r="BD123" s="14">
        <v>7680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460.8</v>
      </c>
      <c r="BM123" s="17">
        <v>14980</v>
      </c>
      <c r="BN123" s="9">
        <f t="shared" si="2"/>
        <v>14519.2</v>
      </c>
      <c r="BO123" s="10">
        <f t="shared" si="3"/>
        <v>10163.44</v>
      </c>
    </row>
    <row r="124" spans="1:67" ht="24">
      <c r="A124" s="5" t="s">
        <v>14</v>
      </c>
      <c r="B124" s="11" t="s">
        <v>523</v>
      </c>
      <c r="C124" s="11">
        <v>486462</v>
      </c>
      <c r="D124" s="12"/>
      <c r="E124" s="11" t="s">
        <v>16</v>
      </c>
      <c r="F124" s="11" t="s">
        <v>524</v>
      </c>
      <c r="G124" s="11" t="s">
        <v>337</v>
      </c>
      <c r="H124" s="13" t="s">
        <v>7</v>
      </c>
      <c r="I124" s="13" t="s">
        <v>463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36</v>
      </c>
      <c r="AF124" s="14">
        <v>4000</v>
      </c>
      <c r="AG124" s="13">
        <v>100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3</v>
      </c>
      <c r="AX124" s="13">
        <v>360</v>
      </c>
      <c r="AY124" s="13">
        <v>0</v>
      </c>
      <c r="AZ124" s="13">
        <v>0</v>
      </c>
      <c r="BA124" s="13">
        <v>0</v>
      </c>
      <c r="BB124" s="13">
        <v>0</v>
      </c>
      <c r="BC124" s="13">
        <v>86</v>
      </c>
      <c r="BD124" s="14">
        <v>10320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655.20000000000005</v>
      </c>
      <c r="BM124" s="17">
        <v>14780</v>
      </c>
      <c r="BN124" s="9">
        <f t="shared" si="2"/>
        <v>14124.8</v>
      </c>
      <c r="BO124" s="10">
        <f t="shared" si="3"/>
        <v>9887.3599999999988</v>
      </c>
    </row>
    <row r="125" spans="1:67" ht="24">
      <c r="A125" s="5" t="s">
        <v>14</v>
      </c>
      <c r="B125" s="11" t="s">
        <v>219</v>
      </c>
      <c r="C125" s="11">
        <v>400251</v>
      </c>
      <c r="D125" s="12"/>
      <c r="E125" s="11" t="s">
        <v>16</v>
      </c>
      <c r="F125" s="11" t="s">
        <v>37</v>
      </c>
      <c r="G125" s="11" t="s">
        <v>31</v>
      </c>
      <c r="H125" s="13" t="s">
        <v>8</v>
      </c>
      <c r="I125" s="13" t="s">
        <v>220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3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82</v>
      </c>
      <c r="AF125" s="14">
        <v>3900</v>
      </c>
      <c r="AG125" s="14">
        <v>4300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44</v>
      </c>
      <c r="AR125" s="14">
        <v>4400</v>
      </c>
      <c r="AS125" s="13">
        <v>0</v>
      </c>
      <c r="AT125" s="13">
        <v>0</v>
      </c>
      <c r="AU125" s="13">
        <v>0</v>
      </c>
      <c r="AV125" s="13">
        <v>0</v>
      </c>
      <c r="AW125" s="13">
        <v>1</v>
      </c>
      <c r="AX125" s="13">
        <v>120</v>
      </c>
      <c r="AY125" s="13">
        <v>0</v>
      </c>
      <c r="AZ125" s="13">
        <v>0</v>
      </c>
      <c r="BA125" s="13">
        <v>0</v>
      </c>
      <c r="BB125" s="13">
        <v>0</v>
      </c>
      <c r="BC125" s="13">
        <v>16</v>
      </c>
      <c r="BD125" s="14">
        <v>1920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127.2</v>
      </c>
      <c r="BM125" s="17">
        <v>14640</v>
      </c>
      <c r="BN125" s="9">
        <f t="shared" si="2"/>
        <v>14512.8</v>
      </c>
      <c r="BO125" s="10">
        <f t="shared" si="3"/>
        <v>10158.959999999999</v>
      </c>
    </row>
    <row r="126" spans="1:67" ht="24">
      <c r="A126" s="5" t="s">
        <v>14</v>
      </c>
      <c r="B126" s="11" t="s">
        <v>165</v>
      </c>
      <c r="C126" s="11">
        <v>378409</v>
      </c>
      <c r="D126" s="12"/>
      <c r="E126" s="11" t="s">
        <v>16</v>
      </c>
      <c r="F126" s="11" t="s">
        <v>43</v>
      </c>
      <c r="G126" s="11" t="s">
        <v>31</v>
      </c>
      <c r="H126" s="13" t="s">
        <v>8</v>
      </c>
      <c r="I126" s="13" t="s">
        <v>166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12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117</v>
      </c>
      <c r="AF126" s="13">
        <v>0</v>
      </c>
      <c r="AG126" s="14">
        <v>11700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21</v>
      </c>
      <c r="BD126" s="14">
        <v>2520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151.19999999999999</v>
      </c>
      <c r="BM126" s="17">
        <v>14220</v>
      </c>
      <c r="BN126" s="9">
        <f t="shared" si="2"/>
        <v>14068.8</v>
      </c>
      <c r="BO126" s="10">
        <f t="shared" si="3"/>
        <v>9848.159999999998</v>
      </c>
    </row>
    <row r="127" spans="1:67" ht="24">
      <c r="A127" s="5" t="s">
        <v>14</v>
      </c>
      <c r="B127" s="11" t="s">
        <v>210</v>
      </c>
      <c r="C127" s="11">
        <v>305522</v>
      </c>
      <c r="D127" s="12"/>
      <c r="E127" s="11" t="s">
        <v>16</v>
      </c>
      <c r="F127" s="11" t="s">
        <v>37</v>
      </c>
      <c r="G127" s="11" t="s">
        <v>31</v>
      </c>
      <c r="H127" s="13" t="s">
        <v>8</v>
      </c>
      <c r="I127" s="13" t="s">
        <v>211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43</v>
      </c>
      <c r="AF127" s="14">
        <v>2600</v>
      </c>
      <c r="AG127" s="14">
        <v>1700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65</v>
      </c>
      <c r="AR127" s="14">
        <v>6300</v>
      </c>
      <c r="AS127" s="13">
        <v>200</v>
      </c>
      <c r="AT127" s="13">
        <v>0</v>
      </c>
      <c r="AU127" s="13">
        <v>0</v>
      </c>
      <c r="AV127" s="13">
        <v>0</v>
      </c>
      <c r="AW127" s="13">
        <v>17</v>
      </c>
      <c r="AX127" s="14">
        <v>2040</v>
      </c>
      <c r="AY127" s="13">
        <v>0</v>
      </c>
      <c r="AZ127" s="13">
        <v>0</v>
      </c>
      <c r="BA127" s="13">
        <v>0</v>
      </c>
      <c r="BB127" s="13">
        <v>0</v>
      </c>
      <c r="BC127" s="13">
        <v>10</v>
      </c>
      <c r="BD127" s="14">
        <v>1200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276</v>
      </c>
      <c r="BM127" s="17">
        <v>14040</v>
      </c>
      <c r="BN127" s="9">
        <f t="shared" si="2"/>
        <v>13764</v>
      </c>
      <c r="BO127" s="10">
        <f t="shared" si="3"/>
        <v>9634.7999999999993</v>
      </c>
    </row>
    <row r="128" spans="1:67" ht="24">
      <c r="A128" s="5" t="s">
        <v>14</v>
      </c>
      <c r="B128" s="11" t="s">
        <v>328</v>
      </c>
      <c r="C128" s="11">
        <v>471701</v>
      </c>
      <c r="D128" s="12"/>
      <c r="E128" s="11" t="s">
        <v>16</v>
      </c>
      <c r="F128" s="11" t="s">
        <v>329</v>
      </c>
      <c r="G128" s="11" t="s">
        <v>335</v>
      </c>
      <c r="H128" s="13" t="s">
        <v>9</v>
      </c>
      <c r="I128" s="13" t="s">
        <v>330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44</v>
      </c>
      <c r="AF128" s="13">
        <v>0</v>
      </c>
      <c r="AG128" s="14">
        <v>4400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80</v>
      </c>
      <c r="BD128" s="14">
        <v>9600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576</v>
      </c>
      <c r="BM128" s="17">
        <v>14000</v>
      </c>
      <c r="BN128" s="9">
        <f t="shared" si="2"/>
        <v>13424</v>
      </c>
      <c r="BO128" s="10">
        <f t="shared" si="3"/>
        <v>9396.7999999999993</v>
      </c>
    </row>
    <row r="129" spans="1:67" ht="24">
      <c r="A129" s="5" t="s">
        <v>14</v>
      </c>
      <c r="B129" s="11" t="s">
        <v>228</v>
      </c>
      <c r="C129" s="11">
        <v>395192</v>
      </c>
      <c r="D129" s="12"/>
      <c r="E129" s="11" t="s">
        <v>16</v>
      </c>
      <c r="F129" s="11" t="s">
        <v>121</v>
      </c>
      <c r="G129" s="11" t="s">
        <v>31</v>
      </c>
      <c r="H129" s="13" t="s">
        <v>8</v>
      </c>
      <c r="I129" s="13" t="s">
        <v>229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44</v>
      </c>
      <c r="AF129" s="13">
        <v>0</v>
      </c>
      <c r="AG129" s="14">
        <v>4400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56</v>
      </c>
      <c r="AR129" s="14">
        <v>5400</v>
      </c>
      <c r="AS129" s="13">
        <v>200</v>
      </c>
      <c r="AT129" s="13">
        <v>0</v>
      </c>
      <c r="AU129" s="13">
        <v>0</v>
      </c>
      <c r="AV129" s="13">
        <v>0</v>
      </c>
      <c r="AW129" s="13">
        <v>10</v>
      </c>
      <c r="AX129" s="14">
        <v>1200</v>
      </c>
      <c r="AY129" s="13">
        <v>0</v>
      </c>
      <c r="AZ129" s="13">
        <v>0</v>
      </c>
      <c r="BA129" s="13">
        <v>0</v>
      </c>
      <c r="BB129" s="13">
        <v>0</v>
      </c>
      <c r="BC129" s="13">
        <v>21</v>
      </c>
      <c r="BD129" s="14">
        <v>2520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271.2</v>
      </c>
      <c r="BM129" s="17">
        <v>13720</v>
      </c>
      <c r="BN129" s="9">
        <f t="shared" si="2"/>
        <v>13448.8</v>
      </c>
      <c r="BO129" s="10">
        <f t="shared" si="3"/>
        <v>9414.159999999998</v>
      </c>
    </row>
    <row r="130" spans="1:67" ht="24">
      <c r="A130" s="5" t="s">
        <v>14</v>
      </c>
      <c r="B130" s="11" t="s">
        <v>207</v>
      </c>
      <c r="C130" s="11">
        <v>351033</v>
      </c>
      <c r="D130" s="12" t="s">
        <v>208</v>
      </c>
      <c r="E130" s="11" t="s">
        <v>16</v>
      </c>
      <c r="F130" s="11" t="s">
        <v>27</v>
      </c>
      <c r="G130" s="11" t="s">
        <v>10</v>
      </c>
      <c r="H130" s="13" t="s">
        <v>7</v>
      </c>
      <c r="I130" s="13" t="s">
        <v>209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90</v>
      </c>
      <c r="AF130" s="13">
        <v>600</v>
      </c>
      <c r="AG130" s="14">
        <v>8400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6</v>
      </c>
      <c r="AR130" s="13">
        <v>600</v>
      </c>
      <c r="AS130" s="13">
        <v>0</v>
      </c>
      <c r="AT130" s="13">
        <v>0</v>
      </c>
      <c r="AU130" s="13">
        <v>0</v>
      </c>
      <c r="AV130" s="13">
        <v>0</v>
      </c>
      <c r="AW130" s="13">
        <v>6</v>
      </c>
      <c r="AX130" s="13">
        <v>720</v>
      </c>
      <c r="AY130" s="13">
        <v>0</v>
      </c>
      <c r="AZ130" s="13">
        <v>0</v>
      </c>
      <c r="BA130" s="13">
        <v>0</v>
      </c>
      <c r="BB130" s="13">
        <v>0</v>
      </c>
      <c r="BC130" s="13">
        <v>26</v>
      </c>
      <c r="BD130" s="14">
        <v>3120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259.2</v>
      </c>
      <c r="BM130" s="17">
        <v>13440</v>
      </c>
      <c r="BN130" s="9">
        <f t="shared" si="2"/>
        <v>13180.8</v>
      </c>
      <c r="BO130" s="10">
        <f t="shared" si="3"/>
        <v>9226.56</v>
      </c>
    </row>
    <row r="131" spans="1:67" ht="24">
      <c r="A131" s="5" t="s">
        <v>14</v>
      </c>
      <c r="B131" s="11" t="s">
        <v>614</v>
      </c>
      <c r="C131" s="11">
        <v>434558</v>
      </c>
      <c r="D131" s="12"/>
      <c r="E131" s="11" t="s">
        <v>16</v>
      </c>
      <c r="F131" s="11" t="s">
        <v>196</v>
      </c>
      <c r="G131" s="11" t="s">
        <v>10</v>
      </c>
      <c r="H131" s="13" t="s">
        <v>7</v>
      </c>
      <c r="I131" s="13" t="s">
        <v>197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4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58</v>
      </c>
      <c r="AF131" s="14">
        <v>5800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76</v>
      </c>
      <c r="AR131" s="14">
        <v>7600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7">
        <v>13400</v>
      </c>
      <c r="BN131" s="9">
        <f t="shared" ref="BN131:BN185" si="4">BM131-BL131</f>
        <v>13400</v>
      </c>
      <c r="BO131" s="10">
        <f t="shared" ref="BO131:BO185" si="5">BN131*70%</f>
        <v>9380</v>
      </c>
    </row>
    <row r="132" spans="1:67" ht="24">
      <c r="A132" s="5" t="s">
        <v>14</v>
      </c>
      <c r="B132" s="11" t="s">
        <v>350</v>
      </c>
      <c r="C132" s="11">
        <v>421814</v>
      </c>
      <c r="D132" s="12"/>
      <c r="E132" s="11" t="s">
        <v>16</v>
      </c>
      <c r="F132" s="11" t="s">
        <v>37</v>
      </c>
      <c r="G132" s="11" t="s">
        <v>31</v>
      </c>
      <c r="H132" s="13" t="s">
        <v>265</v>
      </c>
      <c r="I132" s="13" t="s">
        <v>173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1</v>
      </c>
      <c r="AF132" s="14">
        <v>2900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3</v>
      </c>
      <c r="BD132" s="14">
        <v>10440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626.4</v>
      </c>
      <c r="BM132" s="17">
        <v>13340</v>
      </c>
      <c r="BN132" s="9">
        <f t="shared" si="4"/>
        <v>12713.6</v>
      </c>
      <c r="BO132" s="10">
        <f t="shared" si="5"/>
        <v>8899.52</v>
      </c>
    </row>
    <row r="133" spans="1:67" ht="24">
      <c r="A133" s="5" t="s">
        <v>14</v>
      </c>
      <c r="B133" s="11" t="s">
        <v>244</v>
      </c>
      <c r="C133" s="11">
        <v>381070</v>
      </c>
      <c r="D133" s="12"/>
      <c r="E133" s="11" t="s">
        <v>16</v>
      </c>
      <c r="F133" s="11" t="s">
        <v>245</v>
      </c>
      <c r="G133" s="11" t="s">
        <v>31</v>
      </c>
      <c r="H133" s="13" t="s">
        <v>8</v>
      </c>
      <c r="I133" s="13" t="s">
        <v>246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5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14</v>
      </c>
      <c r="AF133" s="13">
        <v>300</v>
      </c>
      <c r="AG133" s="14">
        <v>1100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97</v>
      </c>
      <c r="BD133" s="14">
        <v>11640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698.4</v>
      </c>
      <c r="BM133" s="17">
        <v>13040</v>
      </c>
      <c r="BN133" s="9">
        <f t="shared" si="4"/>
        <v>12341.6</v>
      </c>
      <c r="BO133" s="10">
        <f t="shared" si="5"/>
        <v>8639.119999999999</v>
      </c>
    </row>
    <row r="134" spans="1:67" ht="24">
      <c r="A134" s="5" t="s">
        <v>14</v>
      </c>
      <c r="B134" s="11" t="s">
        <v>184</v>
      </c>
      <c r="C134" s="11">
        <v>421661</v>
      </c>
      <c r="D134" s="12"/>
      <c r="E134" s="11" t="s">
        <v>16</v>
      </c>
      <c r="F134" s="11" t="s">
        <v>185</v>
      </c>
      <c r="G134" s="11" t="s">
        <v>31</v>
      </c>
      <c r="H134" s="13" t="s">
        <v>8</v>
      </c>
      <c r="I134" s="13" t="s">
        <v>186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2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46</v>
      </c>
      <c r="AF134" s="14">
        <v>1780</v>
      </c>
      <c r="AG134" s="14">
        <v>3100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4</v>
      </c>
      <c r="AR134" s="13">
        <v>400</v>
      </c>
      <c r="AS134" s="13">
        <v>0</v>
      </c>
      <c r="AT134" s="13">
        <v>0</v>
      </c>
      <c r="AU134" s="13">
        <v>0</v>
      </c>
      <c r="AV134" s="13">
        <v>0</v>
      </c>
      <c r="AW134" s="13">
        <v>4</v>
      </c>
      <c r="AX134" s="13">
        <v>480</v>
      </c>
      <c r="AY134" s="13">
        <v>0</v>
      </c>
      <c r="AZ134" s="13">
        <v>0</v>
      </c>
      <c r="BA134" s="13">
        <v>0</v>
      </c>
      <c r="BB134" s="13">
        <v>0</v>
      </c>
      <c r="BC134" s="13">
        <v>59</v>
      </c>
      <c r="BD134" s="14">
        <v>7080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472.8</v>
      </c>
      <c r="BM134" s="17">
        <v>12840</v>
      </c>
      <c r="BN134" s="9">
        <f t="shared" si="4"/>
        <v>12367.2</v>
      </c>
      <c r="BO134" s="10">
        <f t="shared" si="5"/>
        <v>8657.0399999999991</v>
      </c>
    </row>
    <row r="135" spans="1:67" ht="24">
      <c r="A135" s="5" t="s">
        <v>14</v>
      </c>
      <c r="B135" s="11" t="s">
        <v>556</v>
      </c>
      <c r="C135" s="11">
        <v>486824</v>
      </c>
      <c r="D135" s="12"/>
      <c r="E135" s="11" t="s">
        <v>16</v>
      </c>
      <c r="F135" s="11" t="s">
        <v>546</v>
      </c>
      <c r="G135" s="11" t="s">
        <v>337</v>
      </c>
      <c r="H135" s="13" t="s">
        <v>8</v>
      </c>
      <c r="I135" s="13" t="s">
        <v>520</v>
      </c>
      <c r="J135" s="13">
        <v>0</v>
      </c>
      <c r="K135" s="13">
        <v>21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8</v>
      </c>
      <c r="AF135" s="13">
        <v>0</v>
      </c>
      <c r="AG135" s="13">
        <v>800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101</v>
      </c>
      <c r="AR135" s="14">
        <v>10100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11</v>
      </c>
      <c r="BD135" s="14">
        <v>1320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79.2</v>
      </c>
      <c r="BM135" s="17">
        <v>12220</v>
      </c>
      <c r="BN135" s="9">
        <f t="shared" si="4"/>
        <v>12140.8</v>
      </c>
      <c r="BO135" s="10">
        <f t="shared" si="5"/>
        <v>8498.56</v>
      </c>
    </row>
    <row r="136" spans="1:67" ht="24">
      <c r="A136" s="5" t="s">
        <v>14</v>
      </c>
      <c r="B136" s="11" t="s">
        <v>240</v>
      </c>
      <c r="C136" s="11">
        <v>327548</v>
      </c>
      <c r="D136" s="12"/>
      <c r="E136" s="11" t="s">
        <v>16</v>
      </c>
      <c r="F136" s="11" t="s">
        <v>185</v>
      </c>
      <c r="G136" s="11" t="s">
        <v>31</v>
      </c>
      <c r="H136" s="13" t="s">
        <v>8</v>
      </c>
      <c r="I136" s="13" t="s">
        <v>241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101</v>
      </c>
      <c r="BD136" s="14">
        <v>12120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727.2</v>
      </c>
      <c r="BM136" s="17">
        <v>12120</v>
      </c>
      <c r="BN136" s="9">
        <f t="shared" si="4"/>
        <v>11392.8</v>
      </c>
      <c r="BO136" s="10">
        <f t="shared" si="5"/>
        <v>7974.9599999999991</v>
      </c>
    </row>
    <row r="137" spans="1:67" ht="24">
      <c r="A137" s="5" t="s">
        <v>14</v>
      </c>
      <c r="B137" s="11" t="s">
        <v>147</v>
      </c>
      <c r="C137" s="11">
        <v>423577</v>
      </c>
      <c r="D137" s="12"/>
      <c r="E137" s="11" t="s">
        <v>16</v>
      </c>
      <c r="F137" s="11" t="s">
        <v>148</v>
      </c>
      <c r="G137" s="11" t="s">
        <v>31</v>
      </c>
      <c r="H137" s="13" t="s">
        <v>8</v>
      </c>
      <c r="I137" s="13" t="s">
        <v>149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39</v>
      </c>
      <c r="AR137" s="14">
        <v>3700</v>
      </c>
      <c r="AS137" s="13">
        <v>200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66</v>
      </c>
      <c r="BD137" s="14">
        <v>7920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475.2</v>
      </c>
      <c r="BM137" s="17">
        <v>11820</v>
      </c>
      <c r="BN137" s="9">
        <f t="shared" si="4"/>
        <v>11344.8</v>
      </c>
      <c r="BO137" s="10">
        <f t="shared" si="5"/>
        <v>7941.3599999999988</v>
      </c>
    </row>
    <row r="138" spans="1:67" ht="24">
      <c r="A138" s="5" t="s">
        <v>14</v>
      </c>
      <c r="B138" s="11" t="s">
        <v>518</v>
      </c>
      <c r="C138" s="11">
        <v>487308</v>
      </c>
      <c r="D138" s="12"/>
      <c r="E138" s="11" t="s">
        <v>16</v>
      </c>
      <c r="F138" s="11" t="s">
        <v>519</v>
      </c>
      <c r="G138" s="11" t="s">
        <v>337</v>
      </c>
      <c r="H138" s="13" t="s">
        <v>8</v>
      </c>
      <c r="I138" s="13" t="s">
        <v>615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101</v>
      </c>
      <c r="AF138" s="14">
        <v>6900</v>
      </c>
      <c r="AG138" s="14">
        <v>3200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6</v>
      </c>
      <c r="AX138" s="13">
        <v>720</v>
      </c>
      <c r="AY138" s="13">
        <v>0</v>
      </c>
      <c r="AZ138" s="13">
        <v>0</v>
      </c>
      <c r="BA138" s="13">
        <v>0</v>
      </c>
      <c r="BB138" s="13">
        <v>0</v>
      </c>
      <c r="BC138" s="13">
        <v>7</v>
      </c>
      <c r="BD138" s="13">
        <v>840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122.4</v>
      </c>
      <c r="BM138" s="17">
        <v>11660</v>
      </c>
      <c r="BN138" s="9">
        <f t="shared" si="4"/>
        <v>11537.6</v>
      </c>
      <c r="BO138" s="10">
        <f t="shared" si="5"/>
        <v>8076.32</v>
      </c>
    </row>
    <row r="139" spans="1:67" ht="24">
      <c r="A139" s="5" t="s">
        <v>14</v>
      </c>
      <c r="B139" s="11" t="s">
        <v>616</v>
      </c>
      <c r="C139" s="11">
        <v>467494</v>
      </c>
      <c r="D139" s="12"/>
      <c r="E139" s="11" t="s">
        <v>16</v>
      </c>
      <c r="F139" s="11" t="s">
        <v>268</v>
      </c>
      <c r="G139" s="11" t="s">
        <v>31</v>
      </c>
      <c r="H139" s="13" t="s">
        <v>8</v>
      </c>
      <c r="I139" s="13" t="s">
        <v>21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1</v>
      </c>
      <c r="AF139" s="14">
        <v>3600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2</v>
      </c>
      <c r="AR139" s="14">
        <v>7200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7">
        <v>10800</v>
      </c>
      <c r="BN139" s="9">
        <f t="shared" si="4"/>
        <v>10800</v>
      </c>
      <c r="BO139" s="10">
        <f t="shared" si="5"/>
        <v>7559.9999999999991</v>
      </c>
    </row>
    <row r="140" spans="1:67" ht="48">
      <c r="A140" s="5" t="s">
        <v>14</v>
      </c>
      <c r="B140" s="11" t="s">
        <v>171</v>
      </c>
      <c r="C140" s="11">
        <v>467503</v>
      </c>
      <c r="D140" s="12"/>
      <c r="E140" s="11" t="s">
        <v>16</v>
      </c>
      <c r="F140" s="11" t="s">
        <v>151</v>
      </c>
      <c r="G140" s="11" t="s">
        <v>31</v>
      </c>
      <c r="H140" s="13" t="s">
        <v>8</v>
      </c>
      <c r="I140" s="13" t="s">
        <v>25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2</v>
      </c>
      <c r="AF140" s="13">
        <v>0</v>
      </c>
      <c r="AG140" s="14">
        <v>6400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1</v>
      </c>
      <c r="BD140" s="14">
        <v>3840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230.4</v>
      </c>
      <c r="BM140" s="17">
        <v>10240</v>
      </c>
      <c r="BN140" s="9">
        <f t="shared" si="4"/>
        <v>10009.6</v>
      </c>
      <c r="BO140" s="10">
        <f t="shared" si="5"/>
        <v>7006.72</v>
      </c>
    </row>
    <row r="141" spans="1:67" ht="24">
      <c r="A141" s="5" t="s">
        <v>14</v>
      </c>
      <c r="B141" s="11" t="s">
        <v>617</v>
      </c>
      <c r="C141" s="11">
        <v>426251</v>
      </c>
      <c r="D141" s="12"/>
      <c r="E141" s="11" t="s">
        <v>16</v>
      </c>
      <c r="F141" s="11" t="s">
        <v>199</v>
      </c>
      <c r="G141" s="11" t="s">
        <v>31</v>
      </c>
      <c r="H141" s="13" t="s">
        <v>265</v>
      </c>
      <c r="I141" s="13" t="s">
        <v>618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1</v>
      </c>
      <c r="AR141" s="14">
        <v>3000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2</v>
      </c>
      <c r="BD141" s="14">
        <v>7200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432</v>
      </c>
      <c r="BM141" s="17">
        <v>10200</v>
      </c>
      <c r="BN141" s="9">
        <f t="shared" si="4"/>
        <v>9768</v>
      </c>
      <c r="BO141" s="10">
        <f t="shared" si="5"/>
        <v>6837.5999999999995</v>
      </c>
    </row>
    <row r="142" spans="1:67" ht="48">
      <c r="A142" s="5" t="s">
        <v>14</v>
      </c>
      <c r="B142" s="11" t="s">
        <v>150</v>
      </c>
      <c r="C142" s="11">
        <v>467470</v>
      </c>
      <c r="D142" s="12"/>
      <c r="E142" s="11" t="s">
        <v>16</v>
      </c>
      <c r="F142" s="11" t="s">
        <v>151</v>
      </c>
      <c r="G142" s="11" t="s">
        <v>31</v>
      </c>
      <c r="H142" s="13" t="s">
        <v>8</v>
      </c>
      <c r="I142" s="13" t="s">
        <v>152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1</v>
      </c>
      <c r="AF142" s="14">
        <v>3000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2</v>
      </c>
      <c r="BD142" s="14">
        <v>7200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432</v>
      </c>
      <c r="BM142" s="17">
        <v>10200</v>
      </c>
      <c r="BN142" s="9">
        <f t="shared" si="4"/>
        <v>9768</v>
      </c>
      <c r="BO142" s="10">
        <f t="shared" si="5"/>
        <v>6837.5999999999995</v>
      </c>
    </row>
    <row r="143" spans="1:67" ht="24">
      <c r="A143" s="5" t="s">
        <v>14</v>
      </c>
      <c r="B143" s="11" t="s">
        <v>312</v>
      </c>
      <c r="C143" s="11">
        <v>387975</v>
      </c>
      <c r="D143" s="12"/>
      <c r="E143" s="11" t="s">
        <v>16</v>
      </c>
      <c r="F143" s="11" t="s">
        <v>140</v>
      </c>
      <c r="G143" s="11" t="s">
        <v>31</v>
      </c>
      <c r="H143" s="13" t="s">
        <v>265</v>
      </c>
      <c r="I143" s="13" t="s">
        <v>133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3</v>
      </c>
      <c r="BD143" s="14">
        <v>10080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604.79999999999995</v>
      </c>
      <c r="BM143" s="17">
        <v>10080</v>
      </c>
      <c r="BN143" s="9">
        <f t="shared" si="4"/>
        <v>9475.2000000000007</v>
      </c>
      <c r="BO143" s="10">
        <f t="shared" si="5"/>
        <v>6632.64</v>
      </c>
    </row>
    <row r="144" spans="1:67" ht="24">
      <c r="A144" s="5" t="s">
        <v>14</v>
      </c>
      <c r="B144" s="11" t="s">
        <v>619</v>
      </c>
      <c r="C144" s="11">
        <v>424575</v>
      </c>
      <c r="D144" s="12"/>
      <c r="E144" s="11" t="s">
        <v>16</v>
      </c>
      <c r="F144" s="11" t="s">
        <v>37</v>
      </c>
      <c r="G144" s="11" t="s">
        <v>31</v>
      </c>
      <c r="H144" s="13" t="s">
        <v>265</v>
      </c>
      <c r="I144" s="13" t="s">
        <v>620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2</v>
      </c>
      <c r="AF144" s="14">
        <v>5000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2</v>
      </c>
      <c r="AR144" s="14">
        <v>5000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7">
        <v>10000</v>
      </c>
      <c r="BN144" s="9">
        <f t="shared" si="4"/>
        <v>10000</v>
      </c>
      <c r="BO144" s="10">
        <f t="shared" si="5"/>
        <v>7000</v>
      </c>
    </row>
    <row r="145" spans="1:67" ht="24">
      <c r="A145" s="5" t="s">
        <v>14</v>
      </c>
      <c r="B145" s="11" t="s">
        <v>242</v>
      </c>
      <c r="C145" s="11">
        <v>416378</v>
      </c>
      <c r="D145" s="12"/>
      <c r="E145" s="11" t="s">
        <v>16</v>
      </c>
      <c r="F145" s="11" t="s">
        <v>116</v>
      </c>
      <c r="G145" s="11" t="s">
        <v>31</v>
      </c>
      <c r="H145" s="13" t="s">
        <v>8</v>
      </c>
      <c r="I145" s="13" t="s">
        <v>243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82</v>
      </c>
      <c r="BD145" s="14">
        <v>9840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590.4</v>
      </c>
      <c r="BM145" s="17">
        <v>9840</v>
      </c>
      <c r="BN145" s="9">
        <f t="shared" si="4"/>
        <v>9249.6</v>
      </c>
      <c r="BO145" s="10">
        <f t="shared" si="5"/>
        <v>6474.72</v>
      </c>
    </row>
    <row r="146" spans="1:67" ht="24">
      <c r="A146" s="5" t="s">
        <v>14</v>
      </c>
      <c r="B146" s="11" t="s">
        <v>172</v>
      </c>
      <c r="C146" s="11">
        <v>402649</v>
      </c>
      <c r="D146" s="12"/>
      <c r="E146" s="11" t="s">
        <v>16</v>
      </c>
      <c r="F146" s="11" t="s">
        <v>37</v>
      </c>
      <c r="G146" s="11" t="s">
        <v>31</v>
      </c>
      <c r="H146" s="13" t="s">
        <v>8</v>
      </c>
      <c r="I146" s="13" t="s">
        <v>173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8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1</v>
      </c>
      <c r="AR146" s="13">
        <v>100</v>
      </c>
      <c r="AS146" s="13">
        <v>0</v>
      </c>
      <c r="AT146" s="13">
        <v>0</v>
      </c>
      <c r="AU146" s="13">
        <v>0</v>
      </c>
      <c r="AV146" s="13">
        <v>0</v>
      </c>
      <c r="AW146" s="13">
        <v>2</v>
      </c>
      <c r="AX146" s="13">
        <v>240</v>
      </c>
      <c r="AY146" s="13">
        <v>0</v>
      </c>
      <c r="AZ146" s="13">
        <v>0</v>
      </c>
      <c r="BA146" s="13">
        <v>0</v>
      </c>
      <c r="BB146" s="13">
        <v>0</v>
      </c>
      <c r="BC146" s="13">
        <v>79</v>
      </c>
      <c r="BD146" s="14">
        <v>9480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592.79999999999995</v>
      </c>
      <c r="BM146" s="17">
        <v>9820</v>
      </c>
      <c r="BN146" s="9">
        <f t="shared" si="4"/>
        <v>9227.2000000000007</v>
      </c>
      <c r="BO146" s="10">
        <f t="shared" si="5"/>
        <v>6459.04</v>
      </c>
    </row>
    <row r="147" spans="1:67" ht="24">
      <c r="A147" s="5" t="s">
        <v>14</v>
      </c>
      <c r="B147" s="11" t="s">
        <v>621</v>
      </c>
      <c r="C147" s="11">
        <v>431781</v>
      </c>
      <c r="D147" s="12"/>
      <c r="E147" s="11" t="s">
        <v>16</v>
      </c>
      <c r="F147" s="11" t="s">
        <v>446</v>
      </c>
      <c r="G147" s="11" t="s">
        <v>31</v>
      </c>
      <c r="H147" s="13" t="s">
        <v>265</v>
      </c>
      <c r="I147" s="13" t="s">
        <v>622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1</v>
      </c>
      <c r="AX147" s="14">
        <v>4800</v>
      </c>
      <c r="AY147" s="13">
        <v>0</v>
      </c>
      <c r="AZ147" s="13">
        <v>0</v>
      </c>
      <c r="BA147" s="13">
        <v>0</v>
      </c>
      <c r="BB147" s="13">
        <v>0</v>
      </c>
      <c r="BC147" s="13">
        <v>1</v>
      </c>
      <c r="BD147" s="14">
        <v>4800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768</v>
      </c>
      <c r="BM147" s="17">
        <v>9600</v>
      </c>
      <c r="BN147" s="9">
        <f t="shared" si="4"/>
        <v>8832</v>
      </c>
      <c r="BO147" s="10">
        <f t="shared" si="5"/>
        <v>6182.4</v>
      </c>
    </row>
    <row r="148" spans="1:67" ht="24">
      <c r="A148" s="5" t="s">
        <v>14</v>
      </c>
      <c r="B148" s="11" t="s">
        <v>623</v>
      </c>
      <c r="C148" s="11">
        <v>421665</v>
      </c>
      <c r="D148" s="12"/>
      <c r="E148" s="11" t="s">
        <v>16</v>
      </c>
      <c r="F148" s="11" t="s">
        <v>185</v>
      </c>
      <c r="G148" s="11" t="s">
        <v>31</v>
      </c>
      <c r="H148" s="13" t="s">
        <v>265</v>
      </c>
      <c r="I148" s="13" t="s">
        <v>609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2</v>
      </c>
      <c r="AR148" s="14">
        <v>5800</v>
      </c>
      <c r="AS148" s="13">
        <v>200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1</v>
      </c>
      <c r="BD148" s="14">
        <v>3600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216</v>
      </c>
      <c r="BM148" s="17">
        <v>9600</v>
      </c>
      <c r="BN148" s="9">
        <f t="shared" si="4"/>
        <v>9384</v>
      </c>
      <c r="BO148" s="10">
        <f t="shared" si="5"/>
        <v>6568.7999999999993</v>
      </c>
    </row>
    <row r="149" spans="1:67" ht="24">
      <c r="A149" s="5" t="s">
        <v>14</v>
      </c>
      <c r="B149" s="11" t="s">
        <v>536</v>
      </c>
      <c r="C149" s="11">
        <v>411933</v>
      </c>
      <c r="D149" s="12"/>
      <c r="E149" s="11" t="s">
        <v>16</v>
      </c>
      <c r="F149" s="11" t="s">
        <v>116</v>
      </c>
      <c r="G149" s="11" t="s">
        <v>31</v>
      </c>
      <c r="H149" s="13" t="s">
        <v>265</v>
      </c>
      <c r="I149" s="13" t="s">
        <v>537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2</v>
      </c>
      <c r="AF149" s="14">
        <v>6000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1</v>
      </c>
      <c r="BD149" s="14">
        <v>3600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216</v>
      </c>
      <c r="BM149" s="17">
        <v>9600</v>
      </c>
      <c r="BN149" s="9">
        <f t="shared" si="4"/>
        <v>9384</v>
      </c>
      <c r="BO149" s="10">
        <f t="shared" si="5"/>
        <v>6568.7999999999993</v>
      </c>
    </row>
    <row r="150" spans="1:67" ht="24">
      <c r="A150" s="5" t="s">
        <v>14</v>
      </c>
      <c r="B150" s="11" t="s">
        <v>292</v>
      </c>
      <c r="C150" s="11">
        <v>408191</v>
      </c>
      <c r="D150" s="12"/>
      <c r="E150" s="11" t="s">
        <v>16</v>
      </c>
      <c r="F150" s="11" t="s">
        <v>121</v>
      </c>
      <c r="G150" s="11" t="s">
        <v>31</v>
      </c>
      <c r="H150" s="13" t="s">
        <v>8</v>
      </c>
      <c r="I150" s="13" t="s">
        <v>206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94</v>
      </c>
      <c r="AF150" s="14">
        <v>7100</v>
      </c>
      <c r="AG150" s="14">
        <v>2300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1</v>
      </c>
      <c r="AX150" s="13">
        <v>120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12</v>
      </c>
      <c r="BM150" s="17">
        <v>9520</v>
      </c>
      <c r="BN150" s="9">
        <f t="shared" si="4"/>
        <v>9508</v>
      </c>
      <c r="BO150" s="10">
        <f t="shared" si="5"/>
        <v>6655.5999999999995</v>
      </c>
    </row>
    <row r="151" spans="1:67" ht="24">
      <c r="A151" s="5" t="s">
        <v>14</v>
      </c>
      <c r="B151" s="11" t="s">
        <v>305</v>
      </c>
      <c r="C151" s="11">
        <v>397392</v>
      </c>
      <c r="D151" s="12"/>
      <c r="E151" s="11" t="s">
        <v>16</v>
      </c>
      <c r="F151" s="11" t="s">
        <v>121</v>
      </c>
      <c r="G151" s="11" t="s">
        <v>31</v>
      </c>
      <c r="H151" s="13" t="s">
        <v>265</v>
      </c>
      <c r="I151" s="13" t="s">
        <v>306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2</v>
      </c>
      <c r="AF151" s="13">
        <v>0</v>
      </c>
      <c r="AG151" s="14">
        <v>3200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1</v>
      </c>
      <c r="AR151" s="14">
        <v>2200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2</v>
      </c>
      <c r="BD151" s="14">
        <v>4080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244.8</v>
      </c>
      <c r="BM151" s="17">
        <v>9480</v>
      </c>
      <c r="BN151" s="9">
        <f t="shared" si="4"/>
        <v>9235.2000000000007</v>
      </c>
      <c r="BO151" s="10">
        <f t="shared" si="5"/>
        <v>6464.64</v>
      </c>
    </row>
    <row r="152" spans="1:67" ht="24">
      <c r="A152" s="5" t="s">
        <v>14</v>
      </c>
      <c r="B152" s="11" t="s">
        <v>262</v>
      </c>
      <c r="C152" s="11">
        <v>377088</v>
      </c>
      <c r="D152" s="12"/>
      <c r="E152" s="11" t="s">
        <v>16</v>
      </c>
      <c r="F152" s="11" t="s">
        <v>263</v>
      </c>
      <c r="G152" s="11" t="s">
        <v>31</v>
      </c>
      <c r="H152" s="13" t="s">
        <v>8</v>
      </c>
      <c r="I152" s="13" t="s">
        <v>264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6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60</v>
      </c>
      <c r="AF152" s="13">
        <v>700</v>
      </c>
      <c r="AG152" s="14">
        <v>5300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1</v>
      </c>
      <c r="AX152" s="13">
        <v>120</v>
      </c>
      <c r="AY152" s="13">
        <v>0</v>
      </c>
      <c r="AZ152" s="13">
        <v>0</v>
      </c>
      <c r="BA152" s="13">
        <v>0</v>
      </c>
      <c r="BB152" s="13">
        <v>0</v>
      </c>
      <c r="BC152" s="13">
        <v>26</v>
      </c>
      <c r="BD152" s="14">
        <v>3120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199.2</v>
      </c>
      <c r="BM152" s="17">
        <v>9240</v>
      </c>
      <c r="BN152" s="9">
        <f t="shared" si="4"/>
        <v>9040.7999999999993</v>
      </c>
      <c r="BO152" s="10">
        <f t="shared" si="5"/>
        <v>6328.5599999999995</v>
      </c>
    </row>
    <row r="153" spans="1:67" ht="24">
      <c r="A153" s="5" t="s">
        <v>14</v>
      </c>
      <c r="B153" s="11" t="s">
        <v>153</v>
      </c>
      <c r="C153" s="11">
        <v>387822</v>
      </c>
      <c r="D153" s="12"/>
      <c r="E153" s="11" t="s">
        <v>16</v>
      </c>
      <c r="F153" s="11" t="s">
        <v>154</v>
      </c>
      <c r="G153" s="11" t="s">
        <v>31</v>
      </c>
      <c r="H153" s="13" t="s">
        <v>8</v>
      </c>
      <c r="I153" s="13" t="s">
        <v>155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56</v>
      </c>
      <c r="AF153" s="14">
        <v>5600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27</v>
      </c>
      <c r="BD153" s="14">
        <v>3240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194.4</v>
      </c>
      <c r="BM153" s="17">
        <v>8840</v>
      </c>
      <c r="BN153" s="9">
        <f t="shared" si="4"/>
        <v>8645.6</v>
      </c>
      <c r="BO153" s="10">
        <f t="shared" si="5"/>
        <v>6051.92</v>
      </c>
    </row>
    <row r="154" spans="1:67" ht="24">
      <c r="A154" s="5" t="s">
        <v>14</v>
      </c>
      <c r="B154" s="11" t="s">
        <v>624</v>
      </c>
      <c r="C154" s="11">
        <v>388551</v>
      </c>
      <c r="D154" s="12"/>
      <c r="E154" s="11" t="s">
        <v>16</v>
      </c>
      <c r="F154" s="11" t="s">
        <v>124</v>
      </c>
      <c r="G154" s="11" t="s">
        <v>31</v>
      </c>
      <c r="H154" s="13" t="s">
        <v>265</v>
      </c>
      <c r="I154" s="13" t="s">
        <v>625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1</v>
      </c>
      <c r="AF154" s="14">
        <v>4000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1</v>
      </c>
      <c r="BD154" s="14">
        <v>4800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288</v>
      </c>
      <c r="BM154" s="17">
        <v>8800</v>
      </c>
      <c r="BN154" s="9">
        <f t="shared" si="4"/>
        <v>8512</v>
      </c>
      <c r="BO154" s="10">
        <f t="shared" si="5"/>
        <v>5958.4</v>
      </c>
    </row>
    <row r="155" spans="1:67" ht="24">
      <c r="A155" s="5" t="s">
        <v>14</v>
      </c>
      <c r="B155" s="11" t="s">
        <v>325</v>
      </c>
      <c r="C155" s="11">
        <v>471707</v>
      </c>
      <c r="D155" s="12"/>
      <c r="E155" s="11" t="s">
        <v>16</v>
      </c>
      <c r="F155" s="11" t="s">
        <v>326</v>
      </c>
      <c r="G155" s="11" t="s">
        <v>10</v>
      </c>
      <c r="H155" s="13" t="s">
        <v>7</v>
      </c>
      <c r="I155" s="13" t="s">
        <v>327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2</v>
      </c>
      <c r="AF155" s="13">
        <v>0</v>
      </c>
      <c r="AG155" s="13">
        <v>200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71</v>
      </c>
      <c r="BD155" s="14">
        <v>8520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511.2</v>
      </c>
      <c r="BM155" s="17">
        <v>8720</v>
      </c>
      <c r="BN155" s="9">
        <f t="shared" si="4"/>
        <v>8208.7999999999993</v>
      </c>
      <c r="BO155" s="10">
        <f t="shared" si="5"/>
        <v>5746.1599999999989</v>
      </c>
    </row>
    <row r="156" spans="1:67" ht="24">
      <c r="A156" s="5" t="s">
        <v>14</v>
      </c>
      <c r="B156" s="11" t="s">
        <v>191</v>
      </c>
      <c r="C156" s="11">
        <v>407733</v>
      </c>
      <c r="D156" s="12"/>
      <c r="E156" s="11" t="s">
        <v>16</v>
      </c>
      <c r="F156" s="11" t="s">
        <v>27</v>
      </c>
      <c r="G156" s="11" t="s">
        <v>10</v>
      </c>
      <c r="H156" s="13" t="s">
        <v>7</v>
      </c>
      <c r="I156" s="13" t="s">
        <v>192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2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20</v>
      </c>
      <c r="AF156" s="13">
        <v>0</v>
      </c>
      <c r="AG156" s="14">
        <v>2000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56</v>
      </c>
      <c r="BD156" s="14">
        <v>6720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403.2</v>
      </c>
      <c r="BM156" s="17">
        <v>8720</v>
      </c>
      <c r="BN156" s="9">
        <f t="shared" si="4"/>
        <v>8316.7999999999993</v>
      </c>
      <c r="BO156" s="10">
        <f t="shared" si="5"/>
        <v>5821.7599999999993</v>
      </c>
    </row>
    <row r="157" spans="1:67" ht="24">
      <c r="A157" s="5" t="s">
        <v>14</v>
      </c>
      <c r="B157" s="11" t="s">
        <v>626</v>
      </c>
      <c r="C157" s="11">
        <v>469950</v>
      </c>
      <c r="D157" s="12"/>
      <c r="E157" s="11" t="s">
        <v>16</v>
      </c>
      <c r="F157" s="11" t="s">
        <v>268</v>
      </c>
      <c r="G157" s="11" t="s">
        <v>31</v>
      </c>
      <c r="H157" s="13" t="s">
        <v>8</v>
      </c>
      <c r="I157" s="13" t="s">
        <v>627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6</v>
      </c>
      <c r="AF157" s="13">
        <v>600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81</v>
      </c>
      <c r="AR157" s="14">
        <v>8100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7">
        <v>8700</v>
      </c>
      <c r="BN157" s="9">
        <f t="shared" si="4"/>
        <v>8700</v>
      </c>
      <c r="BO157" s="10">
        <f t="shared" si="5"/>
        <v>6090</v>
      </c>
    </row>
    <row r="158" spans="1:67" ht="24">
      <c r="A158" s="5" t="s">
        <v>14</v>
      </c>
      <c r="B158" s="11" t="s">
        <v>303</v>
      </c>
      <c r="C158" s="11">
        <v>428126</v>
      </c>
      <c r="D158" s="12"/>
      <c r="E158" s="11" t="s">
        <v>16</v>
      </c>
      <c r="F158" s="11" t="s">
        <v>43</v>
      </c>
      <c r="G158" s="11" t="s">
        <v>31</v>
      </c>
      <c r="H158" s="13" t="s">
        <v>265</v>
      </c>
      <c r="I158" s="13" t="s">
        <v>304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2</v>
      </c>
      <c r="AX158" s="14">
        <v>8400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840</v>
      </c>
      <c r="BM158" s="17">
        <v>8400</v>
      </c>
      <c r="BN158" s="9">
        <f t="shared" si="4"/>
        <v>7560</v>
      </c>
      <c r="BO158" s="10">
        <f t="shared" si="5"/>
        <v>5292</v>
      </c>
    </row>
    <row r="159" spans="1:67" ht="24">
      <c r="A159" s="5" t="s">
        <v>14</v>
      </c>
      <c r="B159" s="11" t="s">
        <v>628</v>
      </c>
      <c r="C159" s="11">
        <v>428860</v>
      </c>
      <c r="D159" s="12"/>
      <c r="E159" s="11" t="s">
        <v>16</v>
      </c>
      <c r="F159" s="11" t="s">
        <v>230</v>
      </c>
      <c r="G159" s="11" t="s">
        <v>10</v>
      </c>
      <c r="H159" s="13" t="s">
        <v>7</v>
      </c>
      <c r="I159" s="13" t="s">
        <v>231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2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82</v>
      </c>
      <c r="AF159" s="14">
        <v>6900</v>
      </c>
      <c r="AG159" s="14">
        <v>1300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1</v>
      </c>
      <c r="BD159" s="13">
        <v>120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7.2</v>
      </c>
      <c r="BM159" s="17">
        <v>8320</v>
      </c>
      <c r="BN159" s="9">
        <f t="shared" si="4"/>
        <v>8312.7999999999993</v>
      </c>
      <c r="BO159" s="10">
        <f t="shared" si="5"/>
        <v>5818.9599999999991</v>
      </c>
    </row>
    <row r="160" spans="1:67" ht="24">
      <c r="A160" s="5" t="s">
        <v>14</v>
      </c>
      <c r="B160" s="11" t="s">
        <v>296</v>
      </c>
      <c r="C160" s="11">
        <v>356294</v>
      </c>
      <c r="D160" s="12"/>
      <c r="E160" s="11" t="s">
        <v>16</v>
      </c>
      <c r="F160" s="11" t="s">
        <v>37</v>
      </c>
      <c r="G160" s="11" t="s">
        <v>31</v>
      </c>
      <c r="H160" s="13" t="s">
        <v>8</v>
      </c>
      <c r="I160" s="13" t="s">
        <v>183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6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61</v>
      </c>
      <c r="AF160" s="14">
        <v>6100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1</v>
      </c>
      <c r="AR160" s="13">
        <v>100</v>
      </c>
      <c r="AS160" s="13">
        <v>0</v>
      </c>
      <c r="AT160" s="13">
        <v>0</v>
      </c>
      <c r="AU160" s="13">
        <v>0</v>
      </c>
      <c r="AV160" s="13">
        <v>0</v>
      </c>
      <c r="AW160" s="13">
        <v>14</v>
      </c>
      <c r="AX160" s="14">
        <v>1680</v>
      </c>
      <c r="AY160" s="13">
        <v>0</v>
      </c>
      <c r="AZ160" s="13">
        <v>0</v>
      </c>
      <c r="BA160" s="13">
        <v>0</v>
      </c>
      <c r="BB160" s="13">
        <v>0</v>
      </c>
      <c r="BC160" s="13">
        <v>1</v>
      </c>
      <c r="BD160" s="13">
        <v>120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175.2</v>
      </c>
      <c r="BM160" s="17">
        <v>8000</v>
      </c>
      <c r="BN160" s="9">
        <f t="shared" si="4"/>
        <v>7824.8</v>
      </c>
      <c r="BO160" s="10">
        <f t="shared" si="5"/>
        <v>5477.36</v>
      </c>
    </row>
    <row r="161" spans="1:67" ht="24">
      <c r="A161" s="5" t="s">
        <v>14</v>
      </c>
      <c r="B161" s="11" t="s">
        <v>629</v>
      </c>
      <c r="C161" s="11">
        <v>336995</v>
      </c>
      <c r="D161" s="12"/>
      <c r="E161" s="11" t="s">
        <v>16</v>
      </c>
      <c r="F161" s="11" t="s">
        <v>130</v>
      </c>
      <c r="G161" s="11" t="s">
        <v>31</v>
      </c>
      <c r="H161" s="13" t="s">
        <v>8</v>
      </c>
      <c r="I161" s="13" t="s">
        <v>630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4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38</v>
      </c>
      <c r="AF161" s="13">
        <v>0</v>
      </c>
      <c r="AG161" s="14">
        <v>3800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1</v>
      </c>
      <c r="AR161" s="13">
        <v>100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32</v>
      </c>
      <c r="BD161" s="14">
        <v>3840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230.4</v>
      </c>
      <c r="BM161" s="17">
        <v>7740</v>
      </c>
      <c r="BN161" s="9">
        <f t="shared" si="4"/>
        <v>7509.6</v>
      </c>
      <c r="BO161" s="10">
        <f t="shared" si="5"/>
        <v>5256.72</v>
      </c>
    </row>
    <row r="162" spans="1:67" ht="24">
      <c r="A162" s="5" t="s">
        <v>14</v>
      </c>
      <c r="B162" s="11" t="s">
        <v>300</v>
      </c>
      <c r="C162" s="11">
        <v>425648</v>
      </c>
      <c r="D162" s="12"/>
      <c r="E162" s="11" t="s">
        <v>16</v>
      </c>
      <c r="F162" s="11" t="s">
        <v>202</v>
      </c>
      <c r="G162" s="11" t="s">
        <v>31</v>
      </c>
      <c r="H162" s="13" t="s">
        <v>265</v>
      </c>
      <c r="I162" s="13" t="s">
        <v>203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1</v>
      </c>
      <c r="AX162" s="14">
        <v>3840</v>
      </c>
      <c r="AY162" s="13">
        <v>0</v>
      </c>
      <c r="AZ162" s="13">
        <v>0</v>
      </c>
      <c r="BA162" s="13">
        <v>0</v>
      </c>
      <c r="BB162" s="13">
        <v>0</v>
      </c>
      <c r="BC162" s="13">
        <v>1</v>
      </c>
      <c r="BD162" s="14">
        <v>3840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614.4</v>
      </c>
      <c r="BM162" s="17">
        <v>7680</v>
      </c>
      <c r="BN162" s="9">
        <f t="shared" si="4"/>
        <v>7065.6</v>
      </c>
      <c r="BO162" s="10">
        <f t="shared" si="5"/>
        <v>4945.92</v>
      </c>
    </row>
    <row r="163" spans="1:67" ht="24">
      <c r="A163" s="5" t="s">
        <v>14</v>
      </c>
      <c r="B163" s="11" t="s">
        <v>480</v>
      </c>
      <c r="C163" s="11">
        <v>475991</v>
      </c>
      <c r="D163" s="12"/>
      <c r="E163" s="11" t="s">
        <v>16</v>
      </c>
      <c r="F163" s="11" t="s">
        <v>326</v>
      </c>
      <c r="G163" s="11" t="s">
        <v>10</v>
      </c>
      <c r="H163" s="13" t="s">
        <v>7</v>
      </c>
      <c r="I163" s="13" t="s">
        <v>341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2</v>
      </c>
      <c r="AF163" s="14">
        <v>7680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7">
        <v>7680</v>
      </c>
      <c r="BN163" s="9">
        <f t="shared" si="4"/>
        <v>7680</v>
      </c>
      <c r="BO163" s="10">
        <f t="shared" si="5"/>
        <v>5376</v>
      </c>
    </row>
    <row r="164" spans="1:67" ht="48">
      <c r="A164" s="5" t="s">
        <v>14</v>
      </c>
      <c r="B164" s="11" t="s">
        <v>217</v>
      </c>
      <c r="C164" s="11">
        <v>469072</v>
      </c>
      <c r="D164" s="12"/>
      <c r="E164" s="11" t="s">
        <v>16</v>
      </c>
      <c r="F164" s="11" t="s">
        <v>151</v>
      </c>
      <c r="G164" s="11" t="s">
        <v>31</v>
      </c>
      <c r="H164" s="13" t="s">
        <v>8</v>
      </c>
      <c r="I164" s="13" t="s">
        <v>218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33</v>
      </c>
      <c r="AF164" s="13">
        <v>640</v>
      </c>
      <c r="AG164" s="14">
        <v>2700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28</v>
      </c>
      <c r="BD164" s="14">
        <v>3360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201.6</v>
      </c>
      <c r="BM164" s="17">
        <v>6700</v>
      </c>
      <c r="BN164" s="9">
        <f t="shared" si="4"/>
        <v>6498.4</v>
      </c>
      <c r="BO164" s="10">
        <f t="shared" si="5"/>
        <v>4548.8799999999992</v>
      </c>
    </row>
    <row r="165" spans="1:67" ht="24">
      <c r="A165" s="5" t="s">
        <v>14</v>
      </c>
      <c r="B165" s="11" t="s">
        <v>247</v>
      </c>
      <c r="C165" s="11">
        <v>404148</v>
      </c>
      <c r="D165" s="12"/>
      <c r="E165" s="11" t="s">
        <v>16</v>
      </c>
      <c r="F165" s="11" t="s">
        <v>248</v>
      </c>
      <c r="G165" s="11" t="s">
        <v>31</v>
      </c>
      <c r="H165" s="13" t="s">
        <v>8</v>
      </c>
      <c r="I165" s="13" t="s">
        <v>249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2</v>
      </c>
      <c r="AF165" s="13">
        <v>240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48</v>
      </c>
      <c r="BD165" s="14">
        <v>5760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345.6</v>
      </c>
      <c r="BM165" s="17">
        <v>6000</v>
      </c>
      <c r="BN165" s="9">
        <f t="shared" si="4"/>
        <v>5654.4</v>
      </c>
      <c r="BO165" s="10">
        <f t="shared" si="5"/>
        <v>3958.0799999999995</v>
      </c>
    </row>
    <row r="166" spans="1:67" ht="24">
      <c r="A166" s="5" t="s">
        <v>14</v>
      </c>
      <c r="B166" s="11" t="s">
        <v>631</v>
      </c>
      <c r="C166" s="11">
        <v>426274</v>
      </c>
      <c r="D166" s="12"/>
      <c r="E166" s="11" t="s">
        <v>16</v>
      </c>
      <c r="F166" s="11" t="s">
        <v>99</v>
      </c>
      <c r="G166" s="11" t="s">
        <v>31</v>
      </c>
      <c r="H166" s="13" t="s">
        <v>8</v>
      </c>
      <c r="I166" s="13" t="s">
        <v>260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2</v>
      </c>
      <c r="AF166" s="14">
        <v>6000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7">
        <v>6000</v>
      </c>
      <c r="BN166" s="9">
        <f t="shared" si="4"/>
        <v>6000</v>
      </c>
      <c r="BO166" s="10">
        <f t="shared" si="5"/>
        <v>4200</v>
      </c>
    </row>
    <row r="167" spans="1:67" ht="24">
      <c r="A167" s="5" t="s">
        <v>14</v>
      </c>
      <c r="B167" s="11" t="s">
        <v>278</v>
      </c>
      <c r="C167" s="11">
        <v>366144</v>
      </c>
      <c r="D167" s="12"/>
      <c r="E167" s="11" t="s">
        <v>16</v>
      </c>
      <c r="F167" s="11" t="s">
        <v>279</v>
      </c>
      <c r="G167" s="11" t="s">
        <v>31</v>
      </c>
      <c r="H167" s="13" t="s">
        <v>8</v>
      </c>
      <c r="I167" s="13" t="s">
        <v>280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1</v>
      </c>
      <c r="AF167" s="13">
        <v>0</v>
      </c>
      <c r="AG167" s="13">
        <v>100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49</v>
      </c>
      <c r="BD167" s="14">
        <v>5880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352.8</v>
      </c>
      <c r="BM167" s="17">
        <v>5980</v>
      </c>
      <c r="BN167" s="9">
        <f t="shared" si="4"/>
        <v>5627.2</v>
      </c>
      <c r="BO167" s="10">
        <f t="shared" si="5"/>
        <v>3939.0399999999995</v>
      </c>
    </row>
    <row r="168" spans="1:67" ht="24">
      <c r="A168" s="5" t="s">
        <v>14</v>
      </c>
      <c r="B168" s="11" t="s">
        <v>632</v>
      </c>
      <c r="C168" s="11">
        <v>388468</v>
      </c>
      <c r="D168" s="12"/>
      <c r="E168" s="11" t="s">
        <v>16</v>
      </c>
      <c r="F168" s="11" t="s">
        <v>474</v>
      </c>
      <c r="G168" s="11" t="s">
        <v>31</v>
      </c>
      <c r="H168" s="13" t="s">
        <v>8</v>
      </c>
      <c r="I168" s="13" t="s">
        <v>633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1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48</v>
      </c>
      <c r="BD168" s="14">
        <v>5760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345.6</v>
      </c>
      <c r="BM168" s="17">
        <v>5760</v>
      </c>
      <c r="BN168" s="9">
        <f t="shared" si="4"/>
        <v>5414.4</v>
      </c>
      <c r="BO168" s="10">
        <f t="shared" si="5"/>
        <v>3790.0799999999995</v>
      </c>
    </row>
    <row r="169" spans="1:67" ht="24">
      <c r="A169" s="5" t="s">
        <v>14</v>
      </c>
      <c r="B169" s="11" t="s">
        <v>634</v>
      </c>
      <c r="C169" s="11">
        <v>441958</v>
      </c>
      <c r="D169" s="12"/>
      <c r="E169" s="11" t="s">
        <v>16</v>
      </c>
      <c r="F169" s="11" t="s">
        <v>75</v>
      </c>
      <c r="G169" s="11" t="s">
        <v>337</v>
      </c>
      <c r="H169" s="13" t="s">
        <v>8</v>
      </c>
      <c r="I169" s="13" t="s">
        <v>635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2</v>
      </c>
      <c r="BD169" s="14">
        <v>5760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345.6</v>
      </c>
      <c r="BM169" s="17">
        <v>5760</v>
      </c>
      <c r="BN169" s="9">
        <f t="shared" si="4"/>
        <v>5414.4</v>
      </c>
      <c r="BO169" s="10">
        <f t="shared" si="5"/>
        <v>3790.0799999999995</v>
      </c>
    </row>
    <row r="170" spans="1:67" ht="24">
      <c r="A170" s="5" t="s">
        <v>14</v>
      </c>
      <c r="B170" s="11" t="s">
        <v>315</v>
      </c>
      <c r="C170" s="11">
        <v>426259</v>
      </c>
      <c r="D170" s="12"/>
      <c r="E170" s="11" t="s">
        <v>16</v>
      </c>
      <c r="F170" s="11" t="s">
        <v>121</v>
      </c>
      <c r="G170" s="11" t="s">
        <v>31</v>
      </c>
      <c r="H170" s="13" t="s">
        <v>265</v>
      </c>
      <c r="I170" s="13" t="s">
        <v>316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1</v>
      </c>
      <c r="AF170" s="13">
        <v>0</v>
      </c>
      <c r="AG170" s="13">
        <v>600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2</v>
      </c>
      <c r="AR170" s="14">
        <v>5000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7">
        <v>5600</v>
      </c>
      <c r="BN170" s="9">
        <f t="shared" si="4"/>
        <v>5600</v>
      </c>
      <c r="BO170" s="10">
        <f t="shared" si="5"/>
        <v>3919.9999999999995</v>
      </c>
    </row>
    <row r="171" spans="1:67" ht="24">
      <c r="A171" s="5" t="s">
        <v>14</v>
      </c>
      <c r="B171" s="11" t="s">
        <v>636</v>
      </c>
      <c r="C171" s="11">
        <v>414124</v>
      </c>
      <c r="D171" s="12"/>
      <c r="E171" s="11" t="s">
        <v>16</v>
      </c>
      <c r="F171" s="11" t="s">
        <v>37</v>
      </c>
      <c r="G171" s="11" t="s">
        <v>31</v>
      </c>
      <c r="H171" s="13" t="s">
        <v>265</v>
      </c>
      <c r="I171" s="13" t="s">
        <v>180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1</v>
      </c>
      <c r="AR171" s="14">
        <v>2500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1</v>
      </c>
      <c r="BD171" s="14">
        <v>3000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180</v>
      </c>
      <c r="BM171" s="17">
        <v>5500</v>
      </c>
      <c r="BN171" s="9">
        <f t="shared" si="4"/>
        <v>5320</v>
      </c>
      <c r="BO171" s="10">
        <f t="shared" si="5"/>
        <v>3723.9999999999995</v>
      </c>
    </row>
    <row r="172" spans="1:67" ht="24">
      <c r="A172" s="5" t="s">
        <v>14</v>
      </c>
      <c r="B172" s="11" t="s">
        <v>637</v>
      </c>
      <c r="C172" s="11">
        <v>442274</v>
      </c>
      <c r="D172" s="12"/>
      <c r="E172" s="11" t="s">
        <v>16</v>
      </c>
      <c r="F172" s="11" t="s">
        <v>63</v>
      </c>
      <c r="G172" s="11" t="s">
        <v>10</v>
      </c>
      <c r="H172" s="13" t="s">
        <v>7</v>
      </c>
      <c r="I172" s="13" t="s">
        <v>64</v>
      </c>
      <c r="J172" s="13">
        <v>1</v>
      </c>
      <c r="K172" s="13">
        <v>0</v>
      </c>
      <c r="L172" s="13">
        <v>100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1</v>
      </c>
      <c r="AF172" s="13">
        <v>0</v>
      </c>
      <c r="AG172" s="13">
        <v>100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1</v>
      </c>
      <c r="AX172" s="13">
        <v>120</v>
      </c>
      <c r="AY172" s="13">
        <v>0</v>
      </c>
      <c r="AZ172" s="13">
        <v>0</v>
      </c>
      <c r="BA172" s="13">
        <v>0</v>
      </c>
      <c r="BB172" s="13">
        <v>0</v>
      </c>
      <c r="BC172" s="13">
        <v>43</v>
      </c>
      <c r="BD172" s="14">
        <v>5160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321.60000000000002</v>
      </c>
      <c r="BM172" s="17">
        <v>5480</v>
      </c>
      <c r="BN172" s="9">
        <f t="shared" si="4"/>
        <v>5158.3999999999996</v>
      </c>
      <c r="BO172" s="10">
        <f t="shared" si="5"/>
        <v>3610.8799999999997</v>
      </c>
    </row>
    <row r="173" spans="1:67" ht="24">
      <c r="A173" s="5" t="s">
        <v>14</v>
      </c>
      <c r="B173" s="11" t="s">
        <v>548</v>
      </c>
      <c r="C173" s="11">
        <v>485185</v>
      </c>
      <c r="D173" s="12"/>
      <c r="E173" s="11" t="s">
        <v>16</v>
      </c>
      <c r="F173" s="11" t="s">
        <v>549</v>
      </c>
      <c r="G173" s="11" t="s">
        <v>337</v>
      </c>
      <c r="H173" s="13" t="s">
        <v>9</v>
      </c>
      <c r="I173" s="13" t="s">
        <v>550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2</v>
      </c>
      <c r="AF173" s="14">
        <v>5400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7">
        <v>5400</v>
      </c>
      <c r="BN173" s="9">
        <f t="shared" si="4"/>
        <v>5400</v>
      </c>
      <c r="BO173" s="10">
        <f t="shared" si="5"/>
        <v>3779.9999999999995</v>
      </c>
    </row>
    <row r="174" spans="1:67" ht="24">
      <c r="A174" s="5" t="s">
        <v>14</v>
      </c>
      <c r="B174" s="11" t="s">
        <v>467</v>
      </c>
      <c r="C174" s="11">
        <v>484142</v>
      </c>
      <c r="D174" s="12"/>
      <c r="E174" s="11" t="s">
        <v>16</v>
      </c>
      <c r="F174" s="11" t="s">
        <v>468</v>
      </c>
      <c r="G174" s="11" t="s">
        <v>337</v>
      </c>
      <c r="H174" s="13" t="s">
        <v>8</v>
      </c>
      <c r="I174" s="13" t="s">
        <v>435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8</v>
      </c>
      <c r="AX174" s="13">
        <v>960</v>
      </c>
      <c r="AY174" s="13">
        <v>0</v>
      </c>
      <c r="AZ174" s="13">
        <v>0</v>
      </c>
      <c r="BA174" s="13">
        <v>0</v>
      </c>
      <c r="BB174" s="13">
        <v>0</v>
      </c>
      <c r="BC174" s="13">
        <v>37</v>
      </c>
      <c r="BD174" s="14">
        <v>4440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362.4</v>
      </c>
      <c r="BM174" s="17">
        <v>5400</v>
      </c>
      <c r="BN174" s="9">
        <f t="shared" si="4"/>
        <v>5037.6000000000004</v>
      </c>
      <c r="BO174" s="10">
        <f t="shared" si="5"/>
        <v>3526.32</v>
      </c>
    </row>
    <row r="175" spans="1:67" ht="24">
      <c r="A175" s="5" t="s">
        <v>14</v>
      </c>
      <c r="B175" s="11" t="s">
        <v>501</v>
      </c>
      <c r="C175" s="11">
        <v>431783</v>
      </c>
      <c r="D175" s="12"/>
      <c r="E175" s="11" t="s">
        <v>16</v>
      </c>
      <c r="F175" s="11" t="s">
        <v>37</v>
      </c>
      <c r="G175" s="11" t="s">
        <v>31</v>
      </c>
      <c r="H175" s="13" t="s">
        <v>265</v>
      </c>
      <c r="I175" s="13" t="s">
        <v>462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1</v>
      </c>
      <c r="AR175" s="14">
        <v>4600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7">
        <v>4600</v>
      </c>
      <c r="BN175" s="9">
        <f t="shared" si="4"/>
        <v>4600</v>
      </c>
      <c r="BO175" s="10">
        <f t="shared" si="5"/>
        <v>3220</v>
      </c>
    </row>
    <row r="176" spans="1:67" ht="24">
      <c r="A176" s="5" t="s">
        <v>14</v>
      </c>
      <c r="B176" s="11" t="s">
        <v>226</v>
      </c>
      <c r="C176" s="11">
        <v>353788</v>
      </c>
      <c r="D176" s="12"/>
      <c r="E176" s="11" t="s">
        <v>16</v>
      </c>
      <c r="F176" s="11" t="s">
        <v>185</v>
      </c>
      <c r="G176" s="11" t="s">
        <v>31</v>
      </c>
      <c r="H176" s="13" t="s">
        <v>8</v>
      </c>
      <c r="I176" s="13" t="s">
        <v>227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42</v>
      </c>
      <c r="AR176" s="14">
        <v>4000</v>
      </c>
      <c r="AS176" s="13">
        <v>200</v>
      </c>
      <c r="AT176" s="13">
        <v>0</v>
      </c>
      <c r="AU176" s="13">
        <v>0</v>
      </c>
      <c r="AV176" s="13">
        <v>0</v>
      </c>
      <c r="AW176" s="13">
        <v>2</v>
      </c>
      <c r="AX176" s="13">
        <v>240</v>
      </c>
      <c r="AY176" s="13">
        <v>0</v>
      </c>
      <c r="AZ176" s="13">
        <v>0</v>
      </c>
      <c r="BA176" s="13">
        <v>0</v>
      </c>
      <c r="BB176" s="13">
        <v>0</v>
      </c>
      <c r="BC176" s="13">
        <v>1</v>
      </c>
      <c r="BD176" s="13">
        <v>120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31.2</v>
      </c>
      <c r="BM176" s="17">
        <v>4560</v>
      </c>
      <c r="BN176" s="9">
        <f t="shared" si="4"/>
        <v>4528.8</v>
      </c>
      <c r="BO176" s="10">
        <f t="shared" si="5"/>
        <v>3170.16</v>
      </c>
    </row>
    <row r="177" spans="1:67" ht="24">
      <c r="A177" s="5" t="s">
        <v>14</v>
      </c>
      <c r="B177" s="11" t="s">
        <v>551</v>
      </c>
      <c r="C177" s="11">
        <v>486821</v>
      </c>
      <c r="D177" s="12"/>
      <c r="E177" s="11" t="s">
        <v>16</v>
      </c>
      <c r="F177" s="11" t="s">
        <v>437</v>
      </c>
      <c r="G177" s="11" t="s">
        <v>31</v>
      </c>
      <c r="H177" s="13" t="s">
        <v>265</v>
      </c>
      <c r="I177" s="13" t="s">
        <v>552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2</v>
      </c>
      <c r="AF177" s="14">
        <v>4400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7">
        <v>4400</v>
      </c>
      <c r="BN177" s="9">
        <f t="shared" si="4"/>
        <v>4400</v>
      </c>
      <c r="BO177" s="10">
        <f t="shared" si="5"/>
        <v>3080</v>
      </c>
    </row>
    <row r="178" spans="1:67" ht="24">
      <c r="A178" s="5" t="s">
        <v>14</v>
      </c>
      <c r="B178" s="11" t="s">
        <v>232</v>
      </c>
      <c r="C178" s="11">
        <v>407159</v>
      </c>
      <c r="D178" s="12"/>
      <c r="E178" s="11" t="s">
        <v>16</v>
      </c>
      <c r="F178" s="11" t="s">
        <v>233</v>
      </c>
      <c r="G178" s="11" t="s">
        <v>31</v>
      </c>
      <c r="H178" s="13" t="s">
        <v>8</v>
      </c>
      <c r="I178" s="13" t="s">
        <v>234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39</v>
      </c>
      <c r="AF178" s="13">
        <v>0</v>
      </c>
      <c r="AG178" s="14">
        <v>3900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4</v>
      </c>
      <c r="BD178" s="13">
        <v>480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28.8</v>
      </c>
      <c r="BM178" s="17">
        <v>4380</v>
      </c>
      <c r="BN178" s="9">
        <f t="shared" si="4"/>
        <v>4351.2</v>
      </c>
      <c r="BO178" s="10">
        <f t="shared" si="5"/>
        <v>3045.8399999999997</v>
      </c>
    </row>
    <row r="179" spans="1:67" ht="24">
      <c r="A179" s="5" t="s">
        <v>14</v>
      </c>
      <c r="B179" s="11" t="s">
        <v>261</v>
      </c>
      <c r="C179" s="11">
        <v>385169</v>
      </c>
      <c r="D179" s="12"/>
      <c r="E179" s="11" t="s">
        <v>16</v>
      </c>
      <c r="F179" s="11" t="s">
        <v>185</v>
      </c>
      <c r="G179" s="11" t="s">
        <v>31</v>
      </c>
      <c r="H179" s="13" t="s">
        <v>8</v>
      </c>
      <c r="I179" s="13" t="s">
        <v>258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10</v>
      </c>
      <c r="AX179" s="14">
        <v>1200</v>
      </c>
      <c r="AY179" s="13">
        <v>0</v>
      </c>
      <c r="AZ179" s="13">
        <v>0</v>
      </c>
      <c r="BA179" s="13">
        <v>0</v>
      </c>
      <c r="BB179" s="13">
        <v>0</v>
      </c>
      <c r="BC179" s="13">
        <v>26</v>
      </c>
      <c r="BD179" s="14">
        <v>3120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307.2</v>
      </c>
      <c r="BM179" s="17">
        <v>4320</v>
      </c>
      <c r="BN179" s="9">
        <f t="shared" si="4"/>
        <v>4012.8</v>
      </c>
      <c r="BO179" s="10">
        <f t="shared" si="5"/>
        <v>2808.96</v>
      </c>
    </row>
    <row r="180" spans="1:67" ht="24">
      <c r="A180" s="5" t="s">
        <v>14</v>
      </c>
      <c r="B180" s="11" t="s">
        <v>293</v>
      </c>
      <c r="C180" s="11">
        <v>384107</v>
      </c>
      <c r="D180" s="12"/>
      <c r="E180" s="11" t="s">
        <v>16</v>
      </c>
      <c r="F180" s="11" t="s">
        <v>294</v>
      </c>
      <c r="G180" s="11" t="s">
        <v>31</v>
      </c>
      <c r="H180" s="13" t="s">
        <v>265</v>
      </c>
      <c r="I180" s="13" t="s">
        <v>295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36</v>
      </c>
      <c r="BD180" s="14">
        <v>4320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259.2</v>
      </c>
      <c r="BM180" s="17">
        <v>4320</v>
      </c>
      <c r="BN180" s="9">
        <f t="shared" si="4"/>
        <v>4060.8</v>
      </c>
      <c r="BO180" s="10">
        <f t="shared" si="5"/>
        <v>2842.56</v>
      </c>
    </row>
    <row r="181" spans="1:67" ht="24">
      <c r="A181" s="5" t="s">
        <v>14</v>
      </c>
      <c r="B181" s="11" t="s">
        <v>198</v>
      </c>
      <c r="C181" s="11">
        <v>353981</v>
      </c>
      <c r="D181" s="12"/>
      <c r="E181" s="11" t="s">
        <v>16</v>
      </c>
      <c r="F181" s="11" t="s">
        <v>199</v>
      </c>
      <c r="G181" s="11" t="s">
        <v>31</v>
      </c>
      <c r="H181" s="13" t="s">
        <v>8</v>
      </c>
      <c r="I181" s="13" t="s">
        <v>200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40</v>
      </c>
      <c r="AF181" s="14">
        <v>3800</v>
      </c>
      <c r="AG181" s="13">
        <v>200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1</v>
      </c>
      <c r="AX181" s="13">
        <v>120</v>
      </c>
      <c r="AY181" s="13">
        <v>0</v>
      </c>
      <c r="AZ181" s="13">
        <v>0</v>
      </c>
      <c r="BA181" s="13">
        <v>0</v>
      </c>
      <c r="BB181" s="13">
        <v>0</v>
      </c>
      <c r="BC181" s="13">
        <v>1</v>
      </c>
      <c r="BD181" s="13">
        <v>120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19.2</v>
      </c>
      <c r="BM181" s="17">
        <v>4240</v>
      </c>
      <c r="BN181" s="9">
        <f t="shared" si="4"/>
        <v>4220.8</v>
      </c>
      <c r="BO181" s="10">
        <f t="shared" si="5"/>
        <v>2954.56</v>
      </c>
    </row>
    <row r="182" spans="1:67" ht="24">
      <c r="A182" s="5" t="s">
        <v>14</v>
      </c>
      <c r="B182" s="11" t="s">
        <v>129</v>
      </c>
      <c r="C182" s="11">
        <v>399034</v>
      </c>
      <c r="D182" s="12"/>
      <c r="E182" s="11" t="s">
        <v>16</v>
      </c>
      <c r="F182" s="11" t="s">
        <v>130</v>
      </c>
      <c r="G182" s="11" t="s">
        <v>31</v>
      </c>
      <c r="H182" s="13" t="s">
        <v>8</v>
      </c>
      <c r="I182" s="13" t="s">
        <v>131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23</v>
      </c>
      <c r="AF182" s="13">
        <v>0</v>
      </c>
      <c r="AG182" s="14">
        <v>2300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18</v>
      </c>
      <c r="AR182" s="14">
        <v>1800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1</v>
      </c>
      <c r="BD182" s="13">
        <v>120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7.2</v>
      </c>
      <c r="BM182" s="17">
        <v>4220</v>
      </c>
      <c r="BN182" s="9">
        <f t="shared" si="4"/>
        <v>4212.8</v>
      </c>
      <c r="BO182" s="10">
        <f t="shared" si="5"/>
        <v>2948.96</v>
      </c>
    </row>
    <row r="183" spans="1:67" ht="24">
      <c r="A183" s="5" t="s">
        <v>14</v>
      </c>
      <c r="B183" s="11" t="s">
        <v>638</v>
      </c>
      <c r="C183" s="11">
        <v>423579</v>
      </c>
      <c r="D183" s="12"/>
      <c r="E183" s="11" t="s">
        <v>16</v>
      </c>
      <c r="F183" s="11" t="s">
        <v>148</v>
      </c>
      <c r="G183" s="11" t="s">
        <v>31</v>
      </c>
      <c r="H183" s="13" t="s">
        <v>265</v>
      </c>
      <c r="I183" s="13" t="s">
        <v>149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1</v>
      </c>
      <c r="AL183" s="14">
        <v>4212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5">
        <v>1263.5999999999999</v>
      </c>
      <c r="BM183" s="17">
        <v>4212</v>
      </c>
      <c r="BN183" s="9">
        <f t="shared" si="4"/>
        <v>2948.4</v>
      </c>
      <c r="BO183" s="10">
        <f t="shared" si="5"/>
        <v>2063.88</v>
      </c>
    </row>
    <row r="184" spans="1:67" ht="24">
      <c r="A184" s="5" t="s">
        <v>14</v>
      </c>
      <c r="B184" s="11" t="s">
        <v>510</v>
      </c>
      <c r="C184" s="11">
        <v>413284</v>
      </c>
      <c r="D184" s="12"/>
      <c r="E184" s="11" t="s">
        <v>16</v>
      </c>
      <c r="F184" s="11" t="s">
        <v>224</v>
      </c>
      <c r="G184" s="11" t="s">
        <v>337</v>
      </c>
      <c r="H184" s="13" t="s">
        <v>7</v>
      </c>
      <c r="I184" s="13" t="s">
        <v>511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1</v>
      </c>
      <c r="BD184" s="14">
        <v>4200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252</v>
      </c>
      <c r="BM184" s="17">
        <v>4200</v>
      </c>
      <c r="BN184" s="9">
        <f t="shared" si="4"/>
        <v>3948</v>
      </c>
      <c r="BO184" s="10">
        <f t="shared" si="5"/>
        <v>2763.6</v>
      </c>
    </row>
    <row r="185" spans="1:67" ht="24">
      <c r="A185" s="5" t="s">
        <v>14</v>
      </c>
      <c r="B185" s="11" t="s">
        <v>639</v>
      </c>
      <c r="C185" s="11">
        <v>490132</v>
      </c>
      <c r="D185" s="12"/>
      <c r="E185" s="11" t="s">
        <v>16</v>
      </c>
      <c r="F185" s="11" t="s">
        <v>640</v>
      </c>
      <c r="G185" s="11" t="s">
        <v>337</v>
      </c>
      <c r="H185" s="13" t="s">
        <v>7</v>
      </c>
      <c r="I185" s="13" t="s">
        <v>581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1</v>
      </c>
      <c r="AF185" s="13">
        <v>500</v>
      </c>
      <c r="AG185" s="13">
        <v>800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1</v>
      </c>
      <c r="AR185" s="14">
        <v>1300</v>
      </c>
      <c r="AS185" s="13">
        <v>0</v>
      </c>
      <c r="AT185" s="13">
        <v>0</v>
      </c>
      <c r="AU185" s="13">
        <v>0</v>
      </c>
      <c r="AV185" s="13">
        <v>0</v>
      </c>
      <c r="AW185" s="13">
        <v>1</v>
      </c>
      <c r="AX185" s="14">
        <v>1560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156</v>
      </c>
      <c r="BM185" s="17">
        <v>4160</v>
      </c>
      <c r="BN185" s="9">
        <f t="shared" si="4"/>
        <v>4004</v>
      </c>
      <c r="BO185" s="10">
        <f t="shared" si="5"/>
        <v>2802.7999999999997</v>
      </c>
    </row>
    <row r="186" spans="1:67" ht="24">
      <c r="A186" s="5" t="s">
        <v>14</v>
      </c>
      <c r="B186" s="11" t="s">
        <v>641</v>
      </c>
      <c r="C186" s="11">
        <v>431511</v>
      </c>
      <c r="D186" s="12"/>
      <c r="E186" s="11" t="s">
        <v>16</v>
      </c>
      <c r="F186" s="11" t="s">
        <v>90</v>
      </c>
      <c r="G186" s="11" t="s">
        <v>10</v>
      </c>
      <c r="H186" s="13" t="s">
        <v>7</v>
      </c>
      <c r="I186" s="13" t="s">
        <v>349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1</v>
      </c>
      <c r="BD186" s="14">
        <v>3840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230.4</v>
      </c>
      <c r="BM186" s="17">
        <v>3840</v>
      </c>
      <c r="BN186" s="9">
        <f t="shared" ref="BN186:BN247" si="6">BM186-BL186</f>
        <v>3609.6</v>
      </c>
      <c r="BO186" s="10">
        <f t="shared" ref="BO186:BO247" si="7">BN186*70%</f>
        <v>2526.7199999999998</v>
      </c>
    </row>
    <row r="187" spans="1:67" ht="24">
      <c r="A187" s="5" t="s">
        <v>14</v>
      </c>
      <c r="B187" s="11" t="s">
        <v>136</v>
      </c>
      <c r="C187" s="11">
        <v>392777</v>
      </c>
      <c r="D187" s="12"/>
      <c r="E187" s="11" t="s">
        <v>16</v>
      </c>
      <c r="F187" s="11" t="s">
        <v>83</v>
      </c>
      <c r="G187" s="11" t="s">
        <v>10</v>
      </c>
      <c r="H187" s="13" t="s">
        <v>7</v>
      </c>
      <c r="I187" s="13" t="s">
        <v>137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1</v>
      </c>
      <c r="BD187" s="14">
        <v>3840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230.4</v>
      </c>
      <c r="BM187" s="17">
        <v>3840</v>
      </c>
      <c r="BN187" s="9">
        <f t="shared" si="6"/>
        <v>3609.6</v>
      </c>
      <c r="BO187" s="10">
        <f t="shared" si="7"/>
        <v>2526.7199999999998</v>
      </c>
    </row>
    <row r="188" spans="1:67" ht="24">
      <c r="A188" s="5" t="s">
        <v>14</v>
      </c>
      <c r="B188" s="11" t="s">
        <v>271</v>
      </c>
      <c r="C188" s="11">
        <v>430085</v>
      </c>
      <c r="D188" s="12"/>
      <c r="E188" s="11" t="s">
        <v>16</v>
      </c>
      <c r="F188" s="11" t="s">
        <v>80</v>
      </c>
      <c r="G188" s="11" t="s">
        <v>10</v>
      </c>
      <c r="H188" s="13" t="s">
        <v>9</v>
      </c>
      <c r="I188" s="13" t="s">
        <v>272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1</v>
      </c>
      <c r="AF188" s="14">
        <v>3840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7">
        <v>3840</v>
      </c>
      <c r="BN188" s="9">
        <f t="shared" si="6"/>
        <v>3840</v>
      </c>
      <c r="BO188" s="10">
        <f t="shared" si="7"/>
        <v>2688</v>
      </c>
    </row>
    <row r="189" spans="1:67" ht="24">
      <c r="A189" s="5" t="s">
        <v>14</v>
      </c>
      <c r="B189" s="11" t="s">
        <v>532</v>
      </c>
      <c r="C189" s="11">
        <v>485989</v>
      </c>
      <c r="D189" s="12"/>
      <c r="E189" s="11" t="s">
        <v>16</v>
      </c>
      <c r="F189" s="11" t="s">
        <v>431</v>
      </c>
      <c r="G189" s="11" t="s">
        <v>10</v>
      </c>
      <c r="H189" s="13" t="s">
        <v>7</v>
      </c>
      <c r="I189" s="13" t="s">
        <v>463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1</v>
      </c>
      <c r="AX189" s="14">
        <v>3840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384</v>
      </c>
      <c r="BM189" s="17">
        <v>3840</v>
      </c>
      <c r="BN189" s="9">
        <f t="shared" si="6"/>
        <v>3456</v>
      </c>
      <c r="BO189" s="10">
        <f t="shared" si="7"/>
        <v>2419.1999999999998</v>
      </c>
    </row>
    <row r="190" spans="1:67" ht="24">
      <c r="A190" s="5" t="s">
        <v>14</v>
      </c>
      <c r="B190" s="11" t="s">
        <v>642</v>
      </c>
      <c r="C190" s="11">
        <v>467498</v>
      </c>
      <c r="D190" s="12"/>
      <c r="E190" s="11" t="s">
        <v>16</v>
      </c>
      <c r="F190" s="11" t="s">
        <v>268</v>
      </c>
      <c r="G190" s="11" t="s">
        <v>31</v>
      </c>
      <c r="H190" s="13" t="s">
        <v>8</v>
      </c>
      <c r="I190" s="13" t="s">
        <v>21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2</v>
      </c>
      <c r="AF190" s="14">
        <v>1800</v>
      </c>
      <c r="AG190" s="13">
        <v>200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1</v>
      </c>
      <c r="AR190" s="14">
        <v>1600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7">
        <v>3600</v>
      </c>
      <c r="BN190" s="9">
        <f t="shared" si="6"/>
        <v>3600</v>
      </c>
      <c r="BO190" s="10">
        <f t="shared" si="7"/>
        <v>2520</v>
      </c>
    </row>
    <row r="191" spans="1:67" ht="24">
      <c r="A191" s="5" t="s">
        <v>14</v>
      </c>
      <c r="B191" s="11" t="s">
        <v>301</v>
      </c>
      <c r="C191" s="11">
        <v>458432</v>
      </c>
      <c r="D191" s="12"/>
      <c r="E191" s="11" t="s">
        <v>16</v>
      </c>
      <c r="F191" s="11" t="s">
        <v>121</v>
      </c>
      <c r="G191" s="11" t="s">
        <v>31</v>
      </c>
      <c r="H191" s="13" t="s">
        <v>265</v>
      </c>
      <c r="I191" s="13" t="s">
        <v>302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1</v>
      </c>
      <c r="BD191" s="14">
        <v>3600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216</v>
      </c>
      <c r="BM191" s="17">
        <v>3600</v>
      </c>
      <c r="BN191" s="9">
        <f t="shared" si="6"/>
        <v>3384</v>
      </c>
      <c r="BO191" s="10">
        <f t="shared" si="7"/>
        <v>2368.7999999999997</v>
      </c>
    </row>
    <row r="192" spans="1:67" ht="24">
      <c r="A192" s="5" t="s">
        <v>14</v>
      </c>
      <c r="B192" s="11" t="s">
        <v>321</v>
      </c>
      <c r="C192" s="11">
        <v>380275</v>
      </c>
      <c r="D192" s="12"/>
      <c r="E192" s="11" t="s">
        <v>16</v>
      </c>
      <c r="F192" s="11" t="s">
        <v>37</v>
      </c>
      <c r="G192" s="11" t="s">
        <v>31</v>
      </c>
      <c r="H192" s="13" t="s">
        <v>265</v>
      </c>
      <c r="I192" s="13" t="s">
        <v>322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9</v>
      </c>
      <c r="AR192" s="13">
        <v>900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22</v>
      </c>
      <c r="BD192" s="14">
        <v>2640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158.4</v>
      </c>
      <c r="BM192" s="17">
        <v>3540</v>
      </c>
      <c r="BN192" s="9">
        <f t="shared" si="6"/>
        <v>3381.6</v>
      </c>
      <c r="BO192" s="10">
        <f t="shared" si="7"/>
        <v>2367.12</v>
      </c>
    </row>
    <row r="193" spans="1:67" ht="24">
      <c r="A193" s="5" t="s">
        <v>14</v>
      </c>
      <c r="B193" s="11" t="s">
        <v>561</v>
      </c>
      <c r="C193" s="11">
        <v>487345</v>
      </c>
      <c r="D193" s="12"/>
      <c r="E193" s="11" t="s">
        <v>16</v>
      </c>
      <c r="F193" s="11" t="s">
        <v>348</v>
      </c>
      <c r="G193" s="11" t="s">
        <v>337</v>
      </c>
      <c r="H193" s="13" t="s">
        <v>8</v>
      </c>
      <c r="I193" s="13" t="s">
        <v>562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1</v>
      </c>
      <c r="AR193" s="14">
        <v>3500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7">
        <v>3500</v>
      </c>
      <c r="BN193" s="9">
        <f t="shared" si="6"/>
        <v>3500</v>
      </c>
      <c r="BO193" s="10">
        <f t="shared" si="7"/>
        <v>2450</v>
      </c>
    </row>
    <row r="194" spans="1:67" ht="24">
      <c r="A194" s="5" t="s">
        <v>14</v>
      </c>
      <c r="B194" s="11" t="s">
        <v>252</v>
      </c>
      <c r="C194" s="11">
        <v>328894</v>
      </c>
      <c r="D194" s="12"/>
      <c r="E194" s="11" t="s">
        <v>16</v>
      </c>
      <c r="F194" s="11" t="s">
        <v>185</v>
      </c>
      <c r="G194" s="11" t="s">
        <v>31</v>
      </c>
      <c r="H194" s="13" t="s">
        <v>8</v>
      </c>
      <c r="I194" s="13" t="s">
        <v>253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7</v>
      </c>
      <c r="AF194" s="13">
        <v>700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9</v>
      </c>
      <c r="AX194" s="14">
        <v>1080</v>
      </c>
      <c r="AY194" s="13">
        <v>0</v>
      </c>
      <c r="AZ194" s="13">
        <v>0</v>
      </c>
      <c r="BA194" s="13">
        <v>0</v>
      </c>
      <c r="BB194" s="13">
        <v>0</v>
      </c>
      <c r="BC194" s="13">
        <v>14</v>
      </c>
      <c r="BD194" s="14">
        <v>1680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208.8</v>
      </c>
      <c r="BM194" s="17">
        <v>3460</v>
      </c>
      <c r="BN194" s="9">
        <f t="shared" si="6"/>
        <v>3251.2</v>
      </c>
      <c r="BO194" s="10">
        <f t="shared" si="7"/>
        <v>2275.8399999999997</v>
      </c>
    </row>
    <row r="195" spans="1:67" ht="24">
      <c r="A195" s="5" t="s">
        <v>14</v>
      </c>
      <c r="B195" s="11" t="s">
        <v>643</v>
      </c>
      <c r="C195" s="11">
        <v>304651</v>
      </c>
      <c r="D195" s="12"/>
      <c r="E195" s="11" t="s">
        <v>16</v>
      </c>
      <c r="F195" s="11" t="s">
        <v>62</v>
      </c>
      <c r="G195" s="11" t="s">
        <v>10</v>
      </c>
      <c r="H195" s="13" t="s">
        <v>7</v>
      </c>
      <c r="I195" s="13" t="s">
        <v>644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1</v>
      </c>
      <c r="AU195" s="13">
        <v>600</v>
      </c>
      <c r="AV195" s="13">
        <v>0</v>
      </c>
      <c r="AW195" s="13">
        <v>0</v>
      </c>
      <c r="AX195" s="13">
        <v>0</v>
      </c>
      <c r="AY195" s="13">
        <v>0</v>
      </c>
      <c r="AZ195" s="13">
        <v>3</v>
      </c>
      <c r="BA195" s="14">
        <v>2640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218.4</v>
      </c>
      <c r="BM195" s="17">
        <v>3240</v>
      </c>
      <c r="BN195" s="9">
        <f t="shared" si="6"/>
        <v>3021.6</v>
      </c>
      <c r="BO195" s="10">
        <f t="shared" si="7"/>
        <v>2115.12</v>
      </c>
    </row>
    <row r="196" spans="1:67" ht="24">
      <c r="A196" s="5" t="s">
        <v>14</v>
      </c>
      <c r="B196" s="11" t="s">
        <v>346</v>
      </c>
      <c r="C196" s="11">
        <v>414343</v>
      </c>
      <c r="D196" s="12"/>
      <c r="E196" s="11" t="s">
        <v>16</v>
      </c>
      <c r="F196" s="11" t="s">
        <v>11</v>
      </c>
      <c r="G196" s="11" t="s">
        <v>10</v>
      </c>
      <c r="H196" s="13" t="s">
        <v>7</v>
      </c>
      <c r="I196" s="13" t="s">
        <v>180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1</v>
      </c>
      <c r="AF196" s="13">
        <v>0</v>
      </c>
      <c r="AG196" s="14">
        <v>3200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7">
        <v>3200</v>
      </c>
      <c r="BN196" s="9">
        <f t="shared" si="6"/>
        <v>3200</v>
      </c>
      <c r="BO196" s="10">
        <f t="shared" si="7"/>
        <v>2240</v>
      </c>
    </row>
    <row r="197" spans="1:67" ht="24">
      <c r="A197" s="5" t="s">
        <v>14</v>
      </c>
      <c r="B197" s="11" t="s">
        <v>543</v>
      </c>
      <c r="C197" s="11">
        <v>476104</v>
      </c>
      <c r="D197" s="12"/>
      <c r="E197" s="11" t="s">
        <v>16</v>
      </c>
      <c r="F197" s="11" t="s">
        <v>544</v>
      </c>
      <c r="G197" s="11" t="s">
        <v>10</v>
      </c>
      <c r="H197" s="13" t="s">
        <v>7</v>
      </c>
      <c r="I197" s="13" t="s">
        <v>341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1</v>
      </c>
      <c r="AF197" s="14">
        <v>3200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7">
        <v>3200</v>
      </c>
      <c r="BN197" s="9">
        <f t="shared" si="6"/>
        <v>3200</v>
      </c>
      <c r="BO197" s="10">
        <f t="shared" si="7"/>
        <v>2240</v>
      </c>
    </row>
    <row r="198" spans="1:67" ht="24">
      <c r="A198" s="5" t="s">
        <v>14</v>
      </c>
      <c r="B198" s="11" t="s">
        <v>527</v>
      </c>
      <c r="C198" s="11">
        <v>487321</v>
      </c>
      <c r="D198" s="12"/>
      <c r="E198" s="11" t="s">
        <v>16</v>
      </c>
      <c r="F198" s="11" t="s">
        <v>35</v>
      </c>
      <c r="G198" s="11" t="s">
        <v>10</v>
      </c>
      <c r="H198" s="13" t="s">
        <v>7</v>
      </c>
      <c r="I198" s="13" t="s">
        <v>520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32</v>
      </c>
      <c r="AF198" s="13">
        <v>400</v>
      </c>
      <c r="AG198" s="14">
        <v>2800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7">
        <v>3200</v>
      </c>
      <c r="BN198" s="9">
        <f t="shared" si="6"/>
        <v>3200</v>
      </c>
      <c r="BO198" s="10">
        <f t="shared" si="7"/>
        <v>2240</v>
      </c>
    </row>
    <row r="199" spans="1:67" ht="24">
      <c r="A199" s="5" t="s">
        <v>14</v>
      </c>
      <c r="B199" s="11" t="s">
        <v>645</v>
      </c>
      <c r="C199" s="11">
        <v>428727</v>
      </c>
      <c r="D199" s="12"/>
      <c r="E199" s="11" t="s">
        <v>16</v>
      </c>
      <c r="F199" s="11" t="s">
        <v>116</v>
      </c>
      <c r="G199" s="11" t="s">
        <v>31</v>
      </c>
      <c r="H199" s="13" t="s">
        <v>265</v>
      </c>
      <c r="I199" s="13" t="s">
        <v>609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1</v>
      </c>
      <c r="BD199" s="14">
        <v>3000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180</v>
      </c>
      <c r="BM199" s="17">
        <v>3000</v>
      </c>
      <c r="BN199" s="9">
        <f t="shared" si="6"/>
        <v>2820</v>
      </c>
      <c r="BO199" s="10">
        <f t="shared" si="7"/>
        <v>1973.9999999999998</v>
      </c>
    </row>
    <row r="200" spans="1:67" ht="24">
      <c r="A200" s="5" t="s">
        <v>14</v>
      </c>
      <c r="B200" s="11" t="s">
        <v>563</v>
      </c>
      <c r="C200" s="11">
        <v>431788</v>
      </c>
      <c r="D200" s="12"/>
      <c r="E200" s="11" t="s">
        <v>16</v>
      </c>
      <c r="F200" s="11" t="s">
        <v>121</v>
      </c>
      <c r="G200" s="11" t="s">
        <v>31</v>
      </c>
      <c r="H200" s="13" t="s">
        <v>265</v>
      </c>
      <c r="I200" s="13" t="s">
        <v>564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1</v>
      </c>
      <c r="AF200" s="13">
        <v>0</v>
      </c>
      <c r="AG200" s="14">
        <v>3000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7">
        <v>3000</v>
      </c>
      <c r="BN200" s="9">
        <f t="shared" si="6"/>
        <v>3000</v>
      </c>
      <c r="BO200" s="10">
        <f t="shared" si="7"/>
        <v>2100</v>
      </c>
    </row>
    <row r="201" spans="1:67" ht="24">
      <c r="A201" s="5" t="s">
        <v>14</v>
      </c>
      <c r="B201" s="11" t="s">
        <v>646</v>
      </c>
      <c r="C201" s="11">
        <v>410549</v>
      </c>
      <c r="D201" s="12"/>
      <c r="E201" s="11" t="s">
        <v>16</v>
      </c>
      <c r="F201" s="11" t="s">
        <v>647</v>
      </c>
      <c r="G201" s="11" t="s">
        <v>31</v>
      </c>
      <c r="H201" s="13" t="s">
        <v>7</v>
      </c>
      <c r="I201" s="13" t="s">
        <v>648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2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29</v>
      </c>
      <c r="AF201" s="13">
        <v>0</v>
      </c>
      <c r="AG201" s="14">
        <v>2900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7">
        <v>2900</v>
      </c>
      <c r="BN201" s="9">
        <f t="shared" si="6"/>
        <v>2900</v>
      </c>
      <c r="BO201" s="10">
        <f t="shared" si="7"/>
        <v>2029.9999999999998</v>
      </c>
    </row>
    <row r="202" spans="1:67" ht="24">
      <c r="A202" s="5" t="s">
        <v>14</v>
      </c>
      <c r="B202" s="11" t="s">
        <v>189</v>
      </c>
      <c r="C202" s="11">
        <v>415992</v>
      </c>
      <c r="D202" s="12"/>
      <c r="E202" s="11" t="s">
        <v>16</v>
      </c>
      <c r="F202" s="11" t="s">
        <v>37</v>
      </c>
      <c r="G202" s="11" t="s">
        <v>31</v>
      </c>
      <c r="H202" s="13" t="s">
        <v>8</v>
      </c>
      <c r="I202" s="13" t="s">
        <v>190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11</v>
      </c>
      <c r="AF202" s="14">
        <v>1100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15</v>
      </c>
      <c r="BD202" s="14">
        <v>1800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108</v>
      </c>
      <c r="BM202" s="17">
        <v>2900</v>
      </c>
      <c r="BN202" s="9">
        <f t="shared" si="6"/>
        <v>2792</v>
      </c>
      <c r="BO202" s="10">
        <f t="shared" si="7"/>
        <v>1954.3999999999999</v>
      </c>
    </row>
    <row r="203" spans="1:67" ht="24">
      <c r="A203" s="5" t="s">
        <v>14</v>
      </c>
      <c r="B203" s="11" t="s">
        <v>492</v>
      </c>
      <c r="C203" s="11">
        <v>431802</v>
      </c>
      <c r="D203" s="12"/>
      <c r="E203" s="11" t="s">
        <v>16</v>
      </c>
      <c r="F203" s="11" t="s">
        <v>121</v>
      </c>
      <c r="G203" s="11" t="s">
        <v>31</v>
      </c>
      <c r="H203" s="13" t="s">
        <v>265</v>
      </c>
      <c r="I203" s="13" t="s">
        <v>493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1</v>
      </c>
      <c r="BD203" s="14">
        <v>2880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172.8</v>
      </c>
      <c r="BM203" s="17">
        <v>2880</v>
      </c>
      <c r="BN203" s="9">
        <f t="shared" si="6"/>
        <v>2707.2</v>
      </c>
      <c r="BO203" s="10">
        <f t="shared" si="7"/>
        <v>1895.0399999999997</v>
      </c>
    </row>
    <row r="204" spans="1:67" ht="24">
      <c r="A204" s="5" t="s">
        <v>14</v>
      </c>
      <c r="B204" s="11" t="s">
        <v>275</v>
      </c>
      <c r="C204" s="11">
        <v>414120</v>
      </c>
      <c r="D204" s="12"/>
      <c r="E204" s="11" t="s">
        <v>16</v>
      </c>
      <c r="F204" s="11" t="s">
        <v>37</v>
      </c>
      <c r="G204" s="11" t="s">
        <v>31</v>
      </c>
      <c r="H204" s="13" t="s">
        <v>8</v>
      </c>
      <c r="I204" s="13" t="s">
        <v>180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23</v>
      </c>
      <c r="BD204" s="14">
        <v>2760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165.6</v>
      </c>
      <c r="BM204" s="17">
        <v>2760</v>
      </c>
      <c r="BN204" s="9">
        <f t="shared" si="6"/>
        <v>2594.4</v>
      </c>
      <c r="BO204" s="10">
        <f t="shared" si="7"/>
        <v>1816.08</v>
      </c>
    </row>
    <row r="205" spans="1:67" ht="24">
      <c r="A205" s="5" t="s">
        <v>14</v>
      </c>
      <c r="B205" s="11" t="s">
        <v>649</v>
      </c>
      <c r="C205" s="11">
        <v>434877</v>
      </c>
      <c r="D205" s="12"/>
      <c r="E205" s="11" t="s">
        <v>16</v>
      </c>
      <c r="F205" s="11" t="s">
        <v>194</v>
      </c>
      <c r="G205" s="11" t="s">
        <v>10</v>
      </c>
      <c r="H205" s="13" t="s">
        <v>7</v>
      </c>
      <c r="I205" s="13" t="s">
        <v>195</v>
      </c>
      <c r="J205" s="13">
        <v>1</v>
      </c>
      <c r="K205" s="13">
        <v>0</v>
      </c>
      <c r="L205" s="13">
        <v>100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5</v>
      </c>
      <c r="AF205" s="13">
        <v>500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17</v>
      </c>
      <c r="BD205" s="14">
        <v>2040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122.4</v>
      </c>
      <c r="BM205" s="17">
        <v>2640</v>
      </c>
      <c r="BN205" s="9">
        <f t="shared" si="6"/>
        <v>2517.6</v>
      </c>
      <c r="BO205" s="10">
        <f t="shared" si="7"/>
        <v>1762.32</v>
      </c>
    </row>
    <row r="206" spans="1:67" ht="24">
      <c r="A206" s="5" t="s">
        <v>14</v>
      </c>
      <c r="B206" s="11" t="s">
        <v>453</v>
      </c>
      <c r="C206" s="11">
        <v>481170</v>
      </c>
      <c r="D206" s="12"/>
      <c r="E206" s="11" t="s">
        <v>16</v>
      </c>
      <c r="F206" s="11" t="s">
        <v>437</v>
      </c>
      <c r="G206" s="11" t="s">
        <v>31</v>
      </c>
      <c r="H206" s="13" t="s">
        <v>265</v>
      </c>
      <c r="I206" s="13" t="s">
        <v>454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1</v>
      </c>
      <c r="AF206" s="14">
        <v>2600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7">
        <v>2600</v>
      </c>
      <c r="BN206" s="9">
        <f t="shared" si="6"/>
        <v>2600</v>
      </c>
      <c r="BO206" s="10">
        <f t="shared" si="7"/>
        <v>1819.9999999999998</v>
      </c>
    </row>
    <row r="207" spans="1:67" ht="24">
      <c r="A207" s="5" t="s">
        <v>14</v>
      </c>
      <c r="B207" s="11" t="s">
        <v>276</v>
      </c>
      <c r="C207" s="11">
        <v>389960</v>
      </c>
      <c r="D207" s="12"/>
      <c r="E207" s="11" t="s">
        <v>16</v>
      </c>
      <c r="F207" s="11" t="s">
        <v>102</v>
      </c>
      <c r="G207" s="11" t="s">
        <v>337</v>
      </c>
      <c r="H207" s="13" t="s">
        <v>9</v>
      </c>
      <c r="I207" s="13" t="s">
        <v>277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25</v>
      </c>
      <c r="AF207" s="14">
        <v>2500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7">
        <v>2500</v>
      </c>
      <c r="BN207" s="9">
        <f t="shared" si="6"/>
        <v>2500</v>
      </c>
      <c r="BO207" s="10">
        <f t="shared" si="7"/>
        <v>1750</v>
      </c>
    </row>
    <row r="208" spans="1:67" ht="24">
      <c r="A208" s="5" t="s">
        <v>14</v>
      </c>
      <c r="B208" s="11" t="s">
        <v>422</v>
      </c>
      <c r="C208" s="11">
        <v>408471</v>
      </c>
      <c r="D208" s="12"/>
      <c r="E208" s="11" t="s">
        <v>16</v>
      </c>
      <c r="F208" s="11" t="s">
        <v>185</v>
      </c>
      <c r="G208" s="11" t="s">
        <v>31</v>
      </c>
      <c r="H208" s="13" t="s">
        <v>8</v>
      </c>
      <c r="I208" s="13" t="s">
        <v>423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20</v>
      </c>
      <c r="BD208" s="14">
        <v>2400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144</v>
      </c>
      <c r="BM208" s="17">
        <v>2400</v>
      </c>
      <c r="BN208" s="9">
        <f t="shared" si="6"/>
        <v>2256</v>
      </c>
      <c r="BO208" s="10">
        <f t="shared" si="7"/>
        <v>1579.1999999999998</v>
      </c>
    </row>
    <row r="209" spans="1:67" ht="24">
      <c r="A209" s="5" t="s">
        <v>14</v>
      </c>
      <c r="B209" s="11" t="s">
        <v>650</v>
      </c>
      <c r="C209" s="11">
        <v>434847</v>
      </c>
      <c r="D209" s="12"/>
      <c r="E209" s="11" t="s">
        <v>16</v>
      </c>
      <c r="F209" s="11" t="s">
        <v>544</v>
      </c>
      <c r="G209" s="11" t="s">
        <v>10</v>
      </c>
      <c r="H209" s="13" t="s">
        <v>7</v>
      </c>
      <c r="I209" s="13" t="s">
        <v>557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2</v>
      </c>
      <c r="AF209" s="13">
        <v>0</v>
      </c>
      <c r="AG209" s="13">
        <v>200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17</v>
      </c>
      <c r="BD209" s="14">
        <v>2040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122.4</v>
      </c>
      <c r="BM209" s="17">
        <v>2240</v>
      </c>
      <c r="BN209" s="9">
        <f t="shared" si="6"/>
        <v>2117.6</v>
      </c>
      <c r="BO209" s="10">
        <f t="shared" si="7"/>
        <v>1482.32</v>
      </c>
    </row>
    <row r="210" spans="1:67" ht="24">
      <c r="A210" s="5" t="s">
        <v>14</v>
      </c>
      <c r="B210" s="11" t="s">
        <v>273</v>
      </c>
      <c r="C210" s="11">
        <v>431330</v>
      </c>
      <c r="D210" s="12"/>
      <c r="E210" s="11" t="s">
        <v>16</v>
      </c>
      <c r="F210" s="11" t="s">
        <v>233</v>
      </c>
      <c r="G210" s="11" t="s">
        <v>31</v>
      </c>
      <c r="H210" s="13" t="s">
        <v>8</v>
      </c>
      <c r="I210" s="13" t="s">
        <v>274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4</v>
      </c>
      <c r="AF210" s="13">
        <v>0</v>
      </c>
      <c r="AG210" s="13">
        <v>400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13</v>
      </c>
      <c r="BD210" s="14">
        <v>1560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93.6</v>
      </c>
      <c r="BM210" s="17">
        <v>1960</v>
      </c>
      <c r="BN210" s="9">
        <f t="shared" si="6"/>
        <v>1866.4</v>
      </c>
      <c r="BO210" s="10">
        <f t="shared" si="7"/>
        <v>1306.48</v>
      </c>
    </row>
    <row r="211" spans="1:67" ht="24">
      <c r="A211" s="5" t="s">
        <v>14</v>
      </c>
      <c r="B211" s="11" t="s">
        <v>469</v>
      </c>
      <c r="C211" s="11">
        <v>483173</v>
      </c>
      <c r="D211" s="12"/>
      <c r="E211" s="11" t="s">
        <v>16</v>
      </c>
      <c r="F211" s="11" t="s">
        <v>470</v>
      </c>
      <c r="G211" s="11" t="s">
        <v>337</v>
      </c>
      <c r="H211" s="13" t="s">
        <v>8</v>
      </c>
      <c r="I211" s="13" t="s">
        <v>471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17</v>
      </c>
      <c r="AF211" s="14">
        <v>1300</v>
      </c>
      <c r="AG211" s="13">
        <v>400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1</v>
      </c>
      <c r="AX211" s="13">
        <v>121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1</v>
      </c>
      <c r="BJ211" s="13">
        <v>120</v>
      </c>
      <c r="BK211" s="13">
        <v>0</v>
      </c>
      <c r="BL211" s="13">
        <v>18.100000000000001</v>
      </c>
      <c r="BM211" s="17">
        <v>1941</v>
      </c>
      <c r="BN211" s="9">
        <f t="shared" si="6"/>
        <v>1922.9</v>
      </c>
      <c r="BO211" s="10">
        <f t="shared" si="7"/>
        <v>1346.03</v>
      </c>
    </row>
    <row r="212" spans="1:67" ht="24">
      <c r="A212" s="5" t="s">
        <v>14</v>
      </c>
      <c r="B212" s="11" t="s">
        <v>651</v>
      </c>
      <c r="C212" s="11">
        <v>381822</v>
      </c>
      <c r="D212" s="12"/>
      <c r="E212" s="11" t="s">
        <v>16</v>
      </c>
      <c r="F212" s="11" t="s">
        <v>48</v>
      </c>
      <c r="G212" s="11" t="s">
        <v>31</v>
      </c>
      <c r="H212" s="13" t="s">
        <v>7</v>
      </c>
      <c r="I212" s="13" t="s">
        <v>267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1</v>
      </c>
      <c r="AX212" s="13">
        <v>480</v>
      </c>
      <c r="AY212" s="13">
        <v>0</v>
      </c>
      <c r="AZ212" s="13">
        <v>0</v>
      </c>
      <c r="BA212" s="13">
        <v>0</v>
      </c>
      <c r="BB212" s="13">
        <v>0</v>
      </c>
      <c r="BC212" s="13">
        <v>3</v>
      </c>
      <c r="BD212" s="14">
        <v>1440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134.4</v>
      </c>
      <c r="BM212" s="17">
        <v>1920</v>
      </c>
      <c r="BN212" s="9">
        <f t="shared" si="6"/>
        <v>1785.6</v>
      </c>
      <c r="BO212" s="10">
        <f t="shared" si="7"/>
        <v>1249.9199999999998</v>
      </c>
    </row>
    <row r="213" spans="1:67" ht="24">
      <c r="A213" s="5" t="s">
        <v>14</v>
      </c>
      <c r="B213" s="11" t="s">
        <v>652</v>
      </c>
      <c r="C213" s="11">
        <v>428129</v>
      </c>
      <c r="D213" s="12"/>
      <c r="E213" s="11" t="s">
        <v>16</v>
      </c>
      <c r="F213" s="11" t="s">
        <v>43</v>
      </c>
      <c r="G213" s="11" t="s">
        <v>31</v>
      </c>
      <c r="H213" s="13" t="s">
        <v>265</v>
      </c>
      <c r="I213" s="13" t="s">
        <v>304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1</v>
      </c>
      <c r="AX213" s="14">
        <v>1680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168</v>
      </c>
      <c r="BM213" s="17">
        <v>1680</v>
      </c>
      <c r="BN213" s="9">
        <f t="shared" si="6"/>
        <v>1512</v>
      </c>
      <c r="BO213" s="10">
        <f t="shared" si="7"/>
        <v>1058.3999999999999</v>
      </c>
    </row>
    <row r="214" spans="1:67" ht="24">
      <c r="A214" s="5" t="s">
        <v>14</v>
      </c>
      <c r="B214" s="11" t="s">
        <v>313</v>
      </c>
      <c r="C214" s="11">
        <v>447222</v>
      </c>
      <c r="D214" s="12"/>
      <c r="E214" s="11" t="s">
        <v>16</v>
      </c>
      <c r="F214" s="11" t="s">
        <v>233</v>
      </c>
      <c r="G214" s="11" t="s">
        <v>31</v>
      </c>
      <c r="H214" s="13" t="s">
        <v>8</v>
      </c>
      <c r="I214" s="13" t="s">
        <v>314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1</v>
      </c>
      <c r="AF214" s="13">
        <v>0</v>
      </c>
      <c r="AG214" s="13">
        <v>100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4</v>
      </c>
      <c r="AR214" s="13">
        <v>400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8</v>
      </c>
      <c r="BD214" s="13">
        <v>960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57.6</v>
      </c>
      <c r="BM214" s="17">
        <v>1460</v>
      </c>
      <c r="BN214" s="9">
        <f t="shared" si="6"/>
        <v>1402.4</v>
      </c>
      <c r="BO214" s="10">
        <f t="shared" si="7"/>
        <v>981.68</v>
      </c>
    </row>
    <row r="215" spans="1:67" ht="24">
      <c r="A215" s="5" t="s">
        <v>14</v>
      </c>
      <c r="B215" s="11" t="s">
        <v>421</v>
      </c>
      <c r="C215" s="11">
        <v>420277</v>
      </c>
      <c r="D215" s="12"/>
      <c r="E215" s="11" t="s">
        <v>16</v>
      </c>
      <c r="F215" s="11" t="s">
        <v>233</v>
      </c>
      <c r="G215" s="11" t="s">
        <v>31</v>
      </c>
      <c r="H215" s="13" t="s">
        <v>8</v>
      </c>
      <c r="I215" s="13" t="s">
        <v>243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14</v>
      </c>
      <c r="AF215" s="14">
        <v>1400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7">
        <v>1400</v>
      </c>
      <c r="BN215" s="9">
        <f t="shared" si="6"/>
        <v>1400</v>
      </c>
      <c r="BO215" s="10">
        <f t="shared" si="7"/>
        <v>979.99999999999989</v>
      </c>
    </row>
    <row r="216" spans="1:67" ht="24">
      <c r="A216" s="5" t="s">
        <v>14</v>
      </c>
      <c r="B216" s="11" t="s">
        <v>554</v>
      </c>
      <c r="C216" s="11">
        <v>434544</v>
      </c>
      <c r="D216" s="12"/>
      <c r="E216" s="11" t="s">
        <v>16</v>
      </c>
      <c r="F216" s="11" t="s">
        <v>157</v>
      </c>
      <c r="G216" s="11" t="s">
        <v>335</v>
      </c>
      <c r="H216" s="13" t="s">
        <v>265</v>
      </c>
      <c r="I216" s="13" t="s">
        <v>555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11</v>
      </c>
      <c r="BD216" s="14">
        <v>1320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79.2</v>
      </c>
      <c r="BM216" s="17">
        <v>1320</v>
      </c>
      <c r="BN216" s="9">
        <f t="shared" si="6"/>
        <v>1240.8</v>
      </c>
      <c r="BO216" s="10">
        <f t="shared" si="7"/>
        <v>868.56</v>
      </c>
    </row>
    <row r="217" spans="1:67" ht="24">
      <c r="A217" s="5" t="s">
        <v>14</v>
      </c>
      <c r="B217" s="11" t="s">
        <v>653</v>
      </c>
      <c r="C217" s="11">
        <v>371774</v>
      </c>
      <c r="D217" s="12"/>
      <c r="E217" s="11" t="s">
        <v>16</v>
      </c>
      <c r="F217" s="11" t="s">
        <v>176</v>
      </c>
      <c r="G217" s="11" t="s">
        <v>10</v>
      </c>
      <c r="H217" s="13" t="s">
        <v>7</v>
      </c>
      <c r="I217" s="13" t="s">
        <v>177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1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11</v>
      </c>
      <c r="BD217" s="14">
        <v>1320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79.2</v>
      </c>
      <c r="BM217" s="17">
        <v>1320</v>
      </c>
      <c r="BN217" s="9">
        <f t="shared" si="6"/>
        <v>1240.8</v>
      </c>
      <c r="BO217" s="10">
        <f t="shared" si="7"/>
        <v>868.56</v>
      </c>
    </row>
    <row r="218" spans="1:67" ht="24">
      <c r="A218" s="5" t="s">
        <v>14</v>
      </c>
      <c r="B218" s="11" t="s">
        <v>654</v>
      </c>
      <c r="C218" s="11">
        <v>490535</v>
      </c>
      <c r="D218" s="12"/>
      <c r="E218" s="11" t="s">
        <v>16</v>
      </c>
      <c r="F218" s="11" t="s">
        <v>655</v>
      </c>
      <c r="G218" s="11" t="s">
        <v>10</v>
      </c>
      <c r="H218" s="13" t="s">
        <v>7</v>
      </c>
      <c r="I218" s="13" t="s">
        <v>576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13</v>
      </c>
      <c r="AF218" s="14">
        <v>1300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7">
        <v>1300</v>
      </c>
      <c r="BN218" s="9">
        <f t="shared" si="6"/>
        <v>1300</v>
      </c>
      <c r="BO218" s="10">
        <f t="shared" si="7"/>
        <v>909.99999999999989</v>
      </c>
    </row>
    <row r="219" spans="1:67" ht="24">
      <c r="A219" s="5" t="s">
        <v>14</v>
      </c>
      <c r="B219" s="11" t="s">
        <v>530</v>
      </c>
      <c r="C219" s="11">
        <v>393408</v>
      </c>
      <c r="D219" s="12"/>
      <c r="E219" s="11" t="s">
        <v>16</v>
      </c>
      <c r="F219" s="11" t="s">
        <v>446</v>
      </c>
      <c r="G219" s="11" t="s">
        <v>31</v>
      </c>
      <c r="H219" s="13" t="s">
        <v>8</v>
      </c>
      <c r="I219" s="13" t="s">
        <v>531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10</v>
      </c>
      <c r="AF219" s="14">
        <v>1000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2</v>
      </c>
      <c r="BD219" s="13">
        <v>240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  <c r="BL219" s="13">
        <v>14.4</v>
      </c>
      <c r="BM219" s="17">
        <v>1240</v>
      </c>
      <c r="BN219" s="9">
        <f t="shared" si="6"/>
        <v>1225.5999999999999</v>
      </c>
      <c r="BO219" s="10">
        <f t="shared" si="7"/>
        <v>857.91999999999985</v>
      </c>
    </row>
    <row r="220" spans="1:67" ht="24">
      <c r="A220" s="5" t="s">
        <v>14</v>
      </c>
      <c r="B220" s="11" t="s">
        <v>656</v>
      </c>
      <c r="C220" s="11">
        <v>446882</v>
      </c>
      <c r="D220" s="12"/>
      <c r="E220" s="11" t="s">
        <v>16</v>
      </c>
      <c r="F220" s="11" t="s">
        <v>233</v>
      </c>
      <c r="G220" s="11" t="s">
        <v>31</v>
      </c>
      <c r="H220" s="13" t="s">
        <v>265</v>
      </c>
      <c r="I220" s="13" t="s">
        <v>274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1</v>
      </c>
      <c r="BD220" s="14">
        <v>1200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72</v>
      </c>
      <c r="BM220" s="17">
        <v>1200</v>
      </c>
      <c r="BN220" s="9">
        <f t="shared" si="6"/>
        <v>1128</v>
      </c>
      <c r="BO220" s="10">
        <f t="shared" si="7"/>
        <v>789.59999999999991</v>
      </c>
    </row>
    <row r="221" spans="1:67" ht="24">
      <c r="A221" s="5" t="s">
        <v>14</v>
      </c>
      <c r="B221" s="11" t="s">
        <v>657</v>
      </c>
      <c r="C221" s="11">
        <v>462657</v>
      </c>
      <c r="D221" s="12"/>
      <c r="E221" s="11" t="s">
        <v>16</v>
      </c>
      <c r="F221" s="11" t="s">
        <v>233</v>
      </c>
      <c r="G221" s="11" t="s">
        <v>31</v>
      </c>
      <c r="H221" s="13" t="s">
        <v>265</v>
      </c>
      <c r="I221" s="13" t="s">
        <v>86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1</v>
      </c>
      <c r="BD221" s="14">
        <v>1200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72</v>
      </c>
      <c r="BM221" s="17">
        <v>1200</v>
      </c>
      <c r="BN221" s="9">
        <f t="shared" si="6"/>
        <v>1128</v>
      </c>
      <c r="BO221" s="10">
        <f t="shared" si="7"/>
        <v>789.59999999999991</v>
      </c>
    </row>
    <row r="222" spans="1:67" ht="24">
      <c r="A222" s="5" t="s">
        <v>14</v>
      </c>
      <c r="B222" s="11" t="s">
        <v>658</v>
      </c>
      <c r="C222" s="11">
        <v>385872</v>
      </c>
      <c r="D222" s="12"/>
      <c r="E222" s="11" t="s">
        <v>16</v>
      </c>
      <c r="F222" s="11" t="s">
        <v>659</v>
      </c>
      <c r="G222" s="11" t="s">
        <v>10</v>
      </c>
      <c r="H222" s="13" t="s">
        <v>7</v>
      </c>
      <c r="I222" s="13" t="s">
        <v>660</v>
      </c>
      <c r="J222" s="13">
        <v>0</v>
      </c>
      <c r="K222" s="13">
        <v>1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10</v>
      </c>
      <c r="BD222" s="14">
        <v>1200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72</v>
      </c>
      <c r="BM222" s="17">
        <v>1200</v>
      </c>
      <c r="BN222" s="9">
        <f t="shared" si="6"/>
        <v>1128</v>
      </c>
      <c r="BO222" s="10">
        <f t="shared" si="7"/>
        <v>789.59999999999991</v>
      </c>
    </row>
    <row r="223" spans="1:67" ht="24">
      <c r="A223" s="5" t="s">
        <v>14</v>
      </c>
      <c r="B223" s="11" t="s">
        <v>661</v>
      </c>
      <c r="C223" s="11">
        <v>483177</v>
      </c>
      <c r="D223" s="12"/>
      <c r="E223" s="11" t="s">
        <v>16</v>
      </c>
      <c r="F223" s="11" t="s">
        <v>37</v>
      </c>
      <c r="G223" s="11" t="s">
        <v>31</v>
      </c>
      <c r="H223" s="13" t="s">
        <v>265</v>
      </c>
      <c r="I223" s="13" t="s">
        <v>447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1</v>
      </c>
      <c r="AX223" s="14">
        <v>1200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120</v>
      </c>
      <c r="BM223" s="17">
        <v>1200</v>
      </c>
      <c r="BN223" s="9">
        <f t="shared" si="6"/>
        <v>1080</v>
      </c>
      <c r="BO223" s="10">
        <f t="shared" si="7"/>
        <v>756</v>
      </c>
    </row>
    <row r="224" spans="1:67" ht="24">
      <c r="A224" s="5" t="s">
        <v>14</v>
      </c>
      <c r="B224" s="11" t="s">
        <v>487</v>
      </c>
      <c r="C224" s="11">
        <v>391008</v>
      </c>
      <c r="D224" s="12"/>
      <c r="E224" s="11" t="s">
        <v>16</v>
      </c>
      <c r="F224" s="11" t="s">
        <v>116</v>
      </c>
      <c r="G224" s="11" t="s">
        <v>31</v>
      </c>
      <c r="H224" s="13" t="s">
        <v>8</v>
      </c>
      <c r="I224" s="13" t="s">
        <v>488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9</v>
      </c>
      <c r="BD224" s="14">
        <v>1080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64.8</v>
      </c>
      <c r="BM224" s="17">
        <v>1080</v>
      </c>
      <c r="BN224" s="9">
        <f t="shared" si="6"/>
        <v>1015.2</v>
      </c>
      <c r="BO224" s="10">
        <f t="shared" si="7"/>
        <v>710.64</v>
      </c>
    </row>
    <row r="225" spans="1:67" ht="24">
      <c r="A225" s="5" t="s">
        <v>14</v>
      </c>
      <c r="B225" s="11" t="s">
        <v>573</v>
      </c>
      <c r="C225" s="11">
        <v>416196</v>
      </c>
      <c r="D225" s="12"/>
      <c r="E225" s="11" t="s">
        <v>16</v>
      </c>
      <c r="F225" s="11" t="s">
        <v>48</v>
      </c>
      <c r="G225" s="11" t="s">
        <v>31</v>
      </c>
      <c r="H225" s="13" t="s">
        <v>265</v>
      </c>
      <c r="I225" s="13" t="s">
        <v>143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1</v>
      </c>
      <c r="AF225" s="14">
        <v>1000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7">
        <v>1000</v>
      </c>
      <c r="BN225" s="9">
        <f t="shared" si="6"/>
        <v>1000</v>
      </c>
      <c r="BO225" s="10">
        <f t="shared" si="7"/>
        <v>700</v>
      </c>
    </row>
    <row r="226" spans="1:67" ht="24">
      <c r="A226" s="5" t="s">
        <v>14</v>
      </c>
      <c r="B226" s="11" t="s">
        <v>662</v>
      </c>
      <c r="C226" s="11">
        <v>411934</v>
      </c>
      <c r="D226" s="12"/>
      <c r="E226" s="11" t="s">
        <v>16</v>
      </c>
      <c r="F226" s="11" t="s">
        <v>116</v>
      </c>
      <c r="G226" s="11" t="s">
        <v>31</v>
      </c>
      <c r="H226" s="13" t="s">
        <v>265</v>
      </c>
      <c r="I226" s="13" t="s">
        <v>537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1</v>
      </c>
      <c r="AF226" s="13">
        <v>0</v>
      </c>
      <c r="AG226" s="14">
        <v>1000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7">
        <v>1000</v>
      </c>
      <c r="BN226" s="9">
        <f t="shared" si="6"/>
        <v>1000</v>
      </c>
      <c r="BO226" s="10">
        <f t="shared" si="7"/>
        <v>700</v>
      </c>
    </row>
    <row r="227" spans="1:67" ht="24">
      <c r="A227" s="5" t="s">
        <v>14</v>
      </c>
      <c r="B227" s="11" t="s">
        <v>289</v>
      </c>
      <c r="C227" s="11">
        <v>388508</v>
      </c>
      <c r="D227" s="12"/>
      <c r="E227" s="11" t="s">
        <v>16</v>
      </c>
      <c r="F227" s="11" t="s">
        <v>290</v>
      </c>
      <c r="G227" s="11" t="s">
        <v>337</v>
      </c>
      <c r="H227" s="13" t="s">
        <v>7</v>
      </c>
      <c r="I227" s="13" t="s">
        <v>291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8</v>
      </c>
      <c r="BD227" s="13">
        <v>960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57.6</v>
      </c>
      <c r="BM227" s="18">
        <v>960</v>
      </c>
      <c r="BN227" s="9">
        <f t="shared" si="6"/>
        <v>902.4</v>
      </c>
      <c r="BO227" s="10">
        <f t="shared" si="7"/>
        <v>631.67999999999995</v>
      </c>
    </row>
    <row r="228" spans="1:67" ht="24">
      <c r="A228" s="5" t="s">
        <v>14</v>
      </c>
      <c r="B228" s="11" t="s">
        <v>319</v>
      </c>
      <c r="C228" s="11">
        <v>383236</v>
      </c>
      <c r="D228" s="12"/>
      <c r="E228" s="11" t="s">
        <v>16</v>
      </c>
      <c r="F228" s="11" t="s">
        <v>121</v>
      </c>
      <c r="G228" s="11" t="s">
        <v>31</v>
      </c>
      <c r="H228" s="13" t="s">
        <v>265</v>
      </c>
      <c r="I228" s="13" t="s">
        <v>122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1</v>
      </c>
      <c r="AF228" s="13">
        <v>0</v>
      </c>
      <c r="AG228" s="13">
        <v>300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2</v>
      </c>
      <c r="BD228" s="13">
        <v>600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36</v>
      </c>
      <c r="BM228" s="18">
        <v>900</v>
      </c>
      <c r="BN228" s="9">
        <f t="shared" si="6"/>
        <v>864</v>
      </c>
      <c r="BO228" s="10">
        <f t="shared" si="7"/>
        <v>604.79999999999995</v>
      </c>
    </row>
    <row r="229" spans="1:67" ht="24">
      <c r="A229" s="5" t="s">
        <v>14</v>
      </c>
      <c r="B229" s="11" t="s">
        <v>538</v>
      </c>
      <c r="C229" s="11">
        <v>382640</v>
      </c>
      <c r="D229" s="12"/>
      <c r="E229" s="11" t="s">
        <v>16</v>
      </c>
      <c r="F229" s="11" t="s">
        <v>539</v>
      </c>
      <c r="G229" s="11" t="s">
        <v>10</v>
      </c>
      <c r="H229" s="13" t="s">
        <v>7</v>
      </c>
      <c r="I229" s="13" t="s">
        <v>540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8</v>
      </c>
      <c r="AF229" s="13">
        <v>0</v>
      </c>
      <c r="AG229" s="13">
        <v>800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8">
        <v>800</v>
      </c>
      <c r="BN229" s="9">
        <f t="shared" si="6"/>
        <v>800</v>
      </c>
      <c r="BO229" s="10">
        <f t="shared" si="7"/>
        <v>560</v>
      </c>
    </row>
    <row r="230" spans="1:67" ht="24">
      <c r="A230" s="5" t="s">
        <v>14</v>
      </c>
      <c r="B230" s="11" t="s">
        <v>451</v>
      </c>
      <c r="C230" s="11">
        <v>463949</v>
      </c>
      <c r="D230" s="12"/>
      <c r="E230" s="11" t="s">
        <v>16</v>
      </c>
      <c r="F230" s="11" t="s">
        <v>452</v>
      </c>
      <c r="G230" s="11" t="s">
        <v>10</v>
      </c>
      <c r="H230" s="13" t="s">
        <v>7</v>
      </c>
      <c r="I230" s="13" t="s">
        <v>52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8</v>
      </c>
      <c r="AF230" s="13">
        <v>800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8">
        <v>800</v>
      </c>
      <c r="BN230" s="9">
        <f t="shared" si="6"/>
        <v>800</v>
      </c>
      <c r="BO230" s="10">
        <f t="shared" si="7"/>
        <v>560</v>
      </c>
    </row>
    <row r="231" spans="1:67" ht="24">
      <c r="A231" s="5" t="s">
        <v>14</v>
      </c>
      <c r="B231" s="11" t="s">
        <v>663</v>
      </c>
      <c r="C231" s="11">
        <v>483178</v>
      </c>
      <c r="D231" s="12"/>
      <c r="E231" s="11" t="s">
        <v>16</v>
      </c>
      <c r="F231" s="11" t="s">
        <v>37</v>
      </c>
      <c r="G231" s="11" t="s">
        <v>31</v>
      </c>
      <c r="H231" s="13" t="s">
        <v>265</v>
      </c>
      <c r="I231" s="13" t="s">
        <v>447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1</v>
      </c>
      <c r="AX231" s="13">
        <v>360</v>
      </c>
      <c r="AY231" s="13">
        <v>0</v>
      </c>
      <c r="AZ231" s="13">
        <v>0</v>
      </c>
      <c r="BA231" s="13">
        <v>0</v>
      </c>
      <c r="BB231" s="13">
        <v>0</v>
      </c>
      <c r="BC231" s="13">
        <v>1</v>
      </c>
      <c r="BD231" s="13">
        <v>360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57.6</v>
      </c>
      <c r="BM231" s="18">
        <v>720</v>
      </c>
      <c r="BN231" s="9">
        <f t="shared" si="6"/>
        <v>662.4</v>
      </c>
      <c r="BO231" s="10">
        <f t="shared" si="7"/>
        <v>463.67999999999995</v>
      </c>
    </row>
    <row r="232" spans="1:67" ht="24">
      <c r="A232" s="5" t="s">
        <v>14</v>
      </c>
      <c r="B232" s="11" t="s">
        <v>495</v>
      </c>
      <c r="C232" s="11">
        <v>467500</v>
      </c>
      <c r="D232" s="12"/>
      <c r="E232" s="11" t="s">
        <v>16</v>
      </c>
      <c r="F232" s="11" t="s">
        <v>268</v>
      </c>
      <c r="G232" s="11" t="s">
        <v>31</v>
      </c>
      <c r="H232" s="13" t="s">
        <v>8</v>
      </c>
      <c r="I232" s="13" t="s">
        <v>21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2</v>
      </c>
      <c r="AF232" s="13">
        <v>300</v>
      </c>
      <c r="AG232" s="13">
        <v>300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8">
        <v>600</v>
      </c>
      <c r="BN232" s="9">
        <f t="shared" si="6"/>
        <v>600</v>
      </c>
      <c r="BO232" s="10">
        <f t="shared" si="7"/>
        <v>420</v>
      </c>
    </row>
    <row r="233" spans="1:67" ht="24">
      <c r="A233" s="5" t="s">
        <v>14</v>
      </c>
      <c r="B233" s="11" t="s">
        <v>664</v>
      </c>
      <c r="C233" s="11">
        <v>426253</v>
      </c>
      <c r="D233" s="12"/>
      <c r="E233" s="11" t="s">
        <v>16</v>
      </c>
      <c r="F233" s="11" t="s">
        <v>199</v>
      </c>
      <c r="G233" s="11" t="s">
        <v>31</v>
      </c>
      <c r="H233" s="13" t="s">
        <v>265</v>
      </c>
      <c r="I233" s="13" t="s">
        <v>618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1</v>
      </c>
      <c r="BD233" s="13">
        <v>600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36</v>
      </c>
      <c r="BM233" s="18">
        <v>600</v>
      </c>
      <c r="BN233" s="9">
        <f t="shared" si="6"/>
        <v>564</v>
      </c>
      <c r="BO233" s="10">
        <f t="shared" si="7"/>
        <v>394.79999999999995</v>
      </c>
    </row>
    <row r="234" spans="1:67" ht="24">
      <c r="A234" s="5" t="s">
        <v>14</v>
      </c>
      <c r="B234" s="11" t="s">
        <v>448</v>
      </c>
      <c r="C234" s="11">
        <v>395497</v>
      </c>
      <c r="D234" s="12"/>
      <c r="E234" s="11" t="s">
        <v>16</v>
      </c>
      <c r="F234" s="11" t="s">
        <v>449</v>
      </c>
      <c r="G234" s="11" t="s">
        <v>31</v>
      </c>
      <c r="H234" s="13" t="s">
        <v>8</v>
      </c>
      <c r="I234" s="13" t="s">
        <v>450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6</v>
      </c>
      <c r="AF234" s="13">
        <v>0</v>
      </c>
      <c r="AG234" s="13">
        <v>600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8">
        <v>600</v>
      </c>
      <c r="BN234" s="9">
        <f t="shared" si="6"/>
        <v>600</v>
      </c>
      <c r="BO234" s="10">
        <f t="shared" si="7"/>
        <v>420</v>
      </c>
    </row>
    <row r="235" spans="1:67" ht="24">
      <c r="A235" s="5" t="s">
        <v>14</v>
      </c>
      <c r="B235" s="11" t="s">
        <v>665</v>
      </c>
      <c r="C235" s="11">
        <v>414859</v>
      </c>
      <c r="D235" s="12"/>
      <c r="E235" s="11" t="s">
        <v>16</v>
      </c>
      <c r="F235" s="11" t="s">
        <v>666</v>
      </c>
      <c r="G235" s="11" t="s">
        <v>31</v>
      </c>
      <c r="H235" s="13" t="s">
        <v>8</v>
      </c>
      <c r="I235" s="13" t="s">
        <v>667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5</v>
      </c>
      <c r="AX235" s="13">
        <v>600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60</v>
      </c>
      <c r="BM235" s="18">
        <v>600</v>
      </c>
      <c r="BN235" s="9">
        <f t="shared" si="6"/>
        <v>540</v>
      </c>
      <c r="BO235" s="10">
        <f t="shared" si="7"/>
        <v>378</v>
      </c>
    </row>
    <row r="236" spans="1:67" ht="24">
      <c r="A236" s="5" t="s">
        <v>14</v>
      </c>
      <c r="B236" s="11" t="s">
        <v>317</v>
      </c>
      <c r="C236" s="11">
        <v>407003</v>
      </c>
      <c r="D236" s="12"/>
      <c r="E236" s="11" t="s">
        <v>16</v>
      </c>
      <c r="F236" s="11" t="s">
        <v>294</v>
      </c>
      <c r="G236" s="11" t="s">
        <v>31</v>
      </c>
      <c r="H236" s="13" t="s">
        <v>265</v>
      </c>
      <c r="I236" s="13" t="s">
        <v>318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4</v>
      </c>
      <c r="BD236" s="13">
        <v>480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28.8</v>
      </c>
      <c r="BM236" s="18">
        <v>480</v>
      </c>
      <c r="BN236" s="9">
        <f t="shared" si="6"/>
        <v>451.2</v>
      </c>
      <c r="BO236" s="10">
        <f t="shared" si="7"/>
        <v>315.83999999999997</v>
      </c>
    </row>
    <row r="237" spans="1:67" ht="24">
      <c r="A237" s="5" t="s">
        <v>14</v>
      </c>
      <c r="B237" s="11" t="s">
        <v>444</v>
      </c>
      <c r="C237" s="11">
        <v>481350</v>
      </c>
      <c r="D237" s="12"/>
      <c r="E237" s="11" t="s">
        <v>16</v>
      </c>
      <c r="F237" s="11" t="s">
        <v>445</v>
      </c>
      <c r="G237" s="11" t="s">
        <v>10</v>
      </c>
      <c r="H237" s="13" t="s">
        <v>7</v>
      </c>
      <c r="I237" s="13" t="s">
        <v>432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4</v>
      </c>
      <c r="BD237" s="13">
        <v>480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28.8</v>
      </c>
      <c r="BM237" s="18">
        <v>480</v>
      </c>
      <c r="BN237" s="9">
        <f t="shared" si="6"/>
        <v>451.2</v>
      </c>
      <c r="BO237" s="10">
        <f t="shared" si="7"/>
        <v>315.83999999999997</v>
      </c>
    </row>
    <row r="238" spans="1:67" ht="24">
      <c r="A238" s="5" t="s">
        <v>14</v>
      </c>
      <c r="B238" s="11" t="s">
        <v>181</v>
      </c>
      <c r="C238" s="11">
        <v>332138</v>
      </c>
      <c r="D238" s="12"/>
      <c r="E238" s="11" t="s">
        <v>16</v>
      </c>
      <c r="F238" s="11" t="s">
        <v>182</v>
      </c>
      <c r="G238" s="11" t="s">
        <v>31</v>
      </c>
      <c r="H238" s="13" t="s">
        <v>9</v>
      </c>
      <c r="I238" s="13" t="s">
        <v>183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4</v>
      </c>
      <c r="AF238" s="13">
        <v>0</v>
      </c>
      <c r="AG238" s="13">
        <v>400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8">
        <v>400</v>
      </c>
      <c r="BN238" s="9">
        <f t="shared" si="6"/>
        <v>400</v>
      </c>
      <c r="BO238" s="10">
        <f t="shared" si="7"/>
        <v>280</v>
      </c>
    </row>
    <row r="239" spans="1:67" ht="24">
      <c r="A239" s="5" t="s">
        <v>14</v>
      </c>
      <c r="B239" s="11" t="s">
        <v>668</v>
      </c>
      <c r="C239" s="11">
        <v>421669</v>
      </c>
      <c r="D239" s="12"/>
      <c r="E239" s="11" t="s">
        <v>16</v>
      </c>
      <c r="F239" s="11" t="s">
        <v>185</v>
      </c>
      <c r="G239" s="11" t="s">
        <v>31</v>
      </c>
      <c r="H239" s="13" t="s">
        <v>265</v>
      </c>
      <c r="I239" s="13" t="s">
        <v>609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1</v>
      </c>
      <c r="AR239" s="13">
        <v>300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  <c r="BM239" s="18">
        <v>300</v>
      </c>
      <c r="BN239" s="9">
        <f t="shared" si="6"/>
        <v>300</v>
      </c>
      <c r="BO239" s="10">
        <f t="shared" si="7"/>
        <v>210</v>
      </c>
    </row>
    <row r="240" spans="1:67" ht="24">
      <c r="A240" s="5" t="s">
        <v>14</v>
      </c>
      <c r="B240" s="11" t="s">
        <v>455</v>
      </c>
      <c r="C240" s="11">
        <v>336316</v>
      </c>
      <c r="D240" s="12"/>
      <c r="E240" s="11" t="s">
        <v>16</v>
      </c>
      <c r="F240" s="11" t="s">
        <v>456</v>
      </c>
      <c r="G240" s="11" t="s">
        <v>31</v>
      </c>
      <c r="H240" s="13" t="s">
        <v>8</v>
      </c>
      <c r="I240" s="13" t="s">
        <v>457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3</v>
      </c>
      <c r="T240" s="13">
        <v>0</v>
      </c>
      <c r="U240" s="13">
        <v>0</v>
      </c>
      <c r="V240" s="13">
        <v>300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8">
        <v>300</v>
      </c>
      <c r="BN240" s="9">
        <f t="shared" si="6"/>
        <v>300</v>
      </c>
      <c r="BO240" s="10">
        <f t="shared" si="7"/>
        <v>210</v>
      </c>
    </row>
    <row r="241" spans="1:67" ht="24">
      <c r="A241" s="5" t="s">
        <v>14</v>
      </c>
      <c r="B241" s="11" t="s">
        <v>574</v>
      </c>
      <c r="C241" s="11">
        <v>392659</v>
      </c>
      <c r="D241" s="12"/>
      <c r="E241" s="11" t="s">
        <v>16</v>
      </c>
      <c r="F241" s="11" t="s">
        <v>48</v>
      </c>
      <c r="G241" s="11" t="s">
        <v>31</v>
      </c>
      <c r="H241" s="13" t="s">
        <v>265</v>
      </c>
      <c r="I241" s="13" t="s">
        <v>251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1</v>
      </c>
      <c r="AF241" s="13">
        <v>300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8">
        <v>300</v>
      </c>
      <c r="BN241" s="9">
        <f t="shared" si="6"/>
        <v>300</v>
      </c>
      <c r="BO241" s="10">
        <f t="shared" si="7"/>
        <v>210</v>
      </c>
    </row>
    <row r="242" spans="1:67" ht="24">
      <c r="A242" s="5" t="s">
        <v>14</v>
      </c>
      <c r="B242" s="11" t="s">
        <v>461</v>
      </c>
      <c r="C242" s="11">
        <v>426275</v>
      </c>
      <c r="D242" s="12"/>
      <c r="E242" s="11" t="s">
        <v>16</v>
      </c>
      <c r="F242" s="11" t="s">
        <v>99</v>
      </c>
      <c r="G242" s="11" t="s">
        <v>31</v>
      </c>
      <c r="H242" s="13" t="s">
        <v>8</v>
      </c>
      <c r="I242" s="13" t="s">
        <v>260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1</v>
      </c>
      <c r="AF242" s="13">
        <v>300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  <c r="BL242" s="13">
        <v>0</v>
      </c>
      <c r="BM242" s="18">
        <v>300</v>
      </c>
      <c r="BN242" s="9">
        <f t="shared" si="6"/>
        <v>300</v>
      </c>
      <c r="BO242" s="10">
        <f t="shared" si="7"/>
        <v>210</v>
      </c>
    </row>
    <row r="243" spans="1:67" ht="24">
      <c r="A243" s="5" t="s">
        <v>14</v>
      </c>
      <c r="B243" s="11" t="s">
        <v>558</v>
      </c>
      <c r="C243" s="11">
        <v>440303</v>
      </c>
      <c r="D243" s="12"/>
      <c r="E243" s="11" t="s">
        <v>16</v>
      </c>
      <c r="F243" s="11" t="s">
        <v>528</v>
      </c>
      <c r="G243" s="11" t="s">
        <v>337</v>
      </c>
      <c r="H243" s="13" t="s">
        <v>7</v>
      </c>
      <c r="I243" s="13" t="s">
        <v>559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1</v>
      </c>
      <c r="AF243" s="13">
        <v>120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8">
        <v>120</v>
      </c>
      <c r="BN243" s="9">
        <f t="shared" si="6"/>
        <v>120</v>
      </c>
      <c r="BO243" s="10">
        <f t="shared" si="7"/>
        <v>84</v>
      </c>
    </row>
    <row r="244" spans="1:67" ht="24">
      <c r="A244" s="5" t="s">
        <v>14</v>
      </c>
      <c r="B244" s="11" t="s">
        <v>96</v>
      </c>
      <c r="C244" s="11">
        <v>394830</v>
      </c>
      <c r="D244" s="12"/>
      <c r="E244" s="11" t="s">
        <v>16</v>
      </c>
      <c r="F244" s="11" t="s">
        <v>37</v>
      </c>
      <c r="G244" s="11" t="s">
        <v>31</v>
      </c>
      <c r="H244" s="13" t="s">
        <v>8</v>
      </c>
      <c r="I244" s="13" t="s">
        <v>97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1</v>
      </c>
      <c r="BD244" s="13">
        <v>120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7.2</v>
      </c>
      <c r="BM244" s="18">
        <v>120</v>
      </c>
      <c r="BN244" s="9">
        <f t="shared" si="6"/>
        <v>112.8</v>
      </c>
      <c r="BO244" s="10">
        <f t="shared" si="7"/>
        <v>78.959999999999994</v>
      </c>
    </row>
    <row r="245" spans="1:67" ht="24">
      <c r="A245" s="5" t="s">
        <v>14</v>
      </c>
      <c r="B245" s="11" t="s">
        <v>156</v>
      </c>
      <c r="C245" s="11">
        <v>429496</v>
      </c>
      <c r="D245" s="12"/>
      <c r="E245" s="11" t="s">
        <v>16</v>
      </c>
      <c r="F245" s="11" t="s">
        <v>157</v>
      </c>
      <c r="G245" s="11" t="s">
        <v>335</v>
      </c>
      <c r="H245" s="13" t="s">
        <v>7</v>
      </c>
      <c r="I245" s="13" t="s">
        <v>158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1</v>
      </c>
      <c r="BD245" s="13">
        <v>120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7.2</v>
      </c>
      <c r="BM245" s="18">
        <v>120</v>
      </c>
      <c r="BN245" s="9">
        <f t="shared" si="6"/>
        <v>112.8</v>
      </c>
      <c r="BO245" s="10">
        <f t="shared" si="7"/>
        <v>78.959999999999994</v>
      </c>
    </row>
    <row r="246" spans="1:67" ht="24">
      <c r="A246" s="5" t="s">
        <v>14</v>
      </c>
      <c r="B246" s="11" t="s">
        <v>669</v>
      </c>
      <c r="C246" s="11">
        <v>373610</v>
      </c>
      <c r="D246" s="12"/>
      <c r="E246" s="11" t="s">
        <v>16</v>
      </c>
      <c r="F246" s="11" t="s">
        <v>670</v>
      </c>
      <c r="G246" s="11" t="s">
        <v>10</v>
      </c>
      <c r="H246" s="13" t="s">
        <v>7</v>
      </c>
      <c r="I246" s="13" t="s">
        <v>671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1</v>
      </c>
      <c r="AF246" s="13">
        <v>0</v>
      </c>
      <c r="AG246" s="13">
        <v>100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8">
        <v>100</v>
      </c>
      <c r="BN246" s="9">
        <f t="shared" si="6"/>
        <v>100</v>
      </c>
      <c r="BO246" s="10">
        <f t="shared" si="7"/>
        <v>70</v>
      </c>
    </row>
    <row r="247" spans="1:67" ht="24">
      <c r="A247" s="5" t="s">
        <v>14</v>
      </c>
      <c r="B247" s="11" t="s">
        <v>672</v>
      </c>
      <c r="C247" s="11">
        <v>450457</v>
      </c>
      <c r="D247" s="12"/>
      <c r="E247" s="11" t="s">
        <v>16</v>
      </c>
      <c r="F247" s="11" t="s">
        <v>673</v>
      </c>
      <c r="G247" s="11" t="s">
        <v>10</v>
      </c>
      <c r="H247" s="13" t="s">
        <v>7</v>
      </c>
      <c r="I247" s="13" t="s">
        <v>610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1</v>
      </c>
      <c r="AF247" s="13">
        <v>100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8">
        <v>100</v>
      </c>
      <c r="BN247" s="9">
        <f t="shared" si="6"/>
        <v>100</v>
      </c>
      <c r="BO247" s="10">
        <f t="shared" si="7"/>
        <v>70</v>
      </c>
    </row>
    <row r="248" spans="1:67" ht="24">
      <c r="A248" s="5" t="s">
        <v>14</v>
      </c>
      <c r="B248" s="11" t="s">
        <v>442</v>
      </c>
      <c r="C248" s="11">
        <v>393275</v>
      </c>
      <c r="D248" s="12"/>
      <c r="E248" s="11" t="s">
        <v>16</v>
      </c>
      <c r="F248" s="11" t="s">
        <v>169</v>
      </c>
      <c r="G248" s="11" t="s">
        <v>10</v>
      </c>
      <c r="H248" s="13" t="s">
        <v>7</v>
      </c>
      <c r="I248" s="13" t="s">
        <v>443</v>
      </c>
      <c r="J248" s="13">
        <v>0</v>
      </c>
      <c r="K248" s="13">
        <v>1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8">
        <v>0</v>
      </c>
      <c r="BN248" s="9">
        <f t="shared" ref="BN248:BN311" si="8">BM248-BL248</f>
        <v>0</v>
      </c>
      <c r="BO248" s="10">
        <f t="shared" ref="BO248:BO311" si="9">BN248*70%</f>
        <v>0</v>
      </c>
    </row>
    <row r="249" spans="1:67" ht="24">
      <c r="A249" s="5" t="s">
        <v>351</v>
      </c>
      <c r="B249" s="11" t="s">
        <v>513</v>
      </c>
      <c r="C249" s="11">
        <v>486613</v>
      </c>
      <c r="D249" s="12"/>
      <c r="E249" s="11" t="s">
        <v>16</v>
      </c>
      <c r="F249" s="11" t="s">
        <v>514</v>
      </c>
      <c r="G249" s="11" t="s">
        <v>337</v>
      </c>
      <c r="H249" s="13" t="s">
        <v>9</v>
      </c>
      <c r="I249" s="13" t="s">
        <v>463</v>
      </c>
      <c r="J249" s="13">
        <v>20</v>
      </c>
      <c r="K249" s="14">
        <v>31901</v>
      </c>
      <c r="L249" s="14">
        <v>2000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4">
        <v>11981</v>
      </c>
      <c r="AF249" s="14">
        <v>966320</v>
      </c>
      <c r="AG249" s="14">
        <v>324900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4">
        <v>4553</v>
      </c>
      <c r="AR249" s="14">
        <v>443600</v>
      </c>
      <c r="AS249" s="14">
        <v>11700</v>
      </c>
      <c r="AT249" s="13">
        <v>0</v>
      </c>
      <c r="AU249" s="13">
        <v>0</v>
      </c>
      <c r="AV249" s="13">
        <v>0</v>
      </c>
      <c r="AW249" s="13">
        <v>86</v>
      </c>
      <c r="AX249" s="14">
        <v>10320</v>
      </c>
      <c r="AY249" s="13">
        <v>0</v>
      </c>
      <c r="AZ249" s="13">
        <v>0</v>
      </c>
      <c r="BA249" s="13">
        <v>0</v>
      </c>
      <c r="BB249" s="13">
        <v>0</v>
      </c>
      <c r="BC249" s="13">
        <v>236</v>
      </c>
      <c r="BD249" s="14">
        <v>28320</v>
      </c>
      <c r="BE249" s="13">
        <v>0</v>
      </c>
      <c r="BF249" s="13">
        <v>0</v>
      </c>
      <c r="BG249" s="13">
        <v>0</v>
      </c>
      <c r="BH249" s="13">
        <v>0</v>
      </c>
      <c r="BI249" s="14">
        <v>4384</v>
      </c>
      <c r="BJ249" s="14">
        <v>524280</v>
      </c>
      <c r="BK249" s="14">
        <v>1500</v>
      </c>
      <c r="BL249" s="15">
        <v>28945.200000000001</v>
      </c>
      <c r="BM249" s="17">
        <v>2312940</v>
      </c>
      <c r="BN249" s="9">
        <f t="shared" si="8"/>
        <v>2283994.7999999998</v>
      </c>
      <c r="BO249" s="10">
        <f t="shared" si="9"/>
        <v>1598796.3599999999</v>
      </c>
    </row>
    <row r="250" spans="1:67" ht="24">
      <c r="A250" s="5" t="s">
        <v>351</v>
      </c>
      <c r="B250" s="11" t="s">
        <v>61</v>
      </c>
      <c r="C250" s="11">
        <v>387417</v>
      </c>
      <c r="D250" s="12"/>
      <c r="E250" s="11" t="s">
        <v>16</v>
      </c>
      <c r="F250" s="11" t="s">
        <v>62</v>
      </c>
      <c r="G250" s="11" t="s">
        <v>10</v>
      </c>
      <c r="H250" s="13" t="s">
        <v>7</v>
      </c>
      <c r="I250" s="13" t="s">
        <v>575</v>
      </c>
      <c r="J250" s="13">
        <v>0</v>
      </c>
      <c r="K250" s="14">
        <v>2378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2</v>
      </c>
      <c r="T250" s="13">
        <v>287</v>
      </c>
      <c r="U250" s="13">
        <v>0</v>
      </c>
      <c r="V250" s="13">
        <v>200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4">
        <v>2995</v>
      </c>
      <c r="AF250" s="14">
        <v>249020</v>
      </c>
      <c r="AG250" s="14">
        <v>71100</v>
      </c>
      <c r="AH250" s="13">
        <v>0</v>
      </c>
      <c r="AI250" s="13">
        <v>0</v>
      </c>
      <c r="AJ250" s="13">
        <v>0</v>
      </c>
      <c r="AK250" s="13">
        <v>104</v>
      </c>
      <c r="AL250" s="14">
        <v>12360</v>
      </c>
      <c r="AM250" s="13">
        <v>100</v>
      </c>
      <c r="AN250" s="13">
        <v>0</v>
      </c>
      <c r="AO250" s="13">
        <v>0</v>
      </c>
      <c r="AP250" s="13">
        <v>0</v>
      </c>
      <c r="AQ250" s="14">
        <v>1903</v>
      </c>
      <c r="AR250" s="14">
        <v>188100</v>
      </c>
      <c r="AS250" s="14">
        <v>2200</v>
      </c>
      <c r="AT250" s="13">
        <v>0</v>
      </c>
      <c r="AU250" s="13">
        <v>0</v>
      </c>
      <c r="AV250" s="13">
        <v>0</v>
      </c>
      <c r="AW250" s="13">
        <v>14</v>
      </c>
      <c r="AX250" s="14">
        <v>1680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4">
        <v>1759</v>
      </c>
      <c r="BJ250" s="14">
        <v>208800</v>
      </c>
      <c r="BK250" s="14">
        <v>1900</v>
      </c>
      <c r="BL250" s="15">
        <v>14316</v>
      </c>
      <c r="BM250" s="17">
        <v>735460</v>
      </c>
      <c r="BN250" s="9">
        <f t="shared" si="8"/>
        <v>721144</v>
      </c>
      <c r="BO250" s="10">
        <f t="shared" si="9"/>
        <v>504800.8</v>
      </c>
    </row>
    <row r="251" spans="1:67" ht="24">
      <c r="A251" s="5" t="s">
        <v>351</v>
      </c>
      <c r="B251" s="11" t="s">
        <v>15</v>
      </c>
      <c r="C251" s="11">
        <v>465248</v>
      </c>
      <c r="D251" s="12"/>
      <c r="E251" s="11" t="s">
        <v>16</v>
      </c>
      <c r="F251" s="11" t="s">
        <v>17</v>
      </c>
      <c r="G251" s="11" t="s">
        <v>337</v>
      </c>
      <c r="H251" s="13" t="s">
        <v>9</v>
      </c>
      <c r="I251" s="13" t="s">
        <v>18</v>
      </c>
      <c r="J251" s="13">
        <v>3</v>
      </c>
      <c r="K251" s="14">
        <v>4048</v>
      </c>
      <c r="L251" s="13">
        <v>300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4">
        <v>3440</v>
      </c>
      <c r="AF251" s="14">
        <v>221580</v>
      </c>
      <c r="AG251" s="14">
        <v>144700</v>
      </c>
      <c r="AH251" s="13">
        <v>0</v>
      </c>
      <c r="AI251" s="13">
        <v>0</v>
      </c>
      <c r="AJ251" s="13">
        <v>0</v>
      </c>
      <c r="AK251" s="13">
        <v>118</v>
      </c>
      <c r="AL251" s="13">
        <v>0</v>
      </c>
      <c r="AM251" s="14">
        <v>11800</v>
      </c>
      <c r="AN251" s="13">
        <v>0</v>
      </c>
      <c r="AO251" s="13">
        <v>0</v>
      </c>
      <c r="AP251" s="13">
        <v>0</v>
      </c>
      <c r="AQ251" s="13">
        <v>998</v>
      </c>
      <c r="AR251" s="14">
        <v>97900</v>
      </c>
      <c r="AS251" s="14">
        <v>1900</v>
      </c>
      <c r="AT251" s="13">
        <v>0</v>
      </c>
      <c r="AU251" s="13">
        <v>0</v>
      </c>
      <c r="AV251" s="13">
        <v>0</v>
      </c>
      <c r="AW251" s="13">
        <v>166</v>
      </c>
      <c r="AX251" s="14">
        <v>19920</v>
      </c>
      <c r="AY251" s="13">
        <v>0</v>
      </c>
      <c r="AZ251" s="13">
        <v>0</v>
      </c>
      <c r="BA251" s="13">
        <v>0</v>
      </c>
      <c r="BB251" s="13">
        <v>0</v>
      </c>
      <c r="BC251" s="13">
        <v>11</v>
      </c>
      <c r="BD251" s="14">
        <v>1320</v>
      </c>
      <c r="BE251" s="13">
        <v>0</v>
      </c>
      <c r="BF251" s="13">
        <v>0</v>
      </c>
      <c r="BG251" s="13">
        <v>0</v>
      </c>
      <c r="BH251" s="13">
        <v>0</v>
      </c>
      <c r="BI251" s="14">
        <v>1554</v>
      </c>
      <c r="BJ251" s="14">
        <v>186480</v>
      </c>
      <c r="BK251" s="13">
        <v>0</v>
      </c>
      <c r="BL251" s="15">
        <v>11395.2</v>
      </c>
      <c r="BM251" s="17">
        <v>685900</v>
      </c>
      <c r="BN251" s="9">
        <f t="shared" si="8"/>
        <v>674504.8</v>
      </c>
      <c r="BO251" s="10">
        <f t="shared" si="9"/>
        <v>472153.36</v>
      </c>
    </row>
    <row r="252" spans="1:67" ht="24">
      <c r="A252" s="5" t="s">
        <v>351</v>
      </c>
      <c r="B252" s="11" t="s">
        <v>323</v>
      </c>
      <c r="C252" s="11">
        <v>472512</v>
      </c>
      <c r="D252" s="12"/>
      <c r="E252" s="11" t="s">
        <v>16</v>
      </c>
      <c r="F252" s="11" t="s">
        <v>35</v>
      </c>
      <c r="G252" s="11" t="s">
        <v>10</v>
      </c>
      <c r="H252" s="13" t="s">
        <v>7</v>
      </c>
      <c r="I252" s="13" t="s">
        <v>576</v>
      </c>
      <c r="J252" s="13">
        <v>0</v>
      </c>
      <c r="K252" s="14">
        <v>2625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65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4">
        <v>2018</v>
      </c>
      <c r="AF252" s="14">
        <v>141960</v>
      </c>
      <c r="AG252" s="14">
        <v>78100</v>
      </c>
      <c r="AH252" s="13">
        <v>0</v>
      </c>
      <c r="AI252" s="13">
        <v>0</v>
      </c>
      <c r="AJ252" s="13">
        <v>0</v>
      </c>
      <c r="AK252" s="13">
        <v>25</v>
      </c>
      <c r="AL252" s="14">
        <v>3000</v>
      </c>
      <c r="AM252" s="13">
        <v>0</v>
      </c>
      <c r="AN252" s="13">
        <v>0</v>
      </c>
      <c r="AO252" s="13">
        <v>0</v>
      </c>
      <c r="AP252" s="13">
        <v>0</v>
      </c>
      <c r="AQ252" s="13">
        <v>852</v>
      </c>
      <c r="AR252" s="14">
        <v>80900</v>
      </c>
      <c r="AS252" s="14">
        <v>4300</v>
      </c>
      <c r="AT252" s="13">
        <v>0</v>
      </c>
      <c r="AU252" s="13">
        <v>0</v>
      </c>
      <c r="AV252" s="13">
        <v>0</v>
      </c>
      <c r="AW252" s="13">
        <v>7</v>
      </c>
      <c r="AX252" s="13">
        <v>840</v>
      </c>
      <c r="AY252" s="13">
        <v>0</v>
      </c>
      <c r="AZ252" s="13">
        <v>0</v>
      </c>
      <c r="BA252" s="13">
        <v>0</v>
      </c>
      <c r="BB252" s="13">
        <v>0</v>
      </c>
      <c r="BC252" s="13">
        <v>76</v>
      </c>
      <c r="BD252" s="14">
        <v>9120</v>
      </c>
      <c r="BE252" s="13">
        <v>0</v>
      </c>
      <c r="BF252" s="13">
        <v>0</v>
      </c>
      <c r="BG252" s="13">
        <v>0</v>
      </c>
      <c r="BH252" s="13">
        <v>0</v>
      </c>
      <c r="BI252" s="14">
        <v>1090</v>
      </c>
      <c r="BJ252" s="14">
        <v>130800</v>
      </c>
      <c r="BK252" s="13">
        <v>0</v>
      </c>
      <c r="BL252" s="15">
        <v>8071.2</v>
      </c>
      <c r="BM252" s="17">
        <v>449020</v>
      </c>
      <c r="BN252" s="9">
        <f t="shared" si="8"/>
        <v>440948.8</v>
      </c>
      <c r="BO252" s="10">
        <f t="shared" si="9"/>
        <v>308664.15999999997</v>
      </c>
    </row>
    <row r="253" spans="1:67" ht="24">
      <c r="A253" s="5" t="s">
        <v>351</v>
      </c>
      <c r="B253" s="11" t="s">
        <v>515</v>
      </c>
      <c r="C253" s="11">
        <v>479547</v>
      </c>
      <c r="D253" s="12"/>
      <c r="E253" s="11" t="s">
        <v>16</v>
      </c>
      <c r="F253" s="11" t="s">
        <v>516</v>
      </c>
      <c r="G253" s="11" t="s">
        <v>10</v>
      </c>
      <c r="H253" s="13" t="s">
        <v>7</v>
      </c>
      <c r="I253" s="13" t="s">
        <v>576</v>
      </c>
      <c r="J253" s="13">
        <v>0</v>
      </c>
      <c r="K253" s="14">
        <v>2406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51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4">
        <v>2048</v>
      </c>
      <c r="AF253" s="14">
        <v>102920</v>
      </c>
      <c r="AG253" s="14">
        <v>103300</v>
      </c>
      <c r="AH253" s="13">
        <v>0</v>
      </c>
      <c r="AI253" s="13">
        <v>0</v>
      </c>
      <c r="AJ253" s="13">
        <v>0</v>
      </c>
      <c r="AK253" s="13">
        <v>4</v>
      </c>
      <c r="AL253" s="13">
        <v>0</v>
      </c>
      <c r="AM253" s="13">
        <v>400</v>
      </c>
      <c r="AN253" s="13">
        <v>0</v>
      </c>
      <c r="AO253" s="13">
        <v>0</v>
      </c>
      <c r="AP253" s="13">
        <v>0</v>
      </c>
      <c r="AQ253" s="13">
        <v>851</v>
      </c>
      <c r="AR253" s="14">
        <v>82800</v>
      </c>
      <c r="AS253" s="14">
        <v>2300</v>
      </c>
      <c r="AT253" s="13">
        <v>0</v>
      </c>
      <c r="AU253" s="13">
        <v>0</v>
      </c>
      <c r="AV253" s="13">
        <v>0</v>
      </c>
      <c r="AW253" s="13">
        <v>1</v>
      </c>
      <c r="AX253" s="13">
        <v>120</v>
      </c>
      <c r="AY253" s="13">
        <v>0</v>
      </c>
      <c r="AZ253" s="13">
        <v>0</v>
      </c>
      <c r="BA253" s="13">
        <v>0</v>
      </c>
      <c r="BB253" s="13">
        <v>0</v>
      </c>
      <c r="BC253" s="13">
        <v>1</v>
      </c>
      <c r="BD253" s="13">
        <v>120</v>
      </c>
      <c r="BE253" s="13">
        <v>0</v>
      </c>
      <c r="BF253" s="13">
        <v>0</v>
      </c>
      <c r="BG253" s="13">
        <v>0</v>
      </c>
      <c r="BH253" s="13">
        <v>0</v>
      </c>
      <c r="BI253" s="13">
        <v>248</v>
      </c>
      <c r="BJ253" s="14">
        <v>28560</v>
      </c>
      <c r="BK253" s="14">
        <v>1000</v>
      </c>
      <c r="BL253" s="15">
        <v>1447.2</v>
      </c>
      <c r="BM253" s="17">
        <v>321520</v>
      </c>
      <c r="BN253" s="9">
        <f t="shared" si="8"/>
        <v>320072.8</v>
      </c>
      <c r="BO253" s="10">
        <f t="shared" si="9"/>
        <v>224050.96</v>
      </c>
    </row>
    <row r="254" spans="1:67" ht="24">
      <c r="A254" s="5" t="s">
        <v>351</v>
      </c>
      <c r="B254" s="11" t="s">
        <v>579</v>
      </c>
      <c r="C254" s="11">
        <v>490220</v>
      </c>
      <c r="D254" s="12"/>
      <c r="E254" s="11" t="s">
        <v>16</v>
      </c>
      <c r="F254" s="11" t="s">
        <v>580</v>
      </c>
      <c r="G254" s="11" t="s">
        <v>31</v>
      </c>
      <c r="H254" s="13" t="s">
        <v>8</v>
      </c>
      <c r="I254" s="13" t="s">
        <v>581</v>
      </c>
      <c r="J254" s="13">
        <v>0</v>
      </c>
      <c r="K254" s="14">
        <v>3299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4">
        <v>1041</v>
      </c>
      <c r="AF254" s="14">
        <v>80360</v>
      </c>
      <c r="AG254" s="14">
        <v>35400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451</v>
      </c>
      <c r="AR254" s="14">
        <v>44200</v>
      </c>
      <c r="AS254" s="13">
        <v>900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73</v>
      </c>
      <c r="BD254" s="14">
        <v>8760</v>
      </c>
      <c r="BE254" s="13">
        <v>0</v>
      </c>
      <c r="BF254" s="13">
        <v>0</v>
      </c>
      <c r="BG254" s="13">
        <v>0</v>
      </c>
      <c r="BH254" s="13">
        <v>0</v>
      </c>
      <c r="BI254" s="13">
        <v>896</v>
      </c>
      <c r="BJ254" s="14">
        <v>107520</v>
      </c>
      <c r="BK254" s="13">
        <v>0</v>
      </c>
      <c r="BL254" s="15">
        <v>5901.6</v>
      </c>
      <c r="BM254" s="17">
        <v>277140</v>
      </c>
      <c r="BN254" s="9">
        <f t="shared" si="8"/>
        <v>271238.40000000002</v>
      </c>
      <c r="BO254" s="10">
        <f t="shared" si="9"/>
        <v>189866.88</v>
      </c>
    </row>
    <row r="255" spans="1:67" ht="24">
      <c r="A255" s="5" t="s">
        <v>351</v>
      </c>
      <c r="B255" s="11" t="s">
        <v>33</v>
      </c>
      <c r="C255" s="11">
        <v>178856</v>
      </c>
      <c r="D255" s="12"/>
      <c r="E255" s="11" t="s">
        <v>16</v>
      </c>
      <c r="F255" s="11" t="s">
        <v>27</v>
      </c>
      <c r="G255" s="11" t="s">
        <v>10</v>
      </c>
      <c r="H255" s="13" t="s">
        <v>9</v>
      </c>
      <c r="I255" s="13" t="s">
        <v>34</v>
      </c>
      <c r="J255" s="13">
        <v>0</v>
      </c>
      <c r="K255" s="13">
        <v>10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584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4">
        <v>1356</v>
      </c>
      <c r="AF255" s="14">
        <v>134760</v>
      </c>
      <c r="AG255" s="14">
        <v>21800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179</v>
      </c>
      <c r="AR255" s="14">
        <v>17900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662</v>
      </c>
      <c r="BJ255" s="14">
        <v>79440</v>
      </c>
      <c r="BK255" s="13">
        <v>0</v>
      </c>
      <c r="BL255" s="15">
        <v>3972</v>
      </c>
      <c r="BM255" s="17">
        <v>253900</v>
      </c>
      <c r="BN255" s="9">
        <f t="shared" si="8"/>
        <v>249928</v>
      </c>
      <c r="BO255" s="10">
        <f t="shared" si="9"/>
        <v>174949.59999999998</v>
      </c>
    </row>
    <row r="256" spans="1:67" ht="24">
      <c r="A256" s="5" t="s">
        <v>351</v>
      </c>
      <c r="B256" s="11" t="s">
        <v>38</v>
      </c>
      <c r="C256" s="11">
        <v>321812</v>
      </c>
      <c r="D256" s="12"/>
      <c r="E256" s="11" t="s">
        <v>16</v>
      </c>
      <c r="F256" s="11" t="s">
        <v>27</v>
      </c>
      <c r="G256" s="11" t="s">
        <v>10</v>
      </c>
      <c r="H256" s="13" t="s">
        <v>7</v>
      </c>
      <c r="I256" s="13" t="s">
        <v>39</v>
      </c>
      <c r="J256" s="13">
        <v>0</v>
      </c>
      <c r="K256" s="13">
        <v>5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77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4">
        <v>1403</v>
      </c>
      <c r="AF256" s="14">
        <v>91540</v>
      </c>
      <c r="AG256" s="14">
        <v>56800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272</v>
      </c>
      <c r="AR256" s="14">
        <v>27200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297</v>
      </c>
      <c r="BJ256" s="14">
        <v>35640</v>
      </c>
      <c r="BK256" s="13">
        <v>0</v>
      </c>
      <c r="BL256" s="15">
        <v>1782</v>
      </c>
      <c r="BM256" s="17">
        <v>211180</v>
      </c>
      <c r="BN256" s="9">
        <f t="shared" si="8"/>
        <v>209398</v>
      </c>
      <c r="BO256" s="10">
        <f t="shared" si="9"/>
        <v>146578.59999999998</v>
      </c>
    </row>
    <row r="257" spans="1:67" ht="24">
      <c r="A257" s="5" t="s">
        <v>351</v>
      </c>
      <c r="B257" s="11" t="s">
        <v>42</v>
      </c>
      <c r="C257" s="11">
        <v>412919</v>
      </c>
      <c r="D257" s="12"/>
      <c r="E257" s="11" t="s">
        <v>16</v>
      </c>
      <c r="F257" s="11" t="s">
        <v>43</v>
      </c>
      <c r="G257" s="11" t="s">
        <v>31</v>
      </c>
      <c r="H257" s="13" t="s">
        <v>8</v>
      </c>
      <c r="I257" s="13" t="s">
        <v>44</v>
      </c>
      <c r="J257" s="13">
        <v>6</v>
      </c>
      <c r="K257" s="14">
        <v>1611</v>
      </c>
      <c r="L257" s="13">
        <v>600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57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969</v>
      </c>
      <c r="AF257" s="14">
        <v>59980</v>
      </c>
      <c r="AG257" s="14">
        <v>44800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301</v>
      </c>
      <c r="AR257" s="14">
        <v>29900</v>
      </c>
      <c r="AS257" s="13">
        <v>200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521</v>
      </c>
      <c r="BJ257" s="14">
        <v>62520</v>
      </c>
      <c r="BK257" s="13">
        <v>0</v>
      </c>
      <c r="BL257" s="15">
        <v>3126</v>
      </c>
      <c r="BM257" s="17">
        <v>198000</v>
      </c>
      <c r="BN257" s="9">
        <f t="shared" si="8"/>
        <v>194874</v>
      </c>
      <c r="BO257" s="10">
        <f t="shared" si="9"/>
        <v>136411.79999999999</v>
      </c>
    </row>
    <row r="258" spans="1:67" ht="24">
      <c r="A258" s="5" t="s">
        <v>351</v>
      </c>
      <c r="B258" s="11" t="s">
        <v>577</v>
      </c>
      <c r="C258" s="11">
        <v>449889</v>
      </c>
      <c r="D258" s="12"/>
      <c r="E258" s="11" t="s">
        <v>16</v>
      </c>
      <c r="F258" s="11" t="s">
        <v>24</v>
      </c>
      <c r="G258" s="11" t="s">
        <v>10</v>
      </c>
      <c r="H258" s="13" t="s">
        <v>7</v>
      </c>
      <c r="I258" s="13" t="s">
        <v>25</v>
      </c>
      <c r="J258" s="13">
        <v>0</v>
      </c>
      <c r="K258" s="14">
        <v>4552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57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4">
        <v>1108</v>
      </c>
      <c r="AF258" s="14">
        <v>113160</v>
      </c>
      <c r="AG258" s="14">
        <v>10000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277</v>
      </c>
      <c r="AR258" s="14">
        <v>27700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327</v>
      </c>
      <c r="BJ258" s="14">
        <v>39240</v>
      </c>
      <c r="BK258" s="13">
        <v>0</v>
      </c>
      <c r="BL258" s="15">
        <v>1962</v>
      </c>
      <c r="BM258" s="17">
        <v>190100</v>
      </c>
      <c r="BN258" s="9">
        <f t="shared" si="8"/>
        <v>188138</v>
      </c>
      <c r="BO258" s="10">
        <f t="shared" si="9"/>
        <v>131696.6</v>
      </c>
    </row>
    <row r="259" spans="1:67" ht="24">
      <c r="A259" s="5" t="s">
        <v>351</v>
      </c>
      <c r="B259" s="11" t="s">
        <v>578</v>
      </c>
      <c r="C259" s="11">
        <v>369220</v>
      </c>
      <c r="D259" s="12"/>
      <c r="E259" s="11" t="s">
        <v>16</v>
      </c>
      <c r="F259" s="11" t="s">
        <v>27</v>
      </c>
      <c r="G259" s="11" t="s">
        <v>10</v>
      </c>
      <c r="H259" s="13" t="s">
        <v>7</v>
      </c>
      <c r="I259" s="13" t="s">
        <v>28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30</v>
      </c>
      <c r="T259" s="13">
        <v>59</v>
      </c>
      <c r="U259" s="13">
        <v>0</v>
      </c>
      <c r="V259" s="14">
        <v>3000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790</v>
      </c>
      <c r="AF259" s="14">
        <v>85900</v>
      </c>
      <c r="AG259" s="14">
        <v>5500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480</v>
      </c>
      <c r="AR259" s="14">
        <v>46000</v>
      </c>
      <c r="AS259" s="14">
        <v>2000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106</v>
      </c>
      <c r="BJ259" s="14">
        <v>12720</v>
      </c>
      <c r="BK259" s="13">
        <v>0</v>
      </c>
      <c r="BL259" s="13">
        <v>636</v>
      </c>
      <c r="BM259" s="17">
        <v>155120</v>
      </c>
      <c r="BN259" s="9">
        <f t="shared" si="8"/>
        <v>154484</v>
      </c>
      <c r="BO259" s="10">
        <f t="shared" si="9"/>
        <v>108138.79999999999</v>
      </c>
    </row>
    <row r="260" spans="1:67" ht="24">
      <c r="A260" s="5" t="s">
        <v>351</v>
      </c>
      <c r="B260" s="11" t="s">
        <v>542</v>
      </c>
      <c r="C260" s="11">
        <v>418302</v>
      </c>
      <c r="D260" s="12"/>
      <c r="E260" s="11" t="s">
        <v>16</v>
      </c>
      <c r="F260" s="11" t="s">
        <v>30</v>
      </c>
      <c r="G260" s="11" t="s">
        <v>31</v>
      </c>
      <c r="H260" s="13" t="s">
        <v>265</v>
      </c>
      <c r="I260" s="13" t="s">
        <v>32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16</v>
      </c>
      <c r="AF260" s="14">
        <v>4800</v>
      </c>
      <c r="AG260" s="14">
        <v>50900</v>
      </c>
      <c r="AH260" s="13">
        <v>0</v>
      </c>
      <c r="AI260" s="13">
        <v>0</v>
      </c>
      <c r="AJ260" s="13">
        <v>0</v>
      </c>
      <c r="AK260" s="13">
        <v>1</v>
      </c>
      <c r="AL260" s="14">
        <v>5760</v>
      </c>
      <c r="AM260" s="13">
        <v>0</v>
      </c>
      <c r="AN260" s="13">
        <v>0</v>
      </c>
      <c r="AO260" s="13">
        <v>0</v>
      </c>
      <c r="AP260" s="13">
        <v>0</v>
      </c>
      <c r="AQ260" s="13">
        <v>10</v>
      </c>
      <c r="AR260" s="14">
        <v>42400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0</v>
      </c>
      <c r="BG260" s="13">
        <v>0</v>
      </c>
      <c r="BH260" s="13">
        <v>0</v>
      </c>
      <c r="BI260" s="13">
        <v>8</v>
      </c>
      <c r="BJ260" s="14">
        <v>40440</v>
      </c>
      <c r="BK260" s="13">
        <v>0</v>
      </c>
      <c r="BL260" s="15">
        <v>3750</v>
      </c>
      <c r="BM260" s="17">
        <v>144300</v>
      </c>
      <c r="BN260" s="9">
        <f t="shared" si="8"/>
        <v>140550</v>
      </c>
      <c r="BO260" s="10">
        <f t="shared" si="9"/>
        <v>98385</v>
      </c>
    </row>
    <row r="261" spans="1:67" ht="24">
      <c r="A261" s="5" t="s">
        <v>351</v>
      </c>
      <c r="B261" s="11" t="s">
        <v>429</v>
      </c>
      <c r="C261" s="11">
        <v>482098</v>
      </c>
      <c r="D261" s="12"/>
      <c r="E261" s="11" t="s">
        <v>16</v>
      </c>
      <c r="F261" s="11" t="s">
        <v>37</v>
      </c>
      <c r="G261" s="11" t="s">
        <v>337</v>
      </c>
      <c r="H261" s="13" t="s">
        <v>8</v>
      </c>
      <c r="I261" s="13" t="s">
        <v>462</v>
      </c>
      <c r="J261" s="13">
        <v>37</v>
      </c>
      <c r="K261" s="14">
        <v>4994</v>
      </c>
      <c r="L261" s="14">
        <v>3700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788</v>
      </c>
      <c r="AF261" s="14">
        <v>49860</v>
      </c>
      <c r="AG261" s="14">
        <v>34500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191</v>
      </c>
      <c r="AR261" s="14">
        <v>19100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3</v>
      </c>
      <c r="BD261" s="13">
        <v>360</v>
      </c>
      <c r="BE261" s="13">
        <v>0</v>
      </c>
      <c r="BF261" s="13">
        <v>0</v>
      </c>
      <c r="BG261" s="13">
        <v>0</v>
      </c>
      <c r="BH261" s="13">
        <v>0</v>
      </c>
      <c r="BI261" s="13">
        <v>211</v>
      </c>
      <c r="BJ261" s="14">
        <v>25320</v>
      </c>
      <c r="BK261" s="13">
        <v>0</v>
      </c>
      <c r="BL261" s="15">
        <v>1287.5999999999999</v>
      </c>
      <c r="BM261" s="17">
        <v>132840</v>
      </c>
      <c r="BN261" s="9">
        <f t="shared" si="8"/>
        <v>131552.4</v>
      </c>
      <c r="BO261" s="10">
        <f t="shared" si="9"/>
        <v>92086.68</v>
      </c>
    </row>
    <row r="262" spans="1:67" ht="24">
      <c r="A262" s="5" t="s">
        <v>351</v>
      </c>
      <c r="B262" s="11" t="s">
        <v>345</v>
      </c>
      <c r="C262" s="11">
        <v>476003</v>
      </c>
      <c r="D262" s="12"/>
      <c r="E262" s="11" t="s">
        <v>16</v>
      </c>
      <c r="F262" s="11" t="s">
        <v>27</v>
      </c>
      <c r="G262" s="11" t="s">
        <v>10</v>
      </c>
      <c r="H262" s="13" t="s">
        <v>8</v>
      </c>
      <c r="I262" s="13" t="s">
        <v>341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1</v>
      </c>
      <c r="AF262" s="13">
        <v>0</v>
      </c>
      <c r="AG262" s="14">
        <v>3200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4</v>
      </c>
      <c r="AR262" s="14">
        <v>12800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27</v>
      </c>
      <c r="BJ262" s="14">
        <v>103680</v>
      </c>
      <c r="BK262" s="13">
        <v>0</v>
      </c>
      <c r="BL262" s="15">
        <v>5184</v>
      </c>
      <c r="BM262" s="17">
        <v>119680</v>
      </c>
      <c r="BN262" s="9">
        <f t="shared" si="8"/>
        <v>114496</v>
      </c>
      <c r="BO262" s="10">
        <f t="shared" si="9"/>
        <v>80147.199999999997</v>
      </c>
    </row>
    <row r="263" spans="1:67" ht="24">
      <c r="A263" s="5" t="s">
        <v>351</v>
      </c>
      <c r="B263" s="11" t="s">
        <v>569</v>
      </c>
      <c r="C263" s="11">
        <v>454879</v>
      </c>
      <c r="D263" s="12"/>
      <c r="E263" s="11" t="s">
        <v>16</v>
      </c>
      <c r="F263" s="11" t="s">
        <v>553</v>
      </c>
      <c r="G263" s="11" t="s">
        <v>31</v>
      </c>
      <c r="H263" s="13" t="s">
        <v>265</v>
      </c>
      <c r="I263" s="13" t="s">
        <v>570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5</v>
      </c>
      <c r="AF263" s="14">
        <v>25000</v>
      </c>
      <c r="AG263" s="14">
        <v>21200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1</v>
      </c>
      <c r="AR263" s="14">
        <v>12500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5</v>
      </c>
      <c r="BJ263" s="14">
        <v>47520</v>
      </c>
      <c r="BK263" s="13">
        <v>0</v>
      </c>
      <c r="BL263" s="15">
        <v>2376</v>
      </c>
      <c r="BM263" s="17">
        <v>106220</v>
      </c>
      <c r="BN263" s="9">
        <f t="shared" si="8"/>
        <v>103844</v>
      </c>
      <c r="BO263" s="10">
        <f t="shared" si="9"/>
        <v>72690.799999999988</v>
      </c>
    </row>
    <row r="264" spans="1:67" ht="24">
      <c r="A264" s="5" t="s">
        <v>351</v>
      </c>
      <c r="B264" s="11" t="s">
        <v>68</v>
      </c>
      <c r="C264" s="11">
        <v>465250</v>
      </c>
      <c r="D264" s="12"/>
      <c r="E264" s="11" t="s">
        <v>16</v>
      </c>
      <c r="F264" s="11" t="s">
        <v>69</v>
      </c>
      <c r="G264" s="11" t="s">
        <v>337</v>
      </c>
      <c r="H264" s="13" t="s">
        <v>7</v>
      </c>
      <c r="I264" s="13" t="s">
        <v>70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354</v>
      </c>
      <c r="AF264" s="14">
        <v>36900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97</v>
      </c>
      <c r="AR264" s="14">
        <v>9500</v>
      </c>
      <c r="AS264" s="13">
        <v>200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10</v>
      </c>
      <c r="BD264" s="14">
        <v>1200</v>
      </c>
      <c r="BE264" s="13">
        <v>0</v>
      </c>
      <c r="BF264" s="13">
        <v>0</v>
      </c>
      <c r="BG264" s="13">
        <v>0</v>
      </c>
      <c r="BH264" s="13">
        <v>0</v>
      </c>
      <c r="BI264" s="13">
        <v>287</v>
      </c>
      <c r="BJ264" s="14">
        <v>34440</v>
      </c>
      <c r="BK264" s="13">
        <v>0</v>
      </c>
      <c r="BL264" s="15">
        <v>1794</v>
      </c>
      <c r="BM264" s="17">
        <v>82240</v>
      </c>
      <c r="BN264" s="9">
        <f t="shared" si="8"/>
        <v>80446</v>
      </c>
      <c r="BO264" s="10">
        <f t="shared" si="9"/>
        <v>56312.2</v>
      </c>
    </row>
    <row r="265" spans="1:67" ht="24">
      <c r="A265" s="5" t="s">
        <v>351</v>
      </c>
      <c r="B265" s="11" t="s">
        <v>582</v>
      </c>
      <c r="C265" s="11">
        <v>489266</v>
      </c>
      <c r="D265" s="12"/>
      <c r="E265" s="11" t="s">
        <v>16</v>
      </c>
      <c r="F265" s="11" t="s">
        <v>583</v>
      </c>
      <c r="G265" s="11" t="s">
        <v>31</v>
      </c>
      <c r="H265" s="13" t="s">
        <v>8</v>
      </c>
      <c r="I265" s="13" t="s">
        <v>517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407</v>
      </c>
      <c r="AF265" s="14">
        <v>24100</v>
      </c>
      <c r="AG265" s="14">
        <v>19500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134</v>
      </c>
      <c r="AR265" s="14">
        <v>13400</v>
      </c>
      <c r="AS265" s="13">
        <v>0</v>
      </c>
      <c r="AT265" s="13">
        <v>0</v>
      </c>
      <c r="AU265" s="13">
        <v>0</v>
      </c>
      <c r="AV265" s="13">
        <v>0</v>
      </c>
      <c r="AW265" s="13">
        <v>1</v>
      </c>
      <c r="AX265" s="13">
        <v>120</v>
      </c>
      <c r="AY265" s="13">
        <v>0</v>
      </c>
      <c r="AZ265" s="13">
        <v>0</v>
      </c>
      <c r="BA265" s="13">
        <v>0</v>
      </c>
      <c r="BB265" s="13">
        <v>0</v>
      </c>
      <c r="BC265" s="13">
        <v>4</v>
      </c>
      <c r="BD265" s="13">
        <v>480</v>
      </c>
      <c r="BE265" s="13">
        <v>0</v>
      </c>
      <c r="BF265" s="13">
        <v>0</v>
      </c>
      <c r="BG265" s="13">
        <v>0</v>
      </c>
      <c r="BH265" s="13">
        <v>0</v>
      </c>
      <c r="BI265" s="13">
        <v>192</v>
      </c>
      <c r="BJ265" s="14">
        <v>21840</v>
      </c>
      <c r="BK265" s="14">
        <v>1000</v>
      </c>
      <c r="BL265" s="15">
        <v>1132.8</v>
      </c>
      <c r="BM265" s="17">
        <v>80440</v>
      </c>
      <c r="BN265" s="9">
        <f t="shared" si="8"/>
        <v>79307.199999999997</v>
      </c>
      <c r="BO265" s="10">
        <f t="shared" si="9"/>
        <v>55515.039999999994</v>
      </c>
    </row>
    <row r="266" spans="1:67" ht="24">
      <c r="A266" s="5" t="s">
        <v>351</v>
      </c>
      <c r="B266" s="11" t="s">
        <v>29</v>
      </c>
      <c r="C266" s="11">
        <v>395270</v>
      </c>
      <c r="D266" s="12"/>
      <c r="E266" s="11" t="s">
        <v>16</v>
      </c>
      <c r="F266" s="11" t="s">
        <v>30</v>
      </c>
      <c r="G266" s="11" t="s">
        <v>31</v>
      </c>
      <c r="H266" s="13" t="s">
        <v>8</v>
      </c>
      <c r="I266" s="13" t="s">
        <v>32</v>
      </c>
      <c r="J266" s="13">
        <v>1</v>
      </c>
      <c r="K266" s="13">
        <v>2</v>
      </c>
      <c r="L266" s="13">
        <v>100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6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314</v>
      </c>
      <c r="AF266" s="14">
        <v>34360</v>
      </c>
      <c r="AG266" s="14">
        <v>1200</v>
      </c>
      <c r="AH266" s="13">
        <v>0</v>
      </c>
      <c r="AI266" s="13">
        <v>0</v>
      </c>
      <c r="AJ266" s="13">
        <v>0</v>
      </c>
      <c r="AK266" s="13">
        <v>3</v>
      </c>
      <c r="AL266" s="13">
        <v>360</v>
      </c>
      <c r="AM266" s="13">
        <v>0</v>
      </c>
      <c r="AN266" s="13">
        <v>0</v>
      </c>
      <c r="AO266" s="13">
        <v>0</v>
      </c>
      <c r="AP266" s="13">
        <v>0</v>
      </c>
      <c r="AQ266" s="13">
        <v>86</v>
      </c>
      <c r="AR266" s="14">
        <v>8600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287</v>
      </c>
      <c r="BJ266" s="14">
        <v>34440</v>
      </c>
      <c r="BK266" s="13">
        <v>0</v>
      </c>
      <c r="BL266" s="15">
        <v>1830</v>
      </c>
      <c r="BM266" s="17">
        <v>79060</v>
      </c>
      <c r="BN266" s="9">
        <f t="shared" si="8"/>
        <v>77230</v>
      </c>
      <c r="BO266" s="10">
        <f t="shared" si="9"/>
        <v>54061</v>
      </c>
    </row>
    <row r="267" spans="1:67" ht="24">
      <c r="A267" s="5" t="s">
        <v>351</v>
      </c>
      <c r="B267" s="11" t="s">
        <v>587</v>
      </c>
      <c r="C267" s="11">
        <v>490763</v>
      </c>
      <c r="D267" s="12"/>
      <c r="E267" s="11" t="s">
        <v>16</v>
      </c>
      <c r="F267" s="11" t="s">
        <v>588</v>
      </c>
      <c r="G267" s="11" t="s">
        <v>337</v>
      </c>
      <c r="H267" s="13" t="s">
        <v>8</v>
      </c>
      <c r="I267" s="13" t="s">
        <v>589</v>
      </c>
      <c r="J267" s="13">
        <v>0</v>
      </c>
      <c r="K267" s="14">
        <v>2899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569</v>
      </c>
      <c r="AF267" s="14">
        <v>29040</v>
      </c>
      <c r="AG267" s="14">
        <v>29900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26</v>
      </c>
      <c r="AR267" s="14">
        <v>2600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1</v>
      </c>
      <c r="BD267" s="13">
        <v>120</v>
      </c>
      <c r="BE267" s="13">
        <v>0</v>
      </c>
      <c r="BF267" s="13">
        <v>0</v>
      </c>
      <c r="BG267" s="13">
        <v>0</v>
      </c>
      <c r="BH267" s="13">
        <v>0</v>
      </c>
      <c r="BI267" s="13">
        <v>94</v>
      </c>
      <c r="BJ267" s="14">
        <v>11280</v>
      </c>
      <c r="BK267" s="13">
        <v>0</v>
      </c>
      <c r="BL267" s="13">
        <v>571.20000000000005</v>
      </c>
      <c r="BM267" s="17">
        <v>72940</v>
      </c>
      <c r="BN267" s="9">
        <f t="shared" si="8"/>
        <v>72368.800000000003</v>
      </c>
      <c r="BO267" s="10">
        <f t="shared" si="9"/>
        <v>50658.159999999996</v>
      </c>
    </row>
    <row r="268" spans="1:67" ht="24">
      <c r="A268" s="5" t="s">
        <v>351</v>
      </c>
      <c r="B268" s="11" t="s">
        <v>433</v>
      </c>
      <c r="C268" s="11">
        <v>478744</v>
      </c>
      <c r="D268" s="12"/>
      <c r="E268" s="11" t="s">
        <v>16</v>
      </c>
      <c r="F268" s="11" t="s">
        <v>434</v>
      </c>
      <c r="G268" s="11" t="s">
        <v>10</v>
      </c>
      <c r="H268" s="13" t="s">
        <v>7</v>
      </c>
      <c r="I268" s="13" t="s">
        <v>576</v>
      </c>
      <c r="J268" s="13">
        <v>0</v>
      </c>
      <c r="K268" s="13">
        <v>748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8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127</v>
      </c>
      <c r="AF268" s="14">
        <v>12000</v>
      </c>
      <c r="AG268" s="14">
        <v>2100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73</v>
      </c>
      <c r="AR268" s="14">
        <v>7300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373</v>
      </c>
      <c r="BJ268" s="14">
        <v>44760</v>
      </c>
      <c r="BK268" s="13">
        <v>0</v>
      </c>
      <c r="BL268" s="15">
        <v>2238</v>
      </c>
      <c r="BM268" s="17">
        <v>66160</v>
      </c>
      <c r="BN268" s="9">
        <f t="shared" si="8"/>
        <v>63922</v>
      </c>
      <c r="BO268" s="10">
        <f t="shared" si="9"/>
        <v>44745.399999999994</v>
      </c>
    </row>
    <row r="269" spans="1:67" ht="24">
      <c r="A269" s="5" t="s">
        <v>351</v>
      </c>
      <c r="B269" s="11" t="s">
        <v>159</v>
      </c>
      <c r="C269" s="11">
        <v>316658</v>
      </c>
      <c r="D269" s="12"/>
      <c r="E269" s="11" t="s">
        <v>16</v>
      </c>
      <c r="F269" s="11" t="s">
        <v>62</v>
      </c>
      <c r="G269" s="11" t="s">
        <v>10</v>
      </c>
      <c r="H269" s="13" t="s">
        <v>7</v>
      </c>
      <c r="I269" s="13" t="s">
        <v>160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28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21</v>
      </c>
      <c r="AF269" s="14">
        <v>2140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281</v>
      </c>
      <c r="AR269" s="14">
        <v>28100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220</v>
      </c>
      <c r="BJ269" s="14">
        <v>26400</v>
      </c>
      <c r="BK269" s="13">
        <v>0</v>
      </c>
      <c r="BL269" s="15">
        <v>1320</v>
      </c>
      <c r="BM269" s="17">
        <v>56640</v>
      </c>
      <c r="BN269" s="9">
        <f t="shared" si="8"/>
        <v>55320</v>
      </c>
      <c r="BO269" s="10">
        <f t="shared" si="9"/>
        <v>38724</v>
      </c>
    </row>
    <row r="270" spans="1:67" ht="24">
      <c r="A270" s="5" t="s">
        <v>351</v>
      </c>
      <c r="B270" s="11" t="s">
        <v>593</v>
      </c>
      <c r="C270" s="11">
        <v>489720</v>
      </c>
      <c r="D270" s="12"/>
      <c r="E270" s="11" t="s">
        <v>16</v>
      </c>
      <c r="F270" s="11" t="s">
        <v>486</v>
      </c>
      <c r="G270" s="11" t="s">
        <v>10</v>
      </c>
      <c r="H270" s="13" t="s">
        <v>7</v>
      </c>
      <c r="I270" s="13" t="s">
        <v>594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199</v>
      </c>
      <c r="AF270" s="14">
        <v>23880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195</v>
      </c>
      <c r="BJ270" s="14">
        <v>23400</v>
      </c>
      <c r="BK270" s="13">
        <v>0</v>
      </c>
      <c r="BL270" s="15">
        <v>1170</v>
      </c>
      <c r="BM270" s="17">
        <v>47280</v>
      </c>
      <c r="BN270" s="9">
        <f t="shared" si="8"/>
        <v>46110</v>
      </c>
      <c r="BO270" s="10">
        <f t="shared" si="9"/>
        <v>32276.999999999996</v>
      </c>
    </row>
    <row r="271" spans="1:67" ht="24">
      <c r="A271" s="5" t="s">
        <v>351</v>
      </c>
      <c r="B271" s="11" t="s">
        <v>19</v>
      </c>
      <c r="C271" s="11">
        <v>463799</v>
      </c>
      <c r="D271" s="12"/>
      <c r="E271" s="11" t="s">
        <v>16</v>
      </c>
      <c r="F271" s="11" t="s">
        <v>20</v>
      </c>
      <c r="G271" s="11" t="s">
        <v>10</v>
      </c>
      <c r="H271" s="13" t="s">
        <v>7</v>
      </c>
      <c r="I271" s="13" t="s">
        <v>21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32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41</v>
      </c>
      <c r="AF271" s="14">
        <v>3000</v>
      </c>
      <c r="AG271" s="14">
        <v>1600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406</v>
      </c>
      <c r="AR271" s="14">
        <v>40300</v>
      </c>
      <c r="AS271" s="13">
        <v>300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0</v>
      </c>
      <c r="BM271" s="17">
        <v>45200</v>
      </c>
      <c r="BN271" s="9">
        <f t="shared" si="8"/>
        <v>45200</v>
      </c>
      <c r="BO271" s="10">
        <f t="shared" si="9"/>
        <v>31639.999999999996</v>
      </c>
    </row>
    <row r="272" spans="1:67" ht="24">
      <c r="A272" s="5" t="s">
        <v>351</v>
      </c>
      <c r="B272" s="11" t="s">
        <v>601</v>
      </c>
      <c r="C272" s="11">
        <v>462656</v>
      </c>
      <c r="D272" s="12"/>
      <c r="E272" s="11" t="s">
        <v>16</v>
      </c>
      <c r="F272" s="11" t="s">
        <v>233</v>
      </c>
      <c r="G272" s="11" t="s">
        <v>31</v>
      </c>
      <c r="H272" s="13" t="s">
        <v>265</v>
      </c>
      <c r="I272" s="13" t="s">
        <v>86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10</v>
      </c>
      <c r="AF272" s="14">
        <v>17480</v>
      </c>
      <c r="AG272" s="14">
        <v>21500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1</v>
      </c>
      <c r="AR272" s="14">
        <v>1300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1</v>
      </c>
      <c r="BJ272" s="14">
        <v>4560</v>
      </c>
      <c r="BK272" s="13">
        <v>0</v>
      </c>
      <c r="BL272" s="13">
        <v>228</v>
      </c>
      <c r="BM272" s="17">
        <v>44840</v>
      </c>
      <c r="BN272" s="9">
        <f t="shared" si="8"/>
        <v>44612</v>
      </c>
      <c r="BO272" s="10">
        <f t="shared" si="9"/>
        <v>31228.399999999998</v>
      </c>
    </row>
    <row r="273" spans="1:67" ht="24">
      <c r="A273" s="5" t="s">
        <v>351</v>
      </c>
      <c r="B273" s="11" t="s">
        <v>491</v>
      </c>
      <c r="C273" s="11">
        <v>389857</v>
      </c>
      <c r="D273" s="12"/>
      <c r="E273" s="11" t="s">
        <v>16</v>
      </c>
      <c r="F273" s="11" t="s">
        <v>35</v>
      </c>
      <c r="G273" s="11" t="s">
        <v>10</v>
      </c>
      <c r="H273" s="13" t="s">
        <v>7</v>
      </c>
      <c r="I273" s="13" t="s">
        <v>291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2</v>
      </c>
      <c r="AF273" s="14">
        <v>7680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8</v>
      </c>
      <c r="BJ273" s="14">
        <v>30720</v>
      </c>
      <c r="BK273" s="13">
        <v>0</v>
      </c>
      <c r="BL273" s="15">
        <v>1536</v>
      </c>
      <c r="BM273" s="17">
        <v>38400</v>
      </c>
      <c r="BN273" s="9">
        <f t="shared" si="8"/>
        <v>36864</v>
      </c>
      <c r="BO273" s="10">
        <f t="shared" si="9"/>
        <v>25804.799999999999</v>
      </c>
    </row>
    <row r="274" spans="1:67" ht="24">
      <c r="A274" s="5" t="s">
        <v>351</v>
      </c>
      <c r="B274" s="11" t="s">
        <v>464</v>
      </c>
      <c r="C274" s="11">
        <v>484300</v>
      </c>
      <c r="D274" s="12"/>
      <c r="E274" s="11" t="s">
        <v>16</v>
      </c>
      <c r="F274" s="11" t="s">
        <v>465</v>
      </c>
      <c r="G274" s="11" t="s">
        <v>10</v>
      </c>
      <c r="H274" s="13" t="s">
        <v>7</v>
      </c>
      <c r="I274" s="13" t="s">
        <v>466</v>
      </c>
      <c r="J274" s="13">
        <v>6</v>
      </c>
      <c r="K274" s="13">
        <v>0</v>
      </c>
      <c r="L274" s="13">
        <v>600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133</v>
      </c>
      <c r="AF274" s="14">
        <v>15960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175</v>
      </c>
      <c r="BJ274" s="14">
        <v>21000</v>
      </c>
      <c r="BK274" s="13">
        <v>0</v>
      </c>
      <c r="BL274" s="15">
        <v>1050</v>
      </c>
      <c r="BM274" s="17">
        <v>37560</v>
      </c>
      <c r="BN274" s="9">
        <f t="shared" si="8"/>
        <v>36510</v>
      </c>
      <c r="BO274" s="10">
        <f t="shared" si="9"/>
        <v>25557</v>
      </c>
    </row>
    <row r="275" spans="1:67" ht="24">
      <c r="A275" s="5" t="s">
        <v>351</v>
      </c>
      <c r="B275" s="11" t="s">
        <v>301</v>
      </c>
      <c r="C275" s="11">
        <v>458432</v>
      </c>
      <c r="D275" s="12"/>
      <c r="E275" s="11" t="s">
        <v>16</v>
      </c>
      <c r="F275" s="11" t="s">
        <v>121</v>
      </c>
      <c r="G275" s="11" t="s">
        <v>31</v>
      </c>
      <c r="H275" s="13" t="s">
        <v>265</v>
      </c>
      <c r="I275" s="13" t="s">
        <v>302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9</v>
      </c>
      <c r="AF275" s="14">
        <v>16800</v>
      </c>
      <c r="AG275" s="14">
        <v>12000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2</v>
      </c>
      <c r="BJ275" s="14">
        <v>7200</v>
      </c>
      <c r="BK275" s="13">
        <v>0</v>
      </c>
      <c r="BL275" s="13">
        <v>360</v>
      </c>
      <c r="BM275" s="17">
        <v>36000</v>
      </c>
      <c r="BN275" s="9">
        <f t="shared" si="8"/>
        <v>35640</v>
      </c>
      <c r="BO275" s="10">
        <f t="shared" si="9"/>
        <v>24948</v>
      </c>
    </row>
    <row r="276" spans="1:67" ht="24">
      <c r="A276" s="5" t="s">
        <v>351</v>
      </c>
      <c r="B276" s="11" t="s">
        <v>521</v>
      </c>
      <c r="C276" s="11">
        <v>486624</v>
      </c>
      <c r="D276" s="12"/>
      <c r="E276" s="11" t="s">
        <v>16</v>
      </c>
      <c r="F276" s="11" t="s">
        <v>263</v>
      </c>
      <c r="G276" s="11" t="s">
        <v>31</v>
      </c>
      <c r="H276" s="13" t="s">
        <v>8</v>
      </c>
      <c r="I276" s="13" t="s">
        <v>463</v>
      </c>
      <c r="J276" s="13">
        <v>0</v>
      </c>
      <c r="K276" s="13">
        <v>49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181</v>
      </c>
      <c r="AF276" s="14">
        <v>6600</v>
      </c>
      <c r="AG276" s="14">
        <v>11500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100</v>
      </c>
      <c r="AR276" s="14">
        <v>10000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46</v>
      </c>
      <c r="BJ276" s="14">
        <v>5520</v>
      </c>
      <c r="BK276" s="13">
        <v>0</v>
      </c>
      <c r="BL276" s="13">
        <v>276</v>
      </c>
      <c r="BM276" s="17">
        <v>33620</v>
      </c>
      <c r="BN276" s="9">
        <f t="shared" si="8"/>
        <v>33344</v>
      </c>
      <c r="BO276" s="10">
        <f t="shared" si="9"/>
        <v>23340.799999999999</v>
      </c>
    </row>
    <row r="277" spans="1:67" ht="24">
      <c r="A277" s="5" t="s">
        <v>351</v>
      </c>
      <c r="B277" s="11" t="s">
        <v>146</v>
      </c>
      <c r="C277" s="11">
        <v>376361</v>
      </c>
      <c r="D277" s="12"/>
      <c r="E277" s="11" t="s">
        <v>16</v>
      </c>
      <c r="F277" s="11" t="s">
        <v>43</v>
      </c>
      <c r="G277" s="11" t="s">
        <v>31</v>
      </c>
      <c r="H277" s="13" t="s">
        <v>8</v>
      </c>
      <c r="I277" s="13" t="s">
        <v>522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3</v>
      </c>
      <c r="T277" s="13">
        <v>25</v>
      </c>
      <c r="U277" s="13">
        <v>0</v>
      </c>
      <c r="V277" s="13">
        <v>300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133</v>
      </c>
      <c r="AF277" s="14">
        <v>9440</v>
      </c>
      <c r="AG277" s="14">
        <v>4100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3</v>
      </c>
      <c r="AR277" s="13">
        <v>300</v>
      </c>
      <c r="AS277" s="13">
        <v>0</v>
      </c>
      <c r="AT277" s="13">
        <v>0</v>
      </c>
      <c r="AU277" s="13">
        <v>0</v>
      </c>
      <c r="AV277" s="13">
        <v>0</v>
      </c>
      <c r="AW277" s="13">
        <v>76</v>
      </c>
      <c r="AX277" s="14">
        <v>9120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71</v>
      </c>
      <c r="BJ277" s="14">
        <v>8520</v>
      </c>
      <c r="BK277" s="13">
        <v>0</v>
      </c>
      <c r="BL277" s="15">
        <v>1338</v>
      </c>
      <c r="BM277" s="17">
        <v>31780</v>
      </c>
      <c r="BN277" s="9">
        <f t="shared" si="8"/>
        <v>30442</v>
      </c>
      <c r="BO277" s="10">
        <f t="shared" si="9"/>
        <v>21309.399999999998</v>
      </c>
    </row>
    <row r="278" spans="1:67" ht="24">
      <c r="A278" s="5" t="s">
        <v>351</v>
      </c>
      <c r="B278" s="11" t="s">
        <v>254</v>
      </c>
      <c r="C278" s="11">
        <v>391329</v>
      </c>
      <c r="D278" s="12"/>
      <c r="E278" s="11" t="s">
        <v>16</v>
      </c>
      <c r="F278" s="11" t="s">
        <v>62</v>
      </c>
      <c r="G278" s="11" t="s">
        <v>10</v>
      </c>
      <c r="H278" s="13" t="s">
        <v>7</v>
      </c>
      <c r="I278" s="13" t="s">
        <v>255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8</v>
      </c>
      <c r="BJ278" s="14">
        <v>30720</v>
      </c>
      <c r="BK278" s="13">
        <v>0</v>
      </c>
      <c r="BL278" s="15">
        <v>1536</v>
      </c>
      <c r="BM278" s="17">
        <v>30720</v>
      </c>
      <c r="BN278" s="9">
        <f t="shared" si="8"/>
        <v>29184</v>
      </c>
      <c r="BO278" s="10">
        <f t="shared" si="9"/>
        <v>20428.8</v>
      </c>
    </row>
    <row r="279" spans="1:67" ht="24">
      <c r="A279" s="5" t="s">
        <v>351</v>
      </c>
      <c r="B279" s="11" t="s">
        <v>481</v>
      </c>
      <c r="C279" s="11">
        <v>383716</v>
      </c>
      <c r="D279" s="12"/>
      <c r="E279" s="11" t="s">
        <v>16</v>
      </c>
      <c r="F279" s="11" t="s">
        <v>233</v>
      </c>
      <c r="G279" s="11" t="s">
        <v>31</v>
      </c>
      <c r="H279" s="13" t="s">
        <v>265</v>
      </c>
      <c r="I279" s="13" t="s">
        <v>295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5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112</v>
      </c>
      <c r="AF279" s="14">
        <v>6400</v>
      </c>
      <c r="AG279" s="14">
        <v>5300</v>
      </c>
      <c r="AH279" s="13">
        <v>0</v>
      </c>
      <c r="AI279" s="13">
        <v>0</v>
      </c>
      <c r="AJ279" s="13">
        <v>0</v>
      </c>
      <c r="AK279" s="13">
        <v>9</v>
      </c>
      <c r="AL279" s="13">
        <v>0</v>
      </c>
      <c r="AM279" s="13">
        <v>900</v>
      </c>
      <c r="AN279" s="13">
        <v>0</v>
      </c>
      <c r="AO279" s="13">
        <v>0</v>
      </c>
      <c r="AP279" s="13">
        <v>0</v>
      </c>
      <c r="AQ279" s="13">
        <v>14</v>
      </c>
      <c r="AR279" s="14">
        <v>1400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137</v>
      </c>
      <c r="BJ279" s="14">
        <v>16440</v>
      </c>
      <c r="BK279" s="13">
        <v>0</v>
      </c>
      <c r="BL279" s="13">
        <v>822</v>
      </c>
      <c r="BM279" s="17">
        <v>30440</v>
      </c>
      <c r="BN279" s="9">
        <f t="shared" si="8"/>
        <v>29618</v>
      </c>
      <c r="BO279" s="10">
        <f t="shared" si="9"/>
        <v>20732.599999999999</v>
      </c>
    </row>
    <row r="280" spans="1:67" ht="24">
      <c r="A280" s="5" t="s">
        <v>351</v>
      </c>
      <c r="B280" s="11" t="s">
        <v>475</v>
      </c>
      <c r="C280" s="11">
        <v>485660</v>
      </c>
      <c r="D280" s="12"/>
      <c r="E280" s="11" t="s">
        <v>16</v>
      </c>
      <c r="F280" s="11" t="s">
        <v>121</v>
      </c>
      <c r="G280" s="11" t="s">
        <v>31</v>
      </c>
      <c r="H280" s="13" t="s">
        <v>265</v>
      </c>
      <c r="I280" s="13" t="s">
        <v>462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6</v>
      </c>
      <c r="AF280" s="14">
        <v>13440</v>
      </c>
      <c r="AG280" s="14">
        <v>4900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4</v>
      </c>
      <c r="BJ280" s="14">
        <v>10920</v>
      </c>
      <c r="BK280" s="13">
        <v>0</v>
      </c>
      <c r="BL280" s="13">
        <v>546</v>
      </c>
      <c r="BM280" s="17">
        <v>29260</v>
      </c>
      <c r="BN280" s="9">
        <f t="shared" si="8"/>
        <v>28714</v>
      </c>
      <c r="BO280" s="10">
        <f t="shared" si="9"/>
        <v>20099.8</v>
      </c>
    </row>
    <row r="281" spans="1:67" ht="24">
      <c r="A281" s="5" t="s">
        <v>351</v>
      </c>
      <c r="B281" s="11" t="s">
        <v>58</v>
      </c>
      <c r="C281" s="11">
        <v>386960</v>
      </c>
      <c r="D281" s="12"/>
      <c r="E281" s="11" t="s">
        <v>16</v>
      </c>
      <c r="F281" s="11" t="s">
        <v>59</v>
      </c>
      <c r="G281" s="11" t="s">
        <v>10</v>
      </c>
      <c r="H281" s="13" t="s">
        <v>7</v>
      </c>
      <c r="I281" s="13" t="s">
        <v>60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24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291</v>
      </c>
      <c r="AF281" s="14">
        <v>19900</v>
      </c>
      <c r="AG281" s="14">
        <v>9200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7">
        <v>29100</v>
      </c>
      <c r="BN281" s="9">
        <f t="shared" si="8"/>
        <v>29100</v>
      </c>
      <c r="BO281" s="10">
        <f t="shared" si="9"/>
        <v>20370</v>
      </c>
    </row>
    <row r="282" spans="1:67" ht="24">
      <c r="A282" s="5" t="s">
        <v>351</v>
      </c>
      <c r="B282" s="11" t="s">
        <v>603</v>
      </c>
      <c r="C282" s="11">
        <v>420420</v>
      </c>
      <c r="D282" s="12"/>
      <c r="E282" s="11" t="s">
        <v>16</v>
      </c>
      <c r="F282" s="11" t="s">
        <v>130</v>
      </c>
      <c r="G282" s="11" t="s">
        <v>31</v>
      </c>
      <c r="H282" s="13" t="s">
        <v>265</v>
      </c>
      <c r="I282" s="13" t="s">
        <v>604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6</v>
      </c>
      <c r="AF282" s="14">
        <v>14400</v>
      </c>
      <c r="AG282" s="14">
        <v>3800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2</v>
      </c>
      <c r="AR282" s="14">
        <v>7000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  <c r="BM282" s="17">
        <v>25200</v>
      </c>
      <c r="BN282" s="9">
        <f t="shared" si="8"/>
        <v>25200</v>
      </c>
      <c r="BO282" s="10">
        <f t="shared" si="9"/>
        <v>17640</v>
      </c>
    </row>
    <row r="283" spans="1:67" ht="24">
      <c r="A283" s="5" t="s">
        <v>351</v>
      </c>
      <c r="B283" s="11" t="s">
        <v>56</v>
      </c>
      <c r="C283" s="11">
        <v>245889</v>
      </c>
      <c r="D283" s="12"/>
      <c r="E283" s="11" t="s">
        <v>16</v>
      </c>
      <c r="F283" s="11" t="s">
        <v>27</v>
      </c>
      <c r="G283" s="11" t="s">
        <v>10</v>
      </c>
      <c r="H283" s="13" t="s">
        <v>7</v>
      </c>
      <c r="I283" s="13" t="s">
        <v>57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12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30</v>
      </c>
      <c r="AF283" s="13">
        <v>0</v>
      </c>
      <c r="AG283" s="14">
        <v>3000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218</v>
      </c>
      <c r="AR283" s="14">
        <v>20900</v>
      </c>
      <c r="AS283" s="13">
        <v>900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7">
        <v>24800</v>
      </c>
      <c r="BN283" s="9">
        <f t="shared" si="8"/>
        <v>24800</v>
      </c>
      <c r="BO283" s="10">
        <f t="shared" si="9"/>
        <v>17360</v>
      </c>
    </row>
    <row r="284" spans="1:67" ht="24">
      <c r="A284" s="5" t="s">
        <v>351</v>
      </c>
      <c r="B284" s="11" t="s">
        <v>77</v>
      </c>
      <c r="C284" s="11">
        <v>370935</v>
      </c>
      <c r="D284" s="12"/>
      <c r="E284" s="11" t="s">
        <v>16</v>
      </c>
      <c r="F284" s="11" t="s">
        <v>27</v>
      </c>
      <c r="G284" s="11" t="s">
        <v>10</v>
      </c>
      <c r="H284" s="13" t="s">
        <v>7</v>
      </c>
      <c r="I284" s="13" t="s">
        <v>78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7</v>
      </c>
      <c r="AR284" s="14">
        <v>21500</v>
      </c>
      <c r="AS284" s="13">
        <v>900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7">
        <v>22400</v>
      </c>
      <c r="BN284" s="9">
        <f t="shared" si="8"/>
        <v>22400</v>
      </c>
      <c r="BO284" s="10">
        <f t="shared" si="9"/>
        <v>15679.999999999998</v>
      </c>
    </row>
    <row r="285" spans="1:67" ht="24">
      <c r="A285" s="5" t="s">
        <v>351</v>
      </c>
      <c r="B285" s="11" t="s">
        <v>303</v>
      </c>
      <c r="C285" s="11">
        <v>428126</v>
      </c>
      <c r="D285" s="12"/>
      <c r="E285" s="11" t="s">
        <v>16</v>
      </c>
      <c r="F285" s="11" t="s">
        <v>43</v>
      </c>
      <c r="G285" s="11" t="s">
        <v>31</v>
      </c>
      <c r="H285" s="13" t="s">
        <v>265</v>
      </c>
      <c r="I285" s="13" t="s">
        <v>304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5</v>
      </c>
      <c r="AF285" s="14">
        <v>18200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1</v>
      </c>
      <c r="BJ285" s="14">
        <v>4200</v>
      </c>
      <c r="BK285" s="13">
        <v>0</v>
      </c>
      <c r="BL285" s="13">
        <v>210</v>
      </c>
      <c r="BM285" s="17">
        <v>22400</v>
      </c>
      <c r="BN285" s="9">
        <f t="shared" si="8"/>
        <v>22190</v>
      </c>
      <c r="BO285" s="10">
        <f t="shared" si="9"/>
        <v>15532.999999999998</v>
      </c>
    </row>
    <row r="286" spans="1:67" ht="24">
      <c r="A286" s="5" t="s">
        <v>351</v>
      </c>
      <c r="B286" s="11" t="s">
        <v>600</v>
      </c>
      <c r="C286" s="11">
        <v>445688</v>
      </c>
      <c r="D286" s="12"/>
      <c r="E286" s="11" t="s">
        <v>16</v>
      </c>
      <c r="F286" s="11" t="s">
        <v>22</v>
      </c>
      <c r="G286" s="11" t="s">
        <v>10</v>
      </c>
      <c r="H286" s="13" t="s">
        <v>7</v>
      </c>
      <c r="I286" s="13" t="s">
        <v>23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56</v>
      </c>
      <c r="AF286" s="13">
        <v>700</v>
      </c>
      <c r="AG286" s="14">
        <v>4900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164</v>
      </c>
      <c r="AR286" s="14">
        <v>16000</v>
      </c>
      <c r="AS286" s="13">
        <v>400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3</v>
      </c>
      <c r="BJ286" s="13">
        <v>360</v>
      </c>
      <c r="BK286" s="13">
        <v>0</v>
      </c>
      <c r="BL286" s="13">
        <v>18</v>
      </c>
      <c r="BM286" s="17">
        <v>22360</v>
      </c>
      <c r="BN286" s="9">
        <f t="shared" si="8"/>
        <v>22342</v>
      </c>
      <c r="BO286" s="10">
        <f t="shared" si="9"/>
        <v>15639.4</v>
      </c>
    </row>
    <row r="287" spans="1:67" ht="24">
      <c r="A287" s="5" t="s">
        <v>351</v>
      </c>
      <c r="B287" s="11" t="s">
        <v>416</v>
      </c>
      <c r="C287" s="11">
        <v>473533</v>
      </c>
      <c r="D287" s="12"/>
      <c r="E287" s="11" t="s">
        <v>16</v>
      </c>
      <c r="F287" s="11" t="s">
        <v>347</v>
      </c>
      <c r="G287" s="11" t="s">
        <v>10</v>
      </c>
      <c r="H287" s="13" t="s">
        <v>7</v>
      </c>
      <c r="I287" s="13" t="s">
        <v>576</v>
      </c>
      <c r="J287" s="13">
        <v>0</v>
      </c>
      <c r="K287" s="13">
        <v>255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8</v>
      </c>
      <c r="AF287" s="13">
        <v>100</v>
      </c>
      <c r="AG287" s="13">
        <v>700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207</v>
      </c>
      <c r="AR287" s="14">
        <v>19900</v>
      </c>
      <c r="AS287" s="13">
        <v>800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7</v>
      </c>
      <c r="BJ287" s="13">
        <v>840</v>
      </c>
      <c r="BK287" s="13">
        <v>0</v>
      </c>
      <c r="BL287" s="13">
        <v>42</v>
      </c>
      <c r="BM287" s="17">
        <v>22340</v>
      </c>
      <c r="BN287" s="9">
        <f t="shared" si="8"/>
        <v>22298</v>
      </c>
      <c r="BO287" s="10">
        <f t="shared" si="9"/>
        <v>15608.599999999999</v>
      </c>
    </row>
    <row r="288" spans="1:67" ht="24">
      <c r="A288" s="5" t="s">
        <v>351</v>
      </c>
      <c r="B288" s="11" t="s">
        <v>525</v>
      </c>
      <c r="C288" s="11">
        <v>486615</v>
      </c>
      <c r="D288" s="12"/>
      <c r="E288" s="11" t="s">
        <v>16</v>
      </c>
      <c r="F288" s="11" t="s">
        <v>526</v>
      </c>
      <c r="G288" s="11" t="s">
        <v>337</v>
      </c>
      <c r="H288" s="13" t="s">
        <v>8</v>
      </c>
      <c r="I288" s="13" t="s">
        <v>463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157</v>
      </c>
      <c r="BJ288" s="14">
        <v>18840</v>
      </c>
      <c r="BK288" s="13">
        <v>0</v>
      </c>
      <c r="BL288" s="13">
        <v>942</v>
      </c>
      <c r="BM288" s="17">
        <v>18840</v>
      </c>
      <c r="BN288" s="9">
        <f t="shared" si="8"/>
        <v>17898</v>
      </c>
      <c r="BO288" s="10">
        <f t="shared" si="9"/>
        <v>12528.599999999999</v>
      </c>
    </row>
    <row r="289" spans="1:67" ht="24">
      <c r="A289" s="5" t="s">
        <v>351</v>
      </c>
      <c r="B289" s="11" t="s">
        <v>342</v>
      </c>
      <c r="C289" s="11">
        <v>476783</v>
      </c>
      <c r="D289" s="12"/>
      <c r="E289" s="11" t="s">
        <v>16</v>
      </c>
      <c r="F289" s="11" t="s">
        <v>343</v>
      </c>
      <c r="G289" s="11" t="s">
        <v>31</v>
      </c>
      <c r="H289" s="13" t="s">
        <v>8</v>
      </c>
      <c r="I289" s="13" t="s">
        <v>344</v>
      </c>
      <c r="J289" s="13">
        <v>17</v>
      </c>
      <c r="K289" s="13">
        <v>892</v>
      </c>
      <c r="L289" s="14">
        <v>1700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103</v>
      </c>
      <c r="AF289" s="13">
        <v>960</v>
      </c>
      <c r="AG289" s="14">
        <v>9400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57</v>
      </c>
      <c r="AR289" s="14">
        <v>5500</v>
      </c>
      <c r="AS289" s="13">
        <v>200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2</v>
      </c>
      <c r="BJ289" s="13">
        <v>240</v>
      </c>
      <c r="BK289" s="13">
        <v>0</v>
      </c>
      <c r="BL289" s="13">
        <v>12</v>
      </c>
      <c r="BM289" s="17">
        <v>18000</v>
      </c>
      <c r="BN289" s="9">
        <f t="shared" si="8"/>
        <v>17988</v>
      </c>
      <c r="BO289" s="10">
        <f t="shared" si="9"/>
        <v>12591.599999999999</v>
      </c>
    </row>
    <row r="290" spans="1:67" ht="24">
      <c r="A290" s="5" t="s">
        <v>351</v>
      </c>
      <c r="B290" s="11" t="s">
        <v>174</v>
      </c>
      <c r="C290" s="11">
        <v>445861</v>
      </c>
      <c r="D290" s="12"/>
      <c r="E290" s="11" t="s">
        <v>16</v>
      </c>
      <c r="F290" s="11" t="s">
        <v>43</v>
      </c>
      <c r="G290" s="11" t="s">
        <v>31</v>
      </c>
      <c r="H290" s="13" t="s">
        <v>8</v>
      </c>
      <c r="I290" s="13" t="s">
        <v>175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5</v>
      </c>
      <c r="AF290" s="13">
        <v>0</v>
      </c>
      <c r="AG290" s="14">
        <v>11500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2</v>
      </c>
      <c r="BJ290" s="14">
        <v>6360</v>
      </c>
      <c r="BK290" s="13">
        <v>0</v>
      </c>
      <c r="BL290" s="13">
        <v>318</v>
      </c>
      <c r="BM290" s="17">
        <v>17860</v>
      </c>
      <c r="BN290" s="9">
        <f t="shared" si="8"/>
        <v>17542</v>
      </c>
      <c r="BO290" s="10">
        <f t="shared" si="9"/>
        <v>12279.4</v>
      </c>
    </row>
    <row r="291" spans="1:67" ht="24">
      <c r="A291" s="5" t="s">
        <v>351</v>
      </c>
      <c r="B291" s="11" t="s">
        <v>79</v>
      </c>
      <c r="C291" s="11">
        <v>422032</v>
      </c>
      <c r="D291" s="12"/>
      <c r="E291" s="11" t="s">
        <v>16</v>
      </c>
      <c r="F291" s="11" t="s">
        <v>80</v>
      </c>
      <c r="G291" s="11" t="s">
        <v>10</v>
      </c>
      <c r="H291" s="13" t="s">
        <v>9</v>
      </c>
      <c r="I291" s="13" t="s">
        <v>81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143</v>
      </c>
      <c r="AF291" s="14">
        <v>16800</v>
      </c>
      <c r="AG291" s="13">
        <v>300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1</v>
      </c>
      <c r="BJ291" s="13">
        <v>120</v>
      </c>
      <c r="BK291" s="13">
        <v>0</v>
      </c>
      <c r="BL291" s="13">
        <v>6</v>
      </c>
      <c r="BM291" s="17">
        <v>17220</v>
      </c>
      <c r="BN291" s="9">
        <f t="shared" si="8"/>
        <v>17214</v>
      </c>
      <c r="BO291" s="10">
        <f t="shared" si="9"/>
        <v>12049.8</v>
      </c>
    </row>
    <row r="292" spans="1:67" ht="24">
      <c r="A292" s="5" t="s">
        <v>351</v>
      </c>
      <c r="B292" s="11" t="s">
        <v>134</v>
      </c>
      <c r="C292" s="11">
        <v>328404</v>
      </c>
      <c r="D292" s="12"/>
      <c r="E292" s="11" t="s">
        <v>16</v>
      </c>
      <c r="F292" s="11" t="s">
        <v>30</v>
      </c>
      <c r="G292" s="11" t="s">
        <v>31</v>
      </c>
      <c r="H292" s="13" t="s">
        <v>8</v>
      </c>
      <c r="I292" s="13" t="s">
        <v>135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7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110</v>
      </c>
      <c r="AF292" s="14">
        <v>10520</v>
      </c>
      <c r="AG292" s="14">
        <v>2000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37</v>
      </c>
      <c r="BJ292" s="14">
        <v>4440</v>
      </c>
      <c r="BK292" s="13">
        <v>0</v>
      </c>
      <c r="BL292" s="13">
        <v>222</v>
      </c>
      <c r="BM292" s="17">
        <v>16960</v>
      </c>
      <c r="BN292" s="9">
        <f t="shared" si="8"/>
        <v>16738</v>
      </c>
      <c r="BO292" s="10">
        <f t="shared" si="9"/>
        <v>11716.599999999999</v>
      </c>
    </row>
    <row r="293" spans="1:67" ht="24">
      <c r="A293" s="5" t="s">
        <v>351</v>
      </c>
      <c r="B293" s="11" t="s">
        <v>65</v>
      </c>
      <c r="C293" s="11">
        <v>219203</v>
      </c>
      <c r="D293" s="12"/>
      <c r="E293" s="11" t="s">
        <v>16</v>
      </c>
      <c r="F293" s="11" t="s">
        <v>66</v>
      </c>
      <c r="G293" s="11" t="s">
        <v>10</v>
      </c>
      <c r="H293" s="13" t="s">
        <v>7</v>
      </c>
      <c r="I293" s="13" t="s">
        <v>67</v>
      </c>
      <c r="J293" s="13">
        <v>0</v>
      </c>
      <c r="K293" s="13">
        <v>11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17</v>
      </c>
      <c r="AC293" s="13">
        <v>0</v>
      </c>
      <c r="AD293" s="14">
        <v>1700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45</v>
      </c>
      <c r="AO293" s="14">
        <v>4500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2</v>
      </c>
      <c r="BA293" s="13">
        <v>240</v>
      </c>
      <c r="BB293" s="13">
        <v>0</v>
      </c>
      <c r="BC293" s="13">
        <v>0</v>
      </c>
      <c r="BD293" s="13">
        <v>0</v>
      </c>
      <c r="BE293" s="13">
        <v>0</v>
      </c>
      <c r="BF293" s="13">
        <v>86</v>
      </c>
      <c r="BG293" s="14">
        <v>10320</v>
      </c>
      <c r="BH293" s="13">
        <v>0</v>
      </c>
      <c r="BI293" s="13">
        <v>0</v>
      </c>
      <c r="BJ293" s="13">
        <v>0</v>
      </c>
      <c r="BK293" s="13">
        <v>0</v>
      </c>
      <c r="BL293" s="13">
        <v>530.4</v>
      </c>
      <c r="BM293" s="17">
        <v>16760</v>
      </c>
      <c r="BN293" s="9">
        <f t="shared" si="8"/>
        <v>16229.6</v>
      </c>
      <c r="BO293" s="10">
        <f t="shared" si="9"/>
        <v>11360.72</v>
      </c>
    </row>
    <row r="294" spans="1:67" ht="24">
      <c r="A294" s="5" t="s">
        <v>351</v>
      </c>
      <c r="B294" s="11" t="s">
        <v>339</v>
      </c>
      <c r="C294" s="11">
        <v>476035</v>
      </c>
      <c r="D294" s="12"/>
      <c r="E294" s="11" t="s">
        <v>16</v>
      </c>
      <c r="F294" s="11" t="s">
        <v>340</v>
      </c>
      <c r="G294" s="11" t="s">
        <v>337</v>
      </c>
      <c r="H294" s="13" t="s">
        <v>9</v>
      </c>
      <c r="I294" s="13" t="s">
        <v>341</v>
      </c>
      <c r="J294" s="13">
        <v>13</v>
      </c>
      <c r="K294" s="13">
        <v>357</v>
      </c>
      <c r="L294" s="14">
        <v>1300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74</v>
      </c>
      <c r="AF294" s="14">
        <v>8880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59</v>
      </c>
      <c r="AR294" s="14">
        <v>5700</v>
      </c>
      <c r="AS294" s="13">
        <v>200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7">
        <v>16080</v>
      </c>
      <c r="BN294" s="9">
        <f t="shared" si="8"/>
        <v>16080</v>
      </c>
      <c r="BO294" s="10">
        <f t="shared" si="9"/>
        <v>11256</v>
      </c>
    </row>
    <row r="295" spans="1:67" ht="24">
      <c r="A295" s="5" t="s">
        <v>351</v>
      </c>
      <c r="B295" s="11" t="s">
        <v>315</v>
      </c>
      <c r="C295" s="11">
        <v>426259</v>
      </c>
      <c r="D295" s="12"/>
      <c r="E295" s="11" t="s">
        <v>16</v>
      </c>
      <c r="F295" s="11" t="s">
        <v>121</v>
      </c>
      <c r="G295" s="11" t="s">
        <v>31</v>
      </c>
      <c r="H295" s="13" t="s">
        <v>265</v>
      </c>
      <c r="I295" s="13" t="s">
        <v>316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4</v>
      </c>
      <c r="AF295" s="14">
        <v>6720</v>
      </c>
      <c r="AG295" s="14">
        <v>5300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2</v>
      </c>
      <c r="BJ295" s="14">
        <v>3720</v>
      </c>
      <c r="BK295" s="13">
        <v>0</v>
      </c>
      <c r="BL295" s="13">
        <v>186</v>
      </c>
      <c r="BM295" s="17">
        <v>15740</v>
      </c>
      <c r="BN295" s="9">
        <f t="shared" si="8"/>
        <v>15554</v>
      </c>
      <c r="BO295" s="10">
        <f t="shared" si="9"/>
        <v>10887.8</v>
      </c>
    </row>
    <row r="296" spans="1:67" ht="24">
      <c r="A296" s="5" t="s">
        <v>351</v>
      </c>
      <c r="B296" s="11" t="s">
        <v>308</v>
      </c>
      <c r="C296" s="11">
        <v>377683</v>
      </c>
      <c r="D296" s="12"/>
      <c r="E296" s="11" t="s">
        <v>16</v>
      </c>
      <c r="F296" s="11" t="s">
        <v>30</v>
      </c>
      <c r="G296" s="11" t="s">
        <v>31</v>
      </c>
      <c r="H296" s="13" t="s">
        <v>265</v>
      </c>
      <c r="I296" s="13" t="s">
        <v>309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3</v>
      </c>
      <c r="AF296" s="14">
        <v>9600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2</v>
      </c>
      <c r="AR296" s="14">
        <v>6000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7">
        <v>15600</v>
      </c>
      <c r="BN296" s="9">
        <f t="shared" si="8"/>
        <v>15600</v>
      </c>
      <c r="BO296" s="10">
        <f t="shared" si="9"/>
        <v>10920</v>
      </c>
    </row>
    <row r="297" spans="1:67" ht="24">
      <c r="A297" s="5" t="s">
        <v>351</v>
      </c>
      <c r="B297" s="11" t="s">
        <v>201</v>
      </c>
      <c r="C297" s="11">
        <v>399878</v>
      </c>
      <c r="D297" s="12"/>
      <c r="E297" s="11" t="s">
        <v>16</v>
      </c>
      <c r="F297" s="11" t="s">
        <v>202</v>
      </c>
      <c r="G297" s="11" t="s">
        <v>31</v>
      </c>
      <c r="H297" s="13" t="s">
        <v>8</v>
      </c>
      <c r="I297" s="13" t="s">
        <v>203</v>
      </c>
      <c r="J297" s="13">
        <v>0</v>
      </c>
      <c r="K297" s="13">
        <v>322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10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104</v>
      </c>
      <c r="AF297" s="14">
        <v>9380</v>
      </c>
      <c r="AG297" s="14">
        <v>1400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31</v>
      </c>
      <c r="AR297" s="14">
        <v>3100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12</v>
      </c>
      <c r="BJ297" s="14">
        <v>1440</v>
      </c>
      <c r="BK297" s="13">
        <v>0</v>
      </c>
      <c r="BL297" s="13">
        <v>72</v>
      </c>
      <c r="BM297" s="17">
        <v>15320</v>
      </c>
      <c r="BN297" s="9">
        <f t="shared" si="8"/>
        <v>15248</v>
      </c>
      <c r="BO297" s="10">
        <f t="shared" si="9"/>
        <v>10673.599999999999</v>
      </c>
    </row>
    <row r="298" spans="1:67" ht="24">
      <c r="A298" s="5" t="s">
        <v>351</v>
      </c>
      <c r="B298" s="11" t="s">
        <v>597</v>
      </c>
      <c r="C298" s="11">
        <v>489732</v>
      </c>
      <c r="D298" s="12"/>
      <c r="E298" s="11" t="s">
        <v>16</v>
      </c>
      <c r="F298" s="11" t="s">
        <v>598</v>
      </c>
      <c r="G298" s="11" t="s">
        <v>10</v>
      </c>
      <c r="H298" s="13" t="s">
        <v>7</v>
      </c>
      <c r="I298" s="13" t="s">
        <v>599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1</v>
      </c>
      <c r="AF298" s="13">
        <v>120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125</v>
      </c>
      <c r="BJ298" s="14">
        <v>15000</v>
      </c>
      <c r="BK298" s="13">
        <v>0</v>
      </c>
      <c r="BL298" s="13">
        <v>750</v>
      </c>
      <c r="BM298" s="17">
        <v>15120</v>
      </c>
      <c r="BN298" s="9">
        <f t="shared" si="8"/>
        <v>14370</v>
      </c>
      <c r="BO298" s="10">
        <f t="shared" si="9"/>
        <v>10059</v>
      </c>
    </row>
    <row r="299" spans="1:67" ht="24">
      <c r="A299" s="5" t="s">
        <v>351</v>
      </c>
      <c r="B299" s="11" t="s">
        <v>120</v>
      </c>
      <c r="C299" s="11">
        <v>383229</v>
      </c>
      <c r="D299" s="12"/>
      <c r="E299" s="11" t="s">
        <v>16</v>
      </c>
      <c r="F299" s="11" t="s">
        <v>121</v>
      </c>
      <c r="G299" s="11" t="s">
        <v>31</v>
      </c>
      <c r="H299" s="13" t="s">
        <v>8</v>
      </c>
      <c r="I299" s="13" t="s">
        <v>122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130</v>
      </c>
      <c r="AF299" s="14">
        <v>8740</v>
      </c>
      <c r="AG299" s="14">
        <v>5700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3</v>
      </c>
      <c r="BJ299" s="13">
        <v>360</v>
      </c>
      <c r="BK299" s="13">
        <v>0</v>
      </c>
      <c r="BL299" s="13">
        <v>18</v>
      </c>
      <c r="BM299" s="17">
        <v>14800</v>
      </c>
      <c r="BN299" s="9">
        <f t="shared" si="8"/>
        <v>14782</v>
      </c>
      <c r="BO299" s="10">
        <f t="shared" si="9"/>
        <v>10347.4</v>
      </c>
    </row>
    <row r="300" spans="1:67" ht="24">
      <c r="A300" s="5" t="s">
        <v>351</v>
      </c>
      <c r="B300" s="11" t="s">
        <v>40</v>
      </c>
      <c r="C300" s="11">
        <v>324335</v>
      </c>
      <c r="D300" s="12"/>
      <c r="E300" s="11" t="s">
        <v>16</v>
      </c>
      <c r="F300" s="11" t="s">
        <v>27</v>
      </c>
      <c r="G300" s="11" t="s">
        <v>10</v>
      </c>
      <c r="H300" s="13" t="s">
        <v>9</v>
      </c>
      <c r="I300" s="13" t="s">
        <v>41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2</v>
      </c>
      <c r="AF300" s="13">
        <v>0</v>
      </c>
      <c r="AG300" s="14">
        <v>6400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2</v>
      </c>
      <c r="BJ300" s="14">
        <v>7680</v>
      </c>
      <c r="BK300" s="13">
        <v>0</v>
      </c>
      <c r="BL300" s="13">
        <v>384</v>
      </c>
      <c r="BM300" s="17">
        <v>14080</v>
      </c>
      <c r="BN300" s="9">
        <f t="shared" si="8"/>
        <v>13696</v>
      </c>
      <c r="BO300" s="10">
        <f t="shared" si="9"/>
        <v>9587.1999999999989</v>
      </c>
    </row>
    <row r="301" spans="1:67" ht="24">
      <c r="A301" s="5" t="s">
        <v>351</v>
      </c>
      <c r="B301" s="11" t="s">
        <v>132</v>
      </c>
      <c r="C301" s="11">
        <v>367994</v>
      </c>
      <c r="D301" s="12"/>
      <c r="E301" s="11" t="s">
        <v>16</v>
      </c>
      <c r="F301" s="11" t="s">
        <v>30</v>
      </c>
      <c r="G301" s="11" t="s">
        <v>31</v>
      </c>
      <c r="H301" s="13" t="s">
        <v>8</v>
      </c>
      <c r="I301" s="13" t="s">
        <v>133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87</v>
      </c>
      <c r="AF301" s="14">
        <v>7920</v>
      </c>
      <c r="AG301" s="14">
        <v>2100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9</v>
      </c>
      <c r="AR301" s="13">
        <v>900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25</v>
      </c>
      <c r="BJ301" s="14">
        <v>3000</v>
      </c>
      <c r="BK301" s="13">
        <v>0</v>
      </c>
      <c r="BL301" s="13">
        <v>150</v>
      </c>
      <c r="BM301" s="17">
        <v>13920</v>
      </c>
      <c r="BN301" s="9">
        <f t="shared" si="8"/>
        <v>13770</v>
      </c>
      <c r="BO301" s="10">
        <f t="shared" si="9"/>
        <v>9639</v>
      </c>
    </row>
    <row r="302" spans="1:67" ht="24">
      <c r="A302" s="5" t="s">
        <v>351</v>
      </c>
      <c r="B302" s="11" t="s">
        <v>53</v>
      </c>
      <c r="C302" s="11">
        <v>464776</v>
      </c>
      <c r="D302" s="12"/>
      <c r="E302" s="11" t="s">
        <v>16</v>
      </c>
      <c r="F302" s="11" t="s">
        <v>54</v>
      </c>
      <c r="G302" s="11" t="s">
        <v>337</v>
      </c>
      <c r="H302" s="13" t="s">
        <v>9</v>
      </c>
      <c r="I302" s="13" t="s">
        <v>55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76</v>
      </c>
      <c r="AF302" s="14">
        <v>3880</v>
      </c>
      <c r="AG302" s="14">
        <v>4000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45</v>
      </c>
      <c r="AR302" s="14">
        <v>4300</v>
      </c>
      <c r="AS302" s="13">
        <v>200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7">
        <v>12380</v>
      </c>
      <c r="BN302" s="9">
        <f t="shared" si="8"/>
        <v>12380</v>
      </c>
      <c r="BO302" s="10">
        <f t="shared" si="9"/>
        <v>8666</v>
      </c>
    </row>
    <row r="303" spans="1:67" ht="24">
      <c r="A303" s="5" t="s">
        <v>351</v>
      </c>
      <c r="B303" s="11" t="s">
        <v>453</v>
      </c>
      <c r="C303" s="11">
        <v>481170</v>
      </c>
      <c r="D303" s="12"/>
      <c r="E303" s="11" t="s">
        <v>16</v>
      </c>
      <c r="F303" s="11" t="s">
        <v>437</v>
      </c>
      <c r="G303" s="11" t="s">
        <v>31</v>
      </c>
      <c r="H303" s="13" t="s">
        <v>265</v>
      </c>
      <c r="I303" s="13" t="s">
        <v>454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2</v>
      </c>
      <c r="AF303" s="14">
        <v>5720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1</v>
      </c>
      <c r="AR303" s="14">
        <v>2400</v>
      </c>
      <c r="AS303" s="13">
        <v>200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1</v>
      </c>
      <c r="BJ303" s="14">
        <v>3120</v>
      </c>
      <c r="BK303" s="13">
        <v>0</v>
      </c>
      <c r="BL303" s="13">
        <v>156</v>
      </c>
      <c r="BM303" s="17">
        <v>11440</v>
      </c>
      <c r="BN303" s="9">
        <f t="shared" si="8"/>
        <v>11284</v>
      </c>
      <c r="BO303" s="10">
        <f t="shared" si="9"/>
        <v>7898.7999999999993</v>
      </c>
    </row>
    <row r="304" spans="1:67" ht="24">
      <c r="A304" s="5" t="s">
        <v>351</v>
      </c>
      <c r="B304" s="11" t="s">
        <v>487</v>
      </c>
      <c r="C304" s="11">
        <v>391008</v>
      </c>
      <c r="D304" s="12"/>
      <c r="E304" s="11" t="s">
        <v>16</v>
      </c>
      <c r="F304" s="11" t="s">
        <v>116</v>
      </c>
      <c r="G304" s="11" t="s">
        <v>31</v>
      </c>
      <c r="H304" s="13" t="s">
        <v>8</v>
      </c>
      <c r="I304" s="13" t="s">
        <v>488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91</v>
      </c>
      <c r="AF304" s="14">
        <v>10920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7">
        <v>10920</v>
      </c>
      <c r="BN304" s="9">
        <f t="shared" si="8"/>
        <v>10920</v>
      </c>
      <c r="BO304" s="10">
        <f t="shared" si="9"/>
        <v>7643.9999999999991</v>
      </c>
    </row>
    <row r="305" spans="1:67" ht="24">
      <c r="A305" s="5" t="s">
        <v>351</v>
      </c>
      <c r="B305" s="11" t="s">
        <v>104</v>
      </c>
      <c r="C305" s="11">
        <v>425289</v>
      </c>
      <c r="D305" s="12"/>
      <c r="E305" s="11" t="s">
        <v>16</v>
      </c>
      <c r="F305" s="11" t="s">
        <v>90</v>
      </c>
      <c r="G305" s="11" t="s">
        <v>10</v>
      </c>
      <c r="H305" s="13" t="s">
        <v>7</v>
      </c>
      <c r="I305" s="13" t="s">
        <v>105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9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91</v>
      </c>
      <c r="BJ305" s="14">
        <v>10920</v>
      </c>
      <c r="BK305" s="13">
        <v>0</v>
      </c>
      <c r="BL305" s="13">
        <v>546</v>
      </c>
      <c r="BM305" s="17">
        <v>10920</v>
      </c>
      <c r="BN305" s="9">
        <f t="shared" si="8"/>
        <v>10374</v>
      </c>
      <c r="BO305" s="10">
        <f t="shared" si="9"/>
        <v>7261.7999999999993</v>
      </c>
    </row>
    <row r="306" spans="1:67" ht="24">
      <c r="A306" s="5" t="s">
        <v>351</v>
      </c>
      <c r="B306" s="11" t="s">
        <v>674</v>
      </c>
      <c r="C306" s="11">
        <v>399402</v>
      </c>
      <c r="D306" s="12"/>
      <c r="E306" s="11" t="s">
        <v>16</v>
      </c>
      <c r="F306" s="11" t="s">
        <v>37</v>
      </c>
      <c r="G306" s="11" t="s">
        <v>31</v>
      </c>
      <c r="H306" s="13" t="s">
        <v>265</v>
      </c>
      <c r="I306" s="13" t="s">
        <v>675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3</v>
      </c>
      <c r="BJ306" s="14">
        <v>10800</v>
      </c>
      <c r="BK306" s="13">
        <v>0</v>
      </c>
      <c r="BL306" s="13">
        <v>540</v>
      </c>
      <c r="BM306" s="17">
        <v>10800</v>
      </c>
      <c r="BN306" s="9">
        <f t="shared" si="8"/>
        <v>10260</v>
      </c>
      <c r="BO306" s="10">
        <f t="shared" si="9"/>
        <v>7181.9999999999991</v>
      </c>
    </row>
    <row r="307" spans="1:67" ht="24">
      <c r="A307" s="5" t="s">
        <v>351</v>
      </c>
      <c r="B307" s="11" t="s">
        <v>676</v>
      </c>
      <c r="C307" s="11">
        <v>490131</v>
      </c>
      <c r="D307" s="12"/>
      <c r="E307" s="11" t="s">
        <v>16</v>
      </c>
      <c r="F307" s="11" t="s">
        <v>677</v>
      </c>
      <c r="G307" s="11" t="s">
        <v>337</v>
      </c>
      <c r="H307" s="13" t="s">
        <v>265</v>
      </c>
      <c r="I307" s="13" t="s">
        <v>581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2</v>
      </c>
      <c r="AF307" s="14">
        <v>1560</v>
      </c>
      <c r="AG307" s="14">
        <v>1300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2</v>
      </c>
      <c r="AR307" s="14">
        <v>2600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3</v>
      </c>
      <c r="BJ307" s="14">
        <v>4680</v>
      </c>
      <c r="BK307" s="13">
        <v>0</v>
      </c>
      <c r="BL307" s="13">
        <v>234</v>
      </c>
      <c r="BM307" s="17">
        <v>10140</v>
      </c>
      <c r="BN307" s="9">
        <f t="shared" si="8"/>
        <v>9906</v>
      </c>
      <c r="BO307" s="10">
        <f t="shared" si="9"/>
        <v>6934.2</v>
      </c>
    </row>
    <row r="308" spans="1:67" ht="24">
      <c r="A308" s="5" t="s">
        <v>351</v>
      </c>
      <c r="B308" s="11" t="s">
        <v>502</v>
      </c>
      <c r="C308" s="11">
        <v>426278</v>
      </c>
      <c r="D308" s="12"/>
      <c r="E308" s="11" t="s">
        <v>16</v>
      </c>
      <c r="F308" s="11" t="s">
        <v>503</v>
      </c>
      <c r="G308" s="11" t="s">
        <v>31</v>
      </c>
      <c r="H308" s="13" t="s">
        <v>265</v>
      </c>
      <c r="I308" s="13" t="s">
        <v>494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3</v>
      </c>
      <c r="AR308" s="14">
        <v>9600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  <c r="BM308" s="17">
        <v>9600</v>
      </c>
      <c r="BN308" s="9">
        <f t="shared" si="8"/>
        <v>9600</v>
      </c>
      <c r="BO308" s="10">
        <f t="shared" si="9"/>
        <v>6720</v>
      </c>
    </row>
    <row r="309" spans="1:67" ht="24">
      <c r="A309" s="5" t="s">
        <v>351</v>
      </c>
      <c r="B309" s="11" t="s">
        <v>98</v>
      </c>
      <c r="C309" s="11">
        <v>359539</v>
      </c>
      <c r="D309" s="12"/>
      <c r="E309" s="11" t="s">
        <v>16</v>
      </c>
      <c r="F309" s="11" t="s">
        <v>99</v>
      </c>
      <c r="G309" s="11" t="s">
        <v>31</v>
      </c>
      <c r="H309" s="13" t="s">
        <v>8</v>
      </c>
      <c r="I309" s="13" t="s">
        <v>100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64</v>
      </c>
      <c r="AF309" s="14">
        <v>7680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1</v>
      </c>
      <c r="AR309" s="13">
        <v>100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6</v>
      </c>
      <c r="BJ309" s="13">
        <v>720</v>
      </c>
      <c r="BK309" s="13">
        <v>0</v>
      </c>
      <c r="BL309" s="13">
        <v>36</v>
      </c>
      <c r="BM309" s="17">
        <v>8500</v>
      </c>
      <c r="BN309" s="9">
        <f t="shared" si="8"/>
        <v>8464</v>
      </c>
      <c r="BO309" s="10">
        <f t="shared" si="9"/>
        <v>5924.7999999999993</v>
      </c>
    </row>
    <row r="310" spans="1:67" ht="24">
      <c r="A310" s="5" t="s">
        <v>351</v>
      </c>
      <c r="B310" s="11" t="s">
        <v>678</v>
      </c>
      <c r="C310" s="11">
        <v>414678</v>
      </c>
      <c r="D310" s="12"/>
      <c r="E310" s="11" t="s">
        <v>16</v>
      </c>
      <c r="F310" s="11" t="s">
        <v>130</v>
      </c>
      <c r="G310" s="11" t="s">
        <v>31</v>
      </c>
      <c r="H310" s="13" t="s">
        <v>265</v>
      </c>
      <c r="I310" s="13" t="s">
        <v>131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2</v>
      </c>
      <c r="BJ310" s="14">
        <v>8400</v>
      </c>
      <c r="BK310" s="13">
        <v>0</v>
      </c>
      <c r="BL310" s="13">
        <v>420</v>
      </c>
      <c r="BM310" s="17">
        <v>8400</v>
      </c>
      <c r="BN310" s="9">
        <f t="shared" si="8"/>
        <v>7980</v>
      </c>
      <c r="BO310" s="10">
        <f t="shared" si="9"/>
        <v>5586</v>
      </c>
    </row>
    <row r="311" spans="1:67" ht="24">
      <c r="A311" s="5" t="s">
        <v>351</v>
      </c>
      <c r="B311" s="11" t="s">
        <v>679</v>
      </c>
      <c r="C311" s="11">
        <v>488792</v>
      </c>
      <c r="D311" s="12"/>
      <c r="E311" s="11" t="s">
        <v>16</v>
      </c>
      <c r="F311" s="11" t="s">
        <v>37</v>
      </c>
      <c r="G311" s="11" t="s">
        <v>31</v>
      </c>
      <c r="H311" s="13" t="s">
        <v>265</v>
      </c>
      <c r="I311" s="13" t="s">
        <v>609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1</v>
      </c>
      <c r="AF311" s="14">
        <v>4560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1</v>
      </c>
      <c r="AR311" s="14">
        <v>3800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7">
        <v>8360</v>
      </c>
      <c r="BN311" s="9">
        <f t="shared" si="8"/>
        <v>8360</v>
      </c>
      <c r="BO311" s="10">
        <f t="shared" si="9"/>
        <v>5852</v>
      </c>
    </row>
    <row r="312" spans="1:67" ht="24">
      <c r="A312" s="5" t="s">
        <v>351</v>
      </c>
      <c r="B312" s="11" t="s">
        <v>469</v>
      </c>
      <c r="C312" s="11">
        <v>483173</v>
      </c>
      <c r="D312" s="12"/>
      <c r="E312" s="11" t="s">
        <v>16</v>
      </c>
      <c r="F312" s="11" t="s">
        <v>470</v>
      </c>
      <c r="G312" s="11" t="s">
        <v>337</v>
      </c>
      <c r="H312" s="13" t="s">
        <v>8</v>
      </c>
      <c r="I312" s="13" t="s">
        <v>471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83</v>
      </c>
      <c r="AR312" s="14">
        <v>8300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7">
        <v>8300</v>
      </c>
      <c r="BN312" s="9">
        <f t="shared" ref="BN312:BN374" si="10">BM312-BL312</f>
        <v>8300</v>
      </c>
      <c r="BO312" s="10">
        <f t="shared" ref="BO312:BO374" si="11">BN312*70%</f>
        <v>5810</v>
      </c>
    </row>
    <row r="313" spans="1:67" ht="24">
      <c r="A313" s="5" t="s">
        <v>351</v>
      </c>
      <c r="B313" s="11" t="s">
        <v>418</v>
      </c>
      <c r="C313" s="11">
        <v>469075</v>
      </c>
      <c r="D313" s="12"/>
      <c r="E313" s="11" t="s">
        <v>16</v>
      </c>
      <c r="F313" s="11" t="s">
        <v>54</v>
      </c>
      <c r="G313" s="11" t="s">
        <v>337</v>
      </c>
      <c r="H313" s="13" t="s">
        <v>9</v>
      </c>
      <c r="I313" s="13" t="s">
        <v>419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2</v>
      </c>
      <c r="AF313" s="14">
        <v>8200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7">
        <v>8200</v>
      </c>
      <c r="BN313" s="9">
        <f t="shared" si="10"/>
        <v>8200</v>
      </c>
      <c r="BO313" s="10">
        <f t="shared" si="11"/>
        <v>5740</v>
      </c>
    </row>
    <row r="314" spans="1:67" ht="24">
      <c r="A314" s="5" t="s">
        <v>351</v>
      </c>
      <c r="B314" s="11" t="s">
        <v>167</v>
      </c>
      <c r="C314" s="11">
        <v>423328</v>
      </c>
      <c r="D314" s="12"/>
      <c r="E314" s="11" t="s">
        <v>16</v>
      </c>
      <c r="F314" s="11" t="s">
        <v>27</v>
      </c>
      <c r="G314" s="11" t="s">
        <v>10</v>
      </c>
      <c r="H314" s="13" t="s">
        <v>7</v>
      </c>
      <c r="I314" s="13" t="s">
        <v>168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4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66</v>
      </c>
      <c r="AF314" s="14">
        <v>2300</v>
      </c>
      <c r="AG314" s="14">
        <v>4300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13</v>
      </c>
      <c r="BJ314" s="14">
        <v>1560</v>
      </c>
      <c r="BK314" s="13">
        <v>0</v>
      </c>
      <c r="BL314" s="13">
        <v>78</v>
      </c>
      <c r="BM314" s="17">
        <v>8160</v>
      </c>
      <c r="BN314" s="9">
        <f t="shared" si="10"/>
        <v>8082</v>
      </c>
      <c r="BO314" s="10">
        <f t="shared" si="11"/>
        <v>5657.4</v>
      </c>
    </row>
    <row r="315" spans="1:67" ht="24">
      <c r="A315" s="5" t="s">
        <v>351</v>
      </c>
      <c r="B315" s="11" t="s">
        <v>551</v>
      </c>
      <c r="C315" s="11">
        <v>486821</v>
      </c>
      <c r="D315" s="12"/>
      <c r="E315" s="11" t="s">
        <v>16</v>
      </c>
      <c r="F315" s="11" t="s">
        <v>437</v>
      </c>
      <c r="G315" s="11" t="s">
        <v>31</v>
      </c>
      <c r="H315" s="13" t="s">
        <v>265</v>
      </c>
      <c r="I315" s="13" t="s">
        <v>552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1</v>
      </c>
      <c r="AF315" s="14">
        <v>2640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2</v>
      </c>
      <c r="BJ315" s="14">
        <v>5280</v>
      </c>
      <c r="BK315" s="13">
        <v>0</v>
      </c>
      <c r="BL315" s="13">
        <v>264</v>
      </c>
      <c r="BM315" s="17">
        <v>7920</v>
      </c>
      <c r="BN315" s="9">
        <f t="shared" si="10"/>
        <v>7656</v>
      </c>
      <c r="BO315" s="10">
        <f t="shared" si="11"/>
        <v>5359.2</v>
      </c>
    </row>
    <row r="316" spans="1:67" ht="24">
      <c r="A316" s="5" t="s">
        <v>351</v>
      </c>
      <c r="B316" s="11" t="s">
        <v>215</v>
      </c>
      <c r="C316" s="11">
        <v>462361</v>
      </c>
      <c r="D316" s="12"/>
      <c r="E316" s="11" t="s">
        <v>16</v>
      </c>
      <c r="F316" s="11" t="s">
        <v>35</v>
      </c>
      <c r="G316" s="11" t="s">
        <v>10</v>
      </c>
      <c r="H316" s="13" t="s">
        <v>7</v>
      </c>
      <c r="I316" s="13" t="s">
        <v>216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2</v>
      </c>
      <c r="BJ316" s="14">
        <v>7680</v>
      </c>
      <c r="BK316" s="13">
        <v>0</v>
      </c>
      <c r="BL316" s="13">
        <v>384</v>
      </c>
      <c r="BM316" s="17">
        <v>7680</v>
      </c>
      <c r="BN316" s="9">
        <f t="shared" si="10"/>
        <v>7296</v>
      </c>
      <c r="BO316" s="10">
        <f t="shared" si="11"/>
        <v>5107.2</v>
      </c>
    </row>
    <row r="317" spans="1:67" ht="24">
      <c r="A317" s="5" t="s">
        <v>351</v>
      </c>
      <c r="B317" s="11" t="s">
        <v>26</v>
      </c>
      <c r="C317" s="11">
        <v>414278</v>
      </c>
      <c r="D317" s="12"/>
      <c r="E317" s="11" t="s">
        <v>16</v>
      </c>
      <c r="F317" s="11" t="s">
        <v>11</v>
      </c>
      <c r="G317" s="11" t="s">
        <v>10</v>
      </c>
      <c r="H317" s="13" t="s">
        <v>8</v>
      </c>
      <c r="I317" s="13" t="s">
        <v>341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2</v>
      </c>
      <c r="AF317" s="14">
        <v>7680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7">
        <v>7680</v>
      </c>
      <c r="BN317" s="9">
        <f t="shared" si="10"/>
        <v>7680</v>
      </c>
      <c r="BO317" s="10">
        <f t="shared" si="11"/>
        <v>5376</v>
      </c>
    </row>
    <row r="318" spans="1:67" ht="24">
      <c r="A318" s="5" t="s">
        <v>351</v>
      </c>
      <c r="B318" s="11" t="s">
        <v>300</v>
      </c>
      <c r="C318" s="11">
        <v>425648</v>
      </c>
      <c r="D318" s="12"/>
      <c r="E318" s="11" t="s">
        <v>16</v>
      </c>
      <c r="F318" s="11" t="s">
        <v>202</v>
      </c>
      <c r="G318" s="11" t="s">
        <v>31</v>
      </c>
      <c r="H318" s="13" t="s">
        <v>265</v>
      </c>
      <c r="I318" s="13" t="s">
        <v>203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2</v>
      </c>
      <c r="BJ318" s="14">
        <v>7680</v>
      </c>
      <c r="BK318" s="13">
        <v>0</v>
      </c>
      <c r="BL318" s="13">
        <v>384</v>
      </c>
      <c r="BM318" s="17">
        <v>7680</v>
      </c>
      <c r="BN318" s="9">
        <f t="shared" si="10"/>
        <v>7296</v>
      </c>
      <c r="BO318" s="10">
        <f t="shared" si="11"/>
        <v>5107.2</v>
      </c>
    </row>
    <row r="319" spans="1:67" ht="24">
      <c r="A319" s="5" t="s">
        <v>351</v>
      </c>
      <c r="B319" s="11" t="s">
        <v>504</v>
      </c>
      <c r="C319" s="11">
        <v>381684</v>
      </c>
      <c r="D319" s="12"/>
      <c r="E319" s="11" t="s">
        <v>16</v>
      </c>
      <c r="F319" s="11" t="s">
        <v>124</v>
      </c>
      <c r="G319" s="11" t="s">
        <v>31</v>
      </c>
      <c r="H319" s="13" t="s">
        <v>265</v>
      </c>
      <c r="I319" s="13" t="s">
        <v>505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2</v>
      </c>
      <c r="AF319" s="13">
        <v>0</v>
      </c>
      <c r="AG319" s="14">
        <v>7600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7">
        <v>7600</v>
      </c>
      <c r="BN319" s="9">
        <f t="shared" si="10"/>
        <v>7600</v>
      </c>
      <c r="BO319" s="10">
        <f t="shared" si="11"/>
        <v>5320</v>
      </c>
    </row>
    <row r="320" spans="1:67" ht="24">
      <c r="A320" s="5" t="s">
        <v>351</v>
      </c>
      <c r="B320" s="11" t="s">
        <v>111</v>
      </c>
      <c r="C320" s="11">
        <v>390809</v>
      </c>
      <c r="D320" s="12"/>
      <c r="E320" s="11" t="s">
        <v>16</v>
      </c>
      <c r="F320" s="11" t="s">
        <v>112</v>
      </c>
      <c r="G320" s="11" t="s">
        <v>31</v>
      </c>
      <c r="H320" s="13" t="s">
        <v>8</v>
      </c>
      <c r="I320" s="13" t="s">
        <v>32</v>
      </c>
      <c r="J320" s="13">
        <v>0</v>
      </c>
      <c r="K320" s="13">
        <v>1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5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72</v>
      </c>
      <c r="AF320" s="14">
        <v>2280</v>
      </c>
      <c r="AG320" s="14">
        <v>5300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7">
        <v>7580</v>
      </c>
      <c r="BN320" s="9">
        <f t="shared" si="10"/>
        <v>7580</v>
      </c>
      <c r="BO320" s="10">
        <f t="shared" si="11"/>
        <v>5306</v>
      </c>
    </row>
    <row r="321" spans="1:67" ht="24">
      <c r="A321" s="5" t="s">
        <v>351</v>
      </c>
      <c r="B321" s="11" t="s">
        <v>317</v>
      </c>
      <c r="C321" s="11">
        <v>407003</v>
      </c>
      <c r="D321" s="12"/>
      <c r="E321" s="11" t="s">
        <v>16</v>
      </c>
      <c r="F321" s="11" t="s">
        <v>294</v>
      </c>
      <c r="G321" s="11" t="s">
        <v>31</v>
      </c>
      <c r="H321" s="13" t="s">
        <v>265</v>
      </c>
      <c r="I321" s="13" t="s">
        <v>318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1</v>
      </c>
      <c r="AF321" s="13">
        <v>0</v>
      </c>
      <c r="AG321" s="13">
        <v>100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24</v>
      </c>
      <c r="AR321" s="14">
        <v>2400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42</v>
      </c>
      <c r="BJ321" s="14">
        <v>5040</v>
      </c>
      <c r="BK321" s="13">
        <v>0</v>
      </c>
      <c r="BL321" s="13">
        <v>252</v>
      </c>
      <c r="BM321" s="17">
        <v>7540</v>
      </c>
      <c r="BN321" s="9">
        <f t="shared" si="10"/>
        <v>7288</v>
      </c>
      <c r="BO321" s="10">
        <f t="shared" si="11"/>
        <v>5101.5999999999995</v>
      </c>
    </row>
    <row r="322" spans="1:67" ht="24">
      <c r="A322" s="5" t="s">
        <v>351</v>
      </c>
      <c r="B322" s="11" t="s">
        <v>307</v>
      </c>
      <c r="C322" s="11">
        <v>446880</v>
      </c>
      <c r="D322" s="12"/>
      <c r="E322" s="11" t="s">
        <v>16</v>
      </c>
      <c r="F322" s="11" t="s">
        <v>233</v>
      </c>
      <c r="G322" s="11" t="s">
        <v>31</v>
      </c>
      <c r="H322" s="13" t="s">
        <v>265</v>
      </c>
      <c r="I322" s="13" t="s">
        <v>274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2</v>
      </c>
      <c r="AF322" s="13">
        <v>100</v>
      </c>
      <c r="AG322" s="14">
        <v>5300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1</v>
      </c>
      <c r="BJ322" s="14">
        <v>1920</v>
      </c>
      <c r="BK322" s="13">
        <v>0</v>
      </c>
      <c r="BL322" s="13">
        <v>96</v>
      </c>
      <c r="BM322" s="17">
        <v>7320</v>
      </c>
      <c r="BN322" s="9">
        <f t="shared" si="10"/>
        <v>7224</v>
      </c>
      <c r="BO322" s="10">
        <f t="shared" si="11"/>
        <v>5056.7999999999993</v>
      </c>
    </row>
    <row r="323" spans="1:67" ht="24">
      <c r="A323" s="5" t="s">
        <v>351</v>
      </c>
      <c r="B323" s="11" t="s">
        <v>213</v>
      </c>
      <c r="C323" s="11">
        <v>251205</v>
      </c>
      <c r="D323" s="12"/>
      <c r="E323" s="11" t="s">
        <v>16</v>
      </c>
      <c r="F323" s="11" t="s">
        <v>62</v>
      </c>
      <c r="G323" s="11" t="s">
        <v>10</v>
      </c>
      <c r="H323" s="13" t="s">
        <v>7</v>
      </c>
      <c r="I323" s="13" t="s">
        <v>214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73</v>
      </c>
      <c r="AR323" s="14">
        <v>6700</v>
      </c>
      <c r="AS323" s="13">
        <v>600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7">
        <v>7300</v>
      </c>
      <c r="BN323" s="9">
        <f t="shared" si="10"/>
        <v>7300</v>
      </c>
      <c r="BO323" s="10">
        <f t="shared" si="11"/>
        <v>5110</v>
      </c>
    </row>
    <row r="324" spans="1:67" ht="24">
      <c r="A324" s="5" t="s">
        <v>351</v>
      </c>
      <c r="B324" s="11" t="s">
        <v>498</v>
      </c>
      <c r="C324" s="11">
        <v>428121</v>
      </c>
      <c r="D324" s="12"/>
      <c r="E324" s="11" t="s">
        <v>16</v>
      </c>
      <c r="F324" s="11" t="s">
        <v>446</v>
      </c>
      <c r="G324" s="11" t="s">
        <v>31</v>
      </c>
      <c r="H324" s="13" t="s">
        <v>265</v>
      </c>
      <c r="I324" s="13" t="s">
        <v>462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2</v>
      </c>
      <c r="AF324" s="14">
        <v>7260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7">
        <v>7260</v>
      </c>
      <c r="BN324" s="9">
        <f t="shared" si="10"/>
        <v>7260</v>
      </c>
      <c r="BO324" s="10">
        <f t="shared" si="11"/>
        <v>5082</v>
      </c>
    </row>
    <row r="325" spans="1:67" ht="24">
      <c r="A325" s="5" t="s">
        <v>351</v>
      </c>
      <c r="B325" s="11" t="s">
        <v>184</v>
      </c>
      <c r="C325" s="11">
        <v>421661</v>
      </c>
      <c r="D325" s="12"/>
      <c r="E325" s="11" t="s">
        <v>16</v>
      </c>
      <c r="F325" s="11" t="s">
        <v>185</v>
      </c>
      <c r="G325" s="11" t="s">
        <v>31</v>
      </c>
      <c r="H325" s="13" t="s">
        <v>8</v>
      </c>
      <c r="I325" s="13" t="s">
        <v>186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6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54</v>
      </c>
      <c r="AF325" s="14">
        <v>6480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1</v>
      </c>
      <c r="AX325" s="13">
        <v>120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5</v>
      </c>
      <c r="BJ325" s="13">
        <v>600</v>
      </c>
      <c r="BK325" s="13">
        <v>0</v>
      </c>
      <c r="BL325" s="13">
        <v>42</v>
      </c>
      <c r="BM325" s="17">
        <v>7200</v>
      </c>
      <c r="BN325" s="9">
        <f t="shared" si="10"/>
        <v>7158</v>
      </c>
      <c r="BO325" s="10">
        <f t="shared" si="11"/>
        <v>5010.5999999999995</v>
      </c>
    </row>
    <row r="326" spans="1:67" ht="24">
      <c r="A326" s="5" t="s">
        <v>351</v>
      </c>
      <c r="B326" s="11" t="s">
        <v>101</v>
      </c>
      <c r="C326" s="11">
        <v>428379</v>
      </c>
      <c r="D326" s="12"/>
      <c r="E326" s="11" t="s">
        <v>16</v>
      </c>
      <c r="F326" s="11" t="s">
        <v>102</v>
      </c>
      <c r="G326" s="11" t="s">
        <v>337</v>
      </c>
      <c r="H326" s="13" t="s">
        <v>8</v>
      </c>
      <c r="I326" s="13" t="s">
        <v>103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22</v>
      </c>
      <c r="AF326" s="14">
        <v>2640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13</v>
      </c>
      <c r="AR326" s="14">
        <v>1300</v>
      </c>
      <c r="AS326" s="13">
        <v>0</v>
      </c>
      <c r="AT326" s="13">
        <v>0</v>
      </c>
      <c r="AU326" s="13">
        <v>0</v>
      </c>
      <c r="AV326" s="13">
        <v>0</v>
      </c>
      <c r="AW326" s="13">
        <v>1</v>
      </c>
      <c r="AX326" s="13">
        <v>120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25</v>
      </c>
      <c r="BJ326" s="14">
        <v>3000</v>
      </c>
      <c r="BK326" s="13">
        <v>0</v>
      </c>
      <c r="BL326" s="13">
        <v>162</v>
      </c>
      <c r="BM326" s="17">
        <v>7060</v>
      </c>
      <c r="BN326" s="9">
        <f t="shared" si="10"/>
        <v>6898</v>
      </c>
      <c r="BO326" s="10">
        <f t="shared" si="11"/>
        <v>4828.5999999999995</v>
      </c>
    </row>
    <row r="327" spans="1:67" ht="24">
      <c r="A327" s="5" t="s">
        <v>351</v>
      </c>
      <c r="B327" s="11" t="s">
        <v>127</v>
      </c>
      <c r="C327" s="11">
        <v>337887</v>
      </c>
      <c r="D327" s="12"/>
      <c r="E327" s="11" t="s">
        <v>16</v>
      </c>
      <c r="F327" s="11" t="s">
        <v>124</v>
      </c>
      <c r="G327" s="11" t="s">
        <v>31</v>
      </c>
      <c r="H327" s="13" t="s">
        <v>8</v>
      </c>
      <c r="I327" s="13" t="s">
        <v>128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3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32</v>
      </c>
      <c r="AF327" s="13">
        <v>0</v>
      </c>
      <c r="AG327" s="14">
        <v>3200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4</v>
      </c>
      <c r="BD327" s="13">
        <v>480</v>
      </c>
      <c r="BE327" s="13">
        <v>0</v>
      </c>
      <c r="BF327" s="13">
        <v>0</v>
      </c>
      <c r="BG327" s="13">
        <v>0</v>
      </c>
      <c r="BH327" s="13">
        <v>0</v>
      </c>
      <c r="BI327" s="13">
        <v>27</v>
      </c>
      <c r="BJ327" s="14">
        <v>3240</v>
      </c>
      <c r="BK327" s="13">
        <v>0</v>
      </c>
      <c r="BL327" s="13">
        <v>190.8</v>
      </c>
      <c r="BM327" s="17">
        <v>6920</v>
      </c>
      <c r="BN327" s="9">
        <f t="shared" si="10"/>
        <v>6729.2</v>
      </c>
      <c r="BO327" s="10">
        <f t="shared" si="11"/>
        <v>4710.4399999999996</v>
      </c>
    </row>
    <row r="328" spans="1:67" ht="24">
      <c r="A328" s="5" t="s">
        <v>351</v>
      </c>
      <c r="B328" s="11" t="s">
        <v>565</v>
      </c>
      <c r="C328" s="11">
        <v>431797</v>
      </c>
      <c r="D328" s="12"/>
      <c r="E328" s="11" t="s">
        <v>16</v>
      </c>
      <c r="F328" s="11" t="s">
        <v>121</v>
      </c>
      <c r="G328" s="11" t="s">
        <v>31</v>
      </c>
      <c r="H328" s="13" t="s">
        <v>265</v>
      </c>
      <c r="I328" s="13" t="s">
        <v>349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2</v>
      </c>
      <c r="AF328" s="14">
        <v>6720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7">
        <v>6720</v>
      </c>
      <c r="BN328" s="9">
        <f t="shared" si="10"/>
        <v>6720</v>
      </c>
      <c r="BO328" s="10">
        <f t="shared" si="11"/>
        <v>4704</v>
      </c>
    </row>
    <row r="329" spans="1:67" ht="24">
      <c r="A329" s="5" t="s">
        <v>351</v>
      </c>
      <c r="B329" s="11" t="s">
        <v>36</v>
      </c>
      <c r="C329" s="11">
        <v>457807</v>
      </c>
      <c r="D329" s="12"/>
      <c r="E329" s="11" t="s">
        <v>16</v>
      </c>
      <c r="F329" s="11" t="s">
        <v>37</v>
      </c>
      <c r="G329" s="11" t="s">
        <v>31</v>
      </c>
      <c r="H329" s="13" t="s">
        <v>8</v>
      </c>
      <c r="I329" s="13" t="s">
        <v>336</v>
      </c>
      <c r="J329" s="13">
        <v>40</v>
      </c>
      <c r="K329" s="13">
        <v>0</v>
      </c>
      <c r="L329" s="14">
        <v>4000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2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6</v>
      </c>
      <c r="AF329" s="13">
        <v>0</v>
      </c>
      <c r="AG329" s="13">
        <v>600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10</v>
      </c>
      <c r="AR329" s="14">
        <v>1000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9</v>
      </c>
      <c r="BJ329" s="14">
        <v>1080</v>
      </c>
      <c r="BK329" s="13">
        <v>0</v>
      </c>
      <c r="BL329" s="13">
        <v>54</v>
      </c>
      <c r="BM329" s="17">
        <v>6680</v>
      </c>
      <c r="BN329" s="9">
        <f t="shared" si="10"/>
        <v>6626</v>
      </c>
      <c r="BO329" s="10">
        <f t="shared" si="11"/>
        <v>4638.2</v>
      </c>
    </row>
    <row r="330" spans="1:67" ht="24">
      <c r="A330" s="5" t="s">
        <v>351</v>
      </c>
      <c r="B330" s="11" t="s">
        <v>411</v>
      </c>
      <c r="C330" s="11">
        <v>478890</v>
      </c>
      <c r="D330" s="12"/>
      <c r="E330" s="11" t="s">
        <v>16</v>
      </c>
      <c r="F330" s="11" t="s">
        <v>348</v>
      </c>
      <c r="G330" s="11" t="s">
        <v>337</v>
      </c>
      <c r="H330" s="13" t="s">
        <v>8</v>
      </c>
      <c r="I330" s="13" t="s">
        <v>412</v>
      </c>
      <c r="J330" s="13">
        <v>23</v>
      </c>
      <c r="K330" s="13">
        <v>0</v>
      </c>
      <c r="L330" s="14">
        <v>2300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23</v>
      </c>
      <c r="AF330" s="14">
        <v>1600</v>
      </c>
      <c r="AG330" s="13">
        <v>700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17</v>
      </c>
      <c r="BJ330" s="14">
        <v>2040</v>
      </c>
      <c r="BK330" s="13">
        <v>0</v>
      </c>
      <c r="BL330" s="13">
        <v>102</v>
      </c>
      <c r="BM330" s="17">
        <v>6640</v>
      </c>
      <c r="BN330" s="9">
        <f t="shared" si="10"/>
        <v>6538</v>
      </c>
      <c r="BO330" s="10">
        <f t="shared" si="11"/>
        <v>4576.5999999999995</v>
      </c>
    </row>
    <row r="331" spans="1:67" ht="24">
      <c r="A331" s="5" t="s">
        <v>351</v>
      </c>
      <c r="B331" s="11" t="s">
        <v>680</v>
      </c>
      <c r="C331" s="11">
        <v>413935</v>
      </c>
      <c r="D331" s="12"/>
      <c r="E331" s="11" t="s">
        <v>16</v>
      </c>
      <c r="F331" s="11" t="s">
        <v>154</v>
      </c>
      <c r="G331" s="11" t="s">
        <v>31</v>
      </c>
      <c r="H331" s="13" t="s">
        <v>265</v>
      </c>
      <c r="I331" s="13" t="s">
        <v>681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2</v>
      </c>
      <c r="AR331" s="14">
        <v>6400</v>
      </c>
      <c r="AS331" s="13">
        <v>200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7">
        <v>6600</v>
      </c>
      <c r="BN331" s="9">
        <f t="shared" si="10"/>
        <v>6600</v>
      </c>
      <c r="BO331" s="10">
        <f t="shared" si="11"/>
        <v>4620</v>
      </c>
    </row>
    <row r="332" spans="1:67" ht="24">
      <c r="A332" s="5" t="s">
        <v>351</v>
      </c>
      <c r="B332" s="11" t="s">
        <v>118</v>
      </c>
      <c r="C332" s="11">
        <v>290890</v>
      </c>
      <c r="D332" s="12"/>
      <c r="E332" s="11" t="s">
        <v>16</v>
      </c>
      <c r="F332" s="11" t="s">
        <v>27</v>
      </c>
      <c r="G332" s="11" t="s">
        <v>10</v>
      </c>
      <c r="H332" s="13" t="s">
        <v>7</v>
      </c>
      <c r="I332" s="13" t="s">
        <v>119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5</v>
      </c>
      <c r="AC332" s="14">
        <v>5400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1</v>
      </c>
      <c r="AO332" s="13">
        <v>900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7">
        <v>6300</v>
      </c>
      <c r="BN332" s="9">
        <f t="shared" si="10"/>
        <v>6300</v>
      </c>
      <c r="BO332" s="10">
        <f t="shared" si="11"/>
        <v>4410</v>
      </c>
    </row>
    <row r="333" spans="1:67" ht="24">
      <c r="A333" s="5" t="s">
        <v>351</v>
      </c>
      <c r="B333" s="11" t="s">
        <v>682</v>
      </c>
      <c r="C333" s="11">
        <v>428408</v>
      </c>
      <c r="D333" s="12"/>
      <c r="E333" s="11" t="s">
        <v>16</v>
      </c>
      <c r="F333" s="11" t="s">
        <v>37</v>
      </c>
      <c r="G333" s="11" t="s">
        <v>31</v>
      </c>
      <c r="H333" s="13" t="s">
        <v>265</v>
      </c>
      <c r="I333" s="13" t="s">
        <v>190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2</v>
      </c>
      <c r="BJ333" s="14">
        <v>6240</v>
      </c>
      <c r="BK333" s="13">
        <v>0</v>
      </c>
      <c r="BL333" s="13">
        <v>312</v>
      </c>
      <c r="BM333" s="17">
        <v>6240</v>
      </c>
      <c r="BN333" s="9">
        <f t="shared" si="10"/>
        <v>5928</v>
      </c>
      <c r="BO333" s="10">
        <f t="shared" si="11"/>
        <v>4149.5999999999995</v>
      </c>
    </row>
    <row r="334" spans="1:67" ht="24">
      <c r="A334" s="5" t="s">
        <v>351</v>
      </c>
      <c r="B334" s="11" t="s">
        <v>479</v>
      </c>
      <c r="C334" s="11">
        <v>444220</v>
      </c>
      <c r="D334" s="12"/>
      <c r="E334" s="11" t="s">
        <v>16</v>
      </c>
      <c r="F334" s="11" t="s">
        <v>116</v>
      </c>
      <c r="G334" s="11" t="s">
        <v>31</v>
      </c>
      <c r="H334" s="13" t="s">
        <v>265</v>
      </c>
      <c r="I334" s="13" t="s">
        <v>462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1</v>
      </c>
      <c r="AF334" s="14">
        <v>3360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1</v>
      </c>
      <c r="AR334" s="14">
        <v>2800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7">
        <v>6160</v>
      </c>
      <c r="BN334" s="9">
        <f t="shared" si="10"/>
        <v>6160</v>
      </c>
      <c r="BO334" s="10">
        <f t="shared" si="11"/>
        <v>4312</v>
      </c>
    </row>
    <row r="335" spans="1:67" ht="24">
      <c r="A335" s="5" t="s">
        <v>351</v>
      </c>
      <c r="B335" s="11" t="s">
        <v>623</v>
      </c>
      <c r="C335" s="11">
        <v>421665</v>
      </c>
      <c r="D335" s="12"/>
      <c r="E335" s="11" t="s">
        <v>16</v>
      </c>
      <c r="F335" s="11" t="s">
        <v>185</v>
      </c>
      <c r="G335" s="11" t="s">
        <v>31</v>
      </c>
      <c r="H335" s="13" t="s">
        <v>265</v>
      </c>
      <c r="I335" s="13" t="s">
        <v>609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1</v>
      </c>
      <c r="AF335" s="13">
        <v>0</v>
      </c>
      <c r="AG335" s="14">
        <v>3000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1</v>
      </c>
      <c r="AR335" s="14">
        <v>3000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7">
        <v>6000</v>
      </c>
      <c r="BN335" s="9">
        <f t="shared" si="10"/>
        <v>6000</v>
      </c>
      <c r="BO335" s="10">
        <f t="shared" si="11"/>
        <v>4200</v>
      </c>
    </row>
    <row r="336" spans="1:67" ht="24">
      <c r="A336" s="5" t="s">
        <v>351</v>
      </c>
      <c r="B336" s="11" t="s">
        <v>212</v>
      </c>
      <c r="C336" s="11">
        <v>458561</v>
      </c>
      <c r="D336" s="12"/>
      <c r="E336" s="11" t="s">
        <v>16</v>
      </c>
      <c r="F336" s="11" t="s">
        <v>27</v>
      </c>
      <c r="G336" s="11" t="s">
        <v>10</v>
      </c>
      <c r="H336" s="13" t="s">
        <v>7</v>
      </c>
      <c r="I336" s="13" t="s">
        <v>179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1</v>
      </c>
      <c r="AF336" s="13">
        <v>100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48</v>
      </c>
      <c r="BJ336" s="14">
        <v>5760</v>
      </c>
      <c r="BK336" s="13">
        <v>0</v>
      </c>
      <c r="BL336" s="13">
        <v>288</v>
      </c>
      <c r="BM336" s="17">
        <v>5860</v>
      </c>
      <c r="BN336" s="9">
        <f t="shared" si="10"/>
        <v>5572</v>
      </c>
      <c r="BO336" s="10">
        <f t="shared" si="11"/>
        <v>3900.3999999999996</v>
      </c>
    </row>
    <row r="337" spans="1:67" ht="24">
      <c r="A337" s="5" t="s">
        <v>351</v>
      </c>
      <c r="B337" s="11" t="s">
        <v>350</v>
      </c>
      <c r="C337" s="11">
        <v>421814</v>
      </c>
      <c r="D337" s="12"/>
      <c r="E337" s="11" t="s">
        <v>16</v>
      </c>
      <c r="F337" s="11" t="s">
        <v>37</v>
      </c>
      <c r="G337" s="11" t="s">
        <v>31</v>
      </c>
      <c r="H337" s="13" t="s">
        <v>265</v>
      </c>
      <c r="I337" s="13" t="s">
        <v>173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2</v>
      </c>
      <c r="AF337" s="14">
        <v>5800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7">
        <v>5800</v>
      </c>
      <c r="BN337" s="9">
        <f t="shared" si="10"/>
        <v>5800</v>
      </c>
      <c r="BO337" s="10">
        <f t="shared" si="11"/>
        <v>4059.9999999999995</v>
      </c>
    </row>
    <row r="338" spans="1:67" ht="24">
      <c r="A338" s="5" t="s">
        <v>351</v>
      </c>
      <c r="B338" s="11" t="s">
        <v>422</v>
      </c>
      <c r="C338" s="11">
        <v>408471</v>
      </c>
      <c r="D338" s="12"/>
      <c r="E338" s="11" t="s">
        <v>16</v>
      </c>
      <c r="F338" s="11" t="s">
        <v>185</v>
      </c>
      <c r="G338" s="11" t="s">
        <v>31</v>
      </c>
      <c r="H338" s="13" t="s">
        <v>8</v>
      </c>
      <c r="I338" s="13" t="s">
        <v>423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48</v>
      </c>
      <c r="BJ338" s="14">
        <v>5760</v>
      </c>
      <c r="BK338" s="13">
        <v>0</v>
      </c>
      <c r="BL338" s="13">
        <v>288</v>
      </c>
      <c r="BM338" s="17">
        <v>5760</v>
      </c>
      <c r="BN338" s="9">
        <f t="shared" si="10"/>
        <v>5472</v>
      </c>
      <c r="BO338" s="10">
        <f t="shared" si="11"/>
        <v>3830.3999999999996</v>
      </c>
    </row>
    <row r="339" spans="1:67" ht="24">
      <c r="A339" s="5" t="s">
        <v>351</v>
      </c>
      <c r="B339" s="11" t="s">
        <v>187</v>
      </c>
      <c r="C339" s="11">
        <v>393598</v>
      </c>
      <c r="D339" s="12"/>
      <c r="E339" s="11" t="s">
        <v>16</v>
      </c>
      <c r="F339" s="11" t="s">
        <v>553</v>
      </c>
      <c r="G339" s="11" t="s">
        <v>31</v>
      </c>
      <c r="H339" s="13" t="s">
        <v>8</v>
      </c>
      <c r="I339" s="13" t="s">
        <v>188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1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34</v>
      </c>
      <c r="AF339" s="14">
        <v>3600</v>
      </c>
      <c r="AG339" s="13">
        <v>400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11</v>
      </c>
      <c r="AR339" s="14">
        <v>1100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5</v>
      </c>
      <c r="BJ339" s="13">
        <v>600</v>
      </c>
      <c r="BK339" s="13">
        <v>0</v>
      </c>
      <c r="BL339" s="13">
        <v>30</v>
      </c>
      <c r="BM339" s="17">
        <v>5700</v>
      </c>
      <c r="BN339" s="9">
        <f t="shared" si="10"/>
        <v>5670</v>
      </c>
      <c r="BO339" s="10">
        <f t="shared" si="11"/>
        <v>3968.9999999999995</v>
      </c>
    </row>
    <row r="340" spans="1:67" ht="24">
      <c r="A340" s="5" t="s">
        <v>351</v>
      </c>
      <c r="B340" s="11" t="s">
        <v>107</v>
      </c>
      <c r="C340" s="11">
        <v>415710</v>
      </c>
      <c r="D340" s="12"/>
      <c r="E340" s="11" t="s">
        <v>16</v>
      </c>
      <c r="F340" s="11" t="s">
        <v>48</v>
      </c>
      <c r="G340" s="11" t="s">
        <v>31</v>
      </c>
      <c r="H340" s="13" t="s">
        <v>8</v>
      </c>
      <c r="I340" s="13" t="s">
        <v>108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3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37</v>
      </c>
      <c r="AF340" s="14">
        <v>3180</v>
      </c>
      <c r="AG340" s="13">
        <v>600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14</v>
      </c>
      <c r="BD340" s="14">
        <v>1680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100.8</v>
      </c>
      <c r="BM340" s="17">
        <v>5460</v>
      </c>
      <c r="BN340" s="9">
        <f t="shared" si="10"/>
        <v>5359.2</v>
      </c>
      <c r="BO340" s="10">
        <f t="shared" si="11"/>
        <v>3751.4399999999996</v>
      </c>
    </row>
    <row r="341" spans="1:67" ht="24">
      <c r="A341" s="5" t="s">
        <v>351</v>
      </c>
      <c r="B341" s="11" t="s">
        <v>305</v>
      </c>
      <c r="C341" s="11">
        <v>397392</v>
      </c>
      <c r="D341" s="12"/>
      <c r="E341" s="11" t="s">
        <v>16</v>
      </c>
      <c r="F341" s="11" t="s">
        <v>121</v>
      </c>
      <c r="G341" s="11" t="s">
        <v>31</v>
      </c>
      <c r="H341" s="13" t="s">
        <v>265</v>
      </c>
      <c r="I341" s="13" t="s">
        <v>306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2</v>
      </c>
      <c r="AF341" s="14">
        <v>5280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7">
        <v>5280</v>
      </c>
      <c r="BN341" s="9">
        <f t="shared" si="10"/>
        <v>5280</v>
      </c>
      <c r="BO341" s="10">
        <f t="shared" si="11"/>
        <v>3695.9999999999995</v>
      </c>
    </row>
    <row r="342" spans="1:67" ht="24">
      <c r="A342" s="5" t="s">
        <v>351</v>
      </c>
      <c r="B342" s="11" t="s">
        <v>683</v>
      </c>
      <c r="C342" s="11">
        <v>431780</v>
      </c>
      <c r="D342" s="12"/>
      <c r="E342" s="11" t="s">
        <v>16</v>
      </c>
      <c r="F342" s="11" t="s">
        <v>294</v>
      </c>
      <c r="G342" s="11" t="s">
        <v>31</v>
      </c>
      <c r="H342" s="13" t="s">
        <v>265</v>
      </c>
      <c r="I342" s="13" t="s">
        <v>684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1</v>
      </c>
      <c r="AF342" s="14">
        <v>5160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7">
        <v>5160</v>
      </c>
      <c r="BN342" s="9">
        <f t="shared" si="10"/>
        <v>5160</v>
      </c>
      <c r="BO342" s="10">
        <f t="shared" si="11"/>
        <v>3611.9999999999995</v>
      </c>
    </row>
    <row r="343" spans="1:67" ht="24">
      <c r="A343" s="5" t="s">
        <v>351</v>
      </c>
      <c r="B343" s="11" t="s">
        <v>685</v>
      </c>
      <c r="C343" s="11">
        <v>481159</v>
      </c>
      <c r="D343" s="12"/>
      <c r="E343" s="11" t="s">
        <v>16</v>
      </c>
      <c r="F343" s="11" t="s">
        <v>677</v>
      </c>
      <c r="G343" s="11" t="s">
        <v>337</v>
      </c>
      <c r="H343" s="13" t="s">
        <v>265</v>
      </c>
      <c r="I343" s="13" t="s">
        <v>686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1</v>
      </c>
      <c r="AR343" s="14">
        <v>1500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2</v>
      </c>
      <c r="BJ343" s="14">
        <v>3600</v>
      </c>
      <c r="BK343" s="13">
        <v>0</v>
      </c>
      <c r="BL343" s="13">
        <v>180</v>
      </c>
      <c r="BM343" s="17">
        <v>5100</v>
      </c>
      <c r="BN343" s="9">
        <f t="shared" si="10"/>
        <v>4920</v>
      </c>
      <c r="BO343" s="10">
        <f t="shared" si="11"/>
        <v>3444</v>
      </c>
    </row>
    <row r="344" spans="1:67" ht="24">
      <c r="A344" s="5" t="s">
        <v>351</v>
      </c>
      <c r="B344" s="11" t="s">
        <v>115</v>
      </c>
      <c r="C344" s="11">
        <v>386704</v>
      </c>
      <c r="D344" s="12"/>
      <c r="E344" s="11" t="s">
        <v>16</v>
      </c>
      <c r="F344" s="11" t="s">
        <v>116</v>
      </c>
      <c r="G344" s="11" t="s">
        <v>31</v>
      </c>
      <c r="H344" s="13" t="s">
        <v>8</v>
      </c>
      <c r="I344" s="13" t="s">
        <v>117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16</v>
      </c>
      <c r="AF344" s="14">
        <v>1920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31</v>
      </c>
      <c r="AR344" s="14">
        <v>3100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  <c r="BM344" s="17">
        <v>5020</v>
      </c>
      <c r="BN344" s="9">
        <f t="shared" si="10"/>
        <v>5020</v>
      </c>
      <c r="BO344" s="10">
        <f t="shared" si="11"/>
        <v>3514</v>
      </c>
    </row>
    <row r="345" spans="1:67" ht="24">
      <c r="A345" s="5" t="s">
        <v>351</v>
      </c>
      <c r="B345" s="11" t="s">
        <v>259</v>
      </c>
      <c r="C345" s="11">
        <v>445862</v>
      </c>
      <c r="D345" s="12"/>
      <c r="E345" s="11" t="s">
        <v>16</v>
      </c>
      <c r="F345" s="11" t="s">
        <v>43</v>
      </c>
      <c r="G345" s="11" t="s">
        <v>31</v>
      </c>
      <c r="H345" s="13" t="s">
        <v>8</v>
      </c>
      <c r="I345" s="13" t="s">
        <v>175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2</v>
      </c>
      <c r="AF345" s="14">
        <v>2640</v>
      </c>
      <c r="AG345" s="14">
        <v>2200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7">
        <v>4840</v>
      </c>
      <c r="BN345" s="9">
        <f t="shared" si="10"/>
        <v>4840</v>
      </c>
      <c r="BO345" s="10">
        <f t="shared" si="11"/>
        <v>3388</v>
      </c>
    </row>
    <row r="346" spans="1:67" ht="24">
      <c r="A346" s="5" t="s">
        <v>351</v>
      </c>
      <c r="B346" s="11" t="s">
        <v>687</v>
      </c>
      <c r="C346" s="11">
        <v>419418</v>
      </c>
      <c r="D346" s="12"/>
      <c r="E346" s="11" t="s">
        <v>16</v>
      </c>
      <c r="F346" s="11" t="s">
        <v>112</v>
      </c>
      <c r="G346" s="11" t="s">
        <v>31</v>
      </c>
      <c r="H346" s="13" t="s">
        <v>265</v>
      </c>
      <c r="I346" s="13" t="s">
        <v>688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1</v>
      </c>
      <c r="BJ346" s="14">
        <v>4800</v>
      </c>
      <c r="BK346" s="13">
        <v>0</v>
      </c>
      <c r="BL346" s="13">
        <v>240</v>
      </c>
      <c r="BM346" s="17">
        <v>4800</v>
      </c>
      <c r="BN346" s="9">
        <f t="shared" si="10"/>
        <v>4560</v>
      </c>
      <c r="BO346" s="10">
        <f t="shared" si="11"/>
        <v>3192</v>
      </c>
    </row>
    <row r="347" spans="1:67" ht="24">
      <c r="A347" s="5" t="s">
        <v>351</v>
      </c>
      <c r="B347" s="11" t="s">
        <v>652</v>
      </c>
      <c r="C347" s="11">
        <v>428129</v>
      </c>
      <c r="D347" s="12"/>
      <c r="E347" s="11" t="s">
        <v>16</v>
      </c>
      <c r="F347" s="11" t="s">
        <v>43</v>
      </c>
      <c r="G347" s="11" t="s">
        <v>31</v>
      </c>
      <c r="H347" s="13" t="s">
        <v>265</v>
      </c>
      <c r="I347" s="13" t="s">
        <v>304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1</v>
      </c>
      <c r="AF347" s="13">
        <v>0</v>
      </c>
      <c r="AG347" s="14">
        <v>1400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1</v>
      </c>
      <c r="BD347" s="14">
        <v>1680</v>
      </c>
      <c r="BE347" s="13">
        <v>0</v>
      </c>
      <c r="BF347" s="13">
        <v>0</v>
      </c>
      <c r="BG347" s="13">
        <v>0</v>
      </c>
      <c r="BH347" s="13">
        <v>0</v>
      </c>
      <c r="BI347" s="13">
        <v>1</v>
      </c>
      <c r="BJ347" s="14">
        <v>1680</v>
      </c>
      <c r="BK347" s="13">
        <v>0</v>
      </c>
      <c r="BL347" s="13">
        <v>184.8</v>
      </c>
      <c r="BM347" s="17">
        <v>4760</v>
      </c>
      <c r="BN347" s="9">
        <f t="shared" si="10"/>
        <v>4575.2</v>
      </c>
      <c r="BO347" s="10">
        <f t="shared" si="11"/>
        <v>3202.64</v>
      </c>
    </row>
    <row r="348" spans="1:67" ht="24">
      <c r="A348" s="5" t="s">
        <v>351</v>
      </c>
      <c r="B348" s="11" t="s">
        <v>92</v>
      </c>
      <c r="C348" s="11">
        <v>388999</v>
      </c>
      <c r="D348" s="12"/>
      <c r="E348" s="11" t="s">
        <v>16</v>
      </c>
      <c r="F348" s="11" t="s">
        <v>62</v>
      </c>
      <c r="G348" s="11" t="s">
        <v>10</v>
      </c>
      <c r="H348" s="13" t="s">
        <v>7</v>
      </c>
      <c r="I348" s="13" t="s">
        <v>93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10</v>
      </c>
      <c r="AF348" s="13">
        <v>0</v>
      </c>
      <c r="AG348" s="14">
        <v>1000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37</v>
      </c>
      <c r="AR348" s="14">
        <v>3700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7">
        <v>4700</v>
      </c>
      <c r="BN348" s="9">
        <f t="shared" si="10"/>
        <v>4700</v>
      </c>
      <c r="BO348" s="10">
        <f t="shared" si="11"/>
        <v>3290</v>
      </c>
    </row>
    <row r="349" spans="1:67" ht="24">
      <c r="A349" s="5" t="s">
        <v>351</v>
      </c>
      <c r="B349" s="11" t="s">
        <v>436</v>
      </c>
      <c r="C349" s="11">
        <v>483179</v>
      </c>
      <c r="D349" s="12"/>
      <c r="E349" s="11" t="s">
        <v>16</v>
      </c>
      <c r="F349" s="11" t="s">
        <v>437</v>
      </c>
      <c r="G349" s="11" t="s">
        <v>31</v>
      </c>
      <c r="H349" s="13" t="s">
        <v>8</v>
      </c>
      <c r="I349" s="13" t="s">
        <v>438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39</v>
      </c>
      <c r="AF349" s="14">
        <v>4560</v>
      </c>
      <c r="AG349" s="13">
        <v>100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7">
        <v>4660</v>
      </c>
      <c r="BN349" s="9">
        <f t="shared" si="10"/>
        <v>4660</v>
      </c>
      <c r="BO349" s="10">
        <f t="shared" si="11"/>
        <v>3262</v>
      </c>
    </row>
    <row r="350" spans="1:67" ht="24">
      <c r="A350" s="5" t="s">
        <v>351</v>
      </c>
      <c r="B350" s="11" t="s">
        <v>489</v>
      </c>
      <c r="C350" s="11">
        <v>485655</v>
      </c>
      <c r="D350" s="12"/>
      <c r="E350" s="11" t="s">
        <v>16</v>
      </c>
      <c r="F350" s="11" t="s">
        <v>490</v>
      </c>
      <c r="G350" s="11" t="s">
        <v>31</v>
      </c>
      <c r="H350" s="13" t="s">
        <v>265</v>
      </c>
      <c r="I350" s="13" t="s">
        <v>462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1</v>
      </c>
      <c r="BJ350" s="14">
        <v>4440</v>
      </c>
      <c r="BK350" s="13">
        <v>0</v>
      </c>
      <c r="BL350" s="13">
        <v>222</v>
      </c>
      <c r="BM350" s="17">
        <v>4440</v>
      </c>
      <c r="BN350" s="9">
        <f t="shared" si="10"/>
        <v>4218</v>
      </c>
      <c r="BO350" s="10">
        <f t="shared" si="11"/>
        <v>2952.6</v>
      </c>
    </row>
    <row r="351" spans="1:67" ht="24">
      <c r="A351" s="5" t="s">
        <v>351</v>
      </c>
      <c r="B351" s="11" t="s">
        <v>689</v>
      </c>
      <c r="C351" s="11">
        <v>489693</v>
      </c>
      <c r="D351" s="12"/>
      <c r="E351" s="11" t="s">
        <v>16</v>
      </c>
      <c r="F351" s="11" t="s">
        <v>690</v>
      </c>
      <c r="G351" s="11" t="s">
        <v>10</v>
      </c>
      <c r="H351" s="13" t="s">
        <v>7</v>
      </c>
      <c r="I351" s="13" t="s">
        <v>576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43</v>
      </c>
      <c r="AF351" s="14">
        <v>4300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  <c r="BM351" s="17">
        <v>4300</v>
      </c>
      <c r="BN351" s="9">
        <f t="shared" si="10"/>
        <v>4300</v>
      </c>
      <c r="BO351" s="10">
        <f t="shared" si="11"/>
        <v>3010</v>
      </c>
    </row>
    <row r="352" spans="1:67" ht="24">
      <c r="A352" s="5" t="s">
        <v>351</v>
      </c>
      <c r="B352" s="11" t="s">
        <v>156</v>
      </c>
      <c r="C352" s="11">
        <v>429496</v>
      </c>
      <c r="D352" s="12"/>
      <c r="E352" s="11" t="s">
        <v>16</v>
      </c>
      <c r="F352" s="11" t="s">
        <v>157</v>
      </c>
      <c r="G352" s="11" t="s">
        <v>335</v>
      </c>
      <c r="H352" s="13" t="s">
        <v>7</v>
      </c>
      <c r="I352" s="13" t="s">
        <v>158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9</v>
      </c>
      <c r="AF352" s="13">
        <v>0</v>
      </c>
      <c r="AG352" s="13">
        <v>900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28</v>
      </c>
      <c r="BJ352" s="14">
        <v>3360</v>
      </c>
      <c r="BK352" s="13">
        <v>0</v>
      </c>
      <c r="BL352" s="13">
        <v>168</v>
      </c>
      <c r="BM352" s="17">
        <v>4260</v>
      </c>
      <c r="BN352" s="9">
        <f t="shared" si="10"/>
        <v>4092</v>
      </c>
      <c r="BO352" s="10">
        <f t="shared" si="11"/>
        <v>2864.3999999999996</v>
      </c>
    </row>
    <row r="353" spans="1:67" ht="24">
      <c r="A353" s="5" t="s">
        <v>351</v>
      </c>
      <c r="B353" s="11" t="s">
        <v>691</v>
      </c>
      <c r="C353" s="11">
        <v>488826</v>
      </c>
      <c r="D353" s="12"/>
      <c r="E353" s="11" t="s">
        <v>16</v>
      </c>
      <c r="F353" s="11" t="s">
        <v>185</v>
      </c>
      <c r="G353" s="11" t="s">
        <v>31</v>
      </c>
      <c r="H353" s="13" t="s">
        <v>265</v>
      </c>
      <c r="I353" s="13" t="s">
        <v>529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1</v>
      </c>
      <c r="AF353" s="13">
        <v>0</v>
      </c>
      <c r="AG353" s="14">
        <v>4200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7">
        <v>4200</v>
      </c>
      <c r="BN353" s="9">
        <f t="shared" si="10"/>
        <v>4200</v>
      </c>
      <c r="BO353" s="10">
        <f t="shared" si="11"/>
        <v>2940</v>
      </c>
    </row>
    <row r="354" spans="1:67" ht="24">
      <c r="A354" s="5" t="s">
        <v>351</v>
      </c>
      <c r="B354" s="11" t="s">
        <v>460</v>
      </c>
      <c r="C354" s="11">
        <v>418305</v>
      </c>
      <c r="D354" s="12"/>
      <c r="E354" s="11" t="s">
        <v>16</v>
      </c>
      <c r="F354" s="11" t="s">
        <v>112</v>
      </c>
      <c r="G354" s="11" t="s">
        <v>31</v>
      </c>
      <c r="H354" s="13" t="s">
        <v>265</v>
      </c>
      <c r="I354" s="13" t="s">
        <v>459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1</v>
      </c>
      <c r="BJ354" s="14">
        <v>3960</v>
      </c>
      <c r="BK354" s="13">
        <v>0</v>
      </c>
      <c r="BL354" s="13">
        <v>198</v>
      </c>
      <c r="BM354" s="17">
        <v>3960</v>
      </c>
      <c r="BN354" s="9">
        <f t="shared" si="10"/>
        <v>3762</v>
      </c>
      <c r="BO354" s="10">
        <f t="shared" si="11"/>
        <v>2633.3999999999996</v>
      </c>
    </row>
    <row r="355" spans="1:67" ht="24">
      <c r="A355" s="5" t="s">
        <v>351</v>
      </c>
      <c r="B355" s="11" t="s">
        <v>321</v>
      </c>
      <c r="C355" s="11">
        <v>380275</v>
      </c>
      <c r="D355" s="12"/>
      <c r="E355" s="11" t="s">
        <v>16</v>
      </c>
      <c r="F355" s="11" t="s">
        <v>37</v>
      </c>
      <c r="G355" s="11" t="s">
        <v>31</v>
      </c>
      <c r="H355" s="13" t="s">
        <v>265</v>
      </c>
      <c r="I355" s="13" t="s">
        <v>322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1</v>
      </c>
      <c r="T355" s="13">
        <v>0</v>
      </c>
      <c r="U355" s="13">
        <v>0</v>
      </c>
      <c r="V355" s="13">
        <v>100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6</v>
      </c>
      <c r="AF355" s="13">
        <v>320</v>
      </c>
      <c r="AG355" s="13">
        <v>300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10</v>
      </c>
      <c r="AR355" s="14">
        <v>1000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17</v>
      </c>
      <c r="BJ355" s="14">
        <v>2040</v>
      </c>
      <c r="BK355" s="13">
        <v>0</v>
      </c>
      <c r="BL355" s="13">
        <v>102</v>
      </c>
      <c r="BM355" s="17">
        <v>3760</v>
      </c>
      <c r="BN355" s="9">
        <f t="shared" si="10"/>
        <v>3658</v>
      </c>
      <c r="BO355" s="10">
        <f t="shared" si="11"/>
        <v>2560.6</v>
      </c>
    </row>
    <row r="356" spans="1:67" ht="24">
      <c r="A356" s="5" t="s">
        <v>351</v>
      </c>
      <c r="B356" s="11" t="s">
        <v>692</v>
      </c>
      <c r="C356" s="11">
        <v>464146</v>
      </c>
      <c r="D356" s="12"/>
      <c r="E356" s="11" t="s">
        <v>16</v>
      </c>
      <c r="F356" s="11" t="s">
        <v>553</v>
      </c>
      <c r="G356" s="11" t="s">
        <v>31</v>
      </c>
      <c r="H356" s="13" t="s">
        <v>265</v>
      </c>
      <c r="I356" s="13" t="s">
        <v>188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1</v>
      </c>
      <c r="AF356" s="13">
        <v>0</v>
      </c>
      <c r="AG356" s="14">
        <v>1100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2</v>
      </c>
      <c r="BJ356" s="14">
        <v>2640</v>
      </c>
      <c r="BK356" s="13">
        <v>0</v>
      </c>
      <c r="BL356" s="13">
        <v>132</v>
      </c>
      <c r="BM356" s="17">
        <v>3740</v>
      </c>
      <c r="BN356" s="9">
        <f t="shared" si="10"/>
        <v>3608</v>
      </c>
      <c r="BO356" s="10">
        <f t="shared" si="11"/>
        <v>2525.6</v>
      </c>
    </row>
    <row r="357" spans="1:67" ht="24">
      <c r="A357" s="5" t="s">
        <v>351</v>
      </c>
      <c r="B357" s="11" t="s">
        <v>590</v>
      </c>
      <c r="C357" s="11">
        <v>489946</v>
      </c>
      <c r="D357" s="12"/>
      <c r="E357" s="11" t="s">
        <v>16</v>
      </c>
      <c r="F357" s="11" t="s">
        <v>591</v>
      </c>
      <c r="G357" s="11" t="s">
        <v>10</v>
      </c>
      <c r="H357" s="13" t="s">
        <v>7</v>
      </c>
      <c r="I357" s="13" t="s">
        <v>592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33</v>
      </c>
      <c r="AF357" s="14">
        <v>3560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1</v>
      </c>
      <c r="BJ357" s="13">
        <v>120</v>
      </c>
      <c r="BK357" s="13">
        <v>0</v>
      </c>
      <c r="BL357" s="13">
        <v>6</v>
      </c>
      <c r="BM357" s="17">
        <v>3680</v>
      </c>
      <c r="BN357" s="9">
        <f t="shared" si="10"/>
        <v>3674</v>
      </c>
      <c r="BO357" s="10">
        <f t="shared" si="11"/>
        <v>2571.7999999999997</v>
      </c>
    </row>
    <row r="358" spans="1:67" ht="48">
      <c r="A358" s="5" t="s">
        <v>351</v>
      </c>
      <c r="B358" s="11" t="s">
        <v>217</v>
      </c>
      <c r="C358" s="11">
        <v>469072</v>
      </c>
      <c r="D358" s="12"/>
      <c r="E358" s="11" t="s">
        <v>16</v>
      </c>
      <c r="F358" s="11" t="s">
        <v>151</v>
      </c>
      <c r="G358" s="11" t="s">
        <v>31</v>
      </c>
      <c r="H358" s="13" t="s">
        <v>8</v>
      </c>
      <c r="I358" s="13" t="s">
        <v>218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30</v>
      </c>
      <c r="AF358" s="13">
        <v>0</v>
      </c>
      <c r="AG358" s="14">
        <v>3000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5</v>
      </c>
      <c r="BJ358" s="13">
        <v>600</v>
      </c>
      <c r="BK358" s="13">
        <v>0</v>
      </c>
      <c r="BL358" s="13">
        <v>30</v>
      </c>
      <c r="BM358" s="17">
        <v>3600</v>
      </c>
      <c r="BN358" s="9">
        <f t="shared" si="10"/>
        <v>3570</v>
      </c>
      <c r="BO358" s="10">
        <f t="shared" si="11"/>
        <v>2499</v>
      </c>
    </row>
    <row r="359" spans="1:67" ht="36">
      <c r="A359" s="5" t="s">
        <v>351</v>
      </c>
      <c r="B359" s="11" t="s">
        <v>693</v>
      </c>
      <c r="C359" s="11">
        <v>488806</v>
      </c>
      <c r="D359" s="12"/>
      <c r="E359" s="11" t="s">
        <v>16</v>
      </c>
      <c r="F359" s="11" t="s">
        <v>608</v>
      </c>
      <c r="G359" s="11" t="s">
        <v>31</v>
      </c>
      <c r="H359" s="13" t="s">
        <v>265</v>
      </c>
      <c r="I359" s="13" t="s">
        <v>609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2</v>
      </c>
      <c r="AF359" s="14">
        <v>1920</v>
      </c>
      <c r="AG359" s="14">
        <v>1600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7">
        <v>3520</v>
      </c>
      <c r="BN359" s="9">
        <f t="shared" si="10"/>
        <v>3520</v>
      </c>
      <c r="BO359" s="10">
        <f t="shared" si="11"/>
        <v>2464</v>
      </c>
    </row>
    <row r="360" spans="1:67" ht="24">
      <c r="A360" s="5" t="s">
        <v>351</v>
      </c>
      <c r="B360" s="11" t="s">
        <v>657</v>
      </c>
      <c r="C360" s="11">
        <v>462657</v>
      </c>
      <c r="D360" s="12"/>
      <c r="E360" s="11" t="s">
        <v>16</v>
      </c>
      <c r="F360" s="11" t="s">
        <v>233</v>
      </c>
      <c r="G360" s="11" t="s">
        <v>31</v>
      </c>
      <c r="H360" s="13" t="s">
        <v>265</v>
      </c>
      <c r="I360" s="13" t="s">
        <v>86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2</v>
      </c>
      <c r="AF360" s="14">
        <v>2400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1</v>
      </c>
      <c r="AR360" s="14">
        <v>1000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7">
        <v>3400</v>
      </c>
      <c r="BN360" s="9">
        <f t="shared" si="10"/>
        <v>3400</v>
      </c>
      <c r="BO360" s="10">
        <f t="shared" si="11"/>
        <v>2380</v>
      </c>
    </row>
    <row r="361" spans="1:67" ht="24">
      <c r="A361" s="5" t="s">
        <v>351</v>
      </c>
      <c r="B361" s="11" t="s">
        <v>430</v>
      </c>
      <c r="C361" s="11">
        <v>481322</v>
      </c>
      <c r="D361" s="12"/>
      <c r="E361" s="11" t="s">
        <v>16</v>
      </c>
      <c r="F361" s="11" t="s">
        <v>431</v>
      </c>
      <c r="G361" s="11" t="s">
        <v>10</v>
      </c>
      <c r="H361" s="13" t="s">
        <v>7</v>
      </c>
      <c r="I361" s="13" t="s">
        <v>432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28</v>
      </c>
      <c r="AF361" s="14">
        <v>3360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7">
        <v>3360</v>
      </c>
      <c r="BN361" s="9">
        <f t="shared" si="10"/>
        <v>3360</v>
      </c>
      <c r="BO361" s="10">
        <f t="shared" si="11"/>
        <v>2352</v>
      </c>
    </row>
    <row r="362" spans="1:67" ht="24">
      <c r="A362" s="5" t="s">
        <v>351</v>
      </c>
      <c r="B362" s="11" t="s">
        <v>123</v>
      </c>
      <c r="C362" s="11">
        <v>359912</v>
      </c>
      <c r="D362" s="12"/>
      <c r="E362" s="11" t="s">
        <v>16</v>
      </c>
      <c r="F362" s="11" t="s">
        <v>124</v>
      </c>
      <c r="G362" s="11" t="s">
        <v>31</v>
      </c>
      <c r="H362" s="13" t="s">
        <v>8</v>
      </c>
      <c r="I362" s="13" t="s">
        <v>324</v>
      </c>
      <c r="J362" s="13">
        <v>0</v>
      </c>
      <c r="K362" s="13">
        <v>1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6</v>
      </c>
      <c r="AF362" s="13">
        <v>0</v>
      </c>
      <c r="AG362" s="13">
        <v>600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23</v>
      </c>
      <c r="BJ362" s="14">
        <v>2760</v>
      </c>
      <c r="BK362" s="13">
        <v>0</v>
      </c>
      <c r="BL362" s="13">
        <v>138</v>
      </c>
      <c r="BM362" s="17">
        <v>3360</v>
      </c>
      <c r="BN362" s="9">
        <f t="shared" si="10"/>
        <v>3222</v>
      </c>
      <c r="BO362" s="10">
        <f t="shared" si="11"/>
        <v>2255.3999999999996</v>
      </c>
    </row>
    <row r="363" spans="1:67" ht="24">
      <c r="A363" s="5" t="s">
        <v>351</v>
      </c>
      <c r="B363" s="11" t="s">
        <v>414</v>
      </c>
      <c r="C363" s="11">
        <v>476788</v>
      </c>
      <c r="D363" s="12"/>
      <c r="E363" s="11" t="s">
        <v>16</v>
      </c>
      <c r="F363" s="11" t="s">
        <v>415</v>
      </c>
      <c r="G363" s="11" t="s">
        <v>10</v>
      </c>
      <c r="H363" s="13" t="s">
        <v>7</v>
      </c>
      <c r="I363" s="13" t="s">
        <v>338</v>
      </c>
      <c r="J363" s="13">
        <v>3</v>
      </c>
      <c r="K363" s="13">
        <v>0</v>
      </c>
      <c r="L363" s="13">
        <v>300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25</v>
      </c>
      <c r="BJ363" s="14">
        <v>3000</v>
      </c>
      <c r="BK363" s="13">
        <v>0</v>
      </c>
      <c r="BL363" s="13">
        <v>150</v>
      </c>
      <c r="BM363" s="17">
        <v>3300</v>
      </c>
      <c r="BN363" s="9">
        <f t="shared" si="10"/>
        <v>3150</v>
      </c>
      <c r="BO363" s="10">
        <f t="shared" si="11"/>
        <v>2205</v>
      </c>
    </row>
    <row r="364" spans="1:67" ht="24">
      <c r="A364" s="5" t="s">
        <v>351</v>
      </c>
      <c r="B364" s="11" t="s">
        <v>310</v>
      </c>
      <c r="C364" s="11">
        <v>383234</v>
      </c>
      <c r="D364" s="12"/>
      <c r="E364" s="11" t="s">
        <v>16</v>
      </c>
      <c r="F364" s="11" t="s">
        <v>121</v>
      </c>
      <c r="G364" s="11" t="s">
        <v>31</v>
      </c>
      <c r="H364" s="13" t="s">
        <v>265</v>
      </c>
      <c r="I364" s="13" t="s">
        <v>122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1</v>
      </c>
      <c r="AF364" s="14">
        <v>3200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7">
        <v>3200</v>
      </c>
      <c r="BN364" s="9">
        <f t="shared" si="10"/>
        <v>3200</v>
      </c>
      <c r="BO364" s="10">
        <f t="shared" si="11"/>
        <v>2240</v>
      </c>
    </row>
    <row r="365" spans="1:67" ht="48">
      <c r="A365" s="5" t="s">
        <v>351</v>
      </c>
      <c r="B365" s="11" t="s">
        <v>171</v>
      </c>
      <c r="C365" s="11">
        <v>467503</v>
      </c>
      <c r="D365" s="12"/>
      <c r="E365" s="11" t="s">
        <v>16</v>
      </c>
      <c r="F365" s="11" t="s">
        <v>151</v>
      </c>
      <c r="G365" s="11" t="s">
        <v>31</v>
      </c>
      <c r="H365" s="13" t="s">
        <v>8</v>
      </c>
      <c r="I365" s="13" t="s">
        <v>25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1</v>
      </c>
      <c r="AF365" s="13">
        <v>0</v>
      </c>
      <c r="AG365" s="14">
        <v>3200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7">
        <v>3200</v>
      </c>
      <c r="BN365" s="9">
        <f t="shared" si="10"/>
        <v>3200</v>
      </c>
      <c r="BO365" s="10">
        <f t="shared" si="11"/>
        <v>2240</v>
      </c>
    </row>
    <row r="366" spans="1:67" ht="24">
      <c r="A366" s="5" t="s">
        <v>351</v>
      </c>
      <c r="B366" s="11" t="s">
        <v>467</v>
      </c>
      <c r="C366" s="11">
        <v>484142</v>
      </c>
      <c r="D366" s="12"/>
      <c r="E366" s="11" t="s">
        <v>16</v>
      </c>
      <c r="F366" s="11" t="s">
        <v>468</v>
      </c>
      <c r="G366" s="11" t="s">
        <v>337</v>
      </c>
      <c r="H366" s="13" t="s">
        <v>8</v>
      </c>
      <c r="I366" s="13" t="s">
        <v>435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32</v>
      </c>
      <c r="AR366" s="14">
        <v>3200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7">
        <v>3200</v>
      </c>
      <c r="BN366" s="9">
        <f t="shared" si="10"/>
        <v>3200</v>
      </c>
      <c r="BO366" s="10">
        <f t="shared" si="11"/>
        <v>2240</v>
      </c>
    </row>
    <row r="367" spans="1:67" ht="24">
      <c r="A367" s="5" t="s">
        <v>351</v>
      </c>
      <c r="B367" s="11" t="s">
        <v>163</v>
      </c>
      <c r="C367" s="11">
        <v>359006</v>
      </c>
      <c r="D367" s="12"/>
      <c r="E367" s="11" t="s">
        <v>16</v>
      </c>
      <c r="F367" s="11" t="s">
        <v>121</v>
      </c>
      <c r="G367" s="11" t="s">
        <v>31</v>
      </c>
      <c r="H367" s="13" t="s">
        <v>8</v>
      </c>
      <c r="I367" s="13" t="s">
        <v>164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22</v>
      </c>
      <c r="AF367" s="14">
        <v>1440</v>
      </c>
      <c r="AG367" s="14">
        <v>1000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6</v>
      </c>
      <c r="BJ367" s="13">
        <v>720</v>
      </c>
      <c r="BK367" s="13">
        <v>0</v>
      </c>
      <c r="BL367" s="13">
        <v>36</v>
      </c>
      <c r="BM367" s="17">
        <v>3160</v>
      </c>
      <c r="BN367" s="9">
        <f t="shared" si="10"/>
        <v>3124</v>
      </c>
      <c r="BO367" s="10">
        <f t="shared" si="11"/>
        <v>2186.7999999999997</v>
      </c>
    </row>
    <row r="368" spans="1:67" ht="24">
      <c r="A368" s="5" t="s">
        <v>351</v>
      </c>
      <c r="B368" s="11" t="s">
        <v>223</v>
      </c>
      <c r="C368" s="11">
        <v>297776</v>
      </c>
      <c r="D368" s="12"/>
      <c r="E368" s="11" t="s">
        <v>16</v>
      </c>
      <c r="F368" s="11" t="s">
        <v>224</v>
      </c>
      <c r="G368" s="11" t="s">
        <v>337</v>
      </c>
      <c r="H368" s="13" t="s">
        <v>9</v>
      </c>
      <c r="I368" s="13" t="s">
        <v>225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24</v>
      </c>
      <c r="AF368" s="14">
        <v>2400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5</v>
      </c>
      <c r="BD368" s="13">
        <v>600</v>
      </c>
      <c r="BE368" s="13">
        <v>0</v>
      </c>
      <c r="BF368" s="13">
        <v>0</v>
      </c>
      <c r="BG368" s="13">
        <v>0</v>
      </c>
      <c r="BH368" s="13">
        <v>0</v>
      </c>
      <c r="BI368" s="13">
        <v>1</v>
      </c>
      <c r="BJ368" s="13">
        <v>120</v>
      </c>
      <c r="BK368" s="13">
        <v>0</v>
      </c>
      <c r="BL368" s="13">
        <v>42</v>
      </c>
      <c r="BM368" s="17">
        <v>3120</v>
      </c>
      <c r="BN368" s="9">
        <f t="shared" si="10"/>
        <v>3078</v>
      </c>
      <c r="BO368" s="10">
        <f t="shared" si="11"/>
        <v>2154.6</v>
      </c>
    </row>
    <row r="369" spans="1:67" ht="24">
      <c r="A369" s="5" t="s">
        <v>351</v>
      </c>
      <c r="B369" s="11" t="s">
        <v>269</v>
      </c>
      <c r="C369" s="11">
        <v>363413</v>
      </c>
      <c r="D369" s="12"/>
      <c r="E369" s="11" t="s">
        <v>16</v>
      </c>
      <c r="F369" s="11" t="s">
        <v>99</v>
      </c>
      <c r="G369" s="11" t="s">
        <v>31</v>
      </c>
      <c r="H369" s="13" t="s">
        <v>8</v>
      </c>
      <c r="I369" s="13" t="s">
        <v>270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17</v>
      </c>
      <c r="AF369" s="14">
        <v>2040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7</v>
      </c>
      <c r="AR369" s="13">
        <v>700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2</v>
      </c>
      <c r="BD369" s="13">
        <v>240</v>
      </c>
      <c r="BE369" s="13">
        <v>0</v>
      </c>
      <c r="BF369" s="13">
        <v>0</v>
      </c>
      <c r="BG369" s="13">
        <v>0</v>
      </c>
      <c r="BH369" s="13">
        <v>0</v>
      </c>
      <c r="BI369" s="13">
        <v>1</v>
      </c>
      <c r="BJ369" s="13">
        <v>120</v>
      </c>
      <c r="BK369" s="13">
        <v>0</v>
      </c>
      <c r="BL369" s="13">
        <v>20.399999999999999</v>
      </c>
      <c r="BM369" s="17">
        <v>3100</v>
      </c>
      <c r="BN369" s="9">
        <f t="shared" si="10"/>
        <v>3079.6</v>
      </c>
      <c r="BO369" s="10">
        <f t="shared" si="11"/>
        <v>2155.7199999999998</v>
      </c>
    </row>
    <row r="370" spans="1:67" ht="48">
      <c r="A370" s="5" t="s">
        <v>351</v>
      </c>
      <c r="B370" s="11" t="s">
        <v>150</v>
      </c>
      <c r="C370" s="11">
        <v>467470</v>
      </c>
      <c r="D370" s="12"/>
      <c r="E370" s="11" t="s">
        <v>16</v>
      </c>
      <c r="F370" s="11" t="s">
        <v>151</v>
      </c>
      <c r="G370" s="11" t="s">
        <v>31</v>
      </c>
      <c r="H370" s="13" t="s">
        <v>8</v>
      </c>
      <c r="I370" s="13" t="s">
        <v>152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1</v>
      </c>
      <c r="AF370" s="13">
        <v>0</v>
      </c>
      <c r="AG370" s="14">
        <v>3000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  <c r="BM370" s="17">
        <v>3000</v>
      </c>
      <c r="BN370" s="9">
        <f t="shared" si="10"/>
        <v>3000</v>
      </c>
      <c r="BO370" s="10">
        <f t="shared" si="11"/>
        <v>2100</v>
      </c>
    </row>
    <row r="371" spans="1:67" ht="24">
      <c r="A371" s="5" t="s">
        <v>351</v>
      </c>
      <c r="B371" s="11" t="s">
        <v>560</v>
      </c>
      <c r="C371" s="11">
        <v>444217</v>
      </c>
      <c r="D371" s="12"/>
      <c r="E371" s="11" t="s">
        <v>16</v>
      </c>
      <c r="F371" s="11" t="s">
        <v>121</v>
      </c>
      <c r="G371" s="11" t="s">
        <v>31</v>
      </c>
      <c r="H371" s="13" t="s">
        <v>265</v>
      </c>
      <c r="I371" s="13" t="s">
        <v>509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1</v>
      </c>
      <c r="AF371" s="14">
        <v>3000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7">
        <v>3000</v>
      </c>
      <c r="BN371" s="9">
        <f t="shared" si="10"/>
        <v>3000</v>
      </c>
      <c r="BO371" s="10">
        <f t="shared" si="11"/>
        <v>2100</v>
      </c>
    </row>
    <row r="372" spans="1:67" ht="24">
      <c r="A372" s="5" t="s">
        <v>351</v>
      </c>
      <c r="B372" s="11" t="s">
        <v>499</v>
      </c>
      <c r="C372" s="11">
        <v>485792</v>
      </c>
      <c r="D372" s="12"/>
      <c r="E372" s="11" t="s">
        <v>16</v>
      </c>
      <c r="F372" s="11" t="s">
        <v>500</v>
      </c>
      <c r="G372" s="11" t="s">
        <v>337</v>
      </c>
      <c r="H372" s="13" t="s">
        <v>265</v>
      </c>
      <c r="I372" s="13" t="s">
        <v>478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1</v>
      </c>
      <c r="AF372" s="14">
        <v>1200</v>
      </c>
      <c r="AG372" s="13">
        <v>300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1</v>
      </c>
      <c r="AR372" s="14">
        <v>1500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7">
        <v>3000</v>
      </c>
      <c r="BN372" s="9">
        <f t="shared" si="10"/>
        <v>3000</v>
      </c>
      <c r="BO372" s="10">
        <f t="shared" si="11"/>
        <v>2100</v>
      </c>
    </row>
    <row r="373" spans="1:67" ht="24">
      <c r="A373" s="5" t="s">
        <v>351</v>
      </c>
      <c r="B373" s="11" t="s">
        <v>87</v>
      </c>
      <c r="C373" s="11">
        <v>211158</v>
      </c>
      <c r="D373" s="12"/>
      <c r="E373" s="11" t="s">
        <v>16</v>
      </c>
      <c r="F373" s="11" t="s">
        <v>27</v>
      </c>
      <c r="G373" s="11" t="s">
        <v>10</v>
      </c>
      <c r="H373" s="13" t="s">
        <v>7</v>
      </c>
      <c r="I373" s="13" t="s">
        <v>88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20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24</v>
      </c>
      <c r="BJ373" s="14">
        <v>2880</v>
      </c>
      <c r="BK373" s="13">
        <v>0</v>
      </c>
      <c r="BL373" s="13">
        <v>144</v>
      </c>
      <c r="BM373" s="17">
        <v>2880</v>
      </c>
      <c r="BN373" s="9">
        <f t="shared" si="10"/>
        <v>2736</v>
      </c>
      <c r="BO373" s="10">
        <f t="shared" si="11"/>
        <v>1915.1999999999998</v>
      </c>
    </row>
    <row r="374" spans="1:67" ht="24">
      <c r="A374" s="5" t="s">
        <v>351</v>
      </c>
      <c r="B374" s="11" t="s">
        <v>165</v>
      </c>
      <c r="C374" s="11">
        <v>378409</v>
      </c>
      <c r="D374" s="12"/>
      <c r="E374" s="11" t="s">
        <v>16</v>
      </c>
      <c r="F374" s="11" t="s">
        <v>43</v>
      </c>
      <c r="G374" s="11" t="s">
        <v>31</v>
      </c>
      <c r="H374" s="13" t="s">
        <v>8</v>
      </c>
      <c r="I374" s="13" t="s">
        <v>166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23</v>
      </c>
      <c r="BJ374" s="14">
        <v>2760</v>
      </c>
      <c r="BK374" s="13">
        <v>0</v>
      </c>
      <c r="BL374" s="13">
        <v>138</v>
      </c>
      <c r="BM374" s="17">
        <v>2760</v>
      </c>
      <c r="BN374" s="9">
        <f t="shared" si="10"/>
        <v>2622</v>
      </c>
      <c r="BO374" s="10">
        <f t="shared" si="11"/>
        <v>1835.3999999999999</v>
      </c>
    </row>
    <row r="375" spans="1:67" ht="24">
      <c r="A375" s="5" t="s">
        <v>351</v>
      </c>
      <c r="B375" s="11" t="s">
        <v>228</v>
      </c>
      <c r="C375" s="11">
        <v>395192</v>
      </c>
      <c r="D375" s="12"/>
      <c r="E375" s="11" t="s">
        <v>16</v>
      </c>
      <c r="F375" s="11" t="s">
        <v>121</v>
      </c>
      <c r="G375" s="11" t="s">
        <v>31</v>
      </c>
      <c r="H375" s="13" t="s">
        <v>8</v>
      </c>
      <c r="I375" s="13" t="s">
        <v>229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23</v>
      </c>
      <c r="AF375" s="14">
        <v>2300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4</v>
      </c>
      <c r="AR375" s="13">
        <v>400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7">
        <v>2700</v>
      </c>
      <c r="BN375" s="9">
        <f t="shared" ref="BN375:BN438" si="12">BM375-BL375</f>
        <v>2700</v>
      </c>
      <c r="BO375" s="10">
        <f t="shared" ref="BO375:BO438" si="13">BN375*70%</f>
        <v>1889.9999999999998</v>
      </c>
    </row>
    <row r="376" spans="1:67" ht="24">
      <c r="A376" s="5" t="s">
        <v>351</v>
      </c>
      <c r="B376" s="11" t="s">
        <v>527</v>
      </c>
      <c r="C376" s="11">
        <v>487321</v>
      </c>
      <c r="D376" s="12"/>
      <c r="E376" s="11" t="s">
        <v>16</v>
      </c>
      <c r="F376" s="11" t="s">
        <v>35</v>
      </c>
      <c r="G376" s="11" t="s">
        <v>10</v>
      </c>
      <c r="H376" s="13" t="s">
        <v>7</v>
      </c>
      <c r="I376" s="13" t="s">
        <v>520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27</v>
      </c>
      <c r="AF376" s="14">
        <v>2700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7">
        <v>2700</v>
      </c>
      <c r="BN376" s="9">
        <f t="shared" si="12"/>
        <v>2700</v>
      </c>
      <c r="BO376" s="10">
        <f t="shared" si="13"/>
        <v>1889.9999999999998</v>
      </c>
    </row>
    <row r="377" spans="1:67" ht="24">
      <c r="A377" s="5" t="s">
        <v>351</v>
      </c>
      <c r="B377" s="11" t="s">
        <v>506</v>
      </c>
      <c r="C377" s="11">
        <v>485662</v>
      </c>
      <c r="D377" s="12"/>
      <c r="E377" s="11" t="s">
        <v>16</v>
      </c>
      <c r="F377" s="11" t="s">
        <v>121</v>
      </c>
      <c r="G377" s="11" t="s">
        <v>31</v>
      </c>
      <c r="H377" s="13" t="s">
        <v>265</v>
      </c>
      <c r="I377" s="13" t="s">
        <v>462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2</v>
      </c>
      <c r="AF377" s="13">
        <v>600</v>
      </c>
      <c r="AG377" s="13">
        <v>500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2</v>
      </c>
      <c r="BJ377" s="14">
        <v>1200</v>
      </c>
      <c r="BK377" s="13">
        <v>0</v>
      </c>
      <c r="BL377" s="13">
        <v>60</v>
      </c>
      <c r="BM377" s="17">
        <v>2300</v>
      </c>
      <c r="BN377" s="9">
        <f t="shared" si="12"/>
        <v>2240</v>
      </c>
      <c r="BO377" s="10">
        <f t="shared" si="13"/>
        <v>1568</v>
      </c>
    </row>
    <row r="378" spans="1:67" ht="24">
      <c r="A378" s="5" t="s">
        <v>351</v>
      </c>
      <c r="B378" s="11" t="s">
        <v>219</v>
      </c>
      <c r="C378" s="11">
        <v>400251</v>
      </c>
      <c r="D378" s="12"/>
      <c r="E378" s="11" t="s">
        <v>16</v>
      </c>
      <c r="F378" s="11" t="s">
        <v>37</v>
      </c>
      <c r="G378" s="11" t="s">
        <v>31</v>
      </c>
      <c r="H378" s="13" t="s">
        <v>8</v>
      </c>
      <c r="I378" s="13" t="s">
        <v>220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9</v>
      </c>
      <c r="AF378" s="13">
        <v>0</v>
      </c>
      <c r="AG378" s="13">
        <v>900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8</v>
      </c>
      <c r="BJ378" s="13">
        <v>960</v>
      </c>
      <c r="BK378" s="13">
        <v>0</v>
      </c>
      <c r="BL378" s="13">
        <v>48</v>
      </c>
      <c r="BM378" s="17">
        <v>1860</v>
      </c>
      <c r="BN378" s="9">
        <f t="shared" si="12"/>
        <v>1812</v>
      </c>
      <c r="BO378" s="10">
        <f t="shared" si="13"/>
        <v>1268.3999999999999</v>
      </c>
    </row>
    <row r="379" spans="1:67" ht="24">
      <c r="A379" s="5" t="s">
        <v>351</v>
      </c>
      <c r="B379" s="11" t="s">
        <v>238</v>
      </c>
      <c r="C379" s="11">
        <v>358724</v>
      </c>
      <c r="D379" s="12"/>
      <c r="E379" s="11" t="s">
        <v>16</v>
      </c>
      <c r="F379" s="11" t="s">
        <v>239</v>
      </c>
      <c r="G379" s="11" t="s">
        <v>31</v>
      </c>
      <c r="H379" s="13" t="s">
        <v>8</v>
      </c>
      <c r="I379" s="13" t="s">
        <v>100</v>
      </c>
      <c r="J379" s="13">
        <v>3</v>
      </c>
      <c r="K379" s="13">
        <v>0</v>
      </c>
      <c r="L379" s="13">
        <v>300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4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13</v>
      </c>
      <c r="BJ379" s="14">
        <v>1560</v>
      </c>
      <c r="BK379" s="13">
        <v>0</v>
      </c>
      <c r="BL379" s="13">
        <v>78</v>
      </c>
      <c r="BM379" s="17">
        <v>1860</v>
      </c>
      <c r="BN379" s="9">
        <f t="shared" si="12"/>
        <v>1782</v>
      </c>
      <c r="BO379" s="10">
        <f t="shared" si="13"/>
        <v>1247.3999999999999</v>
      </c>
    </row>
    <row r="380" spans="1:67" ht="24">
      <c r="A380" s="5" t="s">
        <v>351</v>
      </c>
      <c r="B380" s="11" t="s">
        <v>518</v>
      </c>
      <c r="C380" s="11">
        <v>487308</v>
      </c>
      <c r="D380" s="12"/>
      <c r="E380" s="11" t="s">
        <v>16</v>
      </c>
      <c r="F380" s="11" t="s">
        <v>519</v>
      </c>
      <c r="G380" s="11" t="s">
        <v>337</v>
      </c>
      <c r="H380" s="13" t="s">
        <v>8</v>
      </c>
      <c r="I380" s="13" t="s">
        <v>615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17</v>
      </c>
      <c r="AR380" s="14">
        <v>1700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7">
        <v>1700</v>
      </c>
      <c r="BN380" s="9">
        <f t="shared" si="12"/>
        <v>1700</v>
      </c>
      <c r="BO380" s="10">
        <f t="shared" si="13"/>
        <v>1190</v>
      </c>
    </row>
    <row r="381" spans="1:67" ht="24">
      <c r="A381" s="5" t="s">
        <v>351</v>
      </c>
      <c r="B381" s="11" t="s">
        <v>654</v>
      </c>
      <c r="C381" s="11">
        <v>490535</v>
      </c>
      <c r="D381" s="12"/>
      <c r="E381" s="11" t="s">
        <v>16</v>
      </c>
      <c r="F381" s="11" t="s">
        <v>655</v>
      </c>
      <c r="G381" s="11" t="s">
        <v>10</v>
      </c>
      <c r="H381" s="13" t="s">
        <v>7</v>
      </c>
      <c r="I381" s="13" t="s">
        <v>576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16</v>
      </c>
      <c r="AF381" s="14">
        <v>1600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7">
        <v>1600</v>
      </c>
      <c r="BN381" s="9">
        <f t="shared" si="12"/>
        <v>1600</v>
      </c>
      <c r="BO381" s="10">
        <f t="shared" si="13"/>
        <v>1120</v>
      </c>
    </row>
    <row r="382" spans="1:67" ht="24">
      <c r="A382" s="5" t="s">
        <v>351</v>
      </c>
      <c r="B382" s="11" t="s">
        <v>47</v>
      </c>
      <c r="C382" s="11">
        <v>369720</v>
      </c>
      <c r="D382" s="12"/>
      <c r="E382" s="11" t="s">
        <v>16</v>
      </c>
      <c r="F382" s="11" t="s">
        <v>48</v>
      </c>
      <c r="G382" s="11" t="s">
        <v>31</v>
      </c>
      <c r="H382" s="13" t="s">
        <v>8</v>
      </c>
      <c r="I382" s="13" t="s">
        <v>49</v>
      </c>
      <c r="J382" s="13">
        <v>0</v>
      </c>
      <c r="K382" s="13">
        <v>11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6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9</v>
      </c>
      <c r="AF382" s="13">
        <v>120</v>
      </c>
      <c r="AG382" s="13">
        <v>800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5</v>
      </c>
      <c r="BJ382" s="13">
        <v>600</v>
      </c>
      <c r="BK382" s="13">
        <v>0</v>
      </c>
      <c r="BL382" s="13">
        <v>30</v>
      </c>
      <c r="BM382" s="17">
        <v>1520</v>
      </c>
      <c r="BN382" s="9">
        <f t="shared" si="12"/>
        <v>1490</v>
      </c>
      <c r="BO382" s="10">
        <f t="shared" si="13"/>
        <v>1043</v>
      </c>
    </row>
    <row r="383" spans="1:67" ht="24">
      <c r="A383" s="5" t="s">
        <v>351</v>
      </c>
      <c r="B383" s="11" t="s">
        <v>207</v>
      </c>
      <c r="C383" s="11">
        <v>351033</v>
      </c>
      <c r="D383" s="12" t="s">
        <v>208</v>
      </c>
      <c r="E383" s="11" t="s">
        <v>16</v>
      </c>
      <c r="F383" s="11" t="s">
        <v>27</v>
      </c>
      <c r="G383" s="11" t="s">
        <v>10</v>
      </c>
      <c r="H383" s="13" t="s">
        <v>7</v>
      </c>
      <c r="I383" s="13" t="s">
        <v>209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15</v>
      </c>
      <c r="AF383" s="13">
        <v>800</v>
      </c>
      <c r="AG383" s="13">
        <v>700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7">
        <v>1500</v>
      </c>
      <c r="BN383" s="9">
        <f t="shared" si="12"/>
        <v>1500</v>
      </c>
      <c r="BO383" s="10">
        <f t="shared" si="13"/>
        <v>1050</v>
      </c>
    </row>
    <row r="384" spans="1:67" ht="24">
      <c r="A384" s="5" t="s">
        <v>351</v>
      </c>
      <c r="B384" s="11" t="s">
        <v>584</v>
      </c>
      <c r="C384" s="11">
        <v>454534</v>
      </c>
      <c r="D384" s="12"/>
      <c r="E384" s="11" t="s">
        <v>16</v>
      </c>
      <c r="F384" s="11" t="s">
        <v>35</v>
      </c>
      <c r="G384" s="11" t="s">
        <v>10</v>
      </c>
      <c r="H384" s="13" t="s">
        <v>7</v>
      </c>
      <c r="I384" s="13" t="s">
        <v>413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12</v>
      </c>
      <c r="AF384" s="14">
        <v>1440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7">
        <v>1440</v>
      </c>
      <c r="BN384" s="9">
        <f t="shared" si="12"/>
        <v>1440</v>
      </c>
      <c r="BO384" s="10">
        <f t="shared" si="13"/>
        <v>1007.9999999999999</v>
      </c>
    </row>
    <row r="385" spans="1:67" ht="24">
      <c r="A385" s="5" t="s">
        <v>351</v>
      </c>
      <c r="B385" s="11" t="s">
        <v>252</v>
      </c>
      <c r="C385" s="11">
        <v>328894</v>
      </c>
      <c r="D385" s="12"/>
      <c r="E385" s="11" t="s">
        <v>16</v>
      </c>
      <c r="F385" s="11" t="s">
        <v>185</v>
      </c>
      <c r="G385" s="11" t="s">
        <v>31</v>
      </c>
      <c r="H385" s="13" t="s">
        <v>8</v>
      </c>
      <c r="I385" s="13" t="s">
        <v>253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14</v>
      </c>
      <c r="AF385" s="13">
        <v>120</v>
      </c>
      <c r="AG385" s="14">
        <v>1300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7">
        <v>1420</v>
      </c>
      <c r="BN385" s="9">
        <f t="shared" si="12"/>
        <v>1420</v>
      </c>
      <c r="BO385" s="10">
        <f t="shared" si="13"/>
        <v>993.99999999999989</v>
      </c>
    </row>
    <row r="386" spans="1:67" ht="24">
      <c r="A386" s="5" t="s">
        <v>351</v>
      </c>
      <c r="B386" s="11" t="s">
        <v>639</v>
      </c>
      <c r="C386" s="11">
        <v>490132</v>
      </c>
      <c r="D386" s="12"/>
      <c r="E386" s="11" t="s">
        <v>16</v>
      </c>
      <c r="F386" s="11" t="s">
        <v>640</v>
      </c>
      <c r="G386" s="11" t="s">
        <v>337</v>
      </c>
      <c r="H386" s="13" t="s">
        <v>7</v>
      </c>
      <c r="I386" s="13" t="s">
        <v>581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1</v>
      </c>
      <c r="AF386" s="13">
        <v>0</v>
      </c>
      <c r="AG386" s="14">
        <v>1300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7">
        <v>1300</v>
      </c>
      <c r="BN386" s="9">
        <f t="shared" si="12"/>
        <v>1300</v>
      </c>
      <c r="BO386" s="10">
        <f t="shared" si="13"/>
        <v>909.99999999999989</v>
      </c>
    </row>
    <row r="387" spans="1:67" ht="24">
      <c r="A387" s="5" t="s">
        <v>351</v>
      </c>
      <c r="B387" s="11" t="s">
        <v>661</v>
      </c>
      <c r="C387" s="11">
        <v>483177</v>
      </c>
      <c r="D387" s="12"/>
      <c r="E387" s="11" t="s">
        <v>16</v>
      </c>
      <c r="F387" s="11" t="s">
        <v>37</v>
      </c>
      <c r="G387" s="11" t="s">
        <v>31</v>
      </c>
      <c r="H387" s="13" t="s">
        <v>265</v>
      </c>
      <c r="I387" s="13" t="s">
        <v>447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1</v>
      </c>
      <c r="BJ387" s="14">
        <v>1200</v>
      </c>
      <c r="BK387" s="13">
        <v>0</v>
      </c>
      <c r="BL387" s="13">
        <v>60</v>
      </c>
      <c r="BM387" s="17">
        <v>1200</v>
      </c>
      <c r="BN387" s="9">
        <f t="shared" si="12"/>
        <v>1140</v>
      </c>
      <c r="BO387" s="10">
        <f t="shared" si="13"/>
        <v>798</v>
      </c>
    </row>
    <row r="388" spans="1:67" ht="24">
      <c r="A388" s="5" t="s">
        <v>351</v>
      </c>
      <c r="B388" s="11" t="s">
        <v>320</v>
      </c>
      <c r="C388" s="11">
        <v>392578</v>
      </c>
      <c r="D388" s="12"/>
      <c r="E388" s="11" t="s">
        <v>16</v>
      </c>
      <c r="F388" s="11" t="s">
        <v>233</v>
      </c>
      <c r="G388" s="11" t="s">
        <v>31</v>
      </c>
      <c r="H388" s="13" t="s">
        <v>265</v>
      </c>
      <c r="I388" s="13" t="s">
        <v>311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11</v>
      </c>
      <c r="AF388" s="13">
        <v>120</v>
      </c>
      <c r="AG388" s="14">
        <v>1000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7">
        <v>1120</v>
      </c>
      <c r="BN388" s="9">
        <f t="shared" si="12"/>
        <v>1120</v>
      </c>
      <c r="BO388" s="10">
        <f t="shared" si="13"/>
        <v>784</v>
      </c>
    </row>
    <row r="389" spans="1:67" ht="24">
      <c r="A389" s="5" t="s">
        <v>351</v>
      </c>
      <c r="B389" s="11" t="s">
        <v>458</v>
      </c>
      <c r="C389" s="11">
        <v>421816</v>
      </c>
      <c r="D389" s="12"/>
      <c r="E389" s="11" t="s">
        <v>16</v>
      </c>
      <c r="F389" s="11" t="s">
        <v>37</v>
      </c>
      <c r="G389" s="11" t="s">
        <v>31</v>
      </c>
      <c r="H389" s="13" t="s">
        <v>265</v>
      </c>
      <c r="I389" s="13" t="s">
        <v>173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1</v>
      </c>
      <c r="AF389" s="13">
        <v>0</v>
      </c>
      <c r="AG389" s="13">
        <v>500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1</v>
      </c>
      <c r="BJ389" s="13">
        <v>600</v>
      </c>
      <c r="BK389" s="13">
        <v>0</v>
      </c>
      <c r="BL389" s="13">
        <v>30</v>
      </c>
      <c r="BM389" s="17">
        <v>1100</v>
      </c>
      <c r="BN389" s="9">
        <f t="shared" si="12"/>
        <v>1070</v>
      </c>
      <c r="BO389" s="10">
        <f t="shared" si="13"/>
        <v>749</v>
      </c>
    </row>
    <row r="390" spans="1:67" ht="24">
      <c r="A390" s="5" t="s">
        <v>351</v>
      </c>
      <c r="B390" s="11" t="s">
        <v>523</v>
      </c>
      <c r="C390" s="11">
        <v>486462</v>
      </c>
      <c r="D390" s="12"/>
      <c r="E390" s="11" t="s">
        <v>16</v>
      </c>
      <c r="F390" s="11" t="s">
        <v>524</v>
      </c>
      <c r="G390" s="11" t="s">
        <v>337</v>
      </c>
      <c r="H390" s="13" t="s">
        <v>7</v>
      </c>
      <c r="I390" s="13" t="s">
        <v>463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11</v>
      </c>
      <c r="AF390" s="14">
        <v>1100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  <c r="BM390" s="17">
        <v>1100</v>
      </c>
      <c r="BN390" s="9">
        <f t="shared" si="12"/>
        <v>1100</v>
      </c>
      <c r="BO390" s="10">
        <f t="shared" si="13"/>
        <v>770</v>
      </c>
    </row>
    <row r="391" spans="1:67" ht="24">
      <c r="A391" s="5" t="s">
        <v>351</v>
      </c>
      <c r="B391" s="11" t="s">
        <v>656</v>
      </c>
      <c r="C391" s="11">
        <v>446882</v>
      </c>
      <c r="D391" s="12"/>
      <c r="E391" s="11" t="s">
        <v>16</v>
      </c>
      <c r="F391" s="11" t="s">
        <v>233</v>
      </c>
      <c r="G391" s="11" t="s">
        <v>31</v>
      </c>
      <c r="H391" s="13" t="s">
        <v>265</v>
      </c>
      <c r="I391" s="13" t="s">
        <v>274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1</v>
      </c>
      <c r="AF391" s="13">
        <v>0</v>
      </c>
      <c r="AG391" s="14">
        <v>1000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7">
        <v>1000</v>
      </c>
      <c r="BN391" s="9">
        <f t="shared" si="12"/>
        <v>1000</v>
      </c>
      <c r="BO391" s="10">
        <f t="shared" si="13"/>
        <v>700</v>
      </c>
    </row>
    <row r="392" spans="1:67" ht="24">
      <c r="A392" s="5" t="s">
        <v>351</v>
      </c>
      <c r="B392" s="11" t="s">
        <v>319</v>
      </c>
      <c r="C392" s="11">
        <v>383236</v>
      </c>
      <c r="D392" s="12"/>
      <c r="E392" s="11" t="s">
        <v>16</v>
      </c>
      <c r="F392" s="11" t="s">
        <v>121</v>
      </c>
      <c r="G392" s="11" t="s">
        <v>31</v>
      </c>
      <c r="H392" s="13" t="s">
        <v>265</v>
      </c>
      <c r="I392" s="13" t="s">
        <v>122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</v>
      </c>
      <c r="AF392" s="13">
        <v>480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1</v>
      </c>
      <c r="BJ392" s="13">
        <v>480</v>
      </c>
      <c r="BK392" s="13">
        <v>0</v>
      </c>
      <c r="BL392" s="13">
        <v>24</v>
      </c>
      <c r="BM392" s="18">
        <v>960</v>
      </c>
      <c r="BN392" s="9">
        <f t="shared" si="12"/>
        <v>936</v>
      </c>
      <c r="BO392" s="10">
        <f t="shared" si="13"/>
        <v>655.19999999999993</v>
      </c>
    </row>
    <row r="393" spans="1:67" ht="24">
      <c r="A393" s="5" t="s">
        <v>351</v>
      </c>
      <c r="B393" s="11" t="s">
        <v>508</v>
      </c>
      <c r="C393" s="11">
        <v>444218</v>
      </c>
      <c r="D393" s="12"/>
      <c r="E393" s="11" t="s">
        <v>16</v>
      </c>
      <c r="F393" s="11" t="s">
        <v>121</v>
      </c>
      <c r="G393" s="11" t="s">
        <v>31</v>
      </c>
      <c r="H393" s="13" t="s">
        <v>265</v>
      </c>
      <c r="I393" s="13" t="s">
        <v>509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3</v>
      </c>
      <c r="AF393" s="13">
        <v>360</v>
      </c>
      <c r="AG393" s="13">
        <v>600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8">
        <v>960</v>
      </c>
      <c r="BN393" s="9">
        <f t="shared" si="12"/>
        <v>960</v>
      </c>
      <c r="BO393" s="10">
        <f t="shared" si="13"/>
        <v>672</v>
      </c>
    </row>
    <row r="394" spans="1:67" ht="24">
      <c r="A394" s="5" t="s">
        <v>351</v>
      </c>
      <c r="B394" s="11" t="s">
        <v>139</v>
      </c>
      <c r="C394" s="11">
        <v>350894</v>
      </c>
      <c r="D394" s="12"/>
      <c r="E394" s="11" t="s">
        <v>16</v>
      </c>
      <c r="F394" s="11" t="s">
        <v>140</v>
      </c>
      <c r="G394" s="11" t="s">
        <v>31</v>
      </c>
      <c r="H394" s="13" t="s">
        <v>8</v>
      </c>
      <c r="I394" s="13" t="s">
        <v>141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9</v>
      </c>
      <c r="AF394" s="13">
        <v>920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8">
        <v>920</v>
      </c>
      <c r="BN394" s="9">
        <f t="shared" si="12"/>
        <v>920</v>
      </c>
      <c r="BO394" s="10">
        <f t="shared" si="13"/>
        <v>644</v>
      </c>
    </row>
    <row r="395" spans="1:67" ht="24">
      <c r="A395" s="5" t="s">
        <v>351</v>
      </c>
      <c r="B395" s="11" t="s">
        <v>82</v>
      </c>
      <c r="C395" s="11">
        <v>364724</v>
      </c>
      <c r="D395" s="12"/>
      <c r="E395" s="11" t="s">
        <v>16</v>
      </c>
      <c r="F395" s="11" t="s">
        <v>83</v>
      </c>
      <c r="G395" s="11" t="s">
        <v>10</v>
      </c>
      <c r="H395" s="13" t="s">
        <v>7</v>
      </c>
      <c r="I395" s="13" t="s">
        <v>84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7</v>
      </c>
      <c r="BJ395" s="13">
        <v>840</v>
      </c>
      <c r="BK395" s="13">
        <v>0</v>
      </c>
      <c r="BL395" s="13">
        <v>42</v>
      </c>
      <c r="BM395" s="18">
        <v>840</v>
      </c>
      <c r="BN395" s="9">
        <f t="shared" si="12"/>
        <v>798</v>
      </c>
      <c r="BO395" s="10">
        <f t="shared" si="13"/>
        <v>558.59999999999991</v>
      </c>
    </row>
    <row r="396" spans="1:67" ht="24">
      <c r="A396" s="5" t="s">
        <v>351</v>
      </c>
      <c r="B396" s="11" t="s">
        <v>332</v>
      </c>
      <c r="C396" s="11">
        <v>472228</v>
      </c>
      <c r="D396" s="12"/>
      <c r="E396" s="11" t="s">
        <v>16</v>
      </c>
      <c r="F396" s="11" t="s">
        <v>333</v>
      </c>
      <c r="G396" s="11" t="s">
        <v>337</v>
      </c>
      <c r="H396" s="13" t="s">
        <v>8</v>
      </c>
      <c r="I396" s="13" t="s">
        <v>334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7</v>
      </c>
      <c r="AF396" s="13">
        <v>840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8">
        <v>840</v>
      </c>
      <c r="BN396" s="9">
        <f t="shared" si="12"/>
        <v>840</v>
      </c>
      <c r="BO396" s="10">
        <f t="shared" si="13"/>
        <v>588</v>
      </c>
    </row>
    <row r="397" spans="1:67" ht="24">
      <c r="A397" s="5" t="s">
        <v>351</v>
      </c>
      <c r="B397" s="11" t="s">
        <v>425</v>
      </c>
      <c r="C397" s="11">
        <v>397393</v>
      </c>
      <c r="D397" s="12"/>
      <c r="E397" s="11" t="s">
        <v>16</v>
      </c>
      <c r="F397" s="11" t="s">
        <v>121</v>
      </c>
      <c r="G397" s="11" t="s">
        <v>31</v>
      </c>
      <c r="H397" s="13" t="s">
        <v>265</v>
      </c>
      <c r="I397" s="13" t="s">
        <v>426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</v>
      </c>
      <c r="AF397" s="13">
        <v>0</v>
      </c>
      <c r="AG397" s="13">
        <v>300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1</v>
      </c>
      <c r="BJ397" s="13">
        <v>360</v>
      </c>
      <c r="BK397" s="13">
        <v>0</v>
      </c>
      <c r="BL397" s="13">
        <v>18</v>
      </c>
      <c r="BM397" s="18">
        <v>660</v>
      </c>
      <c r="BN397" s="9">
        <f t="shared" si="12"/>
        <v>642</v>
      </c>
      <c r="BO397" s="10">
        <f t="shared" si="13"/>
        <v>449.4</v>
      </c>
    </row>
    <row r="398" spans="1:67" ht="24">
      <c r="A398" s="5" t="s">
        <v>351</v>
      </c>
      <c r="B398" s="11" t="s">
        <v>694</v>
      </c>
      <c r="C398" s="11">
        <v>431805</v>
      </c>
      <c r="D398" s="12"/>
      <c r="E398" s="11" t="s">
        <v>16</v>
      </c>
      <c r="F398" s="11" t="s">
        <v>121</v>
      </c>
      <c r="G398" s="11" t="s">
        <v>31</v>
      </c>
      <c r="H398" s="13" t="s">
        <v>265</v>
      </c>
      <c r="I398" s="13" t="s">
        <v>493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1</v>
      </c>
      <c r="AF398" s="13">
        <v>360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1</v>
      </c>
      <c r="AR398" s="13">
        <v>300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8">
        <v>660</v>
      </c>
      <c r="BN398" s="9">
        <f t="shared" si="12"/>
        <v>660</v>
      </c>
      <c r="BO398" s="10">
        <f t="shared" si="13"/>
        <v>461.99999999999994</v>
      </c>
    </row>
    <row r="399" spans="1:67" ht="24">
      <c r="A399" s="5" t="s">
        <v>351</v>
      </c>
      <c r="B399" s="11" t="s">
        <v>507</v>
      </c>
      <c r="C399" s="11">
        <v>426280</v>
      </c>
      <c r="D399" s="12"/>
      <c r="E399" s="11" t="s">
        <v>16</v>
      </c>
      <c r="F399" s="11" t="s">
        <v>503</v>
      </c>
      <c r="G399" s="11" t="s">
        <v>31</v>
      </c>
      <c r="H399" s="13" t="s">
        <v>265</v>
      </c>
      <c r="I399" s="13" t="s">
        <v>494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1</v>
      </c>
      <c r="AF399" s="13">
        <v>0</v>
      </c>
      <c r="AG399" s="13">
        <v>200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2</v>
      </c>
      <c r="AR399" s="13">
        <v>300</v>
      </c>
      <c r="AS399" s="13">
        <v>100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8">
        <v>600</v>
      </c>
      <c r="BN399" s="9">
        <f t="shared" si="12"/>
        <v>600</v>
      </c>
      <c r="BO399" s="10">
        <f t="shared" si="13"/>
        <v>420</v>
      </c>
    </row>
    <row r="400" spans="1:67" ht="24">
      <c r="A400" s="5" t="s">
        <v>351</v>
      </c>
      <c r="B400" s="11" t="s">
        <v>424</v>
      </c>
      <c r="C400" s="11">
        <v>426261</v>
      </c>
      <c r="D400" s="12"/>
      <c r="E400" s="11" t="s">
        <v>16</v>
      </c>
      <c r="F400" s="11" t="s">
        <v>121</v>
      </c>
      <c r="G400" s="11" t="s">
        <v>31</v>
      </c>
      <c r="H400" s="13" t="s">
        <v>265</v>
      </c>
      <c r="I400" s="13" t="s">
        <v>316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1</v>
      </c>
      <c r="BJ400" s="13">
        <v>600</v>
      </c>
      <c r="BK400" s="13">
        <v>0</v>
      </c>
      <c r="BL400" s="13">
        <v>30</v>
      </c>
      <c r="BM400" s="18">
        <v>600</v>
      </c>
      <c r="BN400" s="9">
        <f t="shared" si="12"/>
        <v>570</v>
      </c>
      <c r="BO400" s="10">
        <f t="shared" si="13"/>
        <v>399</v>
      </c>
    </row>
    <row r="401" spans="1:67" ht="24">
      <c r="A401" s="5" t="s">
        <v>351</v>
      </c>
      <c r="B401" s="11" t="s">
        <v>572</v>
      </c>
      <c r="C401" s="11">
        <v>377684</v>
      </c>
      <c r="D401" s="12"/>
      <c r="E401" s="11" t="s">
        <v>16</v>
      </c>
      <c r="F401" s="11" t="s">
        <v>30</v>
      </c>
      <c r="G401" s="11" t="s">
        <v>31</v>
      </c>
      <c r="H401" s="13" t="s">
        <v>265</v>
      </c>
      <c r="I401" s="13" t="s">
        <v>309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1</v>
      </c>
      <c r="AF401" s="13">
        <v>500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8">
        <v>500</v>
      </c>
      <c r="BN401" s="9">
        <f t="shared" si="12"/>
        <v>500</v>
      </c>
      <c r="BO401" s="10">
        <f t="shared" si="13"/>
        <v>350</v>
      </c>
    </row>
    <row r="402" spans="1:67" ht="24">
      <c r="A402" s="5" t="s">
        <v>351</v>
      </c>
      <c r="B402" s="11" t="s">
        <v>664</v>
      </c>
      <c r="C402" s="11">
        <v>426253</v>
      </c>
      <c r="D402" s="12"/>
      <c r="E402" s="11" t="s">
        <v>16</v>
      </c>
      <c r="F402" s="11" t="s">
        <v>199</v>
      </c>
      <c r="G402" s="11" t="s">
        <v>31</v>
      </c>
      <c r="H402" s="13" t="s">
        <v>265</v>
      </c>
      <c r="I402" s="13" t="s">
        <v>618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1</v>
      </c>
      <c r="AF402" s="13">
        <v>500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  <c r="BM402" s="18">
        <v>500</v>
      </c>
      <c r="BN402" s="9">
        <f t="shared" si="12"/>
        <v>500</v>
      </c>
      <c r="BO402" s="10">
        <f t="shared" si="13"/>
        <v>350</v>
      </c>
    </row>
    <row r="403" spans="1:67" ht="24">
      <c r="A403" s="5" t="s">
        <v>351</v>
      </c>
      <c r="B403" s="11" t="s">
        <v>651</v>
      </c>
      <c r="C403" s="11">
        <v>381822</v>
      </c>
      <c r="D403" s="12"/>
      <c r="E403" s="11" t="s">
        <v>16</v>
      </c>
      <c r="F403" s="11" t="s">
        <v>48</v>
      </c>
      <c r="G403" s="11" t="s">
        <v>31</v>
      </c>
      <c r="H403" s="13" t="s">
        <v>7</v>
      </c>
      <c r="I403" s="13" t="s">
        <v>267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1</v>
      </c>
      <c r="BD403" s="13">
        <v>480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28.8</v>
      </c>
      <c r="BM403" s="18">
        <v>480</v>
      </c>
      <c r="BN403" s="9">
        <f t="shared" si="12"/>
        <v>451.2</v>
      </c>
      <c r="BO403" s="10">
        <f t="shared" si="13"/>
        <v>315.83999999999997</v>
      </c>
    </row>
    <row r="404" spans="1:67" ht="24">
      <c r="A404" s="5" t="s">
        <v>351</v>
      </c>
      <c r="B404" s="11" t="s">
        <v>614</v>
      </c>
      <c r="C404" s="11">
        <v>434558</v>
      </c>
      <c r="D404" s="12"/>
      <c r="E404" s="11" t="s">
        <v>16</v>
      </c>
      <c r="F404" s="11" t="s">
        <v>196</v>
      </c>
      <c r="G404" s="11" t="s">
        <v>10</v>
      </c>
      <c r="H404" s="13" t="s">
        <v>7</v>
      </c>
      <c r="I404" s="13" t="s">
        <v>197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4</v>
      </c>
      <c r="BJ404" s="13">
        <v>480</v>
      </c>
      <c r="BK404" s="13">
        <v>0</v>
      </c>
      <c r="BL404" s="13">
        <v>24</v>
      </c>
      <c r="BM404" s="18">
        <v>480</v>
      </c>
      <c r="BN404" s="9">
        <f t="shared" si="12"/>
        <v>456</v>
      </c>
      <c r="BO404" s="10">
        <f t="shared" si="13"/>
        <v>319.2</v>
      </c>
    </row>
    <row r="405" spans="1:67" ht="24">
      <c r="A405" s="5" t="s">
        <v>351</v>
      </c>
      <c r="B405" s="11" t="s">
        <v>313</v>
      </c>
      <c r="C405" s="11">
        <v>447222</v>
      </c>
      <c r="D405" s="12"/>
      <c r="E405" s="11" t="s">
        <v>16</v>
      </c>
      <c r="F405" s="11" t="s">
        <v>233</v>
      </c>
      <c r="G405" s="11" t="s">
        <v>31</v>
      </c>
      <c r="H405" s="13" t="s">
        <v>8</v>
      </c>
      <c r="I405" s="13" t="s">
        <v>314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1</v>
      </c>
      <c r="AF405" s="13">
        <v>0</v>
      </c>
      <c r="AG405" s="13">
        <v>100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1</v>
      </c>
      <c r="AR405" s="13">
        <v>100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2</v>
      </c>
      <c r="BJ405" s="13">
        <v>240</v>
      </c>
      <c r="BK405" s="13">
        <v>0</v>
      </c>
      <c r="BL405" s="13">
        <v>12</v>
      </c>
      <c r="BM405" s="18">
        <v>440</v>
      </c>
      <c r="BN405" s="9">
        <f t="shared" si="12"/>
        <v>428</v>
      </c>
      <c r="BO405" s="10">
        <f t="shared" si="13"/>
        <v>299.59999999999997</v>
      </c>
    </row>
    <row r="406" spans="1:67" ht="24">
      <c r="A406" s="5" t="s">
        <v>351</v>
      </c>
      <c r="B406" s="11" t="s">
        <v>266</v>
      </c>
      <c r="C406" s="11">
        <v>382325</v>
      </c>
      <c r="D406" s="12"/>
      <c r="E406" s="11" t="s">
        <v>16</v>
      </c>
      <c r="F406" s="11" t="s">
        <v>30</v>
      </c>
      <c r="G406" s="11" t="s">
        <v>31</v>
      </c>
      <c r="H406" s="13" t="s">
        <v>8</v>
      </c>
      <c r="I406" s="13" t="s">
        <v>267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4</v>
      </c>
      <c r="AF406" s="13">
        <v>0</v>
      </c>
      <c r="AG406" s="13">
        <v>400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8">
        <v>400</v>
      </c>
      <c r="BN406" s="9">
        <f t="shared" si="12"/>
        <v>400</v>
      </c>
      <c r="BO406" s="10">
        <f t="shared" si="13"/>
        <v>280</v>
      </c>
    </row>
    <row r="407" spans="1:67" ht="24">
      <c r="A407" s="5" t="s">
        <v>351</v>
      </c>
      <c r="B407" s="11" t="s">
        <v>45</v>
      </c>
      <c r="C407" s="11">
        <v>459997</v>
      </c>
      <c r="D407" s="12"/>
      <c r="E407" s="11" t="s">
        <v>16</v>
      </c>
      <c r="F407" s="11" t="s">
        <v>46</v>
      </c>
      <c r="G407" s="11" t="s">
        <v>10</v>
      </c>
      <c r="H407" s="13" t="s">
        <v>7</v>
      </c>
      <c r="I407" s="13" t="s">
        <v>610</v>
      </c>
      <c r="J407" s="13">
        <v>0</v>
      </c>
      <c r="K407" s="13">
        <v>32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2</v>
      </c>
      <c r="AF407" s="13">
        <v>200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2</v>
      </c>
      <c r="AR407" s="13">
        <v>200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8">
        <v>400</v>
      </c>
      <c r="BN407" s="9">
        <f t="shared" si="12"/>
        <v>400</v>
      </c>
      <c r="BO407" s="10">
        <f t="shared" si="13"/>
        <v>280</v>
      </c>
    </row>
    <row r="408" spans="1:67" ht="24">
      <c r="A408" s="5" t="s">
        <v>351</v>
      </c>
      <c r="B408" s="11" t="s">
        <v>695</v>
      </c>
      <c r="C408" s="11">
        <v>381693</v>
      </c>
      <c r="D408" s="12"/>
      <c r="E408" s="11" t="s">
        <v>16</v>
      </c>
      <c r="F408" s="11" t="s">
        <v>124</v>
      </c>
      <c r="G408" s="11" t="s">
        <v>31</v>
      </c>
      <c r="H408" s="13" t="s">
        <v>265</v>
      </c>
      <c r="I408" s="13" t="s">
        <v>505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1</v>
      </c>
      <c r="AF408" s="13">
        <v>400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8">
        <v>400</v>
      </c>
      <c r="BN408" s="9">
        <f t="shared" si="12"/>
        <v>400</v>
      </c>
      <c r="BO408" s="10">
        <f t="shared" si="13"/>
        <v>280</v>
      </c>
    </row>
    <row r="409" spans="1:67" ht="24">
      <c r="A409" s="5" t="s">
        <v>351</v>
      </c>
      <c r="B409" s="11" t="s">
        <v>293</v>
      </c>
      <c r="C409" s="11">
        <v>384107</v>
      </c>
      <c r="D409" s="12"/>
      <c r="E409" s="11" t="s">
        <v>16</v>
      </c>
      <c r="F409" s="11" t="s">
        <v>294</v>
      </c>
      <c r="G409" s="11" t="s">
        <v>31</v>
      </c>
      <c r="H409" s="13" t="s">
        <v>265</v>
      </c>
      <c r="I409" s="13" t="s">
        <v>295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4</v>
      </c>
      <c r="AR409" s="13">
        <v>400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8">
        <v>400</v>
      </c>
      <c r="BN409" s="9">
        <f t="shared" si="12"/>
        <v>400</v>
      </c>
      <c r="BO409" s="10">
        <f t="shared" si="13"/>
        <v>280</v>
      </c>
    </row>
    <row r="410" spans="1:67" ht="24">
      <c r="A410" s="5" t="s">
        <v>351</v>
      </c>
      <c r="B410" s="11" t="s">
        <v>696</v>
      </c>
      <c r="C410" s="11">
        <v>321027</v>
      </c>
      <c r="D410" s="12"/>
      <c r="E410" s="11" t="s">
        <v>16</v>
      </c>
      <c r="F410" s="11" t="s">
        <v>541</v>
      </c>
      <c r="G410" s="11" t="s">
        <v>31</v>
      </c>
      <c r="H410" s="13" t="s">
        <v>7</v>
      </c>
      <c r="I410" s="13" t="s">
        <v>697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3</v>
      </c>
      <c r="BJ410" s="13">
        <v>360</v>
      </c>
      <c r="BK410" s="13">
        <v>0</v>
      </c>
      <c r="BL410" s="13">
        <v>18</v>
      </c>
      <c r="BM410" s="18">
        <v>360</v>
      </c>
      <c r="BN410" s="9">
        <f t="shared" si="12"/>
        <v>342</v>
      </c>
      <c r="BO410" s="10">
        <f t="shared" si="13"/>
        <v>239.39999999999998</v>
      </c>
    </row>
    <row r="411" spans="1:67" ht="24">
      <c r="A411" s="5" t="s">
        <v>351</v>
      </c>
      <c r="B411" s="11" t="s">
        <v>663</v>
      </c>
      <c r="C411" s="11">
        <v>483178</v>
      </c>
      <c r="D411" s="12"/>
      <c r="E411" s="11" t="s">
        <v>16</v>
      </c>
      <c r="F411" s="11" t="s">
        <v>37</v>
      </c>
      <c r="G411" s="11" t="s">
        <v>31</v>
      </c>
      <c r="H411" s="13" t="s">
        <v>265</v>
      </c>
      <c r="I411" s="13" t="s">
        <v>447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1</v>
      </c>
      <c r="BJ411" s="13">
        <v>360</v>
      </c>
      <c r="BK411" s="13">
        <v>0</v>
      </c>
      <c r="BL411" s="13">
        <v>18</v>
      </c>
      <c r="BM411" s="18">
        <v>360</v>
      </c>
      <c r="BN411" s="9">
        <f t="shared" si="12"/>
        <v>342</v>
      </c>
      <c r="BO411" s="10">
        <f t="shared" si="13"/>
        <v>239.39999999999998</v>
      </c>
    </row>
    <row r="412" spans="1:67" ht="24">
      <c r="A412" s="5" t="s">
        <v>351</v>
      </c>
      <c r="B412" s="11" t="s">
        <v>172</v>
      </c>
      <c r="C412" s="11">
        <v>402649</v>
      </c>
      <c r="D412" s="12"/>
      <c r="E412" s="11" t="s">
        <v>16</v>
      </c>
      <c r="F412" s="11" t="s">
        <v>37</v>
      </c>
      <c r="G412" s="11" t="s">
        <v>31</v>
      </c>
      <c r="H412" s="13" t="s">
        <v>8</v>
      </c>
      <c r="I412" s="13" t="s">
        <v>173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3</v>
      </c>
      <c r="AF412" s="13">
        <v>300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8">
        <v>300</v>
      </c>
      <c r="BN412" s="9">
        <f t="shared" si="12"/>
        <v>300</v>
      </c>
      <c r="BO412" s="10">
        <f t="shared" si="13"/>
        <v>210</v>
      </c>
    </row>
    <row r="413" spans="1:67" ht="24">
      <c r="A413" s="5" t="s">
        <v>351</v>
      </c>
      <c r="B413" s="11" t="s">
        <v>289</v>
      </c>
      <c r="C413" s="11">
        <v>388508</v>
      </c>
      <c r="D413" s="12"/>
      <c r="E413" s="11" t="s">
        <v>16</v>
      </c>
      <c r="F413" s="11" t="s">
        <v>290</v>
      </c>
      <c r="G413" s="11" t="s">
        <v>337</v>
      </c>
      <c r="H413" s="13" t="s">
        <v>7</v>
      </c>
      <c r="I413" s="13" t="s">
        <v>291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2</v>
      </c>
      <c r="BJ413" s="13">
        <v>240</v>
      </c>
      <c r="BK413" s="13">
        <v>0</v>
      </c>
      <c r="BL413" s="13">
        <v>12</v>
      </c>
      <c r="BM413" s="18">
        <v>240</v>
      </c>
      <c r="BN413" s="9">
        <f t="shared" si="12"/>
        <v>228</v>
      </c>
      <c r="BO413" s="10">
        <f t="shared" si="13"/>
        <v>159.6</v>
      </c>
    </row>
    <row r="414" spans="1:67" ht="24">
      <c r="A414" s="5" t="s">
        <v>351</v>
      </c>
      <c r="B414" s="11" t="s">
        <v>472</v>
      </c>
      <c r="C414" s="11">
        <v>381176</v>
      </c>
      <c r="D414" s="12"/>
      <c r="E414" s="11" t="s">
        <v>16</v>
      </c>
      <c r="F414" s="11" t="s">
        <v>35</v>
      </c>
      <c r="G414" s="11" t="s">
        <v>10</v>
      </c>
      <c r="H414" s="13" t="s">
        <v>7</v>
      </c>
      <c r="I414" s="13" t="s">
        <v>473</v>
      </c>
      <c r="J414" s="13">
        <v>0</v>
      </c>
      <c r="K414" s="13">
        <v>4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16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2</v>
      </c>
      <c r="BJ414" s="13">
        <v>240</v>
      </c>
      <c r="BK414" s="13">
        <v>0</v>
      </c>
      <c r="BL414" s="13">
        <v>12</v>
      </c>
      <c r="BM414" s="18">
        <v>240</v>
      </c>
      <c r="BN414" s="9">
        <f t="shared" si="12"/>
        <v>228</v>
      </c>
      <c r="BO414" s="10">
        <f t="shared" si="13"/>
        <v>159.6</v>
      </c>
    </row>
    <row r="415" spans="1:67" ht="24">
      <c r="A415" s="5" t="s">
        <v>351</v>
      </c>
      <c r="B415" s="11" t="s">
        <v>256</v>
      </c>
      <c r="C415" s="11">
        <v>355320</v>
      </c>
      <c r="D415" s="12"/>
      <c r="E415" s="11" t="s">
        <v>16</v>
      </c>
      <c r="F415" s="11" t="s">
        <v>257</v>
      </c>
      <c r="G415" s="11" t="s">
        <v>31</v>
      </c>
      <c r="H415" s="13" t="s">
        <v>8</v>
      </c>
      <c r="I415" s="13" t="s">
        <v>258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2</v>
      </c>
      <c r="AF415" s="13">
        <v>0</v>
      </c>
      <c r="AG415" s="13">
        <v>200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0</v>
      </c>
      <c r="BM415" s="18">
        <v>200</v>
      </c>
      <c r="BN415" s="9">
        <f t="shared" si="12"/>
        <v>200</v>
      </c>
      <c r="BO415" s="10">
        <f t="shared" si="13"/>
        <v>140</v>
      </c>
    </row>
    <row r="416" spans="1:67" ht="24">
      <c r="A416" s="5" t="s">
        <v>351</v>
      </c>
      <c r="B416" s="11" t="s">
        <v>698</v>
      </c>
      <c r="C416" s="11">
        <v>434853</v>
      </c>
      <c r="D416" s="12"/>
      <c r="E416" s="11" t="s">
        <v>16</v>
      </c>
      <c r="F416" s="11" t="s">
        <v>221</v>
      </c>
      <c r="G416" s="11" t="s">
        <v>10</v>
      </c>
      <c r="H416" s="13" t="s">
        <v>7</v>
      </c>
      <c r="I416" s="13" t="s">
        <v>222</v>
      </c>
      <c r="J416" s="13">
        <v>2</v>
      </c>
      <c r="K416" s="13">
        <v>0</v>
      </c>
      <c r="L416" s="13">
        <v>200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0</v>
      </c>
      <c r="BM416" s="18">
        <v>200</v>
      </c>
      <c r="BN416" s="9">
        <f t="shared" si="12"/>
        <v>200</v>
      </c>
      <c r="BO416" s="10">
        <f t="shared" si="13"/>
        <v>140</v>
      </c>
    </row>
    <row r="417" spans="1:67" ht="24">
      <c r="A417" s="5" t="s">
        <v>351</v>
      </c>
      <c r="B417" s="11" t="s">
        <v>325</v>
      </c>
      <c r="C417" s="11">
        <v>471707</v>
      </c>
      <c r="D417" s="12"/>
      <c r="E417" s="11" t="s">
        <v>16</v>
      </c>
      <c r="F417" s="11" t="s">
        <v>326</v>
      </c>
      <c r="G417" s="11" t="s">
        <v>10</v>
      </c>
      <c r="H417" s="13" t="s">
        <v>7</v>
      </c>
      <c r="I417" s="13" t="s">
        <v>327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2</v>
      </c>
      <c r="AF417" s="13">
        <v>0</v>
      </c>
      <c r="AG417" s="13">
        <v>200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3">
        <v>0</v>
      </c>
      <c r="BM417" s="18">
        <v>200</v>
      </c>
      <c r="BN417" s="9">
        <f t="shared" si="12"/>
        <v>200</v>
      </c>
      <c r="BO417" s="10">
        <f t="shared" si="13"/>
        <v>140</v>
      </c>
    </row>
    <row r="418" spans="1:67" ht="24">
      <c r="A418" s="5" t="s">
        <v>351</v>
      </c>
      <c r="B418" s="11" t="s">
        <v>273</v>
      </c>
      <c r="C418" s="11">
        <v>431330</v>
      </c>
      <c r="D418" s="12"/>
      <c r="E418" s="11" t="s">
        <v>16</v>
      </c>
      <c r="F418" s="11" t="s">
        <v>233</v>
      </c>
      <c r="G418" s="11" t="s">
        <v>31</v>
      </c>
      <c r="H418" s="13" t="s">
        <v>8</v>
      </c>
      <c r="I418" s="13" t="s">
        <v>274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1</v>
      </c>
      <c r="BJ418" s="13">
        <v>120</v>
      </c>
      <c r="BK418" s="13">
        <v>0</v>
      </c>
      <c r="BL418" s="13">
        <v>6</v>
      </c>
      <c r="BM418" s="18">
        <v>120</v>
      </c>
      <c r="BN418" s="9">
        <f t="shared" si="12"/>
        <v>114</v>
      </c>
      <c r="BO418" s="10">
        <f t="shared" si="13"/>
        <v>79.8</v>
      </c>
    </row>
    <row r="419" spans="1:67" ht="24">
      <c r="A419" s="5" t="s">
        <v>351</v>
      </c>
      <c r="B419" s="11" t="s">
        <v>261</v>
      </c>
      <c r="C419" s="11">
        <v>385169</v>
      </c>
      <c r="D419" s="12"/>
      <c r="E419" s="11" t="s">
        <v>16</v>
      </c>
      <c r="F419" s="11" t="s">
        <v>185</v>
      </c>
      <c r="G419" s="11" t="s">
        <v>31</v>
      </c>
      <c r="H419" s="13" t="s">
        <v>8</v>
      </c>
      <c r="I419" s="13" t="s">
        <v>258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1</v>
      </c>
      <c r="BJ419" s="13">
        <v>120</v>
      </c>
      <c r="BK419" s="13">
        <v>0</v>
      </c>
      <c r="BL419" s="13">
        <v>6</v>
      </c>
      <c r="BM419" s="18">
        <v>120</v>
      </c>
      <c r="BN419" s="9">
        <f t="shared" si="12"/>
        <v>114</v>
      </c>
      <c r="BO419" s="10">
        <f t="shared" si="13"/>
        <v>79.8</v>
      </c>
    </row>
    <row r="420" spans="1:67" ht="24">
      <c r="A420" s="5" t="s">
        <v>351</v>
      </c>
      <c r="B420" s="11" t="s">
        <v>129</v>
      </c>
      <c r="C420" s="11">
        <v>399034</v>
      </c>
      <c r="D420" s="12"/>
      <c r="E420" s="11" t="s">
        <v>16</v>
      </c>
      <c r="F420" s="11" t="s">
        <v>130</v>
      </c>
      <c r="G420" s="11" t="s">
        <v>31</v>
      </c>
      <c r="H420" s="13" t="s">
        <v>8</v>
      </c>
      <c r="I420" s="13" t="s">
        <v>131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1</v>
      </c>
      <c r="BJ420" s="13">
        <v>120</v>
      </c>
      <c r="BK420" s="13">
        <v>0</v>
      </c>
      <c r="BL420" s="13">
        <v>6</v>
      </c>
      <c r="BM420" s="18">
        <v>120</v>
      </c>
      <c r="BN420" s="9">
        <f t="shared" si="12"/>
        <v>114</v>
      </c>
      <c r="BO420" s="10">
        <f t="shared" si="13"/>
        <v>79.8</v>
      </c>
    </row>
    <row r="421" spans="1:67" ht="24">
      <c r="A421" s="5" t="s">
        <v>351</v>
      </c>
      <c r="B421" s="11" t="s">
        <v>109</v>
      </c>
      <c r="C421" s="11">
        <v>379813</v>
      </c>
      <c r="D421" s="12"/>
      <c r="E421" s="11" t="s">
        <v>16</v>
      </c>
      <c r="F421" s="11" t="s">
        <v>27</v>
      </c>
      <c r="G421" s="11" t="s">
        <v>10</v>
      </c>
      <c r="H421" s="13" t="s">
        <v>7</v>
      </c>
      <c r="I421" s="13" t="s">
        <v>110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10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1</v>
      </c>
      <c r="AR421" s="13">
        <v>100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8">
        <v>100</v>
      </c>
      <c r="BN421" s="9">
        <f t="shared" si="12"/>
        <v>100</v>
      </c>
      <c r="BO421" s="10">
        <f t="shared" si="13"/>
        <v>70</v>
      </c>
    </row>
    <row r="422" spans="1:67" ht="24">
      <c r="A422" s="5" t="s">
        <v>351</v>
      </c>
      <c r="B422" s="11" t="s">
        <v>649</v>
      </c>
      <c r="C422" s="11">
        <v>434877</v>
      </c>
      <c r="D422" s="12"/>
      <c r="E422" s="11" t="s">
        <v>16</v>
      </c>
      <c r="F422" s="11" t="s">
        <v>194</v>
      </c>
      <c r="G422" s="11" t="s">
        <v>10</v>
      </c>
      <c r="H422" s="13" t="s">
        <v>7</v>
      </c>
      <c r="I422" s="13" t="s">
        <v>195</v>
      </c>
      <c r="J422" s="13">
        <v>1</v>
      </c>
      <c r="K422" s="13">
        <v>0</v>
      </c>
      <c r="L422" s="13">
        <v>100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8">
        <v>100</v>
      </c>
      <c r="BN422" s="9">
        <f t="shared" si="12"/>
        <v>100</v>
      </c>
      <c r="BO422" s="10">
        <f t="shared" si="13"/>
        <v>70</v>
      </c>
    </row>
    <row r="423" spans="1:67" ht="24">
      <c r="A423" s="5" t="s">
        <v>351</v>
      </c>
      <c r="B423" s="11" t="s">
        <v>240</v>
      </c>
      <c r="C423" s="11">
        <v>327548</v>
      </c>
      <c r="D423" s="12"/>
      <c r="E423" s="11" t="s">
        <v>16</v>
      </c>
      <c r="F423" s="11" t="s">
        <v>185</v>
      </c>
      <c r="G423" s="11" t="s">
        <v>31</v>
      </c>
      <c r="H423" s="13" t="s">
        <v>8</v>
      </c>
      <c r="I423" s="13" t="s">
        <v>241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1</v>
      </c>
      <c r="AF423" s="13">
        <v>100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8">
        <v>100</v>
      </c>
      <c r="BN423" s="9">
        <f t="shared" si="12"/>
        <v>100</v>
      </c>
      <c r="BO423" s="10">
        <f t="shared" si="13"/>
        <v>70</v>
      </c>
    </row>
    <row r="424" spans="1:67" ht="24">
      <c r="A424" s="5" t="s">
        <v>351</v>
      </c>
      <c r="B424" s="11" t="s">
        <v>50</v>
      </c>
      <c r="C424" s="11">
        <v>463946</v>
      </c>
      <c r="D424" s="12"/>
      <c r="E424" s="11" t="s">
        <v>16</v>
      </c>
      <c r="F424" s="11" t="s">
        <v>51</v>
      </c>
      <c r="G424" s="11" t="s">
        <v>10</v>
      </c>
      <c r="H424" s="13" t="s">
        <v>7</v>
      </c>
      <c r="I424" s="13" t="s">
        <v>52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1</v>
      </c>
      <c r="AR424" s="13">
        <v>100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8">
        <v>100</v>
      </c>
      <c r="BN424" s="9">
        <f t="shared" si="12"/>
        <v>100</v>
      </c>
      <c r="BO424" s="10">
        <f t="shared" si="13"/>
        <v>70</v>
      </c>
    </row>
    <row r="425" spans="1:67" ht="24">
      <c r="A425" s="5" t="s">
        <v>351</v>
      </c>
      <c r="B425" s="11" t="s">
        <v>556</v>
      </c>
      <c r="C425" s="11">
        <v>486824</v>
      </c>
      <c r="D425" s="12"/>
      <c r="E425" s="11" t="s">
        <v>16</v>
      </c>
      <c r="F425" s="11" t="s">
        <v>546</v>
      </c>
      <c r="G425" s="11" t="s">
        <v>337</v>
      </c>
      <c r="H425" s="13" t="s">
        <v>8</v>
      </c>
      <c r="I425" s="13" t="s">
        <v>520</v>
      </c>
      <c r="J425" s="13">
        <v>0</v>
      </c>
      <c r="K425" s="13">
        <v>31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8">
        <v>0</v>
      </c>
      <c r="BN425" s="9">
        <f t="shared" si="12"/>
        <v>0</v>
      </c>
      <c r="BO425" s="10">
        <f t="shared" si="13"/>
        <v>0</v>
      </c>
    </row>
    <row r="426" spans="1:67" ht="24">
      <c r="A426" s="5" t="s">
        <v>352</v>
      </c>
      <c r="B426" s="11" t="s">
        <v>513</v>
      </c>
      <c r="C426" s="11">
        <v>486613</v>
      </c>
      <c r="D426" s="12"/>
      <c r="E426" s="11" t="s">
        <v>16</v>
      </c>
      <c r="F426" s="11" t="s">
        <v>514</v>
      </c>
      <c r="G426" s="11" t="s">
        <v>337</v>
      </c>
      <c r="H426" s="13" t="s">
        <v>9</v>
      </c>
      <c r="I426" s="13" t="s">
        <v>463</v>
      </c>
      <c r="J426" s="13">
        <v>6</v>
      </c>
      <c r="K426" s="14">
        <v>31809</v>
      </c>
      <c r="L426" s="13">
        <v>600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4">
        <v>14536</v>
      </c>
      <c r="AF426" s="14">
        <v>1292100</v>
      </c>
      <c r="AG426" s="14">
        <v>161700</v>
      </c>
      <c r="AH426" s="13">
        <v>0</v>
      </c>
      <c r="AI426" s="13">
        <v>0</v>
      </c>
      <c r="AJ426" s="13">
        <v>0</v>
      </c>
      <c r="AK426" s="14">
        <v>12184</v>
      </c>
      <c r="AL426" s="14">
        <v>1072850</v>
      </c>
      <c r="AM426" s="14">
        <v>310400</v>
      </c>
      <c r="AN426" s="13">
        <v>0</v>
      </c>
      <c r="AO426" s="13">
        <v>0</v>
      </c>
      <c r="AP426" s="13">
        <v>0</v>
      </c>
      <c r="AQ426" s="14">
        <v>6434</v>
      </c>
      <c r="AR426" s="14">
        <v>631300</v>
      </c>
      <c r="AS426" s="14">
        <v>12100</v>
      </c>
      <c r="AT426" s="13">
        <v>0</v>
      </c>
      <c r="AU426" s="13">
        <v>0</v>
      </c>
      <c r="AV426" s="13">
        <v>0</v>
      </c>
      <c r="AW426" s="13">
        <v>60</v>
      </c>
      <c r="AX426" s="14">
        <v>7200</v>
      </c>
      <c r="AY426" s="13">
        <v>0</v>
      </c>
      <c r="AZ426" s="13">
        <v>0</v>
      </c>
      <c r="BA426" s="13">
        <v>0</v>
      </c>
      <c r="BB426" s="13">
        <v>0</v>
      </c>
      <c r="BC426" s="13">
        <v>310</v>
      </c>
      <c r="BD426" s="14">
        <v>37200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5">
        <v>324807</v>
      </c>
      <c r="BM426" s="17">
        <v>3525450</v>
      </c>
      <c r="BN426" s="9">
        <f t="shared" si="12"/>
        <v>3200643</v>
      </c>
      <c r="BO426" s="10">
        <f t="shared" si="13"/>
        <v>2240450.0999999996</v>
      </c>
    </row>
    <row r="427" spans="1:67" ht="24">
      <c r="A427" s="5" t="s">
        <v>352</v>
      </c>
      <c r="B427" s="11" t="s">
        <v>61</v>
      </c>
      <c r="C427" s="11">
        <v>387417</v>
      </c>
      <c r="D427" s="12"/>
      <c r="E427" s="11" t="s">
        <v>16</v>
      </c>
      <c r="F427" s="11" t="s">
        <v>62</v>
      </c>
      <c r="G427" s="11" t="s">
        <v>10</v>
      </c>
      <c r="H427" s="13" t="s">
        <v>7</v>
      </c>
      <c r="I427" s="13" t="s">
        <v>575</v>
      </c>
      <c r="J427" s="13">
        <v>0</v>
      </c>
      <c r="K427" s="14">
        <v>3060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628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4">
        <v>5542</v>
      </c>
      <c r="AF427" s="14">
        <v>466300</v>
      </c>
      <c r="AG427" s="14">
        <v>87900</v>
      </c>
      <c r="AH427" s="13">
        <v>0</v>
      </c>
      <c r="AI427" s="13">
        <v>0</v>
      </c>
      <c r="AJ427" s="13">
        <v>0</v>
      </c>
      <c r="AK427" s="14">
        <v>4615</v>
      </c>
      <c r="AL427" s="14">
        <v>440564</v>
      </c>
      <c r="AM427" s="14">
        <v>89100</v>
      </c>
      <c r="AN427" s="13">
        <v>0</v>
      </c>
      <c r="AO427" s="13">
        <v>0</v>
      </c>
      <c r="AP427" s="13">
        <v>0</v>
      </c>
      <c r="AQ427" s="14">
        <v>4591</v>
      </c>
      <c r="AR427" s="14">
        <v>451200</v>
      </c>
      <c r="AS427" s="14">
        <v>7900</v>
      </c>
      <c r="AT427" s="13">
        <v>0</v>
      </c>
      <c r="AU427" s="13">
        <v>0</v>
      </c>
      <c r="AV427" s="13">
        <v>0</v>
      </c>
      <c r="AW427" s="13">
        <v>58</v>
      </c>
      <c r="AX427" s="14">
        <v>6960</v>
      </c>
      <c r="AY427" s="13">
        <v>0</v>
      </c>
      <c r="AZ427" s="13">
        <v>0</v>
      </c>
      <c r="BA427" s="13">
        <v>0</v>
      </c>
      <c r="BB427" s="13">
        <v>0</v>
      </c>
      <c r="BC427" s="13">
        <v>153</v>
      </c>
      <c r="BD427" s="14">
        <v>18360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5">
        <v>133966.79999999999</v>
      </c>
      <c r="BM427" s="17">
        <v>1568284</v>
      </c>
      <c r="BN427" s="9">
        <f t="shared" si="12"/>
        <v>1434317.2</v>
      </c>
      <c r="BO427" s="10">
        <f t="shared" si="13"/>
        <v>1004022.0399999999</v>
      </c>
    </row>
    <row r="428" spans="1:67" ht="24">
      <c r="A428" s="5" t="s">
        <v>352</v>
      </c>
      <c r="B428" s="11" t="s">
        <v>706</v>
      </c>
      <c r="C428" s="11">
        <v>479547</v>
      </c>
      <c r="D428" s="12"/>
      <c r="E428" s="11" t="s">
        <v>16</v>
      </c>
      <c r="F428" s="11" t="s">
        <v>516</v>
      </c>
      <c r="G428" s="11" t="s">
        <v>10</v>
      </c>
      <c r="H428" s="13" t="s">
        <v>7</v>
      </c>
      <c r="I428" s="13" t="s">
        <v>576</v>
      </c>
      <c r="J428" s="13">
        <v>0</v>
      </c>
      <c r="K428" s="14">
        <v>4974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140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4">
        <v>4746</v>
      </c>
      <c r="AF428" s="14">
        <v>385160</v>
      </c>
      <c r="AG428" s="14">
        <v>89500</v>
      </c>
      <c r="AH428" s="13">
        <v>0</v>
      </c>
      <c r="AI428" s="13">
        <v>0</v>
      </c>
      <c r="AJ428" s="13">
        <v>0</v>
      </c>
      <c r="AK428" s="14">
        <v>3929</v>
      </c>
      <c r="AL428" s="14">
        <v>301044</v>
      </c>
      <c r="AM428" s="14">
        <v>138900</v>
      </c>
      <c r="AN428" s="13">
        <v>0</v>
      </c>
      <c r="AO428" s="13">
        <v>0</v>
      </c>
      <c r="AP428" s="13">
        <v>0</v>
      </c>
      <c r="AQ428" s="14">
        <v>2885</v>
      </c>
      <c r="AR428" s="14">
        <v>280000</v>
      </c>
      <c r="AS428" s="14">
        <v>8500</v>
      </c>
      <c r="AT428" s="13">
        <v>0</v>
      </c>
      <c r="AU428" s="13">
        <v>0</v>
      </c>
      <c r="AV428" s="13">
        <v>0</v>
      </c>
      <c r="AW428" s="13">
        <v>18</v>
      </c>
      <c r="AX428" s="14">
        <v>2160</v>
      </c>
      <c r="AY428" s="13">
        <v>0</v>
      </c>
      <c r="AZ428" s="13">
        <v>0</v>
      </c>
      <c r="BA428" s="13">
        <v>0</v>
      </c>
      <c r="BB428" s="13">
        <v>0</v>
      </c>
      <c r="BC428" s="13">
        <v>45</v>
      </c>
      <c r="BD428" s="14">
        <v>5400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5">
        <v>90853.2</v>
      </c>
      <c r="BM428" s="17">
        <v>1210664</v>
      </c>
      <c r="BN428" s="9">
        <f t="shared" si="12"/>
        <v>1119810.8</v>
      </c>
      <c r="BO428" s="10">
        <f t="shared" si="13"/>
        <v>783867.55999999994</v>
      </c>
    </row>
    <row r="429" spans="1:67" ht="24">
      <c r="A429" s="5" t="s">
        <v>352</v>
      </c>
      <c r="B429" s="11" t="s">
        <v>15</v>
      </c>
      <c r="C429" s="11">
        <v>465248</v>
      </c>
      <c r="D429" s="12"/>
      <c r="E429" s="11" t="s">
        <v>16</v>
      </c>
      <c r="F429" s="11" t="s">
        <v>17</v>
      </c>
      <c r="G429" s="11" t="s">
        <v>337</v>
      </c>
      <c r="H429" s="13" t="s">
        <v>9</v>
      </c>
      <c r="I429" s="13" t="s">
        <v>18</v>
      </c>
      <c r="J429" s="13">
        <v>1</v>
      </c>
      <c r="K429" s="14">
        <v>2722</v>
      </c>
      <c r="L429" s="13">
        <v>100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4">
        <v>2435</v>
      </c>
      <c r="AF429" s="14">
        <v>204240</v>
      </c>
      <c r="AG429" s="14">
        <v>39300</v>
      </c>
      <c r="AH429" s="13">
        <v>0</v>
      </c>
      <c r="AI429" s="13">
        <v>0</v>
      </c>
      <c r="AJ429" s="13">
        <v>0</v>
      </c>
      <c r="AK429" s="14">
        <v>4240</v>
      </c>
      <c r="AL429" s="14">
        <v>372131</v>
      </c>
      <c r="AM429" s="14">
        <v>112200</v>
      </c>
      <c r="AN429" s="13">
        <v>0</v>
      </c>
      <c r="AO429" s="13">
        <v>0</v>
      </c>
      <c r="AP429" s="13">
        <v>0</v>
      </c>
      <c r="AQ429" s="14">
        <v>1398</v>
      </c>
      <c r="AR429" s="14">
        <v>137000</v>
      </c>
      <c r="AS429" s="14">
        <v>2800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32</v>
      </c>
      <c r="BD429" s="14">
        <v>3840</v>
      </c>
      <c r="BE429" s="13">
        <v>0</v>
      </c>
      <c r="BF429" s="13">
        <v>0</v>
      </c>
      <c r="BG429" s="13">
        <v>0</v>
      </c>
      <c r="BH429" s="13">
        <v>0</v>
      </c>
      <c r="BI429" s="13">
        <v>10</v>
      </c>
      <c r="BJ429" s="14">
        <v>1200</v>
      </c>
      <c r="BK429" s="13">
        <v>0</v>
      </c>
      <c r="BL429" s="15">
        <v>111929.7</v>
      </c>
      <c r="BM429" s="17">
        <v>872811</v>
      </c>
      <c r="BN429" s="9">
        <f t="shared" si="12"/>
        <v>760881.3</v>
      </c>
      <c r="BO429" s="10">
        <f t="shared" si="13"/>
        <v>532616.91</v>
      </c>
    </row>
    <row r="430" spans="1:67" ht="24">
      <c r="A430" s="5" t="s">
        <v>352</v>
      </c>
      <c r="B430" s="11" t="s">
        <v>33</v>
      </c>
      <c r="C430" s="11">
        <v>178856</v>
      </c>
      <c r="D430" s="12"/>
      <c r="E430" s="11" t="s">
        <v>16</v>
      </c>
      <c r="F430" s="11" t="s">
        <v>27</v>
      </c>
      <c r="G430" s="11" t="s">
        <v>10</v>
      </c>
      <c r="H430" s="13" t="s">
        <v>9</v>
      </c>
      <c r="I430" s="13" t="s">
        <v>34</v>
      </c>
      <c r="J430" s="13">
        <v>0</v>
      </c>
      <c r="K430" s="13">
        <v>13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515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4">
        <v>3670</v>
      </c>
      <c r="AF430" s="14">
        <v>331300</v>
      </c>
      <c r="AG430" s="14">
        <v>35700</v>
      </c>
      <c r="AH430" s="13">
        <v>0</v>
      </c>
      <c r="AI430" s="13">
        <v>0</v>
      </c>
      <c r="AJ430" s="13">
        <v>0</v>
      </c>
      <c r="AK430" s="14">
        <v>1494</v>
      </c>
      <c r="AL430" s="14">
        <v>147640</v>
      </c>
      <c r="AM430" s="14">
        <v>24200</v>
      </c>
      <c r="AN430" s="13">
        <v>0</v>
      </c>
      <c r="AO430" s="13">
        <v>0</v>
      </c>
      <c r="AP430" s="13">
        <v>0</v>
      </c>
      <c r="AQ430" s="14">
        <v>1688</v>
      </c>
      <c r="AR430" s="14">
        <v>165800</v>
      </c>
      <c r="AS430" s="14">
        <v>3000</v>
      </c>
      <c r="AT430" s="13">
        <v>0</v>
      </c>
      <c r="AU430" s="13">
        <v>0</v>
      </c>
      <c r="AV430" s="13">
        <v>0</v>
      </c>
      <c r="AW430" s="13">
        <v>151</v>
      </c>
      <c r="AX430" s="14">
        <v>18884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5">
        <v>46180.4</v>
      </c>
      <c r="BM430" s="17">
        <v>726524</v>
      </c>
      <c r="BN430" s="9">
        <f t="shared" si="12"/>
        <v>680343.6</v>
      </c>
      <c r="BO430" s="10">
        <f t="shared" si="13"/>
        <v>476240.51999999996</v>
      </c>
    </row>
    <row r="431" spans="1:67" ht="24">
      <c r="A431" s="5" t="s">
        <v>352</v>
      </c>
      <c r="B431" s="11" t="s">
        <v>323</v>
      </c>
      <c r="C431" s="11">
        <v>472512</v>
      </c>
      <c r="D431" s="12"/>
      <c r="E431" s="11" t="s">
        <v>16</v>
      </c>
      <c r="F431" s="11" t="s">
        <v>35</v>
      </c>
      <c r="G431" s="11" t="s">
        <v>10</v>
      </c>
      <c r="H431" s="13" t="s">
        <v>7</v>
      </c>
      <c r="I431" s="13" t="s">
        <v>576</v>
      </c>
      <c r="J431" s="13">
        <v>0</v>
      </c>
      <c r="K431" s="14">
        <v>2667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97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4">
        <v>2024</v>
      </c>
      <c r="AF431" s="14">
        <v>182100</v>
      </c>
      <c r="AG431" s="14">
        <v>20300</v>
      </c>
      <c r="AH431" s="13">
        <v>0</v>
      </c>
      <c r="AI431" s="13">
        <v>0</v>
      </c>
      <c r="AJ431" s="13">
        <v>0</v>
      </c>
      <c r="AK431" s="14">
        <v>2177</v>
      </c>
      <c r="AL431" s="14">
        <v>177338</v>
      </c>
      <c r="AM431" s="14">
        <v>69600</v>
      </c>
      <c r="AN431" s="13">
        <v>0</v>
      </c>
      <c r="AO431" s="13">
        <v>0</v>
      </c>
      <c r="AP431" s="13">
        <v>0</v>
      </c>
      <c r="AQ431" s="13">
        <v>994</v>
      </c>
      <c r="AR431" s="14">
        <v>97600</v>
      </c>
      <c r="AS431" s="14">
        <v>1800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41</v>
      </c>
      <c r="BD431" s="14">
        <v>4920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5">
        <v>53496.6</v>
      </c>
      <c r="BM431" s="17">
        <v>553658</v>
      </c>
      <c r="BN431" s="9">
        <f t="shared" si="12"/>
        <v>500161.4</v>
      </c>
      <c r="BO431" s="10">
        <f t="shared" si="13"/>
        <v>350112.98</v>
      </c>
    </row>
    <row r="432" spans="1:67" ht="24">
      <c r="A432" s="5" t="s">
        <v>352</v>
      </c>
      <c r="B432" s="11" t="s">
        <v>40</v>
      </c>
      <c r="C432" s="11">
        <v>324335</v>
      </c>
      <c r="D432" s="12"/>
      <c r="E432" s="11" t="s">
        <v>16</v>
      </c>
      <c r="F432" s="11" t="s">
        <v>27</v>
      </c>
      <c r="G432" s="11" t="s">
        <v>10</v>
      </c>
      <c r="H432" s="13" t="s">
        <v>9</v>
      </c>
      <c r="I432" s="13" t="s">
        <v>41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72</v>
      </c>
      <c r="AF432" s="14">
        <v>220800</v>
      </c>
      <c r="AG432" s="14">
        <v>6600</v>
      </c>
      <c r="AH432" s="13">
        <v>0</v>
      </c>
      <c r="AI432" s="13">
        <v>0</v>
      </c>
      <c r="AJ432" s="13">
        <v>0</v>
      </c>
      <c r="AK432" s="13">
        <v>86</v>
      </c>
      <c r="AL432" s="14">
        <v>309344</v>
      </c>
      <c r="AM432" s="14">
        <v>9600</v>
      </c>
      <c r="AN432" s="13">
        <v>0</v>
      </c>
      <c r="AO432" s="13">
        <v>0</v>
      </c>
      <c r="AP432" s="13">
        <v>0</v>
      </c>
      <c r="AQ432" s="13">
        <v>1</v>
      </c>
      <c r="AR432" s="14">
        <v>3200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5">
        <v>92803.199999999997</v>
      </c>
      <c r="BM432" s="17">
        <v>549544</v>
      </c>
      <c r="BN432" s="9">
        <f t="shared" si="12"/>
        <v>456740.8</v>
      </c>
      <c r="BO432" s="10">
        <f t="shared" si="13"/>
        <v>319718.56</v>
      </c>
    </row>
    <row r="433" spans="1:67" ht="24">
      <c r="A433" s="5" t="s">
        <v>352</v>
      </c>
      <c r="B433" s="11" t="s">
        <v>579</v>
      </c>
      <c r="C433" s="11">
        <v>490220</v>
      </c>
      <c r="D433" s="12"/>
      <c r="E433" s="11" t="s">
        <v>16</v>
      </c>
      <c r="F433" s="11" t="s">
        <v>580</v>
      </c>
      <c r="G433" s="11" t="s">
        <v>31</v>
      </c>
      <c r="H433" s="13" t="s">
        <v>8</v>
      </c>
      <c r="I433" s="13" t="s">
        <v>581</v>
      </c>
      <c r="J433" s="13">
        <v>0</v>
      </c>
      <c r="K433" s="14">
        <v>4921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4">
        <v>1740</v>
      </c>
      <c r="AF433" s="14">
        <v>169900</v>
      </c>
      <c r="AG433" s="14">
        <v>4100</v>
      </c>
      <c r="AH433" s="13">
        <v>0</v>
      </c>
      <c r="AI433" s="13">
        <v>0</v>
      </c>
      <c r="AJ433" s="13">
        <v>0</v>
      </c>
      <c r="AK433" s="14">
        <v>2158</v>
      </c>
      <c r="AL433" s="14">
        <v>167193</v>
      </c>
      <c r="AM433" s="14">
        <v>76200</v>
      </c>
      <c r="AN433" s="13">
        <v>0</v>
      </c>
      <c r="AO433" s="13">
        <v>0</v>
      </c>
      <c r="AP433" s="13">
        <v>0</v>
      </c>
      <c r="AQ433" s="13">
        <v>436</v>
      </c>
      <c r="AR433" s="14">
        <v>42500</v>
      </c>
      <c r="AS433" s="14">
        <v>1100</v>
      </c>
      <c r="AT433" s="13">
        <v>0</v>
      </c>
      <c r="AU433" s="13">
        <v>0</v>
      </c>
      <c r="AV433" s="13">
        <v>0</v>
      </c>
      <c r="AW433" s="13">
        <v>5</v>
      </c>
      <c r="AX433" s="13">
        <v>600</v>
      </c>
      <c r="AY433" s="13">
        <v>0</v>
      </c>
      <c r="AZ433" s="13">
        <v>0</v>
      </c>
      <c r="BA433" s="13">
        <v>0</v>
      </c>
      <c r="BB433" s="13">
        <v>0</v>
      </c>
      <c r="BC433" s="13">
        <v>11</v>
      </c>
      <c r="BD433" s="14">
        <v>1320</v>
      </c>
      <c r="BE433" s="13">
        <v>0</v>
      </c>
      <c r="BF433" s="13">
        <v>0</v>
      </c>
      <c r="BG433" s="13">
        <v>0</v>
      </c>
      <c r="BH433" s="13">
        <v>0</v>
      </c>
      <c r="BI433" s="13">
        <v>1</v>
      </c>
      <c r="BJ433" s="13">
        <v>120</v>
      </c>
      <c r="BK433" s="13">
        <v>0</v>
      </c>
      <c r="BL433" s="15">
        <v>50303.1</v>
      </c>
      <c r="BM433" s="17">
        <v>463033</v>
      </c>
      <c r="BN433" s="9">
        <f t="shared" si="12"/>
        <v>412729.9</v>
      </c>
      <c r="BO433" s="10">
        <f t="shared" si="13"/>
        <v>288910.93</v>
      </c>
    </row>
    <row r="434" spans="1:67" ht="24">
      <c r="A434" s="5" t="s">
        <v>352</v>
      </c>
      <c r="B434" s="11" t="s">
        <v>42</v>
      </c>
      <c r="C434" s="11">
        <v>412919</v>
      </c>
      <c r="D434" s="12"/>
      <c r="E434" s="11" t="s">
        <v>16</v>
      </c>
      <c r="F434" s="11" t="s">
        <v>43</v>
      </c>
      <c r="G434" s="11" t="s">
        <v>31</v>
      </c>
      <c r="H434" s="13" t="s">
        <v>8</v>
      </c>
      <c r="I434" s="13" t="s">
        <v>44</v>
      </c>
      <c r="J434" s="13">
        <v>3</v>
      </c>
      <c r="K434" s="14">
        <v>1376</v>
      </c>
      <c r="L434" s="13">
        <v>300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176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4">
        <v>1595</v>
      </c>
      <c r="AF434" s="14">
        <v>148600</v>
      </c>
      <c r="AG434" s="14">
        <v>10900</v>
      </c>
      <c r="AH434" s="13">
        <v>0</v>
      </c>
      <c r="AI434" s="13">
        <v>0</v>
      </c>
      <c r="AJ434" s="13">
        <v>0</v>
      </c>
      <c r="AK434" s="14">
        <v>2230</v>
      </c>
      <c r="AL434" s="14">
        <v>179111</v>
      </c>
      <c r="AM434" s="14">
        <v>69200</v>
      </c>
      <c r="AN434" s="13">
        <v>0</v>
      </c>
      <c r="AO434" s="13">
        <v>0</v>
      </c>
      <c r="AP434" s="13">
        <v>0</v>
      </c>
      <c r="AQ434" s="13">
        <v>492</v>
      </c>
      <c r="AR434" s="14">
        <v>47700</v>
      </c>
      <c r="AS434" s="14">
        <v>1500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6</v>
      </c>
      <c r="BD434" s="13">
        <v>720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5">
        <v>53776.5</v>
      </c>
      <c r="BM434" s="17">
        <v>458031</v>
      </c>
      <c r="BN434" s="9">
        <f t="shared" si="12"/>
        <v>404254.5</v>
      </c>
      <c r="BO434" s="10">
        <f t="shared" si="13"/>
        <v>282978.14999999997</v>
      </c>
    </row>
    <row r="435" spans="1:67" ht="24">
      <c r="A435" s="5" t="s">
        <v>352</v>
      </c>
      <c r="B435" s="11" t="s">
        <v>26</v>
      </c>
      <c r="C435" s="11">
        <v>414278</v>
      </c>
      <c r="D435" s="12"/>
      <c r="E435" s="11" t="s">
        <v>16</v>
      </c>
      <c r="F435" s="11" t="s">
        <v>11</v>
      </c>
      <c r="G435" s="11" t="s">
        <v>10</v>
      </c>
      <c r="H435" s="13" t="s">
        <v>8</v>
      </c>
      <c r="I435" s="13" t="s">
        <v>341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11</v>
      </c>
      <c r="AF435" s="14">
        <v>35200</v>
      </c>
      <c r="AG435" s="13">
        <v>0</v>
      </c>
      <c r="AH435" s="13">
        <v>0</v>
      </c>
      <c r="AI435" s="13">
        <v>0</v>
      </c>
      <c r="AJ435" s="13">
        <v>0</v>
      </c>
      <c r="AK435" s="13">
        <v>61</v>
      </c>
      <c r="AL435" s="14">
        <v>227673</v>
      </c>
      <c r="AM435" s="13">
        <v>0</v>
      </c>
      <c r="AN435" s="13">
        <v>0</v>
      </c>
      <c r="AO435" s="13">
        <v>0</v>
      </c>
      <c r="AP435" s="13">
        <v>0</v>
      </c>
      <c r="AQ435" s="13">
        <v>52</v>
      </c>
      <c r="AR435" s="14">
        <v>162800</v>
      </c>
      <c r="AS435" s="14">
        <v>3500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5">
        <v>68301.899999999994</v>
      </c>
      <c r="BM435" s="17">
        <v>429173</v>
      </c>
      <c r="BN435" s="9">
        <f t="shared" si="12"/>
        <v>360871.1</v>
      </c>
      <c r="BO435" s="10">
        <f t="shared" si="13"/>
        <v>252609.76999999996</v>
      </c>
    </row>
    <row r="436" spans="1:67" ht="24">
      <c r="A436" s="5" t="s">
        <v>352</v>
      </c>
      <c r="B436" s="11" t="s">
        <v>345</v>
      </c>
      <c r="C436" s="11">
        <v>476003</v>
      </c>
      <c r="D436" s="12"/>
      <c r="E436" s="11" t="s">
        <v>16</v>
      </c>
      <c r="F436" s="11" t="s">
        <v>27</v>
      </c>
      <c r="G436" s="11" t="s">
        <v>10</v>
      </c>
      <c r="H436" s="13" t="s">
        <v>8</v>
      </c>
      <c r="I436" s="13" t="s">
        <v>341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24</v>
      </c>
      <c r="AF436" s="14">
        <v>76800</v>
      </c>
      <c r="AG436" s="13">
        <v>0</v>
      </c>
      <c r="AH436" s="13">
        <v>0</v>
      </c>
      <c r="AI436" s="13">
        <v>0</v>
      </c>
      <c r="AJ436" s="13">
        <v>0</v>
      </c>
      <c r="AK436" s="13">
        <v>40</v>
      </c>
      <c r="AL436" s="14">
        <v>153600</v>
      </c>
      <c r="AM436" s="13">
        <v>0</v>
      </c>
      <c r="AN436" s="13">
        <v>0</v>
      </c>
      <c r="AO436" s="13">
        <v>0</v>
      </c>
      <c r="AP436" s="13">
        <v>0</v>
      </c>
      <c r="AQ436" s="13">
        <v>18</v>
      </c>
      <c r="AR436" s="14">
        <v>57400</v>
      </c>
      <c r="AS436" s="13">
        <v>200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5">
        <v>46080</v>
      </c>
      <c r="BM436" s="17">
        <v>288000</v>
      </c>
      <c r="BN436" s="9">
        <f t="shared" si="12"/>
        <v>241920</v>
      </c>
      <c r="BO436" s="10">
        <f t="shared" si="13"/>
        <v>169344</v>
      </c>
    </row>
    <row r="437" spans="1:67" ht="24">
      <c r="A437" s="5" t="s">
        <v>352</v>
      </c>
      <c r="B437" s="11" t="s">
        <v>577</v>
      </c>
      <c r="C437" s="11">
        <v>449889</v>
      </c>
      <c r="D437" s="12"/>
      <c r="E437" s="11" t="s">
        <v>16</v>
      </c>
      <c r="F437" s="11" t="s">
        <v>24</v>
      </c>
      <c r="G437" s="11" t="s">
        <v>10</v>
      </c>
      <c r="H437" s="13" t="s">
        <v>7</v>
      </c>
      <c r="I437" s="13" t="s">
        <v>25</v>
      </c>
      <c r="J437" s="13">
        <v>0</v>
      </c>
      <c r="K437" s="14">
        <v>11087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74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683</v>
      </c>
      <c r="AF437" s="14">
        <v>60720</v>
      </c>
      <c r="AG437" s="14">
        <v>8400</v>
      </c>
      <c r="AH437" s="13">
        <v>0</v>
      </c>
      <c r="AI437" s="13">
        <v>0</v>
      </c>
      <c r="AJ437" s="13">
        <v>0</v>
      </c>
      <c r="AK437" s="13">
        <v>899</v>
      </c>
      <c r="AL437" s="14">
        <v>82666</v>
      </c>
      <c r="AM437" s="14">
        <v>20800</v>
      </c>
      <c r="AN437" s="13">
        <v>0</v>
      </c>
      <c r="AO437" s="13">
        <v>0</v>
      </c>
      <c r="AP437" s="13">
        <v>0</v>
      </c>
      <c r="AQ437" s="13">
        <v>869</v>
      </c>
      <c r="AR437" s="14">
        <v>81800</v>
      </c>
      <c r="AS437" s="14">
        <v>5100</v>
      </c>
      <c r="AT437" s="13">
        <v>0</v>
      </c>
      <c r="AU437" s="13">
        <v>0</v>
      </c>
      <c r="AV437" s="13">
        <v>0</v>
      </c>
      <c r="AW437" s="13">
        <v>175</v>
      </c>
      <c r="AX437" s="14">
        <v>21000</v>
      </c>
      <c r="AY437" s="13">
        <v>0</v>
      </c>
      <c r="AZ437" s="13">
        <v>0</v>
      </c>
      <c r="BA437" s="13">
        <v>0</v>
      </c>
      <c r="BB437" s="13">
        <v>0</v>
      </c>
      <c r="BC437" s="13">
        <v>18</v>
      </c>
      <c r="BD437" s="14">
        <v>2160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5">
        <v>27029.4</v>
      </c>
      <c r="BM437" s="17">
        <v>282646</v>
      </c>
      <c r="BN437" s="9">
        <f t="shared" si="12"/>
        <v>255616.6</v>
      </c>
      <c r="BO437" s="10">
        <f t="shared" si="13"/>
        <v>178931.62</v>
      </c>
    </row>
    <row r="438" spans="1:67" ht="24">
      <c r="A438" s="5" t="s">
        <v>352</v>
      </c>
      <c r="B438" s="11" t="s">
        <v>578</v>
      </c>
      <c r="C438" s="11">
        <v>369220</v>
      </c>
      <c r="D438" s="12"/>
      <c r="E438" s="11" t="s">
        <v>16</v>
      </c>
      <c r="F438" s="11" t="s">
        <v>27</v>
      </c>
      <c r="G438" s="11" t="s">
        <v>10</v>
      </c>
      <c r="H438" s="13" t="s">
        <v>7</v>
      </c>
      <c r="I438" s="13" t="s">
        <v>28</v>
      </c>
      <c r="J438" s="13">
        <v>0</v>
      </c>
      <c r="K438" s="13">
        <v>10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39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135</v>
      </c>
      <c r="AF438" s="14">
        <v>11400</v>
      </c>
      <c r="AG438" s="14">
        <v>2100</v>
      </c>
      <c r="AH438" s="13">
        <v>0</v>
      </c>
      <c r="AI438" s="13">
        <v>0</v>
      </c>
      <c r="AJ438" s="13">
        <v>0</v>
      </c>
      <c r="AK438" s="14">
        <v>1194</v>
      </c>
      <c r="AL438" s="14">
        <v>141458</v>
      </c>
      <c r="AM438" s="14">
        <v>1500</v>
      </c>
      <c r="AN438" s="13">
        <v>0</v>
      </c>
      <c r="AO438" s="13">
        <v>0</v>
      </c>
      <c r="AP438" s="13">
        <v>0</v>
      </c>
      <c r="AQ438" s="13">
        <v>323</v>
      </c>
      <c r="AR438" s="14">
        <v>29300</v>
      </c>
      <c r="AS438" s="14">
        <v>3000</v>
      </c>
      <c r="AT438" s="13">
        <v>0</v>
      </c>
      <c r="AU438" s="13">
        <v>0</v>
      </c>
      <c r="AV438" s="13">
        <v>0</v>
      </c>
      <c r="AW438" s="13">
        <v>23</v>
      </c>
      <c r="AX438" s="14">
        <v>2944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5">
        <v>42731.8</v>
      </c>
      <c r="BM438" s="17">
        <v>191702</v>
      </c>
      <c r="BN438" s="9">
        <f t="shared" si="12"/>
        <v>148970.20000000001</v>
      </c>
      <c r="BO438" s="10">
        <f t="shared" si="13"/>
        <v>104279.14</v>
      </c>
    </row>
    <row r="439" spans="1:67" ht="24">
      <c r="A439" s="5" t="s">
        <v>352</v>
      </c>
      <c r="B439" s="11" t="s">
        <v>429</v>
      </c>
      <c r="C439" s="11">
        <v>482098</v>
      </c>
      <c r="D439" s="12"/>
      <c r="E439" s="11" t="s">
        <v>16</v>
      </c>
      <c r="F439" s="11" t="s">
        <v>37</v>
      </c>
      <c r="G439" s="11" t="s">
        <v>337</v>
      </c>
      <c r="H439" s="13" t="s">
        <v>8</v>
      </c>
      <c r="I439" s="13" t="s">
        <v>462</v>
      </c>
      <c r="J439" s="13">
        <v>49</v>
      </c>
      <c r="K439" s="14">
        <v>4106</v>
      </c>
      <c r="L439" s="14">
        <v>4900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630</v>
      </c>
      <c r="AF439" s="14">
        <v>56300</v>
      </c>
      <c r="AG439" s="14">
        <v>6700</v>
      </c>
      <c r="AH439" s="13">
        <v>0</v>
      </c>
      <c r="AI439" s="13">
        <v>0</v>
      </c>
      <c r="AJ439" s="13">
        <v>0</v>
      </c>
      <c r="AK439" s="13">
        <v>885</v>
      </c>
      <c r="AL439" s="14">
        <v>75266</v>
      </c>
      <c r="AM439" s="14">
        <v>25200</v>
      </c>
      <c r="AN439" s="13">
        <v>0</v>
      </c>
      <c r="AO439" s="13">
        <v>0</v>
      </c>
      <c r="AP439" s="13">
        <v>0</v>
      </c>
      <c r="AQ439" s="13">
        <v>152</v>
      </c>
      <c r="AR439" s="14">
        <v>15100</v>
      </c>
      <c r="AS439" s="13">
        <v>100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5">
        <v>22579.8</v>
      </c>
      <c r="BM439" s="17">
        <v>183566</v>
      </c>
      <c r="BN439" s="9">
        <f t="shared" ref="BN439:BN466" si="14">BM439-BL439</f>
        <v>160986.20000000001</v>
      </c>
      <c r="BO439" s="10">
        <f t="shared" ref="BO439:BO466" si="15">BN439*70%</f>
        <v>112690.34</v>
      </c>
    </row>
    <row r="440" spans="1:67" ht="24">
      <c r="A440" s="5" t="s">
        <v>352</v>
      </c>
      <c r="B440" s="11" t="s">
        <v>29</v>
      </c>
      <c r="C440" s="11">
        <v>395270</v>
      </c>
      <c r="D440" s="12"/>
      <c r="E440" s="11" t="s">
        <v>16</v>
      </c>
      <c r="F440" s="11" t="s">
        <v>30</v>
      </c>
      <c r="G440" s="11" t="s">
        <v>31</v>
      </c>
      <c r="H440" s="13" t="s">
        <v>8</v>
      </c>
      <c r="I440" s="13" t="s">
        <v>32</v>
      </c>
      <c r="J440" s="13">
        <v>1</v>
      </c>
      <c r="K440" s="13">
        <v>23</v>
      </c>
      <c r="L440" s="13">
        <v>100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38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503</v>
      </c>
      <c r="AF440" s="14">
        <v>45400</v>
      </c>
      <c r="AG440" s="14">
        <v>4900</v>
      </c>
      <c r="AH440" s="13">
        <v>0</v>
      </c>
      <c r="AI440" s="13">
        <v>0</v>
      </c>
      <c r="AJ440" s="13">
        <v>0</v>
      </c>
      <c r="AK440" s="13">
        <v>830</v>
      </c>
      <c r="AL440" s="14">
        <v>94399</v>
      </c>
      <c r="AM440" s="14">
        <v>3100</v>
      </c>
      <c r="AN440" s="13">
        <v>0</v>
      </c>
      <c r="AO440" s="13">
        <v>0</v>
      </c>
      <c r="AP440" s="13">
        <v>0</v>
      </c>
      <c r="AQ440" s="13">
        <v>155</v>
      </c>
      <c r="AR440" s="14">
        <v>15500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5">
        <v>28319.7</v>
      </c>
      <c r="BM440" s="17">
        <v>163399</v>
      </c>
      <c r="BN440" s="9">
        <f t="shared" si="14"/>
        <v>135079.29999999999</v>
      </c>
      <c r="BO440" s="10">
        <f t="shared" si="15"/>
        <v>94555.50999999998</v>
      </c>
    </row>
    <row r="441" spans="1:67" ht="24">
      <c r="A441" s="5" t="s">
        <v>352</v>
      </c>
      <c r="B441" s="11" t="s">
        <v>587</v>
      </c>
      <c r="C441" s="11">
        <v>490763</v>
      </c>
      <c r="D441" s="12"/>
      <c r="E441" s="11" t="s">
        <v>16</v>
      </c>
      <c r="F441" s="11" t="s">
        <v>588</v>
      </c>
      <c r="G441" s="11" t="s">
        <v>337</v>
      </c>
      <c r="H441" s="13" t="s">
        <v>8</v>
      </c>
      <c r="I441" s="13" t="s">
        <v>589</v>
      </c>
      <c r="J441" s="13">
        <v>0</v>
      </c>
      <c r="K441" s="14">
        <v>5298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315</v>
      </c>
      <c r="AF441" s="14">
        <v>28200</v>
      </c>
      <c r="AG441" s="14">
        <v>3300</v>
      </c>
      <c r="AH441" s="13">
        <v>0</v>
      </c>
      <c r="AI441" s="13">
        <v>0</v>
      </c>
      <c r="AJ441" s="13">
        <v>0</v>
      </c>
      <c r="AK441" s="13">
        <v>685</v>
      </c>
      <c r="AL441" s="14">
        <v>55200</v>
      </c>
      <c r="AM441" s="14">
        <v>22500</v>
      </c>
      <c r="AN441" s="13">
        <v>0</v>
      </c>
      <c r="AO441" s="13">
        <v>0</v>
      </c>
      <c r="AP441" s="13">
        <v>0</v>
      </c>
      <c r="AQ441" s="13">
        <v>118</v>
      </c>
      <c r="AR441" s="14">
        <v>11800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5">
        <v>16560</v>
      </c>
      <c r="BM441" s="17">
        <v>121000</v>
      </c>
      <c r="BN441" s="9">
        <f t="shared" si="14"/>
        <v>104440</v>
      </c>
      <c r="BO441" s="10">
        <f t="shared" si="15"/>
        <v>73108</v>
      </c>
    </row>
    <row r="442" spans="1:67" ht="24">
      <c r="A442" s="5" t="s">
        <v>352</v>
      </c>
      <c r="B442" s="11" t="s">
        <v>77</v>
      </c>
      <c r="C442" s="11">
        <v>370935</v>
      </c>
      <c r="D442" s="12"/>
      <c r="E442" s="11" t="s">
        <v>16</v>
      </c>
      <c r="F442" s="11" t="s">
        <v>27</v>
      </c>
      <c r="G442" s="11" t="s">
        <v>10</v>
      </c>
      <c r="H442" s="13" t="s">
        <v>7</v>
      </c>
      <c r="I442" s="13" t="s">
        <v>78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22</v>
      </c>
      <c r="AL442" s="14">
        <v>81536</v>
      </c>
      <c r="AM442" s="13">
        <v>500</v>
      </c>
      <c r="AN442" s="13">
        <v>0</v>
      </c>
      <c r="AO442" s="13">
        <v>0</v>
      </c>
      <c r="AP442" s="13">
        <v>0</v>
      </c>
      <c r="AQ442" s="13">
        <v>12</v>
      </c>
      <c r="AR442" s="14">
        <v>37500</v>
      </c>
      <c r="AS442" s="13">
        <v>900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5">
        <v>24460.799999999999</v>
      </c>
      <c r="BM442" s="17">
        <v>120436</v>
      </c>
      <c r="BN442" s="9">
        <f t="shared" si="14"/>
        <v>95975.2</v>
      </c>
      <c r="BO442" s="10">
        <f t="shared" si="15"/>
        <v>67182.64</v>
      </c>
    </row>
    <row r="443" spans="1:67" ht="24">
      <c r="A443" s="5" t="s">
        <v>352</v>
      </c>
      <c r="B443" s="11" t="s">
        <v>38</v>
      </c>
      <c r="C443" s="11">
        <v>321812</v>
      </c>
      <c r="D443" s="12"/>
      <c r="E443" s="11" t="s">
        <v>16</v>
      </c>
      <c r="F443" s="11" t="s">
        <v>27</v>
      </c>
      <c r="G443" s="11" t="s">
        <v>10</v>
      </c>
      <c r="H443" s="13" t="s">
        <v>7</v>
      </c>
      <c r="I443" s="13" t="s">
        <v>39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20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312</v>
      </c>
      <c r="AF443" s="14">
        <v>28200</v>
      </c>
      <c r="AG443" s="14">
        <v>3000</v>
      </c>
      <c r="AH443" s="13">
        <v>0</v>
      </c>
      <c r="AI443" s="13">
        <v>0</v>
      </c>
      <c r="AJ443" s="13">
        <v>0</v>
      </c>
      <c r="AK443" s="13">
        <v>605</v>
      </c>
      <c r="AL443" s="14">
        <v>42000</v>
      </c>
      <c r="AM443" s="14">
        <v>25500</v>
      </c>
      <c r="AN443" s="13">
        <v>0</v>
      </c>
      <c r="AO443" s="13">
        <v>0</v>
      </c>
      <c r="AP443" s="13">
        <v>0</v>
      </c>
      <c r="AQ443" s="13">
        <v>200</v>
      </c>
      <c r="AR443" s="14">
        <v>19700</v>
      </c>
      <c r="AS443" s="13">
        <v>300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5">
        <v>12600</v>
      </c>
      <c r="BM443" s="17">
        <v>118700</v>
      </c>
      <c r="BN443" s="9">
        <f t="shared" si="14"/>
        <v>106100</v>
      </c>
      <c r="BO443" s="10">
        <f t="shared" si="15"/>
        <v>74270</v>
      </c>
    </row>
    <row r="444" spans="1:67" ht="24">
      <c r="A444" s="5" t="s">
        <v>352</v>
      </c>
      <c r="B444" s="11" t="s">
        <v>254</v>
      </c>
      <c r="C444" s="11">
        <v>391329</v>
      </c>
      <c r="D444" s="12"/>
      <c r="E444" s="11" t="s">
        <v>16</v>
      </c>
      <c r="F444" s="11" t="s">
        <v>62</v>
      </c>
      <c r="G444" s="11" t="s">
        <v>10</v>
      </c>
      <c r="H444" s="13" t="s">
        <v>7</v>
      </c>
      <c r="I444" s="13" t="s">
        <v>255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3</v>
      </c>
      <c r="AF444" s="14">
        <v>9600</v>
      </c>
      <c r="AG444" s="13">
        <v>0</v>
      </c>
      <c r="AH444" s="13">
        <v>0</v>
      </c>
      <c r="AI444" s="13">
        <v>0</v>
      </c>
      <c r="AJ444" s="13">
        <v>0</v>
      </c>
      <c r="AK444" s="13">
        <v>27</v>
      </c>
      <c r="AL444" s="14">
        <v>102600</v>
      </c>
      <c r="AM444" s="13">
        <v>0</v>
      </c>
      <c r="AN444" s="13">
        <v>0</v>
      </c>
      <c r="AO444" s="13">
        <v>0</v>
      </c>
      <c r="AP444" s="13">
        <v>0</v>
      </c>
      <c r="AQ444" s="13">
        <v>1</v>
      </c>
      <c r="AR444" s="14">
        <v>3200</v>
      </c>
      <c r="AS444" s="13">
        <v>0</v>
      </c>
      <c r="AT444" s="13">
        <v>0</v>
      </c>
      <c r="AU444" s="13">
        <v>0</v>
      </c>
      <c r="AV444" s="13">
        <v>0</v>
      </c>
      <c r="AW444" s="13">
        <v>1</v>
      </c>
      <c r="AX444" s="14">
        <v>1080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5">
        <v>30888</v>
      </c>
      <c r="BM444" s="17">
        <v>116480</v>
      </c>
      <c r="BN444" s="9">
        <f t="shared" si="14"/>
        <v>85592</v>
      </c>
      <c r="BO444" s="10">
        <f t="shared" si="15"/>
        <v>59914.399999999994</v>
      </c>
    </row>
    <row r="445" spans="1:67" ht="24">
      <c r="A445" s="5" t="s">
        <v>352</v>
      </c>
      <c r="B445" s="11" t="s">
        <v>56</v>
      </c>
      <c r="C445" s="11">
        <v>245889</v>
      </c>
      <c r="D445" s="12"/>
      <c r="E445" s="11" t="s">
        <v>16</v>
      </c>
      <c r="F445" s="11" t="s">
        <v>27</v>
      </c>
      <c r="G445" s="11" t="s">
        <v>10</v>
      </c>
      <c r="H445" s="13" t="s">
        <v>7</v>
      </c>
      <c r="I445" s="13" t="s">
        <v>57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39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518</v>
      </c>
      <c r="AF445" s="14">
        <v>51300</v>
      </c>
      <c r="AG445" s="13">
        <v>500</v>
      </c>
      <c r="AH445" s="13">
        <v>0</v>
      </c>
      <c r="AI445" s="13">
        <v>0</v>
      </c>
      <c r="AJ445" s="13">
        <v>0</v>
      </c>
      <c r="AK445" s="13">
        <v>280</v>
      </c>
      <c r="AL445" s="14">
        <v>31200</v>
      </c>
      <c r="AM445" s="14">
        <v>2000</v>
      </c>
      <c r="AN445" s="13">
        <v>0</v>
      </c>
      <c r="AO445" s="13">
        <v>0</v>
      </c>
      <c r="AP445" s="13">
        <v>0</v>
      </c>
      <c r="AQ445" s="13">
        <v>253</v>
      </c>
      <c r="AR445" s="14">
        <v>25100</v>
      </c>
      <c r="AS445" s="13">
        <v>200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5">
        <v>9360</v>
      </c>
      <c r="BM445" s="17">
        <v>110300</v>
      </c>
      <c r="BN445" s="9">
        <f t="shared" si="14"/>
        <v>100940</v>
      </c>
      <c r="BO445" s="10">
        <f t="shared" si="15"/>
        <v>70658</v>
      </c>
    </row>
    <row r="446" spans="1:67" ht="24">
      <c r="A446" s="5" t="s">
        <v>352</v>
      </c>
      <c r="B446" s="11" t="s">
        <v>582</v>
      </c>
      <c r="C446" s="11">
        <v>489266</v>
      </c>
      <c r="D446" s="12"/>
      <c r="E446" s="11" t="s">
        <v>16</v>
      </c>
      <c r="F446" s="11" t="s">
        <v>583</v>
      </c>
      <c r="G446" s="11" t="s">
        <v>31</v>
      </c>
      <c r="H446" s="13" t="s">
        <v>8</v>
      </c>
      <c r="I446" s="13" t="s">
        <v>517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438</v>
      </c>
      <c r="AF446" s="14">
        <v>39400</v>
      </c>
      <c r="AG446" s="14">
        <v>4400</v>
      </c>
      <c r="AH446" s="13">
        <v>0</v>
      </c>
      <c r="AI446" s="13">
        <v>0</v>
      </c>
      <c r="AJ446" s="13">
        <v>0</v>
      </c>
      <c r="AK446" s="13">
        <v>335</v>
      </c>
      <c r="AL446" s="14">
        <v>24027</v>
      </c>
      <c r="AM446" s="14">
        <v>13400</v>
      </c>
      <c r="AN446" s="13">
        <v>0</v>
      </c>
      <c r="AO446" s="13">
        <v>0</v>
      </c>
      <c r="AP446" s="13">
        <v>0</v>
      </c>
      <c r="AQ446" s="13">
        <v>246</v>
      </c>
      <c r="AR446" s="14">
        <v>24000</v>
      </c>
      <c r="AS446" s="13">
        <v>600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5">
        <v>7208.1</v>
      </c>
      <c r="BM446" s="17">
        <v>105827</v>
      </c>
      <c r="BN446" s="9">
        <f t="shared" si="14"/>
        <v>98618.9</v>
      </c>
      <c r="BO446" s="10">
        <f t="shared" si="15"/>
        <v>69033.23</v>
      </c>
    </row>
    <row r="447" spans="1:67" ht="24">
      <c r="A447" s="5" t="s">
        <v>352</v>
      </c>
      <c r="B447" s="11" t="s">
        <v>68</v>
      </c>
      <c r="C447" s="11">
        <v>465250</v>
      </c>
      <c r="D447" s="12"/>
      <c r="E447" s="11" t="s">
        <v>16</v>
      </c>
      <c r="F447" s="11" t="s">
        <v>69</v>
      </c>
      <c r="G447" s="11" t="s">
        <v>337</v>
      </c>
      <c r="H447" s="13" t="s">
        <v>7</v>
      </c>
      <c r="I447" s="13" t="s">
        <v>70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377</v>
      </c>
      <c r="AF447" s="14">
        <v>35300</v>
      </c>
      <c r="AG447" s="14">
        <v>2400</v>
      </c>
      <c r="AH447" s="13">
        <v>0</v>
      </c>
      <c r="AI447" s="13">
        <v>0</v>
      </c>
      <c r="AJ447" s="13">
        <v>0</v>
      </c>
      <c r="AK447" s="13">
        <v>438</v>
      </c>
      <c r="AL447" s="14">
        <v>18720</v>
      </c>
      <c r="AM447" s="14">
        <v>28200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5">
        <v>5616</v>
      </c>
      <c r="BM447" s="17">
        <v>84620</v>
      </c>
      <c r="BN447" s="9">
        <f t="shared" si="14"/>
        <v>79004</v>
      </c>
      <c r="BO447" s="10">
        <f t="shared" si="15"/>
        <v>55302.799999999996</v>
      </c>
    </row>
    <row r="448" spans="1:67" ht="24">
      <c r="A448" s="5" t="s">
        <v>352</v>
      </c>
      <c r="B448" s="11" t="s">
        <v>92</v>
      </c>
      <c r="C448" s="11">
        <v>388999</v>
      </c>
      <c r="D448" s="12"/>
      <c r="E448" s="11" t="s">
        <v>16</v>
      </c>
      <c r="F448" s="11" t="s">
        <v>62</v>
      </c>
      <c r="G448" s="11" t="s">
        <v>10</v>
      </c>
      <c r="H448" s="13" t="s">
        <v>7</v>
      </c>
      <c r="I448" s="13" t="s">
        <v>93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40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660</v>
      </c>
      <c r="AL448" s="14">
        <v>57120</v>
      </c>
      <c r="AM448" s="14">
        <v>18400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1</v>
      </c>
      <c r="BD448" s="13">
        <v>120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5">
        <v>17143.2</v>
      </c>
      <c r="BM448" s="17">
        <v>75640</v>
      </c>
      <c r="BN448" s="9">
        <f t="shared" si="14"/>
        <v>58496.800000000003</v>
      </c>
      <c r="BO448" s="10">
        <f t="shared" si="15"/>
        <v>40947.760000000002</v>
      </c>
    </row>
    <row r="449" spans="1:67" ht="24">
      <c r="A449" s="5" t="s">
        <v>352</v>
      </c>
      <c r="B449" s="11" t="s">
        <v>491</v>
      </c>
      <c r="C449" s="11">
        <v>389857</v>
      </c>
      <c r="D449" s="12"/>
      <c r="E449" s="11" t="s">
        <v>16</v>
      </c>
      <c r="F449" s="11" t="s">
        <v>35</v>
      </c>
      <c r="G449" s="11" t="s">
        <v>10</v>
      </c>
      <c r="H449" s="13" t="s">
        <v>7</v>
      </c>
      <c r="I449" s="13" t="s">
        <v>291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10</v>
      </c>
      <c r="AF449" s="14">
        <v>32000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10</v>
      </c>
      <c r="AR449" s="14">
        <v>32000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7">
        <v>64000</v>
      </c>
      <c r="BN449" s="9">
        <f t="shared" si="14"/>
        <v>64000</v>
      </c>
      <c r="BO449" s="10">
        <f t="shared" si="15"/>
        <v>44800</v>
      </c>
    </row>
    <row r="450" spans="1:67" ht="24">
      <c r="A450" s="5" t="s">
        <v>352</v>
      </c>
      <c r="B450" s="11" t="s">
        <v>584</v>
      </c>
      <c r="C450" s="11">
        <v>454534</v>
      </c>
      <c r="D450" s="12"/>
      <c r="E450" s="11" t="s">
        <v>16</v>
      </c>
      <c r="F450" s="11" t="s">
        <v>35</v>
      </c>
      <c r="G450" s="11" t="s">
        <v>10</v>
      </c>
      <c r="H450" s="13" t="s">
        <v>7</v>
      </c>
      <c r="I450" s="13" t="s">
        <v>413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13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20</v>
      </c>
      <c r="AF450" s="14">
        <v>2000</v>
      </c>
      <c r="AG450" s="13">
        <v>0</v>
      </c>
      <c r="AH450" s="13">
        <v>0</v>
      </c>
      <c r="AI450" s="13">
        <v>0</v>
      </c>
      <c r="AJ450" s="13">
        <v>0</v>
      </c>
      <c r="AK450" s="13">
        <v>225</v>
      </c>
      <c r="AL450" s="14">
        <v>26520</v>
      </c>
      <c r="AM450" s="13">
        <v>400</v>
      </c>
      <c r="AN450" s="13">
        <v>0</v>
      </c>
      <c r="AO450" s="13">
        <v>0</v>
      </c>
      <c r="AP450" s="13">
        <v>0</v>
      </c>
      <c r="AQ450" s="13">
        <v>345</v>
      </c>
      <c r="AR450" s="14">
        <v>34300</v>
      </c>
      <c r="AS450" s="13">
        <v>200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5">
        <v>7956</v>
      </c>
      <c r="BM450" s="17">
        <v>63420</v>
      </c>
      <c r="BN450" s="9">
        <f t="shared" si="14"/>
        <v>55464</v>
      </c>
      <c r="BO450" s="10">
        <f t="shared" si="15"/>
        <v>38824.799999999996</v>
      </c>
    </row>
    <row r="451" spans="1:67" ht="24">
      <c r="A451" s="5" t="s">
        <v>352</v>
      </c>
      <c r="B451" s="11" t="s">
        <v>414</v>
      </c>
      <c r="C451" s="11">
        <v>476788</v>
      </c>
      <c r="D451" s="12"/>
      <c r="E451" s="11" t="s">
        <v>16</v>
      </c>
      <c r="F451" s="11" t="s">
        <v>415</v>
      </c>
      <c r="G451" s="11" t="s">
        <v>10</v>
      </c>
      <c r="H451" s="13" t="s">
        <v>7</v>
      </c>
      <c r="I451" s="13" t="s">
        <v>338</v>
      </c>
      <c r="J451" s="13">
        <v>3</v>
      </c>
      <c r="K451" s="13">
        <v>0</v>
      </c>
      <c r="L451" s="13">
        <v>300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14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93</v>
      </c>
      <c r="AF451" s="14">
        <v>9300</v>
      </c>
      <c r="AG451" s="13">
        <v>0</v>
      </c>
      <c r="AH451" s="13">
        <v>0</v>
      </c>
      <c r="AI451" s="13">
        <v>0</v>
      </c>
      <c r="AJ451" s="13">
        <v>0</v>
      </c>
      <c r="AK451" s="13">
        <v>109</v>
      </c>
      <c r="AL451" s="14">
        <v>13080</v>
      </c>
      <c r="AM451" s="13">
        <v>0</v>
      </c>
      <c r="AN451" s="13">
        <v>0</v>
      </c>
      <c r="AO451" s="13">
        <v>0</v>
      </c>
      <c r="AP451" s="13">
        <v>0</v>
      </c>
      <c r="AQ451" s="13">
        <v>194</v>
      </c>
      <c r="AR451" s="14">
        <v>18500</v>
      </c>
      <c r="AS451" s="13">
        <v>900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98</v>
      </c>
      <c r="BD451" s="14">
        <v>11760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5">
        <v>4629.6000000000004</v>
      </c>
      <c r="BM451" s="17">
        <v>53840</v>
      </c>
      <c r="BN451" s="9">
        <f t="shared" si="14"/>
        <v>49210.400000000001</v>
      </c>
      <c r="BO451" s="10">
        <f t="shared" si="15"/>
        <v>34447.279999999999</v>
      </c>
    </row>
    <row r="452" spans="1:67" ht="24">
      <c r="A452" s="5" t="s">
        <v>352</v>
      </c>
      <c r="B452" s="11" t="s">
        <v>417</v>
      </c>
      <c r="C452" s="11">
        <v>408579</v>
      </c>
      <c r="D452" s="12"/>
      <c r="E452" s="11" t="s">
        <v>16</v>
      </c>
      <c r="F452" s="11" t="s">
        <v>27</v>
      </c>
      <c r="G452" s="11" t="s">
        <v>10</v>
      </c>
      <c r="H452" s="13" t="s">
        <v>7</v>
      </c>
      <c r="I452" s="13" t="s">
        <v>206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14</v>
      </c>
      <c r="AL452" s="14">
        <v>53760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5">
        <v>16128</v>
      </c>
      <c r="BM452" s="17">
        <v>53760</v>
      </c>
      <c r="BN452" s="9">
        <f t="shared" si="14"/>
        <v>37632</v>
      </c>
      <c r="BO452" s="10">
        <f t="shared" si="15"/>
        <v>26342.399999999998</v>
      </c>
    </row>
    <row r="453" spans="1:67" ht="24">
      <c r="A453" s="5" t="s">
        <v>352</v>
      </c>
      <c r="B453" s="11" t="s">
        <v>213</v>
      </c>
      <c r="C453" s="11">
        <v>251205</v>
      </c>
      <c r="D453" s="12"/>
      <c r="E453" s="11" t="s">
        <v>16</v>
      </c>
      <c r="F453" s="11" t="s">
        <v>62</v>
      </c>
      <c r="G453" s="11" t="s">
        <v>10</v>
      </c>
      <c r="H453" s="13" t="s">
        <v>7</v>
      </c>
      <c r="I453" s="13" t="s">
        <v>214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13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356</v>
      </c>
      <c r="AL453" s="14">
        <v>42720</v>
      </c>
      <c r="AM453" s="13">
        <v>0</v>
      </c>
      <c r="AN453" s="13">
        <v>0</v>
      </c>
      <c r="AO453" s="13">
        <v>0</v>
      </c>
      <c r="AP453" s="13">
        <v>0</v>
      </c>
      <c r="AQ453" s="13">
        <v>38</v>
      </c>
      <c r="AR453" s="14">
        <v>3800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5">
        <v>12816</v>
      </c>
      <c r="BM453" s="17">
        <v>46520</v>
      </c>
      <c r="BN453" s="9">
        <f t="shared" si="14"/>
        <v>33704</v>
      </c>
      <c r="BO453" s="10">
        <f t="shared" si="15"/>
        <v>23592.799999999999</v>
      </c>
    </row>
    <row r="454" spans="1:67" ht="24">
      <c r="A454" s="5" t="s">
        <v>352</v>
      </c>
      <c r="B454" s="11" t="s">
        <v>542</v>
      </c>
      <c r="C454" s="11">
        <v>418302</v>
      </c>
      <c r="D454" s="12"/>
      <c r="E454" s="11" t="s">
        <v>16</v>
      </c>
      <c r="F454" s="11" t="s">
        <v>30</v>
      </c>
      <c r="G454" s="11" t="s">
        <v>31</v>
      </c>
      <c r="H454" s="13" t="s">
        <v>265</v>
      </c>
      <c r="I454" s="13" t="s">
        <v>32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4</v>
      </c>
      <c r="AF454" s="14">
        <v>14900</v>
      </c>
      <c r="AG454" s="13">
        <v>0</v>
      </c>
      <c r="AH454" s="13">
        <v>0</v>
      </c>
      <c r="AI454" s="13">
        <v>0</v>
      </c>
      <c r="AJ454" s="13">
        <v>0</v>
      </c>
      <c r="AK454" s="13">
        <v>4</v>
      </c>
      <c r="AL454" s="14">
        <v>10704</v>
      </c>
      <c r="AM454" s="14">
        <v>5200</v>
      </c>
      <c r="AN454" s="13">
        <v>0</v>
      </c>
      <c r="AO454" s="13">
        <v>0</v>
      </c>
      <c r="AP454" s="13">
        <v>0</v>
      </c>
      <c r="AQ454" s="13">
        <v>3</v>
      </c>
      <c r="AR454" s="14">
        <v>10700</v>
      </c>
      <c r="AS454" s="13">
        <v>200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5">
        <v>3211.2</v>
      </c>
      <c r="BM454" s="17">
        <v>41704</v>
      </c>
      <c r="BN454" s="9">
        <f t="shared" si="14"/>
        <v>38492.800000000003</v>
      </c>
      <c r="BO454" s="10">
        <f t="shared" si="15"/>
        <v>26944.959999999999</v>
      </c>
    </row>
    <row r="455" spans="1:67" ht="24">
      <c r="A455" s="5" t="s">
        <v>352</v>
      </c>
      <c r="B455" s="11" t="s">
        <v>125</v>
      </c>
      <c r="C455" s="11">
        <v>406849</v>
      </c>
      <c r="D455" s="12"/>
      <c r="E455" s="11" t="s">
        <v>16</v>
      </c>
      <c r="F455" s="11" t="s">
        <v>106</v>
      </c>
      <c r="G455" s="11" t="s">
        <v>10</v>
      </c>
      <c r="H455" s="13" t="s">
        <v>7</v>
      </c>
      <c r="I455" s="13" t="s">
        <v>126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28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76</v>
      </c>
      <c r="AF455" s="14">
        <v>7600</v>
      </c>
      <c r="AG455" s="13">
        <v>0</v>
      </c>
      <c r="AH455" s="13">
        <v>0</v>
      </c>
      <c r="AI455" s="13">
        <v>0</v>
      </c>
      <c r="AJ455" s="13">
        <v>0</v>
      </c>
      <c r="AK455" s="13">
        <v>3</v>
      </c>
      <c r="AL455" s="13">
        <v>0</v>
      </c>
      <c r="AM455" s="13">
        <v>300</v>
      </c>
      <c r="AN455" s="13">
        <v>0</v>
      </c>
      <c r="AO455" s="13">
        <v>0</v>
      </c>
      <c r="AP455" s="13">
        <v>0</v>
      </c>
      <c r="AQ455" s="13">
        <v>338</v>
      </c>
      <c r="AR455" s="14">
        <v>33200</v>
      </c>
      <c r="AS455" s="13">
        <v>600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7">
        <v>41700</v>
      </c>
      <c r="BN455" s="9">
        <f t="shared" si="14"/>
        <v>41700</v>
      </c>
      <c r="BO455" s="10">
        <f t="shared" si="15"/>
        <v>29189.999999999996</v>
      </c>
    </row>
    <row r="456" spans="1:67" ht="24">
      <c r="A456" s="5" t="s">
        <v>352</v>
      </c>
      <c r="B456" s="11" t="s">
        <v>19</v>
      </c>
      <c r="C456" s="11">
        <v>463799</v>
      </c>
      <c r="D456" s="12"/>
      <c r="E456" s="11" t="s">
        <v>16</v>
      </c>
      <c r="F456" s="11" t="s">
        <v>20</v>
      </c>
      <c r="G456" s="11" t="s">
        <v>10</v>
      </c>
      <c r="H456" s="13" t="s">
        <v>7</v>
      </c>
      <c r="I456" s="13" t="s">
        <v>21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3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81</v>
      </c>
      <c r="AF456" s="14">
        <v>7700</v>
      </c>
      <c r="AG456" s="13">
        <v>400</v>
      </c>
      <c r="AH456" s="13">
        <v>0</v>
      </c>
      <c r="AI456" s="13">
        <v>0</v>
      </c>
      <c r="AJ456" s="13">
        <v>0</v>
      </c>
      <c r="AK456" s="13">
        <v>286</v>
      </c>
      <c r="AL456" s="14">
        <v>27473</v>
      </c>
      <c r="AM456" s="14">
        <v>5700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5">
        <v>8241.9</v>
      </c>
      <c r="BM456" s="17">
        <v>41273</v>
      </c>
      <c r="BN456" s="9">
        <f t="shared" si="14"/>
        <v>33031.1</v>
      </c>
      <c r="BO456" s="10">
        <f t="shared" si="15"/>
        <v>23121.769999999997</v>
      </c>
    </row>
    <row r="457" spans="1:67" ht="24">
      <c r="A457" s="5" t="s">
        <v>352</v>
      </c>
      <c r="B457" s="11" t="s">
        <v>109</v>
      </c>
      <c r="C457" s="11">
        <v>379813</v>
      </c>
      <c r="D457" s="12"/>
      <c r="E457" s="11" t="s">
        <v>16</v>
      </c>
      <c r="F457" s="11" t="s">
        <v>27</v>
      </c>
      <c r="G457" s="11" t="s">
        <v>10</v>
      </c>
      <c r="H457" s="13" t="s">
        <v>7</v>
      </c>
      <c r="I457" s="13" t="s">
        <v>110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2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58</v>
      </c>
      <c r="AF457" s="14">
        <v>5800</v>
      </c>
      <c r="AG457" s="13">
        <v>0</v>
      </c>
      <c r="AH457" s="13">
        <v>0</v>
      </c>
      <c r="AI457" s="13">
        <v>0</v>
      </c>
      <c r="AJ457" s="13">
        <v>0</v>
      </c>
      <c r="AK457" s="13">
        <v>299</v>
      </c>
      <c r="AL457" s="14">
        <v>28656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5">
        <v>8596.7999999999993</v>
      </c>
      <c r="BM457" s="17">
        <v>34456</v>
      </c>
      <c r="BN457" s="9">
        <f t="shared" si="14"/>
        <v>25859.200000000001</v>
      </c>
      <c r="BO457" s="10">
        <f t="shared" si="15"/>
        <v>18101.439999999999</v>
      </c>
    </row>
    <row r="458" spans="1:67" ht="24">
      <c r="A458" s="5" t="s">
        <v>352</v>
      </c>
      <c r="B458" s="11" t="s">
        <v>111</v>
      </c>
      <c r="C458" s="11">
        <v>390809</v>
      </c>
      <c r="D458" s="12"/>
      <c r="E458" s="11" t="s">
        <v>16</v>
      </c>
      <c r="F458" s="11" t="s">
        <v>112</v>
      </c>
      <c r="G458" s="11" t="s">
        <v>31</v>
      </c>
      <c r="H458" s="13" t="s">
        <v>8</v>
      </c>
      <c r="I458" s="13" t="s">
        <v>32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11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61</v>
      </c>
      <c r="AF458" s="14">
        <v>4100</v>
      </c>
      <c r="AG458" s="14">
        <v>2000</v>
      </c>
      <c r="AH458" s="13">
        <v>0</v>
      </c>
      <c r="AI458" s="13">
        <v>0</v>
      </c>
      <c r="AJ458" s="13">
        <v>0</v>
      </c>
      <c r="AK458" s="13">
        <v>192</v>
      </c>
      <c r="AL458" s="14">
        <v>22800</v>
      </c>
      <c r="AM458" s="13">
        <v>200</v>
      </c>
      <c r="AN458" s="13">
        <v>0</v>
      </c>
      <c r="AO458" s="13">
        <v>0</v>
      </c>
      <c r="AP458" s="13">
        <v>0</v>
      </c>
      <c r="AQ458" s="13">
        <v>28</v>
      </c>
      <c r="AR458" s="14">
        <v>2800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5">
        <v>6840</v>
      </c>
      <c r="BM458" s="17">
        <v>31900</v>
      </c>
      <c r="BN458" s="9">
        <f t="shared" si="14"/>
        <v>25060</v>
      </c>
      <c r="BO458" s="10">
        <f t="shared" si="15"/>
        <v>17542</v>
      </c>
    </row>
    <row r="459" spans="1:67" ht="24">
      <c r="A459" s="5" t="s">
        <v>352</v>
      </c>
      <c r="B459" s="11" t="s">
        <v>50</v>
      </c>
      <c r="C459" s="11">
        <v>463946</v>
      </c>
      <c r="D459" s="12"/>
      <c r="E459" s="11" t="s">
        <v>16</v>
      </c>
      <c r="F459" s="11" t="s">
        <v>51</v>
      </c>
      <c r="G459" s="11" t="s">
        <v>10</v>
      </c>
      <c r="H459" s="13" t="s">
        <v>7</v>
      </c>
      <c r="I459" s="13" t="s">
        <v>52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3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8</v>
      </c>
      <c r="AF459" s="13">
        <v>800</v>
      </c>
      <c r="AG459" s="13">
        <v>0</v>
      </c>
      <c r="AH459" s="13">
        <v>0</v>
      </c>
      <c r="AI459" s="13">
        <v>0</v>
      </c>
      <c r="AJ459" s="13">
        <v>0</v>
      </c>
      <c r="AK459" s="13">
        <v>198</v>
      </c>
      <c r="AL459" s="14">
        <v>23760</v>
      </c>
      <c r="AM459" s="13">
        <v>0</v>
      </c>
      <c r="AN459" s="13">
        <v>0</v>
      </c>
      <c r="AO459" s="13">
        <v>0</v>
      </c>
      <c r="AP459" s="13">
        <v>0</v>
      </c>
      <c r="AQ459" s="13">
        <v>62</v>
      </c>
      <c r="AR459" s="14">
        <v>6200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5">
        <v>7128</v>
      </c>
      <c r="BM459" s="17">
        <v>30760</v>
      </c>
      <c r="BN459" s="9">
        <f t="shared" si="14"/>
        <v>23632</v>
      </c>
      <c r="BO459" s="10">
        <f t="shared" si="15"/>
        <v>16542.399999999998</v>
      </c>
    </row>
    <row r="460" spans="1:67" ht="24">
      <c r="A460" s="5" t="s">
        <v>352</v>
      </c>
      <c r="B460" s="11" t="s">
        <v>146</v>
      </c>
      <c r="C460" s="11">
        <v>376361</v>
      </c>
      <c r="D460" s="12"/>
      <c r="E460" s="11" t="s">
        <v>16</v>
      </c>
      <c r="F460" s="11" t="s">
        <v>43</v>
      </c>
      <c r="G460" s="11" t="s">
        <v>31</v>
      </c>
      <c r="H460" s="13" t="s">
        <v>8</v>
      </c>
      <c r="I460" s="13" t="s">
        <v>522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18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138</v>
      </c>
      <c r="AF460" s="14">
        <v>11000</v>
      </c>
      <c r="AG460" s="14">
        <v>2800</v>
      </c>
      <c r="AH460" s="13">
        <v>0</v>
      </c>
      <c r="AI460" s="13">
        <v>0</v>
      </c>
      <c r="AJ460" s="13">
        <v>0</v>
      </c>
      <c r="AK460" s="13">
        <v>69</v>
      </c>
      <c r="AL460" s="14">
        <v>1440</v>
      </c>
      <c r="AM460" s="14">
        <v>5700</v>
      </c>
      <c r="AN460" s="13">
        <v>0</v>
      </c>
      <c r="AO460" s="13">
        <v>0</v>
      </c>
      <c r="AP460" s="13">
        <v>0</v>
      </c>
      <c r="AQ460" s="13">
        <v>3</v>
      </c>
      <c r="AR460" s="13">
        <v>300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74</v>
      </c>
      <c r="BJ460" s="14">
        <v>8880</v>
      </c>
      <c r="BK460" s="13">
        <v>0</v>
      </c>
      <c r="BL460" s="13">
        <v>876</v>
      </c>
      <c r="BM460" s="17">
        <v>30120</v>
      </c>
      <c r="BN460" s="9">
        <f t="shared" si="14"/>
        <v>29244</v>
      </c>
      <c r="BO460" s="10">
        <f t="shared" si="15"/>
        <v>20470.8</v>
      </c>
    </row>
    <row r="461" spans="1:67" ht="24">
      <c r="A461" s="5" t="s">
        <v>352</v>
      </c>
      <c r="B461" s="11" t="s">
        <v>123</v>
      </c>
      <c r="C461" s="11">
        <v>359912</v>
      </c>
      <c r="D461" s="12"/>
      <c r="E461" s="11" t="s">
        <v>16</v>
      </c>
      <c r="F461" s="11" t="s">
        <v>124</v>
      </c>
      <c r="G461" s="11" t="s">
        <v>31</v>
      </c>
      <c r="H461" s="13" t="s">
        <v>8</v>
      </c>
      <c r="I461" s="13" t="s">
        <v>324</v>
      </c>
      <c r="J461" s="13">
        <v>0</v>
      </c>
      <c r="K461" s="13">
        <v>1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14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77</v>
      </c>
      <c r="AF461" s="14">
        <v>7700</v>
      </c>
      <c r="AG461" s="13">
        <v>0</v>
      </c>
      <c r="AH461" s="13">
        <v>0</v>
      </c>
      <c r="AI461" s="13">
        <v>0</v>
      </c>
      <c r="AJ461" s="13">
        <v>0</v>
      </c>
      <c r="AK461" s="13">
        <v>184</v>
      </c>
      <c r="AL461" s="14">
        <v>10440</v>
      </c>
      <c r="AM461" s="14">
        <v>9700</v>
      </c>
      <c r="AN461" s="13">
        <v>0</v>
      </c>
      <c r="AO461" s="13">
        <v>0</v>
      </c>
      <c r="AP461" s="13">
        <v>0</v>
      </c>
      <c r="AQ461" s="13">
        <v>9</v>
      </c>
      <c r="AR461" s="13">
        <v>600</v>
      </c>
      <c r="AS461" s="13">
        <v>300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5">
        <v>3132</v>
      </c>
      <c r="BM461" s="17">
        <v>28740</v>
      </c>
      <c r="BN461" s="9">
        <f t="shared" si="14"/>
        <v>25608</v>
      </c>
      <c r="BO461" s="10">
        <f t="shared" si="15"/>
        <v>17925.599999999999</v>
      </c>
    </row>
    <row r="462" spans="1:67" ht="24">
      <c r="A462" s="5" t="s">
        <v>352</v>
      </c>
      <c r="B462" s="11" t="s">
        <v>159</v>
      </c>
      <c r="C462" s="11">
        <v>316658</v>
      </c>
      <c r="D462" s="12"/>
      <c r="E462" s="11" t="s">
        <v>16</v>
      </c>
      <c r="F462" s="11" t="s">
        <v>62</v>
      </c>
      <c r="G462" s="11" t="s">
        <v>10</v>
      </c>
      <c r="H462" s="13" t="s">
        <v>7</v>
      </c>
      <c r="I462" s="13" t="s">
        <v>160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122</v>
      </c>
      <c r="AF462" s="14">
        <v>7500</v>
      </c>
      <c r="AG462" s="14">
        <v>4700</v>
      </c>
      <c r="AH462" s="13">
        <v>0</v>
      </c>
      <c r="AI462" s="13">
        <v>0</v>
      </c>
      <c r="AJ462" s="13">
        <v>0</v>
      </c>
      <c r="AK462" s="13">
        <v>131</v>
      </c>
      <c r="AL462" s="14">
        <v>15720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5</v>
      </c>
      <c r="AX462" s="13">
        <v>600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5">
        <v>4776</v>
      </c>
      <c r="BM462" s="17">
        <v>28520</v>
      </c>
      <c r="BN462" s="9">
        <f t="shared" si="14"/>
        <v>23744</v>
      </c>
      <c r="BO462" s="10">
        <f t="shared" si="15"/>
        <v>16620.8</v>
      </c>
    </row>
    <row r="463" spans="1:67" ht="24">
      <c r="A463" s="5" t="s">
        <v>352</v>
      </c>
      <c r="B463" s="11" t="s">
        <v>101</v>
      </c>
      <c r="C463" s="11">
        <v>428379</v>
      </c>
      <c r="D463" s="12"/>
      <c r="E463" s="11" t="s">
        <v>16</v>
      </c>
      <c r="F463" s="11" t="s">
        <v>102</v>
      </c>
      <c r="G463" s="11" t="s">
        <v>337</v>
      </c>
      <c r="H463" s="13" t="s">
        <v>8</v>
      </c>
      <c r="I463" s="13" t="s">
        <v>103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73</v>
      </c>
      <c r="AF463" s="14">
        <v>7100</v>
      </c>
      <c r="AG463" s="13">
        <v>200</v>
      </c>
      <c r="AH463" s="13">
        <v>0</v>
      </c>
      <c r="AI463" s="13">
        <v>0</v>
      </c>
      <c r="AJ463" s="13">
        <v>0</v>
      </c>
      <c r="AK463" s="13">
        <v>173</v>
      </c>
      <c r="AL463" s="14">
        <v>19920</v>
      </c>
      <c r="AM463" s="13">
        <v>700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  <c r="BL463" s="15">
        <v>5976</v>
      </c>
      <c r="BM463" s="17">
        <v>27920</v>
      </c>
      <c r="BN463" s="9">
        <f t="shared" si="14"/>
        <v>21944</v>
      </c>
      <c r="BO463" s="10">
        <f t="shared" si="15"/>
        <v>15360.8</v>
      </c>
    </row>
    <row r="464" spans="1:67" ht="24">
      <c r="A464" s="5" t="s">
        <v>352</v>
      </c>
      <c r="B464" s="11" t="s">
        <v>472</v>
      </c>
      <c r="C464" s="11">
        <v>381176</v>
      </c>
      <c r="D464" s="12"/>
      <c r="E464" s="11" t="s">
        <v>16</v>
      </c>
      <c r="F464" s="11" t="s">
        <v>35</v>
      </c>
      <c r="G464" s="11" t="s">
        <v>10</v>
      </c>
      <c r="H464" s="13" t="s">
        <v>7</v>
      </c>
      <c r="I464" s="13" t="s">
        <v>473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12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155</v>
      </c>
      <c r="AF464" s="14">
        <v>15300</v>
      </c>
      <c r="AG464" s="13">
        <v>200</v>
      </c>
      <c r="AH464" s="13">
        <v>0</v>
      </c>
      <c r="AI464" s="13">
        <v>0</v>
      </c>
      <c r="AJ464" s="13">
        <v>0</v>
      </c>
      <c r="AK464" s="13">
        <v>94</v>
      </c>
      <c r="AL464" s="14">
        <v>11280</v>
      </c>
      <c r="AM464" s="13">
        <v>0</v>
      </c>
      <c r="AN464" s="13">
        <v>0</v>
      </c>
      <c r="AO464" s="13">
        <v>0</v>
      </c>
      <c r="AP464" s="13">
        <v>0</v>
      </c>
      <c r="AQ464" s="13">
        <v>1</v>
      </c>
      <c r="AR464" s="13">
        <v>0</v>
      </c>
      <c r="AS464" s="13">
        <v>100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1</v>
      </c>
      <c r="BD464" s="13">
        <v>120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5">
        <v>3391.2</v>
      </c>
      <c r="BM464" s="17">
        <v>27000</v>
      </c>
      <c r="BN464" s="9">
        <f t="shared" si="14"/>
        <v>23608.799999999999</v>
      </c>
      <c r="BO464" s="10">
        <f t="shared" si="15"/>
        <v>16526.16</v>
      </c>
    </row>
    <row r="465" spans="1:67" ht="24">
      <c r="A465" s="5" t="s">
        <v>352</v>
      </c>
      <c r="B465" s="11" t="s">
        <v>201</v>
      </c>
      <c r="C465" s="11">
        <v>399878</v>
      </c>
      <c r="D465" s="12"/>
      <c r="E465" s="11" t="s">
        <v>16</v>
      </c>
      <c r="F465" s="11" t="s">
        <v>202</v>
      </c>
      <c r="G465" s="11" t="s">
        <v>31</v>
      </c>
      <c r="H465" s="13" t="s">
        <v>8</v>
      </c>
      <c r="I465" s="13" t="s">
        <v>203</v>
      </c>
      <c r="J465" s="13">
        <v>0</v>
      </c>
      <c r="K465" s="13">
        <v>91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4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53</v>
      </c>
      <c r="AF465" s="14">
        <v>5300</v>
      </c>
      <c r="AG465" s="13">
        <v>0</v>
      </c>
      <c r="AH465" s="13">
        <v>0</v>
      </c>
      <c r="AI465" s="13">
        <v>0</v>
      </c>
      <c r="AJ465" s="13">
        <v>0</v>
      </c>
      <c r="AK465" s="13">
        <v>117</v>
      </c>
      <c r="AL465" s="14">
        <v>10764</v>
      </c>
      <c r="AM465" s="14">
        <v>2700</v>
      </c>
      <c r="AN465" s="13">
        <v>0</v>
      </c>
      <c r="AO465" s="13">
        <v>0</v>
      </c>
      <c r="AP465" s="13">
        <v>0</v>
      </c>
      <c r="AQ465" s="13">
        <v>77</v>
      </c>
      <c r="AR465" s="14">
        <v>7700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2</v>
      </c>
      <c r="BD465" s="13">
        <v>240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5">
        <v>3243.6</v>
      </c>
      <c r="BM465" s="17">
        <v>26704</v>
      </c>
      <c r="BN465" s="9">
        <f t="shared" si="14"/>
        <v>23460.400000000001</v>
      </c>
      <c r="BO465" s="10">
        <f t="shared" si="15"/>
        <v>16422.28</v>
      </c>
    </row>
    <row r="466" spans="1:67" ht="24">
      <c r="A466" s="5" t="s">
        <v>352</v>
      </c>
      <c r="B466" s="11" t="s">
        <v>36</v>
      </c>
      <c r="C466" s="11">
        <v>457807</v>
      </c>
      <c r="D466" s="12"/>
      <c r="E466" s="11" t="s">
        <v>16</v>
      </c>
      <c r="F466" s="11" t="s">
        <v>37</v>
      </c>
      <c r="G466" s="11" t="s">
        <v>31</v>
      </c>
      <c r="H466" s="13" t="s">
        <v>8</v>
      </c>
      <c r="I466" s="13" t="s">
        <v>336</v>
      </c>
      <c r="J466" s="13">
        <v>52</v>
      </c>
      <c r="K466" s="13">
        <v>0</v>
      </c>
      <c r="L466" s="14">
        <v>5200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10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46</v>
      </c>
      <c r="AF466" s="14">
        <v>4500</v>
      </c>
      <c r="AG466" s="13">
        <v>100</v>
      </c>
      <c r="AH466" s="13">
        <v>0</v>
      </c>
      <c r="AI466" s="13">
        <v>0</v>
      </c>
      <c r="AJ466" s="13">
        <v>0</v>
      </c>
      <c r="AK466" s="13">
        <v>143</v>
      </c>
      <c r="AL466" s="14">
        <v>13526</v>
      </c>
      <c r="AM466" s="14">
        <v>3000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5">
        <v>4057.8</v>
      </c>
      <c r="BM466" s="17">
        <v>26326</v>
      </c>
      <c r="BN466" s="9">
        <f t="shared" si="14"/>
        <v>22268.2</v>
      </c>
      <c r="BO466" s="10">
        <f t="shared" si="15"/>
        <v>15587.74</v>
      </c>
    </row>
    <row r="467" spans="1:67" ht="24">
      <c r="A467" s="5" t="s">
        <v>352</v>
      </c>
      <c r="B467" s="11" t="s">
        <v>342</v>
      </c>
      <c r="C467" s="11">
        <v>476783</v>
      </c>
      <c r="D467" s="12"/>
      <c r="E467" s="11" t="s">
        <v>16</v>
      </c>
      <c r="F467" s="11" t="s">
        <v>343</v>
      </c>
      <c r="G467" s="11" t="s">
        <v>31</v>
      </c>
      <c r="H467" s="13" t="s">
        <v>8</v>
      </c>
      <c r="I467" s="13" t="s">
        <v>344</v>
      </c>
      <c r="J467" s="13">
        <v>8</v>
      </c>
      <c r="K467" s="13">
        <v>605</v>
      </c>
      <c r="L467" s="13">
        <v>800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129</v>
      </c>
      <c r="AF467" s="14">
        <v>10400</v>
      </c>
      <c r="AG467" s="14">
        <v>2500</v>
      </c>
      <c r="AH467" s="13">
        <v>0</v>
      </c>
      <c r="AI467" s="13">
        <v>0</v>
      </c>
      <c r="AJ467" s="13">
        <v>0</v>
      </c>
      <c r="AK467" s="13">
        <v>102</v>
      </c>
      <c r="AL467" s="14">
        <v>9120</v>
      </c>
      <c r="AM467" s="14">
        <v>2600</v>
      </c>
      <c r="AN467" s="13">
        <v>0</v>
      </c>
      <c r="AO467" s="13">
        <v>0</v>
      </c>
      <c r="AP467" s="13">
        <v>0</v>
      </c>
      <c r="AQ467" s="13">
        <v>8</v>
      </c>
      <c r="AR467" s="13">
        <v>800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5">
        <v>2736</v>
      </c>
      <c r="BM467" s="17">
        <v>26220</v>
      </c>
      <c r="BN467" s="9">
        <f t="shared" ref="BN467:BN485" si="16">BM467-BL467</f>
        <v>23484</v>
      </c>
      <c r="BO467" s="10">
        <f t="shared" ref="BO467:BO485" si="17">BN467*70%</f>
        <v>16438.8</v>
      </c>
    </row>
    <row r="468" spans="1:67" ht="24">
      <c r="A468" s="5" t="s">
        <v>352</v>
      </c>
      <c r="B468" s="11" t="s">
        <v>433</v>
      </c>
      <c r="C468" s="11">
        <v>478744</v>
      </c>
      <c r="D468" s="12"/>
      <c r="E468" s="11" t="s">
        <v>16</v>
      </c>
      <c r="F468" s="11" t="s">
        <v>434</v>
      </c>
      <c r="G468" s="11" t="s">
        <v>10</v>
      </c>
      <c r="H468" s="13" t="s">
        <v>7</v>
      </c>
      <c r="I468" s="13" t="s">
        <v>576</v>
      </c>
      <c r="J468" s="13">
        <v>0</v>
      </c>
      <c r="K468" s="13">
        <v>574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62</v>
      </c>
      <c r="AF468" s="14">
        <v>5900</v>
      </c>
      <c r="AG468" s="13">
        <v>300</v>
      </c>
      <c r="AH468" s="13">
        <v>0</v>
      </c>
      <c r="AI468" s="13">
        <v>0</v>
      </c>
      <c r="AJ468" s="13">
        <v>0</v>
      </c>
      <c r="AK468" s="13">
        <v>159</v>
      </c>
      <c r="AL468" s="14">
        <v>18278</v>
      </c>
      <c r="AM468" s="13">
        <v>500</v>
      </c>
      <c r="AN468" s="13">
        <v>0</v>
      </c>
      <c r="AO468" s="13">
        <v>0</v>
      </c>
      <c r="AP468" s="13">
        <v>0</v>
      </c>
      <c r="AQ468" s="13">
        <v>10</v>
      </c>
      <c r="AR468" s="14">
        <v>1000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5">
        <v>5483.4</v>
      </c>
      <c r="BM468" s="17">
        <v>25978</v>
      </c>
      <c r="BN468" s="9">
        <f>BM468-BL468</f>
        <v>20494.599999999999</v>
      </c>
      <c r="BO468" s="10">
        <f t="shared" si="17"/>
        <v>14346.219999999998</v>
      </c>
    </row>
    <row r="469" spans="1:67" ht="24">
      <c r="A469" s="5" t="s">
        <v>352</v>
      </c>
      <c r="B469" s="11" t="s">
        <v>411</v>
      </c>
      <c r="C469" s="11">
        <v>478890</v>
      </c>
      <c r="D469" s="12"/>
      <c r="E469" s="11" t="s">
        <v>16</v>
      </c>
      <c r="F469" s="11" t="s">
        <v>348</v>
      </c>
      <c r="G469" s="11" t="s">
        <v>337</v>
      </c>
      <c r="H469" s="13" t="s">
        <v>8</v>
      </c>
      <c r="I469" s="13" t="s">
        <v>412</v>
      </c>
      <c r="J469" s="13">
        <v>36</v>
      </c>
      <c r="K469" s="13">
        <v>0</v>
      </c>
      <c r="L469" s="14">
        <v>3600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105</v>
      </c>
      <c r="AF469" s="14">
        <v>10000</v>
      </c>
      <c r="AG469" s="13">
        <v>500</v>
      </c>
      <c r="AH469" s="13">
        <v>0</v>
      </c>
      <c r="AI469" s="13">
        <v>0</v>
      </c>
      <c r="AJ469" s="13">
        <v>0</v>
      </c>
      <c r="AK469" s="13">
        <v>88</v>
      </c>
      <c r="AL469" s="14">
        <v>8939</v>
      </c>
      <c r="AM469" s="14">
        <v>2300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0</v>
      </c>
      <c r="BE469" s="13">
        <v>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5">
        <v>2681.7</v>
      </c>
      <c r="BM469" s="17">
        <v>25339</v>
      </c>
      <c r="BN469" s="9">
        <f t="shared" si="16"/>
        <v>22657.3</v>
      </c>
      <c r="BO469" s="10">
        <f t="shared" si="17"/>
        <v>15860.109999999999</v>
      </c>
    </row>
    <row r="470" spans="1:67" ht="24">
      <c r="A470" s="5" t="s">
        <v>352</v>
      </c>
      <c r="B470" s="11" t="s">
        <v>600</v>
      </c>
      <c r="C470" s="11">
        <v>445688</v>
      </c>
      <c r="D470" s="12"/>
      <c r="E470" s="11" t="s">
        <v>16</v>
      </c>
      <c r="F470" s="11" t="s">
        <v>22</v>
      </c>
      <c r="G470" s="11" t="s">
        <v>10</v>
      </c>
      <c r="H470" s="13" t="s">
        <v>7</v>
      </c>
      <c r="I470" s="13" t="s">
        <v>23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236</v>
      </c>
      <c r="AF470" s="14">
        <v>23600</v>
      </c>
      <c r="AG470" s="13">
        <v>0</v>
      </c>
      <c r="AH470" s="13">
        <v>0</v>
      </c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3">
        <v>0</v>
      </c>
      <c r="BM470" s="17">
        <v>23600</v>
      </c>
      <c r="BN470" s="9">
        <f t="shared" si="16"/>
        <v>23600</v>
      </c>
      <c r="BO470" s="10">
        <f t="shared" si="17"/>
        <v>16520</v>
      </c>
    </row>
    <row r="471" spans="1:67" ht="24">
      <c r="A471" s="5" t="s">
        <v>352</v>
      </c>
      <c r="B471" s="11" t="s">
        <v>104</v>
      </c>
      <c r="C471" s="11">
        <v>425289</v>
      </c>
      <c r="D471" s="12"/>
      <c r="E471" s="11" t="s">
        <v>16</v>
      </c>
      <c r="F471" s="11" t="s">
        <v>90</v>
      </c>
      <c r="G471" s="11" t="s">
        <v>10</v>
      </c>
      <c r="H471" s="13" t="s">
        <v>7</v>
      </c>
      <c r="I471" s="13" t="s">
        <v>105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15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31</v>
      </c>
      <c r="AF471" s="14">
        <v>3100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205</v>
      </c>
      <c r="AR471" s="14">
        <v>20100</v>
      </c>
      <c r="AS471" s="13">
        <v>400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3">
        <v>0</v>
      </c>
      <c r="BM471" s="17">
        <v>23600</v>
      </c>
      <c r="BN471" s="9">
        <f t="shared" si="16"/>
        <v>23600</v>
      </c>
      <c r="BO471" s="10">
        <f t="shared" si="17"/>
        <v>16520</v>
      </c>
    </row>
    <row r="472" spans="1:67" ht="24">
      <c r="A472" s="5" t="s">
        <v>352</v>
      </c>
      <c r="B472" s="11" t="s">
        <v>53</v>
      </c>
      <c r="C472" s="11">
        <v>464776</v>
      </c>
      <c r="D472" s="12"/>
      <c r="E472" s="11" t="s">
        <v>16</v>
      </c>
      <c r="F472" s="11" t="s">
        <v>54</v>
      </c>
      <c r="G472" s="11" t="s">
        <v>337</v>
      </c>
      <c r="H472" s="13" t="s">
        <v>9</v>
      </c>
      <c r="I472" s="13" t="s">
        <v>55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143</v>
      </c>
      <c r="AF472" s="14">
        <v>10440</v>
      </c>
      <c r="AG472" s="14">
        <v>4000</v>
      </c>
      <c r="AH472" s="13">
        <v>0</v>
      </c>
      <c r="AI472" s="13">
        <v>0</v>
      </c>
      <c r="AJ472" s="13">
        <v>0</v>
      </c>
      <c r="AK472" s="13">
        <v>66</v>
      </c>
      <c r="AL472" s="14">
        <v>6720</v>
      </c>
      <c r="AM472" s="14">
        <v>1000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0</v>
      </c>
      <c r="BD472" s="13">
        <v>0</v>
      </c>
      <c r="BE472" s="13">
        <v>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  <c r="BL472" s="15">
        <v>2016</v>
      </c>
      <c r="BM472" s="17">
        <v>22160</v>
      </c>
      <c r="BN472" s="9">
        <f t="shared" si="16"/>
        <v>20144</v>
      </c>
      <c r="BO472" s="10">
        <f t="shared" si="17"/>
        <v>14100.8</v>
      </c>
    </row>
    <row r="473" spans="1:67" ht="24">
      <c r="A473" s="5" t="s">
        <v>352</v>
      </c>
      <c r="B473" s="11" t="s">
        <v>58</v>
      </c>
      <c r="C473" s="11">
        <v>386960</v>
      </c>
      <c r="D473" s="12"/>
      <c r="E473" s="11" t="s">
        <v>16</v>
      </c>
      <c r="F473" s="11" t="s">
        <v>59</v>
      </c>
      <c r="G473" s="11" t="s">
        <v>10</v>
      </c>
      <c r="H473" s="13" t="s">
        <v>7</v>
      </c>
      <c r="I473" s="13" t="s">
        <v>60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161</v>
      </c>
      <c r="AF473" s="14">
        <v>6000</v>
      </c>
      <c r="AG473" s="14">
        <v>10100</v>
      </c>
      <c r="AH473" s="13">
        <v>0</v>
      </c>
      <c r="AI473" s="13">
        <v>0</v>
      </c>
      <c r="AJ473" s="13">
        <v>0</v>
      </c>
      <c r="AK473" s="13">
        <v>50</v>
      </c>
      <c r="AL473" s="14">
        <v>5160</v>
      </c>
      <c r="AM473" s="13">
        <v>700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5">
        <v>1548</v>
      </c>
      <c r="BM473" s="17">
        <v>21960</v>
      </c>
      <c r="BN473" s="9">
        <f t="shared" si="16"/>
        <v>20412</v>
      </c>
      <c r="BO473" s="10">
        <f t="shared" si="17"/>
        <v>14288.4</v>
      </c>
    </row>
    <row r="474" spans="1:67" ht="24">
      <c r="A474" s="5" t="s">
        <v>352</v>
      </c>
      <c r="B474" s="11" t="s">
        <v>301</v>
      </c>
      <c r="C474" s="11">
        <v>458432</v>
      </c>
      <c r="D474" s="12"/>
      <c r="E474" s="11" t="s">
        <v>16</v>
      </c>
      <c r="F474" s="11" t="s">
        <v>121</v>
      </c>
      <c r="G474" s="11" t="s">
        <v>31</v>
      </c>
      <c r="H474" s="13" t="s">
        <v>265</v>
      </c>
      <c r="I474" s="13" t="s">
        <v>302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4</v>
      </c>
      <c r="AL474" s="14">
        <v>14400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0</v>
      </c>
      <c r="BB474" s="13">
        <v>0</v>
      </c>
      <c r="BC474" s="13">
        <v>2</v>
      </c>
      <c r="BD474" s="14">
        <v>7200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  <c r="BL474" s="15">
        <v>4752</v>
      </c>
      <c r="BM474" s="17">
        <v>21600</v>
      </c>
      <c r="BN474" s="9">
        <f t="shared" si="16"/>
        <v>16848</v>
      </c>
      <c r="BO474" s="10">
        <f t="shared" si="17"/>
        <v>11793.599999999999</v>
      </c>
    </row>
    <row r="475" spans="1:67" ht="24">
      <c r="A475" s="5" t="s">
        <v>352</v>
      </c>
      <c r="B475" s="11" t="s">
        <v>87</v>
      </c>
      <c r="C475" s="11">
        <v>211158</v>
      </c>
      <c r="D475" s="12"/>
      <c r="E475" s="11" t="s">
        <v>16</v>
      </c>
      <c r="F475" s="11" t="s">
        <v>27</v>
      </c>
      <c r="G475" s="11" t="s">
        <v>10</v>
      </c>
      <c r="H475" s="13" t="s">
        <v>7</v>
      </c>
      <c r="I475" s="13" t="s">
        <v>88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182</v>
      </c>
      <c r="AF475" s="14">
        <v>13200</v>
      </c>
      <c r="AG475" s="14">
        <v>5000</v>
      </c>
      <c r="AH475" s="13">
        <v>0</v>
      </c>
      <c r="AI475" s="13">
        <v>0</v>
      </c>
      <c r="AJ475" s="13">
        <v>0</v>
      </c>
      <c r="AK475" s="13">
        <v>13</v>
      </c>
      <c r="AL475" s="13">
        <v>0</v>
      </c>
      <c r="AM475" s="14">
        <v>1300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0</v>
      </c>
      <c r="BM475" s="17">
        <v>19500</v>
      </c>
      <c r="BN475" s="9">
        <f t="shared" si="16"/>
        <v>19500</v>
      </c>
      <c r="BO475" s="10">
        <f t="shared" si="17"/>
        <v>13650</v>
      </c>
    </row>
    <row r="476" spans="1:67" ht="24">
      <c r="A476" s="5" t="s">
        <v>352</v>
      </c>
      <c r="B476" s="11" t="s">
        <v>464</v>
      </c>
      <c r="C476" s="11">
        <v>484300</v>
      </c>
      <c r="D476" s="12"/>
      <c r="E476" s="11" t="s">
        <v>16</v>
      </c>
      <c r="F476" s="11" t="s">
        <v>465</v>
      </c>
      <c r="G476" s="11" t="s">
        <v>10</v>
      </c>
      <c r="H476" s="13" t="s">
        <v>7</v>
      </c>
      <c r="I476" s="13" t="s">
        <v>466</v>
      </c>
      <c r="J476" s="13">
        <v>6</v>
      </c>
      <c r="K476" s="13">
        <v>0</v>
      </c>
      <c r="L476" s="13">
        <v>600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38</v>
      </c>
      <c r="AF476" s="14">
        <v>3800</v>
      </c>
      <c r="AG476" s="13">
        <v>0</v>
      </c>
      <c r="AH476" s="13">
        <v>0</v>
      </c>
      <c r="AI476" s="13">
        <v>0</v>
      </c>
      <c r="AJ476" s="13">
        <v>0</v>
      </c>
      <c r="AK476" s="13">
        <v>125</v>
      </c>
      <c r="AL476" s="14">
        <v>15000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0</v>
      </c>
      <c r="BB476" s="13">
        <v>0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5">
        <v>4500</v>
      </c>
      <c r="BM476" s="17">
        <v>19400</v>
      </c>
      <c r="BN476" s="9">
        <f t="shared" si="16"/>
        <v>14900</v>
      </c>
      <c r="BO476" s="10">
        <f t="shared" si="17"/>
        <v>10430</v>
      </c>
    </row>
    <row r="477" spans="1:67" ht="24">
      <c r="A477" s="5" t="s">
        <v>352</v>
      </c>
      <c r="B477" s="11" t="s">
        <v>132</v>
      </c>
      <c r="C477" s="11">
        <v>367994</v>
      </c>
      <c r="D477" s="12"/>
      <c r="E477" s="11" t="s">
        <v>16</v>
      </c>
      <c r="F477" s="11" t="s">
        <v>30</v>
      </c>
      <c r="G477" s="11" t="s">
        <v>31</v>
      </c>
      <c r="H477" s="13" t="s">
        <v>8</v>
      </c>
      <c r="I477" s="13" t="s">
        <v>133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2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34</v>
      </c>
      <c r="AF477" s="14">
        <v>3400</v>
      </c>
      <c r="AG477" s="13">
        <v>0</v>
      </c>
      <c r="AH477" s="13">
        <v>0</v>
      </c>
      <c r="AI477" s="13">
        <v>0</v>
      </c>
      <c r="AJ477" s="13">
        <v>0</v>
      </c>
      <c r="AK477" s="13">
        <v>131</v>
      </c>
      <c r="AL477" s="14">
        <v>14520</v>
      </c>
      <c r="AM477" s="14">
        <v>1000</v>
      </c>
      <c r="AN477" s="13">
        <v>0</v>
      </c>
      <c r="AO477" s="13">
        <v>0</v>
      </c>
      <c r="AP477" s="13">
        <v>0</v>
      </c>
      <c r="AQ477" s="13">
        <v>4</v>
      </c>
      <c r="AR477" s="13">
        <v>400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5">
        <v>4356</v>
      </c>
      <c r="BM477" s="17">
        <v>19320</v>
      </c>
      <c r="BN477" s="9">
        <f t="shared" si="16"/>
        <v>14964</v>
      </c>
      <c r="BO477" s="10">
        <f t="shared" si="17"/>
        <v>10474.799999999999</v>
      </c>
    </row>
    <row r="478" spans="1:67" ht="24">
      <c r="A478" s="5" t="s">
        <v>352</v>
      </c>
      <c r="B478" s="11" t="s">
        <v>98</v>
      </c>
      <c r="C478" s="11">
        <v>359539</v>
      </c>
      <c r="D478" s="12"/>
      <c r="E478" s="11" t="s">
        <v>16</v>
      </c>
      <c r="F478" s="11" t="s">
        <v>99</v>
      </c>
      <c r="G478" s="11" t="s">
        <v>31</v>
      </c>
      <c r="H478" s="13" t="s">
        <v>8</v>
      </c>
      <c r="I478" s="13" t="s">
        <v>100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43</v>
      </c>
      <c r="AF478" s="14">
        <v>3600</v>
      </c>
      <c r="AG478" s="13">
        <v>700</v>
      </c>
      <c r="AH478" s="13">
        <v>0</v>
      </c>
      <c r="AI478" s="13">
        <v>0</v>
      </c>
      <c r="AJ478" s="13">
        <v>0</v>
      </c>
      <c r="AK478" s="13">
        <v>118</v>
      </c>
      <c r="AL478" s="14">
        <v>12482</v>
      </c>
      <c r="AM478" s="14">
        <v>1400</v>
      </c>
      <c r="AN478" s="13">
        <v>0</v>
      </c>
      <c r="AO478" s="13">
        <v>0</v>
      </c>
      <c r="AP478" s="13">
        <v>0</v>
      </c>
      <c r="AQ478" s="13">
        <v>9</v>
      </c>
      <c r="AR478" s="13">
        <v>900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5">
        <v>3744.6</v>
      </c>
      <c r="BM478" s="17">
        <v>19082</v>
      </c>
      <c r="BN478" s="9">
        <f t="shared" si="16"/>
        <v>15337.4</v>
      </c>
      <c r="BO478" s="10">
        <f t="shared" si="17"/>
        <v>10736.179999999998</v>
      </c>
    </row>
    <row r="479" spans="1:67" ht="24">
      <c r="A479" s="5" t="s">
        <v>352</v>
      </c>
      <c r="B479" s="11" t="s">
        <v>174</v>
      </c>
      <c r="C479" s="11">
        <v>445861</v>
      </c>
      <c r="D479" s="12"/>
      <c r="E479" s="11" t="s">
        <v>16</v>
      </c>
      <c r="F479" s="11" t="s">
        <v>43</v>
      </c>
      <c r="G479" s="11" t="s">
        <v>31</v>
      </c>
      <c r="H479" s="13" t="s">
        <v>8</v>
      </c>
      <c r="I479" s="13" t="s">
        <v>175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3</v>
      </c>
      <c r="AL479" s="14">
        <v>9480</v>
      </c>
      <c r="AM479" s="13">
        <v>500</v>
      </c>
      <c r="AN479" s="13">
        <v>0</v>
      </c>
      <c r="AO479" s="13">
        <v>0</v>
      </c>
      <c r="AP479" s="13">
        <v>0</v>
      </c>
      <c r="AQ479" s="13">
        <v>3</v>
      </c>
      <c r="AR479" s="14">
        <v>8400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5">
        <v>2844</v>
      </c>
      <c r="BM479" s="17">
        <v>18380</v>
      </c>
      <c r="BN479" s="9">
        <f t="shared" si="16"/>
        <v>15536</v>
      </c>
      <c r="BO479" s="10">
        <f t="shared" si="17"/>
        <v>10875.199999999999</v>
      </c>
    </row>
    <row r="480" spans="1:67" ht="24">
      <c r="A480" s="5" t="s">
        <v>352</v>
      </c>
      <c r="B480" s="11" t="s">
        <v>418</v>
      </c>
      <c r="C480" s="11">
        <v>469075</v>
      </c>
      <c r="D480" s="12"/>
      <c r="E480" s="11" t="s">
        <v>16</v>
      </c>
      <c r="F480" s="11" t="s">
        <v>54</v>
      </c>
      <c r="G480" s="11" t="s">
        <v>337</v>
      </c>
      <c r="H480" s="13" t="s">
        <v>9</v>
      </c>
      <c r="I480" s="13" t="s">
        <v>419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3</v>
      </c>
      <c r="AL480" s="14">
        <v>9840</v>
      </c>
      <c r="AM480" s="14">
        <v>4100</v>
      </c>
      <c r="AN480" s="13">
        <v>0</v>
      </c>
      <c r="AO480" s="13">
        <v>0</v>
      </c>
      <c r="AP480" s="13">
        <v>0</v>
      </c>
      <c r="AQ480" s="13">
        <v>1</v>
      </c>
      <c r="AR480" s="14">
        <v>4100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  <c r="BL480" s="15">
        <v>2952</v>
      </c>
      <c r="BM480" s="17">
        <v>18040</v>
      </c>
      <c r="BN480" s="9">
        <f t="shared" si="16"/>
        <v>15088</v>
      </c>
      <c r="BO480" s="10">
        <f t="shared" si="17"/>
        <v>10561.599999999999</v>
      </c>
    </row>
    <row r="481" spans="1:67" ht="24">
      <c r="A481" s="5" t="s">
        <v>352</v>
      </c>
      <c r="B481" s="11" t="s">
        <v>65</v>
      </c>
      <c r="C481" s="11">
        <v>219203</v>
      </c>
      <c r="D481" s="12"/>
      <c r="E481" s="11" t="s">
        <v>16</v>
      </c>
      <c r="F481" s="11" t="s">
        <v>66</v>
      </c>
      <c r="G481" s="11" t="s">
        <v>10</v>
      </c>
      <c r="H481" s="13" t="s">
        <v>7</v>
      </c>
      <c r="I481" s="13" t="s">
        <v>67</v>
      </c>
      <c r="J481" s="13">
        <v>0</v>
      </c>
      <c r="K481" s="13">
        <v>7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138</v>
      </c>
      <c r="AC481" s="14">
        <v>13400</v>
      </c>
      <c r="AD481" s="13">
        <v>400</v>
      </c>
      <c r="AE481" s="13">
        <v>0</v>
      </c>
      <c r="AF481" s="13">
        <v>0</v>
      </c>
      <c r="AG481" s="13">
        <v>0</v>
      </c>
      <c r="AH481" s="13">
        <v>8</v>
      </c>
      <c r="AI481" s="13">
        <v>240</v>
      </c>
      <c r="AJ481" s="13">
        <v>600</v>
      </c>
      <c r="AK481" s="13">
        <v>6</v>
      </c>
      <c r="AL481" s="13">
        <v>0</v>
      </c>
      <c r="AM481" s="14">
        <v>1800</v>
      </c>
      <c r="AN481" s="13">
        <v>9</v>
      </c>
      <c r="AO481" s="13">
        <v>900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0</v>
      </c>
      <c r="BD481" s="13">
        <v>0</v>
      </c>
      <c r="BE481" s="13">
        <v>0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72</v>
      </c>
      <c r="BM481" s="17">
        <v>17340</v>
      </c>
      <c r="BN481" s="9">
        <f t="shared" si="16"/>
        <v>17268</v>
      </c>
      <c r="BO481" s="10">
        <f t="shared" si="17"/>
        <v>12087.599999999999</v>
      </c>
    </row>
    <row r="482" spans="1:67" ht="24">
      <c r="A482" s="5" t="s">
        <v>352</v>
      </c>
      <c r="B482" s="11" t="s">
        <v>165</v>
      </c>
      <c r="C482" s="11">
        <v>378409</v>
      </c>
      <c r="D482" s="12"/>
      <c r="E482" s="11" t="s">
        <v>16</v>
      </c>
      <c r="F482" s="11" t="s">
        <v>43</v>
      </c>
      <c r="G482" s="11" t="s">
        <v>31</v>
      </c>
      <c r="H482" s="13" t="s">
        <v>8</v>
      </c>
      <c r="I482" s="13" t="s">
        <v>166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7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33</v>
      </c>
      <c r="AF482" s="14">
        <v>1400</v>
      </c>
      <c r="AG482" s="14">
        <v>1900</v>
      </c>
      <c r="AH482" s="13">
        <v>0</v>
      </c>
      <c r="AI482" s="13">
        <v>0</v>
      </c>
      <c r="AJ482" s="13">
        <v>0</v>
      </c>
      <c r="AK482" s="13">
        <v>109</v>
      </c>
      <c r="AL482" s="14">
        <v>7680</v>
      </c>
      <c r="AM482" s="14">
        <v>4500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  <c r="BL482" s="15">
        <v>2304</v>
      </c>
      <c r="BM482" s="17">
        <v>15480</v>
      </c>
      <c r="BN482" s="9">
        <f t="shared" si="16"/>
        <v>13176</v>
      </c>
      <c r="BO482" s="10">
        <f t="shared" si="17"/>
        <v>9223.1999999999989</v>
      </c>
    </row>
    <row r="483" spans="1:67" ht="24">
      <c r="A483" s="5" t="s">
        <v>352</v>
      </c>
      <c r="B483" s="11" t="s">
        <v>308</v>
      </c>
      <c r="C483" s="11">
        <v>377683</v>
      </c>
      <c r="D483" s="12"/>
      <c r="E483" s="11" t="s">
        <v>16</v>
      </c>
      <c r="F483" s="11" t="s">
        <v>30</v>
      </c>
      <c r="G483" s="11" t="s">
        <v>31</v>
      </c>
      <c r="H483" s="13" t="s">
        <v>265</v>
      </c>
      <c r="I483" s="13" t="s">
        <v>309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5</v>
      </c>
      <c r="AF483" s="14">
        <v>15000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  <c r="BM483" s="17">
        <v>15000</v>
      </c>
      <c r="BN483" s="9">
        <f t="shared" si="16"/>
        <v>15000</v>
      </c>
      <c r="BO483" s="10">
        <f t="shared" si="17"/>
        <v>10500</v>
      </c>
    </row>
    <row r="484" spans="1:67" ht="24">
      <c r="A484" s="5" t="s">
        <v>352</v>
      </c>
      <c r="B484" s="11" t="s">
        <v>498</v>
      </c>
      <c r="C484" s="11">
        <v>428121</v>
      </c>
      <c r="D484" s="12"/>
      <c r="E484" s="11" t="s">
        <v>16</v>
      </c>
      <c r="F484" s="11" t="s">
        <v>446</v>
      </c>
      <c r="G484" s="11" t="s">
        <v>31</v>
      </c>
      <c r="H484" s="13" t="s">
        <v>265</v>
      </c>
      <c r="I484" s="13" t="s">
        <v>462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1</v>
      </c>
      <c r="AF484" s="14">
        <v>3300</v>
      </c>
      <c r="AG484" s="13">
        <v>0</v>
      </c>
      <c r="AH484" s="13">
        <v>0</v>
      </c>
      <c r="AI484" s="13">
        <v>0</v>
      </c>
      <c r="AJ484" s="13">
        <v>0</v>
      </c>
      <c r="AK484" s="13">
        <v>2</v>
      </c>
      <c r="AL484" s="14">
        <v>7920</v>
      </c>
      <c r="AM484" s="13">
        <v>0</v>
      </c>
      <c r="AN484" s="13">
        <v>0</v>
      </c>
      <c r="AO484" s="13">
        <v>0</v>
      </c>
      <c r="AP484" s="13">
        <v>0</v>
      </c>
      <c r="AQ484" s="13">
        <v>1</v>
      </c>
      <c r="AR484" s="14">
        <v>3300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5">
        <v>2376</v>
      </c>
      <c r="BM484" s="17">
        <v>14520</v>
      </c>
      <c r="BN484" s="9">
        <f t="shared" si="16"/>
        <v>12144</v>
      </c>
      <c r="BO484" s="10">
        <f t="shared" si="17"/>
        <v>8500.7999999999993</v>
      </c>
    </row>
    <row r="485" spans="1:67" ht="24">
      <c r="A485" s="5" t="s">
        <v>352</v>
      </c>
      <c r="B485" s="11" t="s">
        <v>303</v>
      </c>
      <c r="C485" s="11">
        <v>428126</v>
      </c>
      <c r="D485" s="12"/>
      <c r="E485" s="11" t="s">
        <v>16</v>
      </c>
      <c r="F485" s="11" t="s">
        <v>43</v>
      </c>
      <c r="G485" s="11" t="s">
        <v>31</v>
      </c>
      <c r="H485" s="13" t="s">
        <v>265</v>
      </c>
      <c r="I485" s="13" t="s">
        <v>304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1</v>
      </c>
      <c r="AF485" s="14">
        <v>3500</v>
      </c>
      <c r="AG485" s="13">
        <v>0</v>
      </c>
      <c r="AH485" s="13">
        <v>0</v>
      </c>
      <c r="AI485" s="13">
        <v>0</v>
      </c>
      <c r="AJ485" s="13">
        <v>0</v>
      </c>
      <c r="AK485" s="13">
        <v>2</v>
      </c>
      <c r="AL485" s="14">
        <v>7210</v>
      </c>
      <c r="AM485" s="13">
        <v>0</v>
      </c>
      <c r="AN485" s="13">
        <v>0</v>
      </c>
      <c r="AO485" s="13">
        <v>0</v>
      </c>
      <c r="AP485" s="13">
        <v>0</v>
      </c>
      <c r="AQ485" s="13">
        <v>1</v>
      </c>
      <c r="AR485" s="14">
        <v>3500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5">
        <v>2163</v>
      </c>
      <c r="BM485" s="17">
        <v>14210</v>
      </c>
      <c r="BN485" s="9">
        <f t="shared" si="16"/>
        <v>12047</v>
      </c>
      <c r="BO485" s="10">
        <f t="shared" si="17"/>
        <v>8432.9</v>
      </c>
    </row>
    <row r="486" spans="1:67" ht="24">
      <c r="A486" s="5" t="s">
        <v>352</v>
      </c>
      <c r="B486" s="11" t="s">
        <v>590</v>
      </c>
      <c r="C486" s="11">
        <v>489946</v>
      </c>
      <c r="D486" s="12"/>
      <c r="E486" s="11" t="s">
        <v>16</v>
      </c>
      <c r="F486" s="11" t="s">
        <v>591</v>
      </c>
      <c r="G486" s="11" t="s">
        <v>10</v>
      </c>
      <c r="H486" s="13" t="s">
        <v>7</v>
      </c>
      <c r="I486" s="13" t="s">
        <v>592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2</v>
      </c>
      <c r="AF486" s="13">
        <v>200</v>
      </c>
      <c r="AG486" s="13">
        <v>0</v>
      </c>
      <c r="AH486" s="13">
        <v>0</v>
      </c>
      <c r="AI486" s="13">
        <v>0</v>
      </c>
      <c r="AJ486" s="13">
        <v>0</v>
      </c>
      <c r="AK486" s="13">
        <v>107</v>
      </c>
      <c r="AL486" s="14">
        <v>12840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5">
        <v>3852</v>
      </c>
      <c r="BM486" s="17">
        <v>13040</v>
      </c>
      <c r="BN486" s="9">
        <f t="shared" ref="BN486:BN549" si="18">BM486-BL486</f>
        <v>9188</v>
      </c>
      <c r="BO486" s="10">
        <f t="shared" ref="BO486:BO549" si="19">BN486*70%</f>
        <v>6431.5999999999995</v>
      </c>
    </row>
    <row r="487" spans="1:67" ht="24">
      <c r="A487" s="5" t="s">
        <v>352</v>
      </c>
      <c r="B487" s="11" t="s">
        <v>138</v>
      </c>
      <c r="C487" s="11">
        <v>428319</v>
      </c>
      <c r="D487" s="12"/>
      <c r="E487" s="11" t="s">
        <v>16</v>
      </c>
      <c r="F487" s="11" t="s">
        <v>90</v>
      </c>
      <c r="G487" s="11" t="s">
        <v>10</v>
      </c>
      <c r="H487" s="13" t="s">
        <v>7</v>
      </c>
      <c r="I487" s="13" t="s">
        <v>103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108</v>
      </c>
      <c r="AL487" s="14">
        <v>12960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5">
        <v>3888</v>
      </c>
      <c r="BM487" s="17">
        <v>12960</v>
      </c>
      <c r="BN487" s="9">
        <f t="shared" si="18"/>
        <v>9072</v>
      </c>
      <c r="BO487" s="10">
        <f t="shared" si="19"/>
        <v>6350.4</v>
      </c>
    </row>
    <row r="488" spans="1:67" ht="24">
      <c r="A488" s="5" t="s">
        <v>352</v>
      </c>
      <c r="B488" s="11" t="s">
        <v>469</v>
      </c>
      <c r="C488" s="11">
        <v>483173</v>
      </c>
      <c r="D488" s="12"/>
      <c r="E488" s="11" t="s">
        <v>16</v>
      </c>
      <c r="F488" s="11" t="s">
        <v>470</v>
      </c>
      <c r="G488" s="11" t="s">
        <v>337</v>
      </c>
      <c r="H488" s="13" t="s">
        <v>8</v>
      </c>
      <c r="I488" s="13" t="s">
        <v>471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75</v>
      </c>
      <c r="AF488" s="14">
        <v>7500</v>
      </c>
      <c r="AG488" s="13">
        <v>0</v>
      </c>
      <c r="AH488" s="13">
        <v>0</v>
      </c>
      <c r="AI488" s="13">
        <v>0</v>
      </c>
      <c r="AJ488" s="13">
        <v>0</v>
      </c>
      <c r="AK488" s="13">
        <v>50</v>
      </c>
      <c r="AL488" s="13">
        <v>0</v>
      </c>
      <c r="AM488" s="14">
        <v>5000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0</v>
      </c>
      <c r="BJ488" s="13">
        <v>0</v>
      </c>
      <c r="BK488" s="13">
        <v>0</v>
      </c>
      <c r="BL488" s="13">
        <v>0</v>
      </c>
      <c r="BM488" s="17">
        <v>12500</v>
      </c>
      <c r="BN488" s="9">
        <f t="shared" si="18"/>
        <v>12500</v>
      </c>
      <c r="BO488" s="10">
        <f t="shared" si="19"/>
        <v>8750</v>
      </c>
    </row>
    <row r="489" spans="1:67" ht="24">
      <c r="A489" s="5" t="s">
        <v>352</v>
      </c>
      <c r="B489" s="11" t="s">
        <v>699</v>
      </c>
      <c r="C489" s="11">
        <v>444215</v>
      </c>
      <c r="D489" s="12"/>
      <c r="E489" s="11" t="s">
        <v>16</v>
      </c>
      <c r="F489" s="11" t="s">
        <v>199</v>
      </c>
      <c r="G489" s="11" t="s">
        <v>31</v>
      </c>
      <c r="H489" s="13" t="s">
        <v>265</v>
      </c>
      <c r="I489" s="13" t="s">
        <v>700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1</v>
      </c>
      <c r="AF489" s="14">
        <v>3400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13">
        <v>0</v>
      </c>
      <c r="BA489" s="13">
        <v>0</v>
      </c>
      <c r="BB489" s="13">
        <v>0</v>
      </c>
      <c r="BC489" s="13">
        <v>2</v>
      </c>
      <c r="BD489" s="14">
        <v>8160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489.6</v>
      </c>
      <c r="BM489" s="17">
        <v>11560</v>
      </c>
      <c r="BN489" s="9">
        <f t="shared" si="18"/>
        <v>11070.4</v>
      </c>
      <c r="BO489" s="10">
        <f t="shared" si="19"/>
        <v>7749.2799999999988</v>
      </c>
    </row>
    <row r="490" spans="1:67" ht="24">
      <c r="A490" s="5" t="s">
        <v>352</v>
      </c>
      <c r="B490" s="11" t="s">
        <v>492</v>
      </c>
      <c r="C490" s="11">
        <v>431802</v>
      </c>
      <c r="D490" s="12"/>
      <c r="E490" s="11" t="s">
        <v>16</v>
      </c>
      <c r="F490" s="11" t="s">
        <v>121</v>
      </c>
      <c r="G490" s="11" t="s">
        <v>31</v>
      </c>
      <c r="H490" s="13" t="s">
        <v>265</v>
      </c>
      <c r="I490" s="13" t="s">
        <v>493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2</v>
      </c>
      <c r="AL490" s="14">
        <v>5760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2</v>
      </c>
      <c r="BD490" s="14">
        <v>5760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5">
        <v>2073.6</v>
      </c>
      <c r="BM490" s="17">
        <v>11520</v>
      </c>
      <c r="BN490" s="9">
        <f t="shared" si="18"/>
        <v>9446.4</v>
      </c>
      <c r="BO490" s="10">
        <f t="shared" si="19"/>
        <v>6612.48</v>
      </c>
    </row>
    <row r="491" spans="1:67" ht="24">
      <c r="A491" s="5" t="s">
        <v>352</v>
      </c>
      <c r="B491" s="11" t="s">
        <v>134</v>
      </c>
      <c r="C491" s="11">
        <v>328404</v>
      </c>
      <c r="D491" s="12"/>
      <c r="E491" s="11" t="s">
        <v>16</v>
      </c>
      <c r="F491" s="11" t="s">
        <v>30</v>
      </c>
      <c r="G491" s="11" t="s">
        <v>31</v>
      </c>
      <c r="H491" s="13" t="s">
        <v>8</v>
      </c>
      <c r="I491" s="13" t="s">
        <v>135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6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67</v>
      </c>
      <c r="AF491" s="14">
        <v>6700</v>
      </c>
      <c r="AG491" s="13">
        <v>0</v>
      </c>
      <c r="AH491" s="13">
        <v>0</v>
      </c>
      <c r="AI491" s="13">
        <v>0</v>
      </c>
      <c r="AJ491" s="13">
        <v>0</v>
      </c>
      <c r="AK491" s="13">
        <v>41</v>
      </c>
      <c r="AL491" s="14">
        <v>3704</v>
      </c>
      <c r="AM491" s="14">
        <v>1000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  <c r="BL491" s="15">
        <v>1111.2</v>
      </c>
      <c r="BM491" s="17">
        <v>11404</v>
      </c>
      <c r="BN491" s="9">
        <f t="shared" si="18"/>
        <v>10292.799999999999</v>
      </c>
      <c r="BO491" s="10">
        <f t="shared" si="19"/>
        <v>7204.9599999999991</v>
      </c>
    </row>
    <row r="492" spans="1:67" ht="24">
      <c r="A492" s="5" t="s">
        <v>352</v>
      </c>
      <c r="B492" s="11" t="s">
        <v>637</v>
      </c>
      <c r="C492" s="11">
        <v>442274</v>
      </c>
      <c r="D492" s="12"/>
      <c r="E492" s="11" t="s">
        <v>16</v>
      </c>
      <c r="F492" s="11" t="s">
        <v>63</v>
      </c>
      <c r="G492" s="11" t="s">
        <v>10</v>
      </c>
      <c r="H492" s="13" t="s">
        <v>7</v>
      </c>
      <c r="I492" s="13" t="s">
        <v>64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1</v>
      </c>
      <c r="AF492" s="13">
        <v>0</v>
      </c>
      <c r="AG492" s="13">
        <v>100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112</v>
      </c>
      <c r="AR492" s="14">
        <v>11200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13">
        <v>0</v>
      </c>
      <c r="BL492" s="13">
        <v>0</v>
      </c>
      <c r="BM492" s="17">
        <v>11300</v>
      </c>
      <c r="BN492" s="9">
        <f t="shared" si="18"/>
        <v>11300</v>
      </c>
      <c r="BO492" s="10">
        <f t="shared" si="19"/>
        <v>7909.9999999999991</v>
      </c>
    </row>
    <row r="493" spans="1:67" ht="24">
      <c r="A493" s="5" t="s">
        <v>352</v>
      </c>
      <c r="B493" s="11" t="s">
        <v>120</v>
      </c>
      <c r="C493" s="11">
        <v>383229</v>
      </c>
      <c r="D493" s="12"/>
      <c r="E493" s="11" t="s">
        <v>16</v>
      </c>
      <c r="F493" s="11" t="s">
        <v>121</v>
      </c>
      <c r="G493" s="11" t="s">
        <v>31</v>
      </c>
      <c r="H493" s="13" t="s">
        <v>8</v>
      </c>
      <c r="I493" s="13" t="s">
        <v>122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7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49</v>
      </c>
      <c r="AF493" s="13">
        <v>300</v>
      </c>
      <c r="AG493" s="14">
        <v>4600</v>
      </c>
      <c r="AH493" s="13">
        <v>0</v>
      </c>
      <c r="AI493" s="13">
        <v>0</v>
      </c>
      <c r="AJ493" s="13">
        <v>0</v>
      </c>
      <c r="AK493" s="13">
        <v>14</v>
      </c>
      <c r="AL493" s="13">
        <v>0</v>
      </c>
      <c r="AM493" s="14">
        <v>1400</v>
      </c>
      <c r="AN493" s="13">
        <v>0</v>
      </c>
      <c r="AO493" s="13">
        <v>0</v>
      </c>
      <c r="AP493" s="13">
        <v>0</v>
      </c>
      <c r="AQ493" s="13">
        <v>49</v>
      </c>
      <c r="AR493" s="14">
        <v>4900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7">
        <v>11200</v>
      </c>
      <c r="BN493" s="9">
        <f t="shared" si="18"/>
        <v>11200</v>
      </c>
      <c r="BO493" s="10">
        <f t="shared" si="19"/>
        <v>7839.9999999999991</v>
      </c>
    </row>
    <row r="494" spans="1:67" ht="24">
      <c r="A494" s="5" t="s">
        <v>352</v>
      </c>
      <c r="B494" s="11" t="s">
        <v>467</v>
      </c>
      <c r="C494" s="11">
        <v>484142</v>
      </c>
      <c r="D494" s="12"/>
      <c r="E494" s="11" t="s">
        <v>16</v>
      </c>
      <c r="F494" s="11" t="s">
        <v>468</v>
      </c>
      <c r="G494" s="11" t="s">
        <v>337</v>
      </c>
      <c r="H494" s="13" t="s">
        <v>8</v>
      </c>
      <c r="I494" s="13" t="s">
        <v>435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105</v>
      </c>
      <c r="AF494" s="13">
        <v>800</v>
      </c>
      <c r="AG494" s="14">
        <v>9700</v>
      </c>
      <c r="AH494" s="13">
        <v>0</v>
      </c>
      <c r="AI494" s="13">
        <v>0</v>
      </c>
      <c r="AJ494" s="13">
        <v>0</v>
      </c>
      <c r="AK494" s="13">
        <v>1</v>
      </c>
      <c r="AL494" s="13">
        <v>120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36</v>
      </c>
      <c r="BM494" s="17">
        <v>10620</v>
      </c>
      <c r="BN494" s="9">
        <f t="shared" si="18"/>
        <v>10584</v>
      </c>
      <c r="BO494" s="10">
        <f t="shared" si="19"/>
        <v>7408.7999999999993</v>
      </c>
    </row>
    <row r="495" spans="1:67" ht="24">
      <c r="A495" s="5" t="s">
        <v>352</v>
      </c>
      <c r="B495" s="11" t="s">
        <v>115</v>
      </c>
      <c r="C495" s="11">
        <v>386704</v>
      </c>
      <c r="D495" s="12"/>
      <c r="E495" s="11" t="s">
        <v>16</v>
      </c>
      <c r="F495" s="11" t="s">
        <v>116</v>
      </c>
      <c r="G495" s="11" t="s">
        <v>31</v>
      </c>
      <c r="H495" s="13" t="s">
        <v>8</v>
      </c>
      <c r="I495" s="13" t="s">
        <v>117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87</v>
      </c>
      <c r="AL495" s="14">
        <v>10440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5">
        <v>3132</v>
      </c>
      <c r="BM495" s="17">
        <v>10440</v>
      </c>
      <c r="BN495" s="9">
        <f t="shared" si="18"/>
        <v>7308</v>
      </c>
      <c r="BO495" s="10">
        <f t="shared" si="19"/>
        <v>5115.5999999999995</v>
      </c>
    </row>
    <row r="496" spans="1:67" ht="24">
      <c r="A496" s="5" t="s">
        <v>352</v>
      </c>
      <c r="B496" s="11" t="s">
        <v>597</v>
      </c>
      <c r="C496" s="11">
        <v>489732</v>
      </c>
      <c r="D496" s="12"/>
      <c r="E496" s="11" t="s">
        <v>16</v>
      </c>
      <c r="F496" s="11" t="s">
        <v>598</v>
      </c>
      <c r="G496" s="11" t="s">
        <v>10</v>
      </c>
      <c r="H496" s="13" t="s">
        <v>7</v>
      </c>
      <c r="I496" s="13" t="s">
        <v>599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1</v>
      </c>
      <c r="AF496" s="13">
        <v>100</v>
      </c>
      <c r="AG496" s="13">
        <v>0</v>
      </c>
      <c r="AH496" s="13">
        <v>0</v>
      </c>
      <c r="AI496" s="13">
        <v>0</v>
      </c>
      <c r="AJ496" s="13">
        <v>0</v>
      </c>
      <c r="AK496" s="13">
        <v>82</v>
      </c>
      <c r="AL496" s="14">
        <v>9840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5">
        <v>2952</v>
      </c>
      <c r="BM496" s="17">
        <v>9940</v>
      </c>
      <c r="BN496" s="9">
        <f t="shared" si="18"/>
        <v>6988</v>
      </c>
      <c r="BO496" s="10">
        <f t="shared" si="19"/>
        <v>4891.5999999999995</v>
      </c>
    </row>
    <row r="497" spans="1:67" ht="24">
      <c r="A497" s="5" t="s">
        <v>352</v>
      </c>
      <c r="B497" s="11" t="s">
        <v>139</v>
      </c>
      <c r="C497" s="11">
        <v>350894</v>
      </c>
      <c r="D497" s="12"/>
      <c r="E497" s="11" t="s">
        <v>16</v>
      </c>
      <c r="F497" s="11" t="s">
        <v>140</v>
      </c>
      <c r="G497" s="11" t="s">
        <v>31</v>
      </c>
      <c r="H497" s="13" t="s">
        <v>8</v>
      </c>
      <c r="I497" s="13" t="s">
        <v>141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1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48</v>
      </c>
      <c r="AF497" s="14">
        <v>4800</v>
      </c>
      <c r="AG497" s="13">
        <v>0</v>
      </c>
      <c r="AH497" s="13">
        <v>0</v>
      </c>
      <c r="AI497" s="13">
        <v>0</v>
      </c>
      <c r="AJ497" s="13">
        <v>0</v>
      </c>
      <c r="AK497" s="13">
        <v>31</v>
      </c>
      <c r="AL497" s="14">
        <v>2400</v>
      </c>
      <c r="AM497" s="14">
        <v>1100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720</v>
      </c>
      <c r="BM497" s="17">
        <v>8300</v>
      </c>
      <c r="BN497" s="9">
        <f t="shared" si="18"/>
        <v>7580</v>
      </c>
      <c r="BO497" s="10">
        <f t="shared" si="19"/>
        <v>5306</v>
      </c>
    </row>
    <row r="498" spans="1:67" ht="24">
      <c r="A498" s="5" t="s">
        <v>352</v>
      </c>
      <c r="B498" s="11" t="s">
        <v>79</v>
      </c>
      <c r="C498" s="11">
        <v>422032</v>
      </c>
      <c r="D498" s="12"/>
      <c r="E498" s="11" t="s">
        <v>16</v>
      </c>
      <c r="F498" s="11" t="s">
        <v>80</v>
      </c>
      <c r="G498" s="11" t="s">
        <v>10</v>
      </c>
      <c r="H498" s="13" t="s">
        <v>9</v>
      </c>
      <c r="I498" s="13" t="s">
        <v>81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13</v>
      </c>
      <c r="AF498" s="14">
        <v>1300</v>
      </c>
      <c r="AG498" s="13">
        <v>0</v>
      </c>
      <c r="AH498" s="13">
        <v>0</v>
      </c>
      <c r="AI498" s="13">
        <v>0</v>
      </c>
      <c r="AJ498" s="13">
        <v>0</v>
      </c>
      <c r="AK498" s="13">
        <v>10</v>
      </c>
      <c r="AL498" s="13">
        <v>840</v>
      </c>
      <c r="AM498" s="13">
        <v>300</v>
      </c>
      <c r="AN498" s="13">
        <v>0</v>
      </c>
      <c r="AO498" s="13">
        <v>0</v>
      </c>
      <c r="AP498" s="13">
        <v>0</v>
      </c>
      <c r="AQ498" s="13">
        <v>51</v>
      </c>
      <c r="AR498" s="14">
        <v>5100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252</v>
      </c>
      <c r="BM498" s="17">
        <v>7540</v>
      </c>
      <c r="BN498" s="9">
        <f t="shared" si="18"/>
        <v>7288</v>
      </c>
      <c r="BO498" s="10">
        <f t="shared" si="19"/>
        <v>5101.5999999999995</v>
      </c>
    </row>
    <row r="499" spans="1:67" ht="24">
      <c r="A499" s="5" t="s">
        <v>352</v>
      </c>
      <c r="B499" s="11" t="s">
        <v>617</v>
      </c>
      <c r="C499" s="11">
        <v>426251</v>
      </c>
      <c r="D499" s="12"/>
      <c r="E499" s="11" t="s">
        <v>16</v>
      </c>
      <c r="F499" s="11" t="s">
        <v>199</v>
      </c>
      <c r="G499" s="11" t="s">
        <v>31</v>
      </c>
      <c r="H499" s="13" t="s">
        <v>265</v>
      </c>
      <c r="I499" s="13" t="s">
        <v>618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2</v>
      </c>
      <c r="BD499" s="14">
        <v>7200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432</v>
      </c>
      <c r="BM499" s="17">
        <v>7200</v>
      </c>
      <c r="BN499" s="9">
        <f t="shared" si="18"/>
        <v>6768</v>
      </c>
      <c r="BO499" s="10">
        <f t="shared" si="19"/>
        <v>4737.5999999999995</v>
      </c>
    </row>
    <row r="500" spans="1:67" ht="48">
      <c r="A500" s="5" t="s">
        <v>352</v>
      </c>
      <c r="B500" s="11" t="s">
        <v>171</v>
      </c>
      <c r="C500" s="11">
        <v>467503</v>
      </c>
      <c r="D500" s="12"/>
      <c r="E500" s="11" t="s">
        <v>16</v>
      </c>
      <c r="F500" s="11" t="s">
        <v>151</v>
      </c>
      <c r="G500" s="11" t="s">
        <v>31</v>
      </c>
      <c r="H500" s="13" t="s">
        <v>8</v>
      </c>
      <c r="I500" s="13" t="s">
        <v>25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2</v>
      </c>
      <c r="AL500" s="14">
        <v>3904</v>
      </c>
      <c r="AM500" s="14">
        <v>3200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0</v>
      </c>
      <c r="BE500" s="13">
        <v>0</v>
      </c>
      <c r="BF500" s="13">
        <v>0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5">
        <v>1171.2</v>
      </c>
      <c r="BM500" s="17">
        <v>7104</v>
      </c>
      <c r="BN500" s="9">
        <f t="shared" si="18"/>
        <v>5932.8</v>
      </c>
      <c r="BO500" s="10">
        <f t="shared" si="19"/>
        <v>4152.96</v>
      </c>
    </row>
    <row r="501" spans="1:67" ht="24">
      <c r="A501" s="5" t="s">
        <v>352</v>
      </c>
      <c r="B501" s="11" t="s">
        <v>142</v>
      </c>
      <c r="C501" s="11">
        <v>394079</v>
      </c>
      <c r="D501" s="12"/>
      <c r="E501" s="11" t="s">
        <v>16</v>
      </c>
      <c r="F501" s="11" t="s">
        <v>48</v>
      </c>
      <c r="G501" s="11" t="s">
        <v>31</v>
      </c>
      <c r="H501" s="13" t="s">
        <v>8</v>
      </c>
      <c r="I501" s="13" t="s">
        <v>143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1</v>
      </c>
      <c r="AF501" s="13">
        <v>100</v>
      </c>
      <c r="AG501" s="13">
        <v>0</v>
      </c>
      <c r="AH501" s="13">
        <v>0</v>
      </c>
      <c r="AI501" s="13">
        <v>0</v>
      </c>
      <c r="AJ501" s="13">
        <v>0</v>
      </c>
      <c r="AK501" s="13">
        <v>45</v>
      </c>
      <c r="AL501" s="14">
        <v>5400</v>
      </c>
      <c r="AM501" s="13">
        <v>0</v>
      </c>
      <c r="AN501" s="13">
        <v>0</v>
      </c>
      <c r="AO501" s="13">
        <v>0</v>
      </c>
      <c r="AP501" s="13">
        <v>0</v>
      </c>
      <c r="AQ501" s="13">
        <v>15</v>
      </c>
      <c r="AR501" s="14">
        <v>1500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5">
        <v>1620</v>
      </c>
      <c r="BM501" s="17">
        <v>7000</v>
      </c>
      <c r="BN501" s="9">
        <f t="shared" si="18"/>
        <v>5380</v>
      </c>
      <c r="BO501" s="10">
        <f t="shared" si="19"/>
        <v>3765.9999999999995</v>
      </c>
    </row>
    <row r="502" spans="1:67" ht="24">
      <c r="A502" s="5" t="s">
        <v>352</v>
      </c>
      <c r="B502" s="11" t="s">
        <v>422</v>
      </c>
      <c r="C502" s="11">
        <v>408471</v>
      </c>
      <c r="D502" s="12"/>
      <c r="E502" s="11" t="s">
        <v>16</v>
      </c>
      <c r="F502" s="11" t="s">
        <v>185</v>
      </c>
      <c r="G502" s="11" t="s">
        <v>31</v>
      </c>
      <c r="H502" s="13" t="s">
        <v>8</v>
      </c>
      <c r="I502" s="13" t="s">
        <v>423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6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70</v>
      </c>
      <c r="AL502" s="13">
        <v>0</v>
      </c>
      <c r="AM502" s="14">
        <v>7000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7">
        <v>7000</v>
      </c>
      <c r="BN502" s="9">
        <f t="shared" si="18"/>
        <v>7000</v>
      </c>
      <c r="BO502" s="10">
        <f t="shared" si="19"/>
        <v>4900</v>
      </c>
    </row>
    <row r="503" spans="1:67" ht="24">
      <c r="A503" s="5" t="s">
        <v>352</v>
      </c>
      <c r="B503" s="11" t="s">
        <v>607</v>
      </c>
      <c r="C503" s="11">
        <v>488804</v>
      </c>
      <c r="D503" s="12"/>
      <c r="E503" s="11" t="s">
        <v>16</v>
      </c>
      <c r="F503" s="11" t="s">
        <v>608</v>
      </c>
      <c r="G503" s="11" t="s">
        <v>31</v>
      </c>
      <c r="H503" s="13" t="s">
        <v>8</v>
      </c>
      <c r="I503" s="13" t="s">
        <v>609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2</v>
      </c>
      <c r="BD503" s="14">
        <v>6480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388.8</v>
      </c>
      <c r="BM503" s="17">
        <v>6480</v>
      </c>
      <c r="BN503" s="9">
        <f t="shared" si="18"/>
        <v>6091.2</v>
      </c>
      <c r="BO503" s="10">
        <f t="shared" si="19"/>
        <v>4263.8399999999992</v>
      </c>
    </row>
    <row r="504" spans="1:67" ht="24">
      <c r="A504" s="5" t="s">
        <v>352</v>
      </c>
      <c r="B504" s="11" t="s">
        <v>269</v>
      </c>
      <c r="C504" s="11">
        <v>363413</v>
      </c>
      <c r="D504" s="12"/>
      <c r="E504" s="11" t="s">
        <v>16</v>
      </c>
      <c r="F504" s="11" t="s">
        <v>99</v>
      </c>
      <c r="G504" s="11" t="s">
        <v>31</v>
      </c>
      <c r="H504" s="13" t="s">
        <v>8</v>
      </c>
      <c r="I504" s="13" t="s">
        <v>270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2</v>
      </c>
      <c r="AF504" s="13">
        <v>200</v>
      </c>
      <c r="AG504" s="13">
        <v>0</v>
      </c>
      <c r="AH504" s="13">
        <v>0</v>
      </c>
      <c r="AI504" s="13">
        <v>0</v>
      </c>
      <c r="AJ504" s="13">
        <v>0</v>
      </c>
      <c r="AK504" s="13">
        <v>52</v>
      </c>
      <c r="AL504" s="14">
        <v>6240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5">
        <v>1872</v>
      </c>
      <c r="BM504" s="17">
        <v>6440</v>
      </c>
      <c r="BN504" s="9">
        <f t="shared" si="18"/>
        <v>4568</v>
      </c>
      <c r="BO504" s="10">
        <f t="shared" si="19"/>
        <v>3197.6</v>
      </c>
    </row>
    <row r="505" spans="1:67" ht="24">
      <c r="A505" s="5" t="s">
        <v>352</v>
      </c>
      <c r="B505" s="11" t="s">
        <v>613</v>
      </c>
      <c r="C505" s="11">
        <v>490073</v>
      </c>
      <c r="D505" s="12"/>
      <c r="E505" s="11" t="s">
        <v>16</v>
      </c>
      <c r="F505" s="11" t="s">
        <v>35</v>
      </c>
      <c r="G505" s="11" t="s">
        <v>10</v>
      </c>
      <c r="H505" s="13" t="s">
        <v>7</v>
      </c>
      <c r="I505" s="13" t="s">
        <v>575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2</v>
      </c>
      <c r="AR505" s="14">
        <v>6400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0</v>
      </c>
      <c r="BM505" s="17">
        <v>6400</v>
      </c>
      <c r="BN505" s="9">
        <f t="shared" si="18"/>
        <v>6400</v>
      </c>
      <c r="BO505" s="10">
        <f t="shared" si="19"/>
        <v>4480</v>
      </c>
    </row>
    <row r="506" spans="1:67" ht="24">
      <c r="A506" s="5" t="s">
        <v>352</v>
      </c>
      <c r="B506" s="11" t="s">
        <v>178</v>
      </c>
      <c r="C506" s="11">
        <v>458566</v>
      </c>
      <c r="D506" s="12"/>
      <c r="E506" s="11" t="s">
        <v>16</v>
      </c>
      <c r="F506" s="11" t="s">
        <v>27</v>
      </c>
      <c r="G506" s="11" t="s">
        <v>10</v>
      </c>
      <c r="H506" s="13" t="s">
        <v>7</v>
      </c>
      <c r="I506" s="13" t="s">
        <v>179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2</v>
      </c>
      <c r="AF506" s="14">
        <v>6400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0</v>
      </c>
      <c r="BD506" s="13">
        <v>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  <c r="BM506" s="17">
        <v>6400</v>
      </c>
      <c r="BN506" s="9">
        <f t="shared" si="18"/>
        <v>6400</v>
      </c>
      <c r="BO506" s="10">
        <f t="shared" si="19"/>
        <v>4480</v>
      </c>
    </row>
    <row r="507" spans="1:67" ht="24">
      <c r="A507" s="5" t="s">
        <v>352</v>
      </c>
      <c r="B507" s="11" t="s">
        <v>566</v>
      </c>
      <c r="C507" s="11">
        <v>392658</v>
      </c>
      <c r="D507" s="12"/>
      <c r="E507" s="11" t="s">
        <v>16</v>
      </c>
      <c r="F507" s="11" t="s">
        <v>48</v>
      </c>
      <c r="G507" s="11" t="s">
        <v>31</v>
      </c>
      <c r="H507" s="13" t="s">
        <v>265</v>
      </c>
      <c r="I507" s="13" t="s">
        <v>251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</v>
      </c>
      <c r="AF507" s="14">
        <v>3200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1</v>
      </c>
      <c r="AR507" s="14">
        <v>3200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7">
        <v>6400</v>
      </c>
      <c r="BN507" s="9">
        <f t="shared" si="18"/>
        <v>6400</v>
      </c>
      <c r="BO507" s="10">
        <f t="shared" si="19"/>
        <v>4480</v>
      </c>
    </row>
    <row r="508" spans="1:67" ht="24">
      <c r="A508" s="5" t="s">
        <v>352</v>
      </c>
      <c r="B508" s="11" t="s">
        <v>296</v>
      </c>
      <c r="C508" s="11">
        <v>356294</v>
      </c>
      <c r="D508" s="12"/>
      <c r="E508" s="11" t="s">
        <v>16</v>
      </c>
      <c r="F508" s="11" t="s">
        <v>37</v>
      </c>
      <c r="G508" s="11" t="s">
        <v>31</v>
      </c>
      <c r="H508" s="13" t="s">
        <v>8</v>
      </c>
      <c r="I508" s="13" t="s">
        <v>183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63</v>
      </c>
      <c r="AF508" s="14">
        <v>6300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  <c r="BM508" s="17">
        <v>6300</v>
      </c>
      <c r="BN508" s="9">
        <f t="shared" si="18"/>
        <v>6300</v>
      </c>
      <c r="BO508" s="10">
        <f t="shared" si="19"/>
        <v>4410</v>
      </c>
    </row>
    <row r="509" spans="1:67" ht="24">
      <c r="A509" s="5" t="s">
        <v>352</v>
      </c>
      <c r="B509" s="11" t="s">
        <v>167</v>
      </c>
      <c r="C509" s="11">
        <v>423328</v>
      </c>
      <c r="D509" s="12"/>
      <c r="E509" s="11" t="s">
        <v>16</v>
      </c>
      <c r="F509" s="11" t="s">
        <v>27</v>
      </c>
      <c r="G509" s="11" t="s">
        <v>10</v>
      </c>
      <c r="H509" s="13" t="s">
        <v>7</v>
      </c>
      <c r="I509" s="13" t="s">
        <v>168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59</v>
      </c>
      <c r="AR509" s="14">
        <v>5900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0</v>
      </c>
      <c r="BJ509" s="13">
        <v>0</v>
      </c>
      <c r="BK509" s="13">
        <v>0</v>
      </c>
      <c r="BL509" s="13">
        <v>0</v>
      </c>
      <c r="BM509" s="17">
        <v>5900</v>
      </c>
      <c r="BN509" s="9">
        <f t="shared" si="18"/>
        <v>5900</v>
      </c>
      <c r="BO509" s="10">
        <f t="shared" si="19"/>
        <v>4130</v>
      </c>
    </row>
    <row r="510" spans="1:67" ht="24">
      <c r="A510" s="5" t="s">
        <v>352</v>
      </c>
      <c r="B510" s="11" t="s">
        <v>567</v>
      </c>
      <c r="C510" s="11">
        <v>331748</v>
      </c>
      <c r="D510" s="12"/>
      <c r="E510" s="11" t="s">
        <v>16</v>
      </c>
      <c r="F510" s="11" t="s">
        <v>185</v>
      </c>
      <c r="G510" s="11" t="s">
        <v>31</v>
      </c>
      <c r="H510" s="13" t="s">
        <v>265</v>
      </c>
      <c r="I510" s="13" t="s">
        <v>568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1</v>
      </c>
      <c r="AL510" s="14">
        <v>5880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5">
        <v>1764</v>
      </c>
      <c r="BM510" s="17">
        <v>5880</v>
      </c>
      <c r="BN510" s="9">
        <f t="shared" si="18"/>
        <v>4116</v>
      </c>
      <c r="BO510" s="10">
        <f t="shared" si="19"/>
        <v>2881.2</v>
      </c>
    </row>
    <row r="511" spans="1:67" ht="24">
      <c r="A511" s="5" t="s">
        <v>352</v>
      </c>
      <c r="B511" s="11" t="s">
        <v>85</v>
      </c>
      <c r="C511" s="11">
        <v>462353</v>
      </c>
      <c r="D511" s="12"/>
      <c r="E511" s="11" t="s">
        <v>16</v>
      </c>
      <c r="F511" s="11" t="s">
        <v>35</v>
      </c>
      <c r="G511" s="11" t="s">
        <v>10</v>
      </c>
      <c r="H511" s="13" t="s">
        <v>7</v>
      </c>
      <c r="I511" s="13" t="s">
        <v>86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1</v>
      </c>
      <c r="AF511" s="13">
        <v>100</v>
      </c>
      <c r="AG511" s="13">
        <v>0</v>
      </c>
      <c r="AH511" s="13">
        <v>0</v>
      </c>
      <c r="AI511" s="13">
        <v>0</v>
      </c>
      <c r="AJ511" s="13">
        <v>0</v>
      </c>
      <c r="AK511" s="13">
        <v>47</v>
      </c>
      <c r="AL511" s="14">
        <v>5640</v>
      </c>
      <c r="AM511" s="13">
        <v>0</v>
      </c>
      <c r="AN511" s="13">
        <v>0</v>
      </c>
      <c r="AO511" s="13">
        <v>0</v>
      </c>
      <c r="AP511" s="13">
        <v>0</v>
      </c>
      <c r="AQ511" s="13">
        <v>1</v>
      </c>
      <c r="AR511" s="13">
        <v>100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5">
        <v>1692</v>
      </c>
      <c r="BM511" s="17">
        <v>5840</v>
      </c>
      <c r="BN511" s="9">
        <f t="shared" si="18"/>
        <v>4148</v>
      </c>
      <c r="BO511" s="10">
        <f t="shared" si="19"/>
        <v>2903.6</v>
      </c>
    </row>
    <row r="512" spans="1:67" ht="24">
      <c r="A512" s="5" t="s">
        <v>352</v>
      </c>
      <c r="B512" s="11" t="s">
        <v>521</v>
      </c>
      <c r="C512" s="11">
        <v>486624</v>
      </c>
      <c r="D512" s="12"/>
      <c r="E512" s="11" t="s">
        <v>16</v>
      </c>
      <c r="F512" s="11" t="s">
        <v>263</v>
      </c>
      <c r="G512" s="11" t="s">
        <v>31</v>
      </c>
      <c r="H512" s="13" t="s">
        <v>8</v>
      </c>
      <c r="I512" s="13" t="s">
        <v>463</v>
      </c>
      <c r="J512" s="13">
        <v>0</v>
      </c>
      <c r="K512" s="13">
        <v>38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55</v>
      </c>
      <c r="AF512" s="14">
        <v>5400</v>
      </c>
      <c r="AG512" s="13">
        <v>100</v>
      </c>
      <c r="AH512" s="13">
        <v>0</v>
      </c>
      <c r="AI512" s="13">
        <v>0</v>
      </c>
      <c r="AJ512" s="13">
        <v>0</v>
      </c>
      <c r="AK512" s="13">
        <v>2</v>
      </c>
      <c r="AL512" s="13">
        <v>0</v>
      </c>
      <c r="AM512" s="13">
        <v>200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7">
        <v>5700</v>
      </c>
      <c r="BN512" s="9">
        <f t="shared" si="18"/>
        <v>5700</v>
      </c>
      <c r="BO512" s="10">
        <f t="shared" si="19"/>
        <v>3989.9999999999995</v>
      </c>
    </row>
    <row r="513" spans="1:67" ht="24">
      <c r="A513" s="5" t="s">
        <v>352</v>
      </c>
      <c r="B513" s="11" t="s">
        <v>228</v>
      </c>
      <c r="C513" s="11">
        <v>395192</v>
      </c>
      <c r="D513" s="12"/>
      <c r="E513" s="11" t="s">
        <v>16</v>
      </c>
      <c r="F513" s="11" t="s">
        <v>121</v>
      </c>
      <c r="G513" s="11" t="s">
        <v>31</v>
      </c>
      <c r="H513" s="13" t="s">
        <v>8</v>
      </c>
      <c r="I513" s="13" t="s">
        <v>229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5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6</v>
      </c>
      <c r="AL513" s="13">
        <v>104</v>
      </c>
      <c r="AM513" s="13">
        <v>500</v>
      </c>
      <c r="AN513" s="13">
        <v>0</v>
      </c>
      <c r="AO513" s="13">
        <v>0</v>
      </c>
      <c r="AP513" s="13">
        <v>0</v>
      </c>
      <c r="AQ513" s="13">
        <v>48</v>
      </c>
      <c r="AR513" s="14">
        <v>4500</v>
      </c>
      <c r="AS513" s="13">
        <v>300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31.2</v>
      </c>
      <c r="BM513" s="17">
        <v>5404</v>
      </c>
      <c r="BN513" s="9">
        <f t="shared" si="18"/>
        <v>5372.8</v>
      </c>
      <c r="BO513" s="10">
        <f t="shared" si="19"/>
        <v>3760.96</v>
      </c>
    </row>
    <row r="514" spans="1:67" ht="24">
      <c r="A514" s="5" t="s">
        <v>512</v>
      </c>
      <c r="B514" s="11" t="s">
        <v>545</v>
      </c>
      <c r="C514" s="11">
        <v>486822</v>
      </c>
      <c r="D514" s="12"/>
      <c r="E514" s="11" t="s">
        <v>16</v>
      </c>
      <c r="F514" s="11" t="s">
        <v>546</v>
      </c>
      <c r="G514" s="11" t="s">
        <v>337</v>
      </c>
      <c r="H514" s="13" t="s">
        <v>8</v>
      </c>
      <c r="I514" s="13" t="s">
        <v>547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1</v>
      </c>
      <c r="AF514" s="13">
        <v>0</v>
      </c>
      <c r="AG514" s="14">
        <v>1200</v>
      </c>
      <c r="AH514" s="13">
        <v>0</v>
      </c>
      <c r="AI514" s="13">
        <v>0</v>
      </c>
      <c r="AJ514" s="13">
        <v>0</v>
      </c>
      <c r="AK514" s="13">
        <v>2</v>
      </c>
      <c r="AL514" s="13">
        <v>0</v>
      </c>
      <c r="AM514" s="14">
        <v>4200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7">
        <v>5400</v>
      </c>
      <c r="BN514" s="9">
        <f t="shared" si="18"/>
        <v>5400</v>
      </c>
      <c r="BO514" s="10">
        <f t="shared" si="19"/>
        <v>3779.9999999999995</v>
      </c>
    </row>
    <row r="515" spans="1:67" ht="24">
      <c r="A515" s="5" t="s">
        <v>352</v>
      </c>
      <c r="B515" s="11" t="s">
        <v>252</v>
      </c>
      <c r="C515" s="11">
        <v>328894</v>
      </c>
      <c r="D515" s="12"/>
      <c r="E515" s="11" t="s">
        <v>16</v>
      </c>
      <c r="F515" s="11" t="s">
        <v>185</v>
      </c>
      <c r="G515" s="11" t="s">
        <v>31</v>
      </c>
      <c r="H515" s="13" t="s">
        <v>8</v>
      </c>
      <c r="I515" s="13" t="s">
        <v>253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3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45</v>
      </c>
      <c r="AL515" s="14">
        <v>5040</v>
      </c>
      <c r="AM515" s="13">
        <v>300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0</v>
      </c>
      <c r="BC515" s="13">
        <v>0</v>
      </c>
      <c r="BD515" s="13">
        <v>0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  <c r="BL515" s="15">
        <v>1512</v>
      </c>
      <c r="BM515" s="17">
        <v>5340</v>
      </c>
      <c r="BN515" s="9">
        <f t="shared" si="18"/>
        <v>3828</v>
      </c>
      <c r="BO515" s="10">
        <f t="shared" si="19"/>
        <v>2679.6</v>
      </c>
    </row>
    <row r="516" spans="1:67" ht="24">
      <c r="A516" s="5" t="s">
        <v>352</v>
      </c>
      <c r="B516" s="11" t="s">
        <v>107</v>
      </c>
      <c r="C516" s="11">
        <v>415710</v>
      </c>
      <c r="D516" s="12"/>
      <c r="E516" s="11" t="s">
        <v>16</v>
      </c>
      <c r="F516" s="11" t="s">
        <v>48</v>
      </c>
      <c r="G516" s="11" t="s">
        <v>31</v>
      </c>
      <c r="H516" s="13" t="s">
        <v>8</v>
      </c>
      <c r="I516" s="13" t="s">
        <v>108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5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53</v>
      </c>
      <c r="AR516" s="14">
        <v>5300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13">
        <v>0</v>
      </c>
      <c r="BA516" s="13">
        <v>0</v>
      </c>
      <c r="BB516" s="13">
        <v>0</v>
      </c>
      <c r="BC516" s="13">
        <v>0</v>
      </c>
      <c r="BD516" s="13">
        <v>0</v>
      </c>
      <c r="BE516" s="13">
        <v>0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13">
        <v>0</v>
      </c>
      <c r="BL516" s="13">
        <v>0</v>
      </c>
      <c r="BM516" s="17">
        <v>5300</v>
      </c>
      <c r="BN516" s="9">
        <f t="shared" si="18"/>
        <v>5300</v>
      </c>
      <c r="BO516" s="10">
        <f t="shared" si="19"/>
        <v>3709.9999999999995</v>
      </c>
    </row>
    <row r="517" spans="1:67" ht="24">
      <c r="A517" s="5" t="s">
        <v>512</v>
      </c>
      <c r="B517" s="11" t="s">
        <v>238</v>
      </c>
      <c r="C517" s="11">
        <v>358724</v>
      </c>
      <c r="D517" s="12"/>
      <c r="E517" s="11" t="s">
        <v>16</v>
      </c>
      <c r="F517" s="11" t="s">
        <v>239</v>
      </c>
      <c r="G517" s="11" t="s">
        <v>31</v>
      </c>
      <c r="H517" s="13" t="s">
        <v>8</v>
      </c>
      <c r="I517" s="13" t="s">
        <v>100</v>
      </c>
      <c r="J517" s="13">
        <v>5</v>
      </c>
      <c r="K517" s="13">
        <v>0</v>
      </c>
      <c r="L517" s="13">
        <v>500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1</v>
      </c>
      <c r="AF517" s="13">
        <v>100</v>
      </c>
      <c r="AG517" s="13">
        <v>0</v>
      </c>
      <c r="AH517" s="13">
        <v>0</v>
      </c>
      <c r="AI517" s="13">
        <v>0</v>
      </c>
      <c r="AJ517" s="13">
        <v>0</v>
      </c>
      <c r="AK517" s="13">
        <v>39</v>
      </c>
      <c r="AL517" s="14">
        <v>4320</v>
      </c>
      <c r="AM517" s="13">
        <v>300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5">
        <v>1296</v>
      </c>
      <c r="BM517" s="17">
        <v>5220</v>
      </c>
      <c r="BN517" s="9">
        <f t="shared" si="18"/>
        <v>3924</v>
      </c>
      <c r="BO517" s="10">
        <f t="shared" si="19"/>
        <v>2746.7999999999997</v>
      </c>
    </row>
    <row r="518" spans="1:67" ht="24">
      <c r="A518" s="5" t="s">
        <v>512</v>
      </c>
      <c r="B518" s="11" t="s">
        <v>163</v>
      </c>
      <c r="C518" s="11">
        <v>359006</v>
      </c>
      <c r="D518" s="12"/>
      <c r="E518" s="11" t="s">
        <v>16</v>
      </c>
      <c r="F518" s="11" t="s">
        <v>121</v>
      </c>
      <c r="G518" s="11" t="s">
        <v>31</v>
      </c>
      <c r="H518" s="13" t="s">
        <v>8</v>
      </c>
      <c r="I518" s="13" t="s">
        <v>164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4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2</v>
      </c>
      <c r="AF518" s="13">
        <v>100</v>
      </c>
      <c r="AG518" s="13">
        <v>100</v>
      </c>
      <c r="AH518" s="13">
        <v>0</v>
      </c>
      <c r="AI518" s="13">
        <v>0</v>
      </c>
      <c r="AJ518" s="13">
        <v>0</v>
      </c>
      <c r="AK518" s="13">
        <v>15</v>
      </c>
      <c r="AL518" s="14">
        <v>1800</v>
      </c>
      <c r="AM518" s="13">
        <v>0</v>
      </c>
      <c r="AN518" s="13">
        <v>0</v>
      </c>
      <c r="AO518" s="13">
        <v>0</v>
      </c>
      <c r="AP518" s="13">
        <v>0</v>
      </c>
      <c r="AQ518" s="13">
        <v>32</v>
      </c>
      <c r="AR518" s="14">
        <v>3200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540</v>
      </c>
      <c r="BM518" s="17">
        <v>5200</v>
      </c>
      <c r="BN518" s="9">
        <f t="shared" si="18"/>
        <v>4660</v>
      </c>
      <c r="BO518" s="10">
        <f t="shared" si="19"/>
        <v>3262</v>
      </c>
    </row>
    <row r="519" spans="1:67" ht="24">
      <c r="A519" s="5" t="s">
        <v>352</v>
      </c>
      <c r="B519" s="11" t="s">
        <v>147</v>
      </c>
      <c r="C519" s="11">
        <v>423577</v>
      </c>
      <c r="D519" s="12"/>
      <c r="E519" s="11" t="s">
        <v>16</v>
      </c>
      <c r="F519" s="11" t="s">
        <v>148</v>
      </c>
      <c r="G519" s="11" t="s">
        <v>31</v>
      </c>
      <c r="H519" s="13" t="s">
        <v>8</v>
      </c>
      <c r="I519" s="13" t="s">
        <v>149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48</v>
      </c>
      <c r="AF519" s="14">
        <v>4800</v>
      </c>
      <c r="AG519" s="13">
        <v>0</v>
      </c>
      <c r="AH519" s="13">
        <v>0</v>
      </c>
      <c r="AI519" s="13">
        <v>0</v>
      </c>
      <c r="AJ519" s="13">
        <v>0</v>
      </c>
      <c r="AK519" s="13">
        <v>1</v>
      </c>
      <c r="AL519" s="13">
        <v>0</v>
      </c>
      <c r="AM519" s="13">
        <v>100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  <c r="BM519" s="17">
        <v>4900</v>
      </c>
      <c r="BN519" s="9">
        <f t="shared" si="18"/>
        <v>4900</v>
      </c>
      <c r="BO519" s="10">
        <f t="shared" si="19"/>
        <v>3430</v>
      </c>
    </row>
    <row r="520" spans="1:67" ht="24">
      <c r="A520" s="5" t="s">
        <v>512</v>
      </c>
      <c r="B520" s="11" t="s">
        <v>127</v>
      </c>
      <c r="C520" s="11">
        <v>337887</v>
      </c>
      <c r="D520" s="12"/>
      <c r="E520" s="11" t="s">
        <v>16</v>
      </c>
      <c r="F520" s="11" t="s">
        <v>124</v>
      </c>
      <c r="G520" s="11" t="s">
        <v>31</v>
      </c>
      <c r="H520" s="13" t="s">
        <v>8</v>
      </c>
      <c r="I520" s="13" t="s">
        <v>128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5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46</v>
      </c>
      <c r="AF520" s="14">
        <v>4600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13">
        <v>0</v>
      </c>
      <c r="BL520" s="13">
        <v>0</v>
      </c>
      <c r="BM520" s="17">
        <v>4600</v>
      </c>
      <c r="BN520" s="9">
        <f t="shared" si="18"/>
        <v>4600</v>
      </c>
      <c r="BO520" s="10">
        <f t="shared" si="19"/>
        <v>3220</v>
      </c>
    </row>
    <row r="521" spans="1:67" ht="24">
      <c r="A521" s="5" t="s">
        <v>512</v>
      </c>
      <c r="B521" s="11" t="s">
        <v>601</v>
      </c>
      <c r="C521" s="11">
        <v>462656</v>
      </c>
      <c r="D521" s="12"/>
      <c r="E521" s="11" t="s">
        <v>16</v>
      </c>
      <c r="F521" s="11" t="s">
        <v>233</v>
      </c>
      <c r="G521" s="11" t="s">
        <v>31</v>
      </c>
      <c r="H521" s="13" t="s">
        <v>265</v>
      </c>
      <c r="I521" s="13" t="s">
        <v>86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1</v>
      </c>
      <c r="AL521" s="14">
        <v>4560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5">
        <v>1368</v>
      </c>
      <c r="BM521" s="17">
        <v>4560</v>
      </c>
      <c r="BN521" s="9">
        <f t="shared" si="18"/>
        <v>3192</v>
      </c>
      <c r="BO521" s="10">
        <f t="shared" si="19"/>
        <v>2234.3999999999996</v>
      </c>
    </row>
    <row r="522" spans="1:67" ht="24">
      <c r="A522" s="5" t="s">
        <v>512</v>
      </c>
      <c r="B522" s="11" t="s">
        <v>504</v>
      </c>
      <c r="C522" s="11">
        <v>381684</v>
      </c>
      <c r="D522" s="12"/>
      <c r="E522" s="11" t="s">
        <v>16</v>
      </c>
      <c r="F522" s="11" t="s">
        <v>124</v>
      </c>
      <c r="G522" s="11" t="s">
        <v>31</v>
      </c>
      <c r="H522" s="13" t="s">
        <v>265</v>
      </c>
      <c r="I522" s="13" t="s">
        <v>505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1</v>
      </c>
      <c r="AL522" s="14">
        <v>4560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5">
        <v>1368</v>
      </c>
      <c r="BM522" s="17">
        <v>4560</v>
      </c>
      <c r="BN522" s="9">
        <f t="shared" si="18"/>
        <v>3192</v>
      </c>
      <c r="BO522" s="10">
        <f t="shared" si="19"/>
        <v>2234.3999999999996</v>
      </c>
    </row>
    <row r="523" spans="1:67" ht="24">
      <c r="A523" s="5" t="s">
        <v>512</v>
      </c>
      <c r="B523" s="11" t="s">
        <v>305</v>
      </c>
      <c r="C523" s="11">
        <v>397392</v>
      </c>
      <c r="D523" s="12"/>
      <c r="E523" s="11" t="s">
        <v>16</v>
      </c>
      <c r="F523" s="11" t="s">
        <v>121</v>
      </c>
      <c r="G523" s="11" t="s">
        <v>31</v>
      </c>
      <c r="H523" s="13" t="s">
        <v>265</v>
      </c>
      <c r="I523" s="13" t="s">
        <v>306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2</v>
      </c>
      <c r="AF523" s="14">
        <v>4400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7">
        <v>4400</v>
      </c>
      <c r="BN523" s="9">
        <f t="shared" si="18"/>
        <v>4400</v>
      </c>
      <c r="BO523" s="10">
        <f t="shared" si="19"/>
        <v>3080</v>
      </c>
    </row>
    <row r="524" spans="1:67" ht="24">
      <c r="A524" s="5" t="s">
        <v>352</v>
      </c>
      <c r="B524" s="11" t="s">
        <v>420</v>
      </c>
      <c r="C524" s="11">
        <v>475995</v>
      </c>
      <c r="D524" s="12"/>
      <c r="E524" s="11" t="s">
        <v>16</v>
      </c>
      <c r="F524" s="11" t="s">
        <v>51</v>
      </c>
      <c r="G524" s="11" t="s">
        <v>10</v>
      </c>
      <c r="H524" s="13" t="s">
        <v>7</v>
      </c>
      <c r="I524" s="13" t="s">
        <v>341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1</v>
      </c>
      <c r="AL524" s="14">
        <v>3840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5">
        <v>1152</v>
      </c>
      <c r="BM524" s="17">
        <v>3840</v>
      </c>
      <c r="BN524" s="9">
        <f t="shared" si="18"/>
        <v>2688</v>
      </c>
      <c r="BO524" s="10">
        <f t="shared" si="19"/>
        <v>1881.6</v>
      </c>
    </row>
    <row r="525" spans="1:67" ht="24">
      <c r="A525" s="5" t="s">
        <v>352</v>
      </c>
      <c r="B525" s="11" t="s">
        <v>136</v>
      </c>
      <c r="C525" s="11">
        <v>392777</v>
      </c>
      <c r="D525" s="12"/>
      <c r="E525" s="11" t="s">
        <v>16</v>
      </c>
      <c r="F525" s="11" t="s">
        <v>83</v>
      </c>
      <c r="G525" s="11" t="s">
        <v>10</v>
      </c>
      <c r="H525" s="13" t="s">
        <v>7</v>
      </c>
      <c r="I525" s="13" t="s">
        <v>137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1</v>
      </c>
      <c r="AL525" s="14">
        <v>3840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0</v>
      </c>
      <c r="BD525" s="13">
        <v>0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5">
        <v>1152</v>
      </c>
      <c r="BM525" s="17">
        <v>3840</v>
      </c>
      <c r="BN525" s="9">
        <f t="shared" si="18"/>
        <v>2688</v>
      </c>
      <c r="BO525" s="10">
        <f t="shared" si="19"/>
        <v>1881.6</v>
      </c>
    </row>
    <row r="526" spans="1:67" ht="24">
      <c r="A526" s="5" t="s">
        <v>512</v>
      </c>
      <c r="B526" s="11" t="s">
        <v>701</v>
      </c>
      <c r="C526" s="11">
        <v>325800</v>
      </c>
      <c r="D526" s="12"/>
      <c r="E526" s="11" t="s">
        <v>16</v>
      </c>
      <c r="F526" s="11" t="s">
        <v>233</v>
      </c>
      <c r="G526" s="11" t="s">
        <v>31</v>
      </c>
      <c r="H526" s="13" t="s">
        <v>265</v>
      </c>
      <c r="I526" s="13" t="s">
        <v>702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1</v>
      </c>
      <c r="AF526" s="14">
        <v>3600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7">
        <v>3600</v>
      </c>
      <c r="BN526" s="9">
        <f t="shared" si="18"/>
        <v>3600</v>
      </c>
      <c r="BO526" s="10">
        <f t="shared" si="19"/>
        <v>2520</v>
      </c>
    </row>
    <row r="527" spans="1:67" ht="24">
      <c r="A527" s="5" t="s">
        <v>512</v>
      </c>
      <c r="B527" s="11" t="s">
        <v>703</v>
      </c>
      <c r="C527" s="11">
        <v>416208</v>
      </c>
      <c r="D527" s="12"/>
      <c r="E527" s="11" t="s">
        <v>16</v>
      </c>
      <c r="F527" s="11" t="s">
        <v>233</v>
      </c>
      <c r="G527" s="11" t="s">
        <v>31</v>
      </c>
      <c r="H527" s="13" t="s">
        <v>265</v>
      </c>
      <c r="I527" s="13" t="s">
        <v>311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1</v>
      </c>
      <c r="AF527" s="14">
        <v>3500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7">
        <v>3500</v>
      </c>
      <c r="BN527" s="9">
        <f t="shared" si="18"/>
        <v>3500</v>
      </c>
      <c r="BO527" s="10">
        <f t="shared" si="19"/>
        <v>2450</v>
      </c>
    </row>
    <row r="528" spans="1:67" ht="24">
      <c r="A528" s="5" t="s">
        <v>512</v>
      </c>
      <c r="B528" s="11" t="s">
        <v>350</v>
      </c>
      <c r="C528" s="11">
        <v>421814</v>
      </c>
      <c r="D528" s="12"/>
      <c r="E528" s="11" t="s">
        <v>16</v>
      </c>
      <c r="F528" s="11" t="s">
        <v>37</v>
      </c>
      <c r="G528" s="11" t="s">
        <v>31</v>
      </c>
      <c r="H528" s="13" t="s">
        <v>265</v>
      </c>
      <c r="I528" s="13" t="s">
        <v>173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1</v>
      </c>
      <c r="AL528" s="14">
        <v>3480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0</v>
      </c>
      <c r="BL528" s="15">
        <v>1044</v>
      </c>
      <c r="BM528" s="17">
        <v>3480</v>
      </c>
      <c r="BN528" s="9">
        <f t="shared" si="18"/>
        <v>2436</v>
      </c>
      <c r="BO528" s="10">
        <f t="shared" si="19"/>
        <v>1705.1999999999998</v>
      </c>
    </row>
    <row r="529" spans="1:67" ht="24">
      <c r="A529" s="5" t="s">
        <v>512</v>
      </c>
      <c r="B529" s="11" t="s">
        <v>595</v>
      </c>
      <c r="C529" s="11">
        <v>481360</v>
      </c>
      <c r="D529" s="12"/>
      <c r="E529" s="11" t="s">
        <v>16</v>
      </c>
      <c r="F529" s="11" t="s">
        <v>24</v>
      </c>
      <c r="G529" s="11" t="s">
        <v>10</v>
      </c>
      <c r="H529" s="13" t="s">
        <v>7</v>
      </c>
      <c r="I529" s="13" t="s">
        <v>432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1</v>
      </c>
      <c r="AR529" s="14">
        <v>3200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0</v>
      </c>
      <c r="BK529" s="13">
        <v>0</v>
      </c>
      <c r="BL529" s="13">
        <v>0</v>
      </c>
      <c r="BM529" s="17">
        <v>3200</v>
      </c>
      <c r="BN529" s="9">
        <f t="shared" si="18"/>
        <v>3200</v>
      </c>
      <c r="BO529" s="10">
        <f t="shared" si="19"/>
        <v>2240</v>
      </c>
    </row>
    <row r="530" spans="1:67" ht="48">
      <c r="A530" s="5" t="s">
        <v>352</v>
      </c>
      <c r="B530" s="11" t="s">
        <v>150</v>
      </c>
      <c r="C530" s="11">
        <v>467470</v>
      </c>
      <c r="D530" s="12"/>
      <c r="E530" s="11" t="s">
        <v>16</v>
      </c>
      <c r="F530" s="11" t="s">
        <v>151</v>
      </c>
      <c r="G530" s="11" t="s">
        <v>31</v>
      </c>
      <c r="H530" s="13" t="s">
        <v>8</v>
      </c>
      <c r="I530" s="13" t="s">
        <v>152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1</v>
      </c>
      <c r="AL530" s="13">
        <v>0</v>
      </c>
      <c r="AM530" s="14">
        <v>3000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13">
        <v>0</v>
      </c>
      <c r="BL530" s="13">
        <v>0</v>
      </c>
      <c r="BM530" s="17">
        <v>3000</v>
      </c>
      <c r="BN530" s="9">
        <f t="shared" si="18"/>
        <v>3000</v>
      </c>
      <c r="BO530" s="10">
        <f t="shared" si="19"/>
        <v>2100</v>
      </c>
    </row>
    <row r="531" spans="1:67" ht="24">
      <c r="A531" s="5" t="s">
        <v>512</v>
      </c>
      <c r="B531" s="11" t="s">
        <v>623</v>
      </c>
      <c r="C531" s="11">
        <v>421665</v>
      </c>
      <c r="D531" s="12"/>
      <c r="E531" s="11" t="s">
        <v>16</v>
      </c>
      <c r="F531" s="11" t="s">
        <v>185</v>
      </c>
      <c r="G531" s="11" t="s">
        <v>31</v>
      </c>
      <c r="H531" s="13" t="s">
        <v>265</v>
      </c>
      <c r="I531" s="13" t="s">
        <v>609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1</v>
      </c>
      <c r="AR531" s="14">
        <v>3000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0</v>
      </c>
      <c r="BL531" s="13">
        <v>0</v>
      </c>
      <c r="BM531" s="17">
        <v>3000</v>
      </c>
      <c r="BN531" s="9">
        <f t="shared" si="18"/>
        <v>3000</v>
      </c>
      <c r="BO531" s="10">
        <f t="shared" si="19"/>
        <v>2100</v>
      </c>
    </row>
    <row r="532" spans="1:67" ht="24">
      <c r="A532" s="5" t="s">
        <v>512</v>
      </c>
      <c r="B532" s="11" t="s">
        <v>232</v>
      </c>
      <c r="C532" s="11">
        <v>407159</v>
      </c>
      <c r="D532" s="12"/>
      <c r="E532" s="11" t="s">
        <v>16</v>
      </c>
      <c r="F532" s="11" t="s">
        <v>233</v>
      </c>
      <c r="G532" s="11" t="s">
        <v>31</v>
      </c>
      <c r="H532" s="13" t="s">
        <v>8</v>
      </c>
      <c r="I532" s="13" t="s">
        <v>234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28</v>
      </c>
      <c r="AF532" s="14">
        <v>2800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7">
        <v>2800</v>
      </c>
      <c r="BN532" s="9">
        <f t="shared" si="18"/>
        <v>2800</v>
      </c>
      <c r="BO532" s="10">
        <f t="shared" si="19"/>
        <v>1959.9999999999998</v>
      </c>
    </row>
    <row r="533" spans="1:67" ht="24">
      <c r="A533" s="5" t="s">
        <v>352</v>
      </c>
      <c r="B533" s="11" t="s">
        <v>315</v>
      </c>
      <c r="C533" s="11">
        <v>426259</v>
      </c>
      <c r="D533" s="12"/>
      <c r="E533" s="11" t="s">
        <v>16</v>
      </c>
      <c r="F533" s="11" t="s">
        <v>121</v>
      </c>
      <c r="G533" s="11" t="s">
        <v>31</v>
      </c>
      <c r="H533" s="13" t="s">
        <v>265</v>
      </c>
      <c r="I533" s="13" t="s">
        <v>316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1</v>
      </c>
      <c r="AF533" s="14">
        <v>2800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7">
        <v>2800</v>
      </c>
      <c r="BN533" s="9">
        <f t="shared" si="18"/>
        <v>2800</v>
      </c>
      <c r="BO533" s="10">
        <f t="shared" si="19"/>
        <v>1959.9999999999998</v>
      </c>
    </row>
    <row r="534" spans="1:67" ht="24">
      <c r="A534" s="5" t="s">
        <v>352</v>
      </c>
      <c r="B534" s="11" t="s">
        <v>47</v>
      </c>
      <c r="C534" s="11">
        <v>369720</v>
      </c>
      <c r="D534" s="12"/>
      <c r="E534" s="11" t="s">
        <v>16</v>
      </c>
      <c r="F534" s="11" t="s">
        <v>48</v>
      </c>
      <c r="G534" s="11" t="s">
        <v>31</v>
      </c>
      <c r="H534" s="13" t="s">
        <v>8</v>
      </c>
      <c r="I534" s="13" t="s">
        <v>49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16</v>
      </c>
      <c r="AF534" s="13">
        <v>800</v>
      </c>
      <c r="AG534" s="13">
        <v>800</v>
      </c>
      <c r="AH534" s="13">
        <v>0</v>
      </c>
      <c r="AI534" s="13">
        <v>0</v>
      </c>
      <c r="AJ534" s="13">
        <v>0</v>
      </c>
      <c r="AK534" s="13">
        <v>4</v>
      </c>
      <c r="AL534" s="13">
        <v>480</v>
      </c>
      <c r="AM534" s="13">
        <v>0</v>
      </c>
      <c r="AN534" s="13">
        <v>0</v>
      </c>
      <c r="AO534" s="13">
        <v>0</v>
      </c>
      <c r="AP534" s="13">
        <v>0</v>
      </c>
      <c r="AQ534" s="13">
        <v>7</v>
      </c>
      <c r="AR534" s="13">
        <v>700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144</v>
      </c>
      <c r="BM534" s="17">
        <v>2780</v>
      </c>
      <c r="BN534" s="9">
        <f t="shared" si="18"/>
        <v>2636</v>
      </c>
      <c r="BO534" s="10">
        <f t="shared" si="19"/>
        <v>1845.1999999999998</v>
      </c>
    </row>
    <row r="535" spans="1:67" ht="24">
      <c r="A535" s="5" t="s">
        <v>352</v>
      </c>
      <c r="B535" s="11" t="s">
        <v>292</v>
      </c>
      <c r="C535" s="11">
        <v>408191</v>
      </c>
      <c r="D535" s="12"/>
      <c r="E535" s="11" t="s">
        <v>16</v>
      </c>
      <c r="F535" s="11" t="s">
        <v>121</v>
      </c>
      <c r="G535" s="11" t="s">
        <v>31</v>
      </c>
      <c r="H535" s="13" t="s">
        <v>8</v>
      </c>
      <c r="I535" s="13" t="s">
        <v>206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26</v>
      </c>
      <c r="AL535" s="13">
        <v>0</v>
      </c>
      <c r="AM535" s="14">
        <v>2600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13">
        <v>0</v>
      </c>
      <c r="BL535" s="13">
        <v>0</v>
      </c>
      <c r="BM535" s="17">
        <v>2600</v>
      </c>
      <c r="BN535" s="9">
        <f t="shared" si="18"/>
        <v>2600</v>
      </c>
      <c r="BO535" s="10">
        <f t="shared" si="19"/>
        <v>1819.9999999999998</v>
      </c>
    </row>
    <row r="536" spans="1:67" ht="24">
      <c r="A536" s="5" t="s">
        <v>352</v>
      </c>
      <c r="B536" s="11" t="s">
        <v>219</v>
      </c>
      <c r="C536" s="11">
        <v>400251</v>
      </c>
      <c r="D536" s="12"/>
      <c r="E536" s="11" t="s">
        <v>16</v>
      </c>
      <c r="F536" s="11" t="s">
        <v>37</v>
      </c>
      <c r="G536" s="11" t="s">
        <v>31</v>
      </c>
      <c r="H536" s="13" t="s">
        <v>8</v>
      </c>
      <c r="I536" s="13" t="s">
        <v>220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1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24</v>
      </c>
      <c r="AF536" s="14">
        <v>2400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7">
        <v>2400</v>
      </c>
      <c r="BN536" s="9">
        <f t="shared" si="18"/>
        <v>2400</v>
      </c>
      <c r="BO536" s="10">
        <f t="shared" si="19"/>
        <v>1680</v>
      </c>
    </row>
    <row r="537" spans="1:67" ht="24">
      <c r="A537" s="5" t="s">
        <v>352</v>
      </c>
      <c r="B537" s="11" t="s">
        <v>704</v>
      </c>
      <c r="C537" s="11">
        <v>441966</v>
      </c>
      <c r="D537" s="12"/>
      <c r="E537" s="11" t="s">
        <v>16</v>
      </c>
      <c r="F537" s="11" t="s">
        <v>102</v>
      </c>
      <c r="G537" s="11" t="s">
        <v>337</v>
      </c>
      <c r="H537" s="13" t="s">
        <v>8</v>
      </c>
      <c r="I537" s="13" t="s">
        <v>635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1</v>
      </c>
      <c r="AF537" s="14">
        <v>2400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13">
        <v>0</v>
      </c>
      <c r="BA537" s="13">
        <v>0</v>
      </c>
      <c r="BB537" s="13">
        <v>0</v>
      </c>
      <c r="BC537" s="13">
        <v>0</v>
      </c>
      <c r="BD537" s="13">
        <v>0</v>
      </c>
      <c r="BE537" s="13">
        <v>0</v>
      </c>
      <c r="BF537" s="13">
        <v>0</v>
      </c>
      <c r="BG537" s="13">
        <v>0</v>
      </c>
      <c r="BH537" s="13">
        <v>0</v>
      </c>
      <c r="BI537" s="13">
        <v>0</v>
      </c>
      <c r="BJ537" s="13">
        <v>0</v>
      </c>
      <c r="BK537" s="13">
        <v>0</v>
      </c>
      <c r="BL537" s="13">
        <v>0</v>
      </c>
      <c r="BM537" s="17">
        <v>2400</v>
      </c>
      <c r="BN537" s="9">
        <f t="shared" si="18"/>
        <v>2400</v>
      </c>
      <c r="BO537" s="10">
        <f t="shared" si="19"/>
        <v>1680</v>
      </c>
    </row>
    <row r="538" spans="1:67" ht="24">
      <c r="A538" s="5" t="s">
        <v>352</v>
      </c>
      <c r="B538" s="11" t="s">
        <v>259</v>
      </c>
      <c r="C538" s="11">
        <v>445862</v>
      </c>
      <c r="D538" s="12"/>
      <c r="E538" s="11" t="s">
        <v>16</v>
      </c>
      <c r="F538" s="11" t="s">
        <v>43</v>
      </c>
      <c r="G538" s="11" t="s">
        <v>31</v>
      </c>
      <c r="H538" s="13" t="s">
        <v>8</v>
      </c>
      <c r="I538" s="13" t="s">
        <v>175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1</v>
      </c>
      <c r="AR538" s="14">
        <v>2200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13">
        <v>0</v>
      </c>
      <c r="BL538" s="13">
        <v>0</v>
      </c>
      <c r="BM538" s="17">
        <v>2200</v>
      </c>
      <c r="BN538" s="9">
        <f t="shared" si="18"/>
        <v>2200</v>
      </c>
      <c r="BO538" s="10">
        <f t="shared" si="19"/>
        <v>1540</v>
      </c>
    </row>
    <row r="539" spans="1:67" ht="24">
      <c r="A539" s="5" t="s">
        <v>352</v>
      </c>
      <c r="B539" s="11" t="s">
        <v>189</v>
      </c>
      <c r="C539" s="11">
        <v>415992</v>
      </c>
      <c r="D539" s="12"/>
      <c r="E539" s="11" t="s">
        <v>16</v>
      </c>
      <c r="F539" s="11" t="s">
        <v>37</v>
      </c>
      <c r="G539" s="11" t="s">
        <v>31</v>
      </c>
      <c r="H539" s="13" t="s">
        <v>8</v>
      </c>
      <c r="I539" s="13" t="s">
        <v>190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21</v>
      </c>
      <c r="AL539" s="13">
        <v>0</v>
      </c>
      <c r="AM539" s="14">
        <v>2100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7">
        <v>2100</v>
      </c>
      <c r="BN539" s="9">
        <f t="shared" si="18"/>
        <v>2100</v>
      </c>
      <c r="BO539" s="10">
        <f t="shared" si="19"/>
        <v>1470</v>
      </c>
    </row>
    <row r="540" spans="1:67" ht="24">
      <c r="A540" s="5" t="s">
        <v>352</v>
      </c>
      <c r="B540" s="11" t="s">
        <v>533</v>
      </c>
      <c r="C540" s="11">
        <v>452403</v>
      </c>
      <c r="D540" s="12"/>
      <c r="E540" s="11" t="s">
        <v>16</v>
      </c>
      <c r="F540" s="11" t="s">
        <v>534</v>
      </c>
      <c r="G540" s="11" t="s">
        <v>31</v>
      </c>
      <c r="H540" s="13" t="s">
        <v>8</v>
      </c>
      <c r="I540" s="13" t="s">
        <v>535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19</v>
      </c>
      <c r="AF540" s="14">
        <v>1900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  <c r="BM540" s="17">
        <v>1900</v>
      </c>
      <c r="BN540" s="9">
        <f t="shared" si="18"/>
        <v>1900</v>
      </c>
      <c r="BO540" s="10">
        <f t="shared" si="19"/>
        <v>1330</v>
      </c>
    </row>
    <row r="541" spans="1:67" ht="24">
      <c r="A541" s="5" t="s">
        <v>352</v>
      </c>
      <c r="B541" s="11" t="s">
        <v>45</v>
      </c>
      <c r="C541" s="11">
        <v>459997</v>
      </c>
      <c r="D541" s="12"/>
      <c r="E541" s="11" t="s">
        <v>16</v>
      </c>
      <c r="F541" s="11" t="s">
        <v>46</v>
      </c>
      <c r="G541" s="11" t="s">
        <v>10</v>
      </c>
      <c r="H541" s="13" t="s">
        <v>7</v>
      </c>
      <c r="I541" s="13" t="s">
        <v>610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14</v>
      </c>
      <c r="AL541" s="14">
        <v>1680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0</v>
      </c>
      <c r="BL541" s="13">
        <v>504</v>
      </c>
      <c r="BM541" s="17">
        <v>1680</v>
      </c>
      <c r="BN541" s="9">
        <f t="shared" si="18"/>
        <v>1176</v>
      </c>
      <c r="BO541" s="10">
        <f t="shared" si="19"/>
        <v>823.19999999999993</v>
      </c>
    </row>
    <row r="542" spans="1:67" ht="24">
      <c r="A542" s="5" t="s">
        <v>352</v>
      </c>
      <c r="B542" s="11" t="s">
        <v>523</v>
      </c>
      <c r="C542" s="11">
        <v>486462</v>
      </c>
      <c r="D542" s="12"/>
      <c r="E542" s="11" t="s">
        <v>16</v>
      </c>
      <c r="F542" s="11" t="s">
        <v>524</v>
      </c>
      <c r="G542" s="11" t="s">
        <v>337</v>
      </c>
      <c r="H542" s="13" t="s">
        <v>7</v>
      </c>
      <c r="I542" s="13" t="s">
        <v>463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15</v>
      </c>
      <c r="AF542" s="14">
        <v>1500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3">
        <v>0</v>
      </c>
      <c r="BI542" s="13">
        <v>0</v>
      </c>
      <c r="BJ542" s="13">
        <v>0</v>
      </c>
      <c r="BK542" s="13">
        <v>0</v>
      </c>
      <c r="BL542" s="13">
        <v>0</v>
      </c>
      <c r="BM542" s="17">
        <v>1500</v>
      </c>
      <c r="BN542" s="9">
        <f t="shared" si="18"/>
        <v>1500</v>
      </c>
      <c r="BO542" s="10">
        <f t="shared" si="19"/>
        <v>1050</v>
      </c>
    </row>
    <row r="543" spans="1:67" ht="24">
      <c r="A543" s="5" t="s">
        <v>352</v>
      </c>
      <c r="B543" s="11" t="s">
        <v>652</v>
      </c>
      <c r="C543" s="11">
        <v>428129</v>
      </c>
      <c r="D543" s="12"/>
      <c r="E543" s="11" t="s">
        <v>16</v>
      </c>
      <c r="F543" s="11" t="s">
        <v>43</v>
      </c>
      <c r="G543" s="11" t="s">
        <v>31</v>
      </c>
      <c r="H543" s="13" t="s">
        <v>265</v>
      </c>
      <c r="I543" s="13" t="s">
        <v>304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1</v>
      </c>
      <c r="AL543" s="14">
        <v>1442</v>
      </c>
      <c r="AM543" s="13">
        <v>0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0</v>
      </c>
      <c r="BE543" s="13">
        <v>0</v>
      </c>
      <c r="BF543" s="13">
        <v>0</v>
      </c>
      <c r="BG543" s="13">
        <v>0</v>
      </c>
      <c r="BH543" s="13">
        <v>0</v>
      </c>
      <c r="BI543" s="13">
        <v>0</v>
      </c>
      <c r="BJ543" s="13">
        <v>0</v>
      </c>
      <c r="BK543" s="13">
        <v>0</v>
      </c>
      <c r="BL543" s="13">
        <v>432.6</v>
      </c>
      <c r="BM543" s="17">
        <v>1442</v>
      </c>
      <c r="BN543" s="9">
        <f t="shared" si="18"/>
        <v>1009.4</v>
      </c>
      <c r="BO543" s="10">
        <f t="shared" si="19"/>
        <v>706.57999999999993</v>
      </c>
    </row>
    <row r="544" spans="1:67" ht="24">
      <c r="A544" s="5" t="s">
        <v>352</v>
      </c>
      <c r="B544" s="11" t="s">
        <v>525</v>
      </c>
      <c r="C544" s="11">
        <v>486615</v>
      </c>
      <c r="D544" s="12"/>
      <c r="E544" s="11" t="s">
        <v>16</v>
      </c>
      <c r="F544" s="11" t="s">
        <v>526</v>
      </c>
      <c r="G544" s="11" t="s">
        <v>337</v>
      </c>
      <c r="H544" s="13" t="s">
        <v>8</v>
      </c>
      <c r="I544" s="13" t="s">
        <v>463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12</v>
      </c>
      <c r="AF544" s="14">
        <v>1200</v>
      </c>
      <c r="AG544" s="13">
        <v>0</v>
      </c>
      <c r="AH544" s="13">
        <v>0</v>
      </c>
      <c r="AI544" s="13">
        <v>0</v>
      </c>
      <c r="AJ544" s="13">
        <v>0</v>
      </c>
      <c r="AK544" s="13">
        <v>1</v>
      </c>
      <c r="AL544" s="13">
        <v>120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36</v>
      </c>
      <c r="BM544" s="17">
        <v>1320</v>
      </c>
      <c r="BN544" s="9">
        <f t="shared" si="18"/>
        <v>1284</v>
      </c>
      <c r="BO544" s="10">
        <f t="shared" si="19"/>
        <v>898.8</v>
      </c>
    </row>
    <row r="545" spans="1:67" ht="24">
      <c r="A545" s="5" t="s">
        <v>352</v>
      </c>
      <c r="B545" s="11" t="s">
        <v>187</v>
      </c>
      <c r="C545" s="11">
        <v>393598</v>
      </c>
      <c r="D545" s="12"/>
      <c r="E545" s="11" t="s">
        <v>16</v>
      </c>
      <c r="F545" s="11" t="s">
        <v>553</v>
      </c>
      <c r="G545" s="11" t="s">
        <v>31</v>
      </c>
      <c r="H545" s="13" t="s">
        <v>8</v>
      </c>
      <c r="I545" s="13" t="s">
        <v>188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13</v>
      </c>
      <c r="AL545" s="13">
        <v>0</v>
      </c>
      <c r="AM545" s="14">
        <v>1300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7">
        <v>1300</v>
      </c>
      <c r="BN545" s="9">
        <f t="shared" si="18"/>
        <v>1300</v>
      </c>
      <c r="BO545" s="10">
        <f t="shared" si="19"/>
        <v>909.99999999999989</v>
      </c>
    </row>
    <row r="546" spans="1:67" ht="24">
      <c r="A546" s="5" t="s">
        <v>352</v>
      </c>
      <c r="B546" s="11" t="s">
        <v>705</v>
      </c>
      <c r="C546" s="11">
        <v>444216</v>
      </c>
      <c r="D546" s="12"/>
      <c r="E546" s="11" t="s">
        <v>16</v>
      </c>
      <c r="F546" s="11" t="s">
        <v>199</v>
      </c>
      <c r="G546" s="11" t="s">
        <v>31</v>
      </c>
      <c r="H546" s="13" t="s">
        <v>265</v>
      </c>
      <c r="I546" s="13" t="s">
        <v>700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1</v>
      </c>
      <c r="BD546" s="14">
        <v>1200</v>
      </c>
      <c r="BE546" s="13">
        <v>0</v>
      </c>
      <c r="BF546" s="13">
        <v>0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72</v>
      </c>
      <c r="BM546" s="17">
        <v>1200</v>
      </c>
      <c r="BN546" s="9">
        <f t="shared" si="18"/>
        <v>1128</v>
      </c>
      <c r="BO546" s="10">
        <f t="shared" si="19"/>
        <v>789.59999999999991</v>
      </c>
    </row>
    <row r="547" spans="1:67" ht="24">
      <c r="A547" s="5" t="s">
        <v>352</v>
      </c>
      <c r="B547" s="11" t="s">
        <v>184</v>
      </c>
      <c r="C547" s="11">
        <v>421661</v>
      </c>
      <c r="D547" s="12"/>
      <c r="E547" s="11" t="s">
        <v>16</v>
      </c>
      <c r="F547" s="11" t="s">
        <v>185</v>
      </c>
      <c r="G547" s="11" t="s">
        <v>31</v>
      </c>
      <c r="H547" s="13" t="s">
        <v>8</v>
      </c>
      <c r="I547" s="13" t="s">
        <v>186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11</v>
      </c>
      <c r="AL547" s="13">
        <v>0</v>
      </c>
      <c r="AM547" s="14">
        <v>1100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7">
        <v>1100</v>
      </c>
      <c r="BN547" s="9">
        <f t="shared" si="18"/>
        <v>1100</v>
      </c>
      <c r="BO547" s="10">
        <f t="shared" si="19"/>
        <v>770</v>
      </c>
    </row>
    <row r="548" spans="1:67" ht="24">
      <c r="A548" s="5" t="s">
        <v>352</v>
      </c>
      <c r="B548" s="11" t="s">
        <v>518</v>
      </c>
      <c r="C548" s="11">
        <v>487308</v>
      </c>
      <c r="D548" s="12"/>
      <c r="E548" s="11" t="s">
        <v>16</v>
      </c>
      <c r="F548" s="11" t="s">
        <v>519</v>
      </c>
      <c r="G548" s="11" t="s">
        <v>337</v>
      </c>
      <c r="H548" s="13" t="s">
        <v>8</v>
      </c>
      <c r="I548" s="13" t="s">
        <v>615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11</v>
      </c>
      <c r="AR548" s="14">
        <v>1100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7">
        <v>1100</v>
      </c>
      <c r="BN548" s="9">
        <f t="shared" si="18"/>
        <v>1100</v>
      </c>
      <c r="BO548" s="10">
        <f t="shared" si="19"/>
        <v>770</v>
      </c>
    </row>
    <row r="549" spans="1:67" ht="24">
      <c r="A549" s="5" t="s">
        <v>352</v>
      </c>
      <c r="B549" s="11" t="s">
        <v>482</v>
      </c>
      <c r="C549" s="11">
        <v>484916</v>
      </c>
      <c r="D549" s="12"/>
      <c r="E549" s="11" t="s">
        <v>16</v>
      </c>
      <c r="F549" s="11" t="s">
        <v>483</v>
      </c>
      <c r="G549" s="11" t="s">
        <v>31</v>
      </c>
      <c r="H549" s="13" t="s">
        <v>7</v>
      </c>
      <c r="I549" s="13" t="s">
        <v>484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11</v>
      </c>
      <c r="AL549" s="14">
        <v>1045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313.5</v>
      </c>
      <c r="BM549" s="17">
        <v>1045</v>
      </c>
      <c r="BN549" s="9">
        <f t="shared" si="18"/>
        <v>731.5</v>
      </c>
      <c r="BO549" s="10">
        <f t="shared" si="19"/>
        <v>512.04999999999995</v>
      </c>
    </row>
    <row r="550" spans="1:67" ht="24">
      <c r="A550" s="5" t="s">
        <v>352</v>
      </c>
      <c r="B550" s="11" t="s">
        <v>181</v>
      </c>
      <c r="C550" s="11">
        <v>332138</v>
      </c>
      <c r="D550" s="12"/>
      <c r="E550" s="11" t="s">
        <v>16</v>
      </c>
      <c r="F550" s="11" t="s">
        <v>182</v>
      </c>
      <c r="G550" s="11" t="s">
        <v>31</v>
      </c>
      <c r="H550" s="13" t="s">
        <v>9</v>
      </c>
      <c r="I550" s="13" t="s">
        <v>183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10</v>
      </c>
      <c r="AF550" s="13">
        <v>0</v>
      </c>
      <c r="AG550" s="14">
        <v>1000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13">
        <v>0</v>
      </c>
      <c r="BA550" s="13">
        <v>0</v>
      </c>
      <c r="BB550" s="13">
        <v>0</v>
      </c>
      <c r="BC550" s="13">
        <v>0</v>
      </c>
      <c r="BD550" s="13">
        <v>0</v>
      </c>
      <c r="BE550" s="13">
        <v>0</v>
      </c>
      <c r="BF550" s="13">
        <v>0</v>
      </c>
      <c r="BG550" s="13">
        <v>0</v>
      </c>
      <c r="BH550" s="13">
        <v>0</v>
      </c>
      <c r="BI550" s="13">
        <v>0</v>
      </c>
      <c r="BJ550" s="13">
        <v>0</v>
      </c>
      <c r="BK550" s="13">
        <v>0</v>
      </c>
      <c r="BL550" s="13">
        <v>0</v>
      </c>
      <c r="BM550" s="17">
        <v>1000</v>
      </c>
      <c r="BN550" s="9">
        <f t="shared" ref="BN550:BN588" si="20">BM550-BL550</f>
        <v>1000</v>
      </c>
      <c r="BO550" s="10">
        <f t="shared" ref="BO550:BO588" si="21">BN550*70%</f>
        <v>700</v>
      </c>
    </row>
    <row r="551" spans="1:67" ht="24">
      <c r="A551" s="5" t="s">
        <v>352</v>
      </c>
      <c r="B551" s="11" t="s">
        <v>416</v>
      </c>
      <c r="C551" s="11">
        <v>473533</v>
      </c>
      <c r="D551" s="12"/>
      <c r="E551" s="11" t="s">
        <v>16</v>
      </c>
      <c r="F551" s="11" t="s">
        <v>347</v>
      </c>
      <c r="G551" s="11" t="s">
        <v>10</v>
      </c>
      <c r="H551" s="13" t="s">
        <v>7</v>
      </c>
      <c r="I551" s="13" t="s">
        <v>576</v>
      </c>
      <c r="J551" s="13">
        <v>0</v>
      </c>
      <c r="K551" s="13">
        <v>76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5</v>
      </c>
      <c r="AF551" s="13">
        <v>500</v>
      </c>
      <c r="AG551" s="13">
        <v>0</v>
      </c>
      <c r="AH551" s="13">
        <v>0</v>
      </c>
      <c r="AI551" s="13">
        <v>0</v>
      </c>
      <c r="AJ551" s="13">
        <v>0</v>
      </c>
      <c r="AK551" s="13">
        <v>4</v>
      </c>
      <c r="AL551" s="13">
        <v>0</v>
      </c>
      <c r="AM551" s="13">
        <v>400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13">
        <v>0</v>
      </c>
      <c r="BA551" s="13">
        <v>0</v>
      </c>
      <c r="BB551" s="13">
        <v>0</v>
      </c>
      <c r="BC551" s="13">
        <v>0</v>
      </c>
      <c r="BD551" s="13">
        <v>0</v>
      </c>
      <c r="BE551" s="13">
        <v>0</v>
      </c>
      <c r="BF551" s="13">
        <v>0</v>
      </c>
      <c r="BG551" s="13">
        <v>0</v>
      </c>
      <c r="BH551" s="13">
        <v>0</v>
      </c>
      <c r="BI551" s="13">
        <v>0</v>
      </c>
      <c r="BJ551" s="13">
        <v>0</v>
      </c>
      <c r="BK551" s="13">
        <v>0</v>
      </c>
      <c r="BL551" s="13">
        <v>0</v>
      </c>
      <c r="BM551" s="18">
        <v>900</v>
      </c>
      <c r="BN551" s="9">
        <f t="shared" si="20"/>
        <v>900</v>
      </c>
      <c r="BO551" s="10">
        <f t="shared" si="21"/>
        <v>630</v>
      </c>
    </row>
    <row r="552" spans="1:67" ht="24">
      <c r="A552" s="5" t="s">
        <v>352</v>
      </c>
      <c r="B552" s="11" t="s">
        <v>191</v>
      </c>
      <c r="C552" s="11">
        <v>407733</v>
      </c>
      <c r="D552" s="12"/>
      <c r="E552" s="11" t="s">
        <v>16</v>
      </c>
      <c r="F552" s="11" t="s">
        <v>27</v>
      </c>
      <c r="G552" s="11" t="s">
        <v>10</v>
      </c>
      <c r="H552" s="13" t="s">
        <v>7</v>
      </c>
      <c r="I552" s="13" t="s">
        <v>192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7</v>
      </c>
      <c r="AL552" s="13">
        <v>840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13">
        <v>0</v>
      </c>
      <c r="BA552" s="13">
        <v>0</v>
      </c>
      <c r="BB552" s="13">
        <v>0</v>
      </c>
      <c r="BC552" s="13">
        <v>0</v>
      </c>
      <c r="BD552" s="13">
        <v>0</v>
      </c>
      <c r="BE552" s="13">
        <v>0</v>
      </c>
      <c r="BF552" s="13">
        <v>0</v>
      </c>
      <c r="BG552" s="13">
        <v>0</v>
      </c>
      <c r="BH552" s="13">
        <v>0</v>
      </c>
      <c r="BI552" s="13">
        <v>0</v>
      </c>
      <c r="BJ552" s="13">
        <v>0</v>
      </c>
      <c r="BK552" s="13">
        <v>0</v>
      </c>
      <c r="BL552" s="13">
        <v>252</v>
      </c>
      <c r="BM552" s="18">
        <v>840</v>
      </c>
      <c r="BN552" s="9">
        <f t="shared" si="20"/>
        <v>588</v>
      </c>
      <c r="BO552" s="10">
        <f t="shared" si="21"/>
        <v>411.59999999999997</v>
      </c>
    </row>
    <row r="553" spans="1:67" ht="24">
      <c r="A553" s="5" t="s">
        <v>352</v>
      </c>
      <c r="B553" s="11" t="s">
        <v>293</v>
      </c>
      <c r="C553" s="11">
        <v>384107</v>
      </c>
      <c r="D553" s="12"/>
      <c r="E553" s="11" t="s">
        <v>16</v>
      </c>
      <c r="F553" s="11" t="s">
        <v>294</v>
      </c>
      <c r="G553" s="11" t="s">
        <v>31</v>
      </c>
      <c r="H553" s="13" t="s">
        <v>265</v>
      </c>
      <c r="I553" s="13" t="s">
        <v>295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8</v>
      </c>
      <c r="AF553" s="13">
        <v>0</v>
      </c>
      <c r="AG553" s="13">
        <v>800</v>
      </c>
      <c r="AH553" s="13">
        <v>0</v>
      </c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13">
        <v>0</v>
      </c>
      <c r="BA553" s="13">
        <v>0</v>
      </c>
      <c r="BB553" s="13">
        <v>0</v>
      </c>
      <c r="BC553" s="13">
        <v>0</v>
      </c>
      <c r="BD553" s="13">
        <v>0</v>
      </c>
      <c r="BE553" s="13">
        <v>0</v>
      </c>
      <c r="BF553" s="13">
        <v>0</v>
      </c>
      <c r="BG553" s="13">
        <v>0</v>
      </c>
      <c r="BH553" s="13">
        <v>0</v>
      </c>
      <c r="BI553" s="13">
        <v>0</v>
      </c>
      <c r="BJ553" s="13">
        <v>0</v>
      </c>
      <c r="BK553" s="13">
        <v>0</v>
      </c>
      <c r="BL553" s="13">
        <v>0</v>
      </c>
      <c r="BM553" s="18">
        <v>800</v>
      </c>
      <c r="BN553" s="9">
        <f t="shared" si="20"/>
        <v>800</v>
      </c>
      <c r="BO553" s="10">
        <f t="shared" si="21"/>
        <v>560</v>
      </c>
    </row>
    <row r="554" spans="1:67" ht="24">
      <c r="A554" s="5" t="s">
        <v>352</v>
      </c>
      <c r="B554" s="11" t="s">
        <v>278</v>
      </c>
      <c r="C554" s="11">
        <v>366144</v>
      </c>
      <c r="D554" s="12"/>
      <c r="E554" s="11" t="s">
        <v>16</v>
      </c>
      <c r="F554" s="11" t="s">
        <v>279</v>
      </c>
      <c r="G554" s="11" t="s">
        <v>31</v>
      </c>
      <c r="H554" s="13" t="s">
        <v>8</v>
      </c>
      <c r="I554" s="13" t="s">
        <v>280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1</v>
      </c>
      <c r="AF554" s="13">
        <v>100</v>
      </c>
      <c r="AG554" s="13">
        <v>0</v>
      </c>
      <c r="AH554" s="13">
        <v>0</v>
      </c>
      <c r="AI554" s="13">
        <v>0</v>
      </c>
      <c r="AJ554" s="13">
        <v>0</v>
      </c>
      <c r="AK554" s="13">
        <v>6</v>
      </c>
      <c r="AL554" s="13">
        <v>240</v>
      </c>
      <c r="AM554" s="13">
        <v>400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13">
        <v>0</v>
      </c>
      <c r="BA554" s="13">
        <v>0</v>
      </c>
      <c r="BB554" s="13">
        <v>0</v>
      </c>
      <c r="BC554" s="13">
        <v>0</v>
      </c>
      <c r="BD554" s="13">
        <v>0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0</v>
      </c>
      <c r="BK554" s="13">
        <v>0</v>
      </c>
      <c r="BL554" s="13">
        <v>72</v>
      </c>
      <c r="BM554" s="18">
        <v>740</v>
      </c>
      <c r="BN554" s="9">
        <f t="shared" si="20"/>
        <v>668</v>
      </c>
      <c r="BO554" s="10">
        <f t="shared" si="21"/>
        <v>467.59999999999997</v>
      </c>
    </row>
    <row r="555" spans="1:67" ht="24">
      <c r="A555" s="5" t="s">
        <v>352</v>
      </c>
      <c r="B555" s="11" t="s">
        <v>694</v>
      </c>
      <c r="C555" s="11">
        <v>431805</v>
      </c>
      <c r="D555" s="12"/>
      <c r="E555" s="11" t="s">
        <v>16</v>
      </c>
      <c r="F555" s="11" t="s">
        <v>121</v>
      </c>
      <c r="G555" s="11" t="s">
        <v>31</v>
      </c>
      <c r="H555" s="13" t="s">
        <v>265</v>
      </c>
      <c r="I555" s="13" t="s">
        <v>493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1</v>
      </c>
      <c r="AL555" s="13">
        <v>360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1</v>
      </c>
      <c r="BD555" s="13">
        <v>360</v>
      </c>
      <c r="BE555" s="13">
        <v>0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13">
        <v>0</v>
      </c>
      <c r="BL555" s="13">
        <v>129.6</v>
      </c>
      <c r="BM555" s="18">
        <v>720</v>
      </c>
      <c r="BN555" s="9">
        <f t="shared" si="20"/>
        <v>590.4</v>
      </c>
      <c r="BO555" s="10">
        <f t="shared" si="21"/>
        <v>413.28</v>
      </c>
    </row>
    <row r="556" spans="1:67" ht="24">
      <c r="A556" s="5" t="s">
        <v>352</v>
      </c>
      <c r="B556" s="11" t="s">
        <v>247</v>
      </c>
      <c r="C556" s="11">
        <v>404148</v>
      </c>
      <c r="D556" s="12"/>
      <c r="E556" s="11" t="s">
        <v>16</v>
      </c>
      <c r="F556" s="11" t="s">
        <v>248</v>
      </c>
      <c r="G556" s="11" t="s">
        <v>31</v>
      </c>
      <c r="H556" s="13" t="s">
        <v>8</v>
      </c>
      <c r="I556" s="13" t="s">
        <v>249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6</v>
      </c>
      <c r="AL556" s="13">
        <v>720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0</v>
      </c>
      <c r="BK556" s="13">
        <v>0</v>
      </c>
      <c r="BL556" s="13">
        <v>216</v>
      </c>
      <c r="BM556" s="18">
        <v>720</v>
      </c>
      <c r="BN556" s="9">
        <f t="shared" si="20"/>
        <v>504</v>
      </c>
      <c r="BO556" s="10">
        <f t="shared" si="21"/>
        <v>352.79999999999995</v>
      </c>
    </row>
    <row r="557" spans="1:67" ht="24">
      <c r="A557" s="5" t="s">
        <v>352</v>
      </c>
      <c r="B557" s="11" t="s">
        <v>321</v>
      </c>
      <c r="C557" s="11">
        <v>380275</v>
      </c>
      <c r="D557" s="12"/>
      <c r="E557" s="11" t="s">
        <v>16</v>
      </c>
      <c r="F557" s="11" t="s">
        <v>37</v>
      </c>
      <c r="G557" s="11" t="s">
        <v>31</v>
      </c>
      <c r="H557" s="13" t="s">
        <v>265</v>
      </c>
      <c r="I557" s="13" t="s">
        <v>322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5</v>
      </c>
      <c r="AF557" s="13">
        <v>500</v>
      </c>
      <c r="AG557" s="13">
        <v>0</v>
      </c>
      <c r="AH557" s="13">
        <v>0</v>
      </c>
      <c r="AI557" s="13">
        <v>0</v>
      </c>
      <c r="AJ557" s="13">
        <v>0</v>
      </c>
      <c r="AK557" s="13">
        <v>2</v>
      </c>
      <c r="AL557" s="13">
        <v>0</v>
      </c>
      <c r="AM557" s="13">
        <v>200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0</v>
      </c>
      <c r="BM557" s="18">
        <v>700</v>
      </c>
      <c r="BN557" s="9">
        <f t="shared" si="20"/>
        <v>700</v>
      </c>
      <c r="BO557" s="10">
        <f t="shared" si="21"/>
        <v>489.99999999999994</v>
      </c>
    </row>
    <row r="558" spans="1:67" ht="24">
      <c r="A558" s="5" t="s">
        <v>352</v>
      </c>
      <c r="B558" s="11" t="s">
        <v>556</v>
      </c>
      <c r="C558" s="11">
        <v>486824</v>
      </c>
      <c r="D558" s="12"/>
      <c r="E558" s="11" t="s">
        <v>16</v>
      </c>
      <c r="F558" s="11" t="s">
        <v>546</v>
      </c>
      <c r="G558" s="11" t="s">
        <v>337</v>
      </c>
      <c r="H558" s="13" t="s">
        <v>8</v>
      </c>
      <c r="I558" s="13" t="s">
        <v>520</v>
      </c>
      <c r="J558" s="13">
        <v>0</v>
      </c>
      <c r="K558" s="13">
        <v>9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6</v>
      </c>
      <c r="AL558" s="13">
        <v>600</v>
      </c>
      <c r="AM558" s="13">
        <v>100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0</v>
      </c>
      <c r="BD558" s="13">
        <v>0</v>
      </c>
      <c r="BE558" s="13">
        <v>0</v>
      </c>
      <c r="BF558" s="13">
        <v>0</v>
      </c>
      <c r="BG558" s="13">
        <v>0</v>
      </c>
      <c r="BH558" s="13">
        <v>0</v>
      </c>
      <c r="BI558" s="13">
        <v>0</v>
      </c>
      <c r="BJ558" s="13">
        <v>0</v>
      </c>
      <c r="BK558" s="13">
        <v>0</v>
      </c>
      <c r="BL558" s="13">
        <v>180</v>
      </c>
      <c r="BM558" s="18">
        <v>700</v>
      </c>
      <c r="BN558" s="9">
        <f t="shared" si="20"/>
        <v>520</v>
      </c>
      <c r="BO558" s="10">
        <f t="shared" si="21"/>
        <v>364</v>
      </c>
    </row>
    <row r="559" spans="1:67" ht="24">
      <c r="A559" s="5" t="s">
        <v>352</v>
      </c>
      <c r="B559" s="11" t="s">
        <v>328</v>
      </c>
      <c r="C559" s="11">
        <v>471701</v>
      </c>
      <c r="D559" s="12"/>
      <c r="E559" s="11" t="s">
        <v>16</v>
      </c>
      <c r="F559" s="11" t="s">
        <v>329</v>
      </c>
      <c r="G559" s="11" t="s">
        <v>335</v>
      </c>
      <c r="H559" s="13" t="s">
        <v>9</v>
      </c>
      <c r="I559" s="13" t="s">
        <v>330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7</v>
      </c>
      <c r="AF559" s="13">
        <v>700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0</v>
      </c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8">
        <v>700</v>
      </c>
      <c r="BN559" s="9">
        <f t="shared" si="20"/>
        <v>700</v>
      </c>
      <c r="BO559" s="10">
        <f t="shared" si="21"/>
        <v>489.99999999999994</v>
      </c>
    </row>
    <row r="560" spans="1:67" ht="24">
      <c r="A560" s="5" t="s">
        <v>352</v>
      </c>
      <c r="B560" s="11" t="s">
        <v>663</v>
      </c>
      <c r="C560" s="11">
        <v>483178</v>
      </c>
      <c r="D560" s="12"/>
      <c r="E560" s="11" t="s">
        <v>16</v>
      </c>
      <c r="F560" s="11" t="s">
        <v>37</v>
      </c>
      <c r="G560" s="11" t="s">
        <v>31</v>
      </c>
      <c r="H560" s="13" t="s">
        <v>265</v>
      </c>
      <c r="I560" s="13" t="s">
        <v>447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2</v>
      </c>
      <c r="AL560" s="13">
        <v>666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0</v>
      </c>
      <c r="BJ560" s="13">
        <v>0</v>
      </c>
      <c r="BK560" s="13">
        <v>0</v>
      </c>
      <c r="BL560" s="13">
        <v>199.8</v>
      </c>
      <c r="BM560" s="18">
        <v>666</v>
      </c>
      <c r="BN560" s="9">
        <f t="shared" si="20"/>
        <v>466.2</v>
      </c>
      <c r="BO560" s="10">
        <f t="shared" si="21"/>
        <v>326.33999999999997</v>
      </c>
    </row>
    <row r="561" spans="1:67" ht="24">
      <c r="A561" s="5" t="s">
        <v>352</v>
      </c>
      <c r="B561" s="11" t="s">
        <v>129</v>
      </c>
      <c r="C561" s="11">
        <v>399034</v>
      </c>
      <c r="D561" s="12"/>
      <c r="E561" s="11" t="s">
        <v>16</v>
      </c>
      <c r="F561" s="11" t="s">
        <v>130</v>
      </c>
      <c r="G561" s="11" t="s">
        <v>31</v>
      </c>
      <c r="H561" s="13" t="s">
        <v>8</v>
      </c>
      <c r="I561" s="13" t="s">
        <v>131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6</v>
      </c>
      <c r="AR561" s="13">
        <v>600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0</v>
      </c>
      <c r="BM561" s="18">
        <v>600</v>
      </c>
      <c r="BN561" s="9">
        <f t="shared" si="20"/>
        <v>600</v>
      </c>
      <c r="BO561" s="10">
        <f t="shared" si="21"/>
        <v>420</v>
      </c>
    </row>
    <row r="562" spans="1:67" ht="24">
      <c r="A562" s="5" t="s">
        <v>352</v>
      </c>
      <c r="B562" s="11" t="s">
        <v>487</v>
      </c>
      <c r="C562" s="11">
        <v>391008</v>
      </c>
      <c r="D562" s="12"/>
      <c r="E562" s="11" t="s">
        <v>16</v>
      </c>
      <c r="F562" s="11" t="s">
        <v>116</v>
      </c>
      <c r="G562" s="11" t="s">
        <v>31</v>
      </c>
      <c r="H562" s="13" t="s">
        <v>8</v>
      </c>
      <c r="I562" s="13" t="s">
        <v>488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6</v>
      </c>
      <c r="AF562" s="13">
        <v>600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8">
        <v>600</v>
      </c>
      <c r="BN562" s="9">
        <f t="shared" si="20"/>
        <v>600</v>
      </c>
      <c r="BO562" s="10">
        <f t="shared" si="21"/>
        <v>420</v>
      </c>
    </row>
    <row r="563" spans="1:67" ht="24">
      <c r="A563" s="5" t="s">
        <v>352</v>
      </c>
      <c r="B563" s="11" t="s">
        <v>283</v>
      </c>
      <c r="C563" s="11">
        <v>406872</v>
      </c>
      <c r="D563" s="12"/>
      <c r="E563" s="11" t="s">
        <v>16</v>
      </c>
      <c r="F563" s="11" t="s">
        <v>284</v>
      </c>
      <c r="G563" s="11" t="s">
        <v>337</v>
      </c>
      <c r="H563" s="13" t="s">
        <v>9</v>
      </c>
      <c r="I563" s="13" t="s">
        <v>285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6</v>
      </c>
      <c r="AL563" s="13">
        <v>0</v>
      </c>
      <c r="AM563" s="13">
        <v>600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0</v>
      </c>
      <c r="BD563" s="13">
        <v>0</v>
      </c>
      <c r="BE563" s="13">
        <v>0</v>
      </c>
      <c r="BF563" s="13">
        <v>0</v>
      </c>
      <c r="BG563" s="13">
        <v>0</v>
      </c>
      <c r="BH563" s="13">
        <v>0</v>
      </c>
      <c r="BI563" s="13">
        <v>0</v>
      </c>
      <c r="BJ563" s="13">
        <v>0</v>
      </c>
      <c r="BK563" s="13">
        <v>0</v>
      </c>
      <c r="BL563" s="13">
        <v>0</v>
      </c>
      <c r="BM563" s="18">
        <v>600</v>
      </c>
      <c r="BN563" s="9">
        <f t="shared" si="20"/>
        <v>600</v>
      </c>
      <c r="BO563" s="10">
        <f t="shared" si="21"/>
        <v>420</v>
      </c>
    </row>
    <row r="564" spans="1:67" ht="24">
      <c r="A564" s="5" t="s">
        <v>352</v>
      </c>
      <c r="B564" s="11" t="s">
        <v>664</v>
      </c>
      <c r="C564" s="11">
        <v>426253</v>
      </c>
      <c r="D564" s="12"/>
      <c r="E564" s="11" t="s">
        <v>16</v>
      </c>
      <c r="F564" s="11" t="s">
        <v>199</v>
      </c>
      <c r="G564" s="11" t="s">
        <v>31</v>
      </c>
      <c r="H564" s="13" t="s">
        <v>265</v>
      </c>
      <c r="I564" s="13" t="s">
        <v>618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1</v>
      </c>
      <c r="BD564" s="13">
        <v>600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36</v>
      </c>
      <c r="BM564" s="18">
        <v>600</v>
      </c>
      <c r="BN564" s="9">
        <f t="shared" si="20"/>
        <v>564</v>
      </c>
      <c r="BO564" s="10">
        <f t="shared" si="21"/>
        <v>394.79999999999995</v>
      </c>
    </row>
    <row r="565" spans="1:67" ht="24">
      <c r="A565" s="5" t="s">
        <v>352</v>
      </c>
      <c r="B565" s="11" t="s">
        <v>286</v>
      </c>
      <c r="C565" s="11">
        <v>278898</v>
      </c>
      <c r="D565" s="12"/>
      <c r="E565" s="11" t="s">
        <v>16</v>
      </c>
      <c r="F565" s="11" t="s">
        <v>287</v>
      </c>
      <c r="G565" s="11" t="s">
        <v>10</v>
      </c>
      <c r="H565" s="13" t="s">
        <v>7</v>
      </c>
      <c r="I565" s="13" t="s">
        <v>288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6</v>
      </c>
      <c r="AR565" s="13">
        <v>600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8">
        <v>600</v>
      </c>
      <c r="BN565" s="9">
        <f t="shared" si="20"/>
        <v>600</v>
      </c>
      <c r="BO565" s="10">
        <f t="shared" si="21"/>
        <v>420</v>
      </c>
    </row>
    <row r="566" spans="1:67" ht="24">
      <c r="A566" s="5" t="s">
        <v>352</v>
      </c>
      <c r="B566" s="11" t="s">
        <v>172</v>
      </c>
      <c r="C566" s="11">
        <v>402649</v>
      </c>
      <c r="D566" s="12"/>
      <c r="E566" s="11" t="s">
        <v>16</v>
      </c>
      <c r="F566" s="11" t="s">
        <v>37</v>
      </c>
      <c r="G566" s="11" t="s">
        <v>31</v>
      </c>
      <c r="H566" s="13" t="s">
        <v>8</v>
      </c>
      <c r="I566" s="13" t="s">
        <v>173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6</v>
      </c>
      <c r="AF566" s="13">
        <v>600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13">
        <v>0</v>
      </c>
      <c r="BA566" s="13">
        <v>0</v>
      </c>
      <c r="BB566" s="13">
        <v>0</v>
      </c>
      <c r="BC566" s="13">
        <v>0</v>
      </c>
      <c r="BD566" s="13">
        <v>0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0</v>
      </c>
      <c r="BK566" s="13">
        <v>0</v>
      </c>
      <c r="BL566" s="13">
        <v>0</v>
      </c>
      <c r="BM566" s="18">
        <v>600</v>
      </c>
      <c r="BN566" s="9">
        <f t="shared" si="20"/>
        <v>600</v>
      </c>
      <c r="BO566" s="10">
        <f t="shared" si="21"/>
        <v>420</v>
      </c>
    </row>
    <row r="567" spans="1:67" ht="24">
      <c r="A567" s="5" t="s">
        <v>352</v>
      </c>
      <c r="B567" s="11" t="s">
        <v>82</v>
      </c>
      <c r="C567" s="11">
        <v>364724</v>
      </c>
      <c r="D567" s="12"/>
      <c r="E567" s="11" t="s">
        <v>16</v>
      </c>
      <c r="F567" s="11" t="s">
        <v>83</v>
      </c>
      <c r="G567" s="11" t="s">
        <v>10</v>
      </c>
      <c r="H567" s="13" t="s">
        <v>7</v>
      </c>
      <c r="I567" s="13" t="s">
        <v>84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  <c r="AK567" s="13">
        <v>6</v>
      </c>
      <c r="AL567" s="13">
        <v>0</v>
      </c>
      <c r="AM567" s="13">
        <v>600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13">
        <v>0</v>
      </c>
      <c r="BB567" s="13">
        <v>0</v>
      </c>
      <c r="BC567" s="13">
        <v>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  <c r="BM567" s="18">
        <v>600</v>
      </c>
      <c r="BN567" s="9">
        <f t="shared" si="20"/>
        <v>600</v>
      </c>
      <c r="BO567" s="10">
        <f t="shared" si="21"/>
        <v>420</v>
      </c>
    </row>
    <row r="568" spans="1:67" ht="24">
      <c r="A568" s="5" t="s">
        <v>352</v>
      </c>
      <c r="B568" s="11" t="s">
        <v>455</v>
      </c>
      <c r="C568" s="11">
        <v>336316</v>
      </c>
      <c r="D568" s="12"/>
      <c r="E568" s="11" t="s">
        <v>16</v>
      </c>
      <c r="F568" s="11" t="s">
        <v>456</v>
      </c>
      <c r="G568" s="11" t="s">
        <v>31</v>
      </c>
      <c r="H568" s="13" t="s">
        <v>8</v>
      </c>
      <c r="I568" s="13" t="s">
        <v>457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4</v>
      </c>
      <c r="AL568" s="13">
        <v>428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13">
        <v>0</v>
      </c>
      <c r="BA568" s="13">
        <v>0</v>
      </c>
      <c r="BB568" s="13">
        <v>0</v>
      </c>
      <c r="BC568" s="13">
        <v>0</v>
      </c>
      <c r="BD568" s="13">
        <v>0</v>
      </c>
      <c r="BE568" s="13">
        <v>0</v>
      </c>
      <c r="BF568" s="13">
        <v>0</v>
      </c>
      <c r="BG568" s="13">
        <v>0</v>
      </c>
      <c r="BH568" s="13">
        <v>0</v>
      </c>
      <c r="BI568" s="13">
        <v>0</v>
      </c>
      <c r="BJ568" s="13">
        <v>0</v>
      </c>
      <c r="BK568" s="13">
        <v>0</v>
      </c>
      <c r="BL568" s="13">
        <v>128.4</v>
      </c>
      <c r="BM568" s="18">
        <v>428</v>
      </c>
      <c r="BN568" s="9">
        <f t="shared" si="20"/>
        <v>299.60000000000002</v>
      </c>
      <c r="BO568" s="10">
        <f t="shared" si="21"/>
        <v>209.72</v>
      </c>
    </row>
    <row r="569" spans="1:67" ht="24">
      <c r="A569" s="5" t="s">
        <v>352</v>
      </c>
      <c r="B569" s="11" t="s">
        <v>339</v>
      </c>
      <c r="C569" s="11">
        <v>476035</v>
      </c>
      <c r="D569" s="12"/>
      <c r="E569" s="11" t="s">
        <v>16</v>
      </c>
      <c r="F569" s="11" t="s">
        <v>340</v>
      </c>
      <c r="G569" s="11" t="s">
        <v>337</v>
      </c>
      <c r="H569" s="13" t="s">
        <v>9</v>
      </c>
      <c r="I569" s="13" t="s">
        <v>341</v>
      </c>
      <c r="J569" s="13">
        <v>1</v>
      </c>
      <c r="K569" s="13">
        <v>58</v>
      </c>
      <c r="L569" s="13">
        <v>100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0</v>
      </c>
      <c r="AP569" s="13">
        <v>0</v>
      </c>
      <c r="AQ569" s="13">
        <v>3</v>
      </c>
      <c r="AR569" s="13">
        <v>300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13">
        <v>0</v>
      </c>
      <c r="BA569" s="13">
        <v>0</v>
      </c>
      <c r="BB569" s="13">
        <v>0</v>
      </c>
      <c r="BC569" s="13">
        <v>0</v>
      </c>
      <c r="BD569" s="13">
        <v>0</v>
      </c>
      <c r="BE569" s="13">
        <v>0</v>
      </c>
      <c r="BF569" s="13">
        <v>0</v>
      </c>
      <c r="BG569" s="13">
        <v>0</v>
      </c>
      <c r="BH569" s="13">
        <v>0</v>
      </c>
      <c r="BI569" s="13">
        <v>0</v>
      </c>
      <c r="BJ569" s="13">
        <v>0</v>
      </c>
      <c r="BK569" s="13">
        <v>0</v>
      </c>
      <c r="BL569" s="13">
        <v>0</v>
      </c>
      <c r="BM569" s="18">
        <v>400</v>
      </c>
      <c r="BN569" s="9">
        <f t="shared" si="20"/>
        <v>400</v>
      </c>
      <c r="BO569" s="10">
        <f t="shared" si="21"/>
        <v>280</v>
      </c>
    </row>
    <row r="570" spans="1:67" ht="24">
      <c r="A570" s="5" t="s">
        <v>352</v>
      </c>
      <c r="B570" s="11" t="s">
        <v>156</v>
      </c>
      <c r="C570" s="11">
        <v>429496</v>
      </c>
      <c r="D570" s="12"/>
      <c r="E570" s="11" t="s">
        <v>16</v>
      </c>
      <c r="F570" s="11" t="s">
        <v>157</v>
      </c>
      <c r="G570" s="11" t="s">
        <v>335</v>
      </c>
      <c r="H570" s="13" t="s">
        <v>7</v>
      </c>
      <c r="I570" s="13" t="s">
        <v>158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4</v>
      </c>
      <c r="AR570" s="13">
        <v>400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13">
        <v>0</v>
      </c>
      <c r="BB570" s="13">
        <v>0</v>
      </c>
      <c r="BC570" s="13">
        <v>0</v>
      </c>
      <c r="BD570" s="13">
        <v>0</v>
      </c>
      <c r="BE570" s="13">
        <v>0</v>
      </c>
      <c r="BF570" s="13">
        <v>0</v>
      </c>
      <c r="BG570" s="13">
        <v>0</v>
      </c>
      <c r="BH570" s="13">
        <v>0</v>
      </c>
      <c r="BI570" s="13">
        <v>0</v>
      </c>
      <c r="BJ570" s="13">
        <v>0</v>
      </c>
      <c r="BK570" s="13">
        <v>0</v>
      </c>
      <c r="BL570" s="13">
        <v>0</v>
      </c>
      <c r="BM570" s="18">
        <v>400</v>
      </c>
      <c r="BN570" s="9">
        <f t="shared" si="20"/>
        <v>400</v>
      </c>
      <c r="BO570" s="10">
        <f t="shared" si="21"/>
        <v>280</v>
      </c>
    </row>
    <row r="571" spans="1:67" ht="24">
      <c r="A571" s="5" t="s">
        <v>352</v>
      </c>
      <c r="B571" s="11" t="s">
        <v>436</v>
      </c>
      <c r="C571" s="11">
        <v>483179</v>
      </c>
      <c r="D571" s="12"/>
      <c r="E571" s="11" t="s">
        <v>16</v>
      </c>
      <c r="F571" s="11" t="s">
        <v>437</v>
      </c>
      <c r="G571" s="11" t="s">
        <v>31</v>
      </c>
      <c r="H571" s="13" t="s">
        <v>8</v>
      </c>
      <c r="I571" s="13" t="s">
        <v>438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4</v>
      </c>
      <c r="AF571" s="13">
        <v>400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13">
        <v>0</v>
      </c>
      <c r="BL571" s="13">
        <v>0</v>
      </c>
      <c r="BM571" s="18">
        <v>400</v>
      </c>
      <c r="BN571" s="9">
        <f t="shared" si="20"/>
        <v>400</v>
      </c>
      <c r="BO571" s="10">
        <f t="shared" si="21"/>
        <v>280</v>
      </c>
    </row>
    <row r="572" spans="1:67" ht="24">
      <c r="A572" s="5" t="s">
        <v>352</v>
      </c>
      <c r="B572" s="11" t="s">
        <v>653</v>
      </c>
      <c r="C572" s="11">
        <v>371774</v>
      </c>
      <c r="D572" s="12"/>
      <c r="E572" s="11" t="s">
        <v>16</v>
      </c>
      <c r="F572" s="11" t="s">
        <v>176</v>
      </c>
      <c r="G572" s="11" t="s">
        <v>10</v>
      </c>
      <c r="H572" s="13" t="s">
        <v>7</v>
      </c>
      <c r="I572" s="13" t="s">
        <v>177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1</v>
      </c>
      <c r="AF572" s="13">
        <v>100</v>
      </c>
      <c r="AG572" s="13">
        <v>0</v>
      </c>
      <c r="AH572" s="13">
        <v>0</v>
      </c>
      <c r="AI572" s="13">
        <v>0</v>
      </c>
      <c r="AJ572" s="13">
        <v>0</v>
      </c>
      <c r="AK572" s="13">
        <v>2</v>
      </c>
      <c r="AL572" s="13">
        <v>240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0</v>
      </c>
      <c r="BK572" s="13">
        <v>0</v>
      </c>
      <c r="BL572" s="13">
        <v>72</v>
      </c>
      <c r="BM572" s="18">
        <v>340</v>
      </c>
      <c r="BN572" s="9">
        <f t="shared" si="20"/>
        <v>268</v>
      </c>
      <c r="BO572" s="10">
        <f t="shared" si="21"/>
        <v>187.6</v>
      </c>
    </row>
    <row r="573" spans="1:67" ht="24">
      <c r="A573" s="5" t="s">
        <v>352</v>
      </c>
      <c r="B573" s="11" t="s">
        <v>204</v>
      </c>
      <c r="C573" s="11">
        <v>382446</v>
      </c>
      <c r="D573" s="12"/>
      <c r="E573" s="11" t="s">
        <v>16</v>
      </c>
      <c r="F573" s="11" t="s">
        <v>48</v>
      </c>
      <c r="G573" s="11" t="s">
        <v>31</v>
      </c>
      <c r="H573" s="13" t="s">
        <v>8</v>
      </c>
      <c r="I573" s="13" t="s">
        <v>205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2</v>
      </c>
      <c r="AF573" s="13">
        <v>200</v>
      </c>
      <c r="AG573" s="13">
        <v>0</v>
      </c>
      <c r="AH573" s="13">
        <v>0</v>
      </c>
      <c r="AI573" s="13">
        <v>0</v>
      </c>
      <c r="AJ573" s="13">
        <v>0</v>
      </c>
      <c r="AK573" s="13">
        <v>1</v>
      </c>
      <c r="AL573" s="13">
        <v>120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13">
        <v>0</v>
      </c>
      <c r="BL573" s="13">
        <v>36</v>
      </c>
      <c r="BM573" s="18">
        <v>320</v>
      </c>
      <c r="BN573" s="9">
        <f t="shared" si="20"/>
        <v>284</v>
      </c>
      <c r="BO573" s="10">
        <f t="shared" si="21"/>
        <v>198.79999999999998</v>
      </c>
    </row>
    <row r="574" spans="1:67" ht="24">
      <c r="A574" s="5" t="s">
        <v>352</v>
      </c>
      <c r="B574" s="11" t="s">
        <v>614</v>
      </c>
      <c r="C574" s="11">
        <v>434558</v>
      </c>
      <c r="D574" s="12"/>
      <c r="E574" s="11" t="s">
        <v>16</v>
      </c>
      <c r="F574" s="11" t="s">
        <v>196</v>
      </c>
      <c r="G574" s="11" t="s">
        <v>10</v>
      </c>
      <c r="H574" s="13" t="s">
        <v>7</v>
      </c>
      <c r="I574" s="13" t="s">
        <v>197</v>
      </c>
      <c r="J574" s="13">
        <v>3</v>
      </c>
      <c r="K574" s="13">
        <v>0</v>
      </c>
      <c r="L574" s="13">
        <v>300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0</v>
      </c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8">
        <v>300</v>
      </c>
      <c r="BN574" s="9">
        <f t="shared" si="20"/>
        <v>300</v>
      </c>
      <c r="BO574" s="10">
        <f t="shared" si="21"/>
        <v>210</v>
      </c>
    </row>
    <row r="575" spans="1:67" ht="24">
      <c r="A575" s="5" t="s">
        <v>352</v>
      </c>
      <c r="B575" s="11" t="s">
        <v>696</v>
      </c>
      <c r="C575" s="11">
        <v>321027</v>
      </c>
      <c r="D575" s="12"/>
      <c r="E575" s="11" t="s">
        <v>16</v>
      </c>
      <c r="F575" s="11" t="s">
        <v>541</v>
      </c>
      <c r="G575" s="11" t="s">
        <v>31</v>
      </c>
      <c r="H575" s="13" t="s">
        <v>7</v>
      </c>
      <c r="I575" s="13" t="s">
        <v>697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3</v>
      </c>
      <c r="AF575" s="13">
        <v>0</v>
      </c>
      <c r="AG575" s="13">
        <v>300</v>
      </c>
      <c r="AH575" s="13">
        <v>0</v>
      </c>
      <c r="AI575" s="13">
        <v>0</v>
      </c>
      <c r="AJ575" s="13">
        <v>0</v>
      </c>
      <c r="AK575" s="13">
        <v>0</v>
      </c>
      <c r="AL575" s="13">
        <v>0</v>
      </c>
      <c r="AM575" s="13">
        <v>0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  <c r="BM575" s="18">
        <v>300</v>
      </c>
      <c r="BN575" s="9">
        <f t="shared" si="20"/>
        <v>300</v>
      </c>
      <c r="BO575" s="10">
        <f t="shared" si="21"/>
        <v>210</v>
      </c>
    </row>
    <row r="576" spans="1:67" ht="24">
      <c r="A576" s="5" t="s">
        <v>352</v>
      </c>
      <c r="B576" s="11" t="s">
        <v>161</v>
      </c>
      <c r="C576" s="11">
        <v>370192</v>
      </c>
      <c r="D576" s="12"/>
      <c r="E576" s="11" t="s">
        <v>16</v>
      </c>
      <c r="F576" s="11" t="s">
        <v>124</v>
      </c>
      <c r="G576" s="11" t="s">
        <v>31</v>
      </c>
      <c r="H576" s="13" t="s">
        <v>8</v>
      </c>
      <c r="I576" s="13" t="s">
        <v>162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0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3</v>
      </c>
      <c r="AR576" s="13">
        <v>300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0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0</v>
      </c>
      <c r="BK576" s="13">
        <v>0</v>
      </c>
      <c r="BL576" s="13">
        <v>0</v>
      </c>
      <c r="BM576" s="18">
        <v>300</v>
      </c>
      <c r="BN576" s="9">
        <f t="shared" si="20"/>
        <v>300</v>
      </c>
      <c r="BO576" s="10">
        <f t="shared" si="21"/>
        <v>210</v>
      </c>
    </row>
    <row r="577" spans="1:67" ht="24">
      <c r="A577" s="5" t="s">
        <v>352</v>
      </c>
      <c r="B577" s="11" t="s">
        <v>571</v>
      </c>
      <c r="C577" s="11">
        <v>331655</v>
      </c>
      <c r="D577" s="12"/>
      <c r="E577" s="11" t="s">
        <v>16</v>
      </c>
      <c r="F577" s="11" t="s">
        <v>185</v>
      </c>
      <c r="G577" s="11" t="s">
        <v>31</v>
      </c>
      <c r="H577" s="13" t="s">
        <v>265</v>
      </c>
      <c r="I577" s="13" t="s">
        <v>494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1</v>
      </c>
      <c r="AF577" s="13">
        <v>300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0</v>
      </c>
      <c r="BJ577" s="13">
        <v>0</v>
      </c>
      <c r="BK577" s="13">
        <v>0</v>
      </c>
      <c r="BL577" s="13">
        <v>0</v>
      </c>
      <c r="BM577" s="18">
        <v>300</v>
      </c>
      <c r="BN577" s="9">
        <f t="shared" si="20"/>
        <v>300</v>
      </c>
      <c r="BO577" s="10">
        <f t="shared" si="21"/>
        <v>210</v>
      </c>
    </row>
    <row r="578" spans="1:67" ht="24">
      <c r="A578" s="5" t="s">
        <v>352</v>
      </c>
      <c r="B578" s="11" t="s">
        <v>281</v>
      </c>
      <c r="C578" s="11">
        <v>358202</v>
      </c>
      <c r="D578" s="12"/>
      <c r="E578" s="11" t="s">
        <v>16</v>
      </c>
      <c r="F578" s="11" t="s">
        <v>233</v>
      </c>
      <c r="G578" s="11" t="s">
        <v>31</v>
      </c>
      <c r="H578" s="13" t="s">
        <v>8</v>
      </c>
      <c r="I578" s="13" t="s">
        <v>282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3</v>
      </c>
      <c r="AF578" s="13">
        <v>300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0</v>
      </c>
      <c r="BD578" s="13">
        <v>0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  <c r="BM578" s="18">
        <v>300</v>
      </c>
      <c r="BN578" s="9">
        <f t="shared" si="20"/>
        <v>300</v>
      </c>
      <c r="BO578" s="10">
        <f t="shared" si="21"/>
        <v>210</v>
      </c>
    </row>
    <row r="579" spans="1:67" ht="24">
      <c r="A579" s="5" t="s">
        <v>352</v>
      </c>
      <c r="B579" s="11" t="s">
        <v>451</v>
      </c>
      <c r="C579" s="11">
        <v>463949</v>
      </c>
      <c r="D579" s="12"/>
      <c r="E579" s="11" t="s">
        <v>16</v>
      </c>
      <c r="F579" s="11" t="s">
        <v>452</v>
      </c>
      <c r="G579" s="11" t="s">
        <v>10</v>
      </c>
      <c r="H579" s="13" t="s">
        <v>7</v>
      </c>
      <c r="I579" s="13" t="s">
        <v>52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3</v>
      </c>
      <c r="AF579" s="13">
        <v>300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  <c r="BD579" s="13">
        <v>0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0</v>
      </c>
      <c r="BK579" s="13">
        <v>0</v>
      </c>
      <c r="BL579" s="13">
        <v>0</v>
      </c>
      <c r="BM579" s="18">
        <v>300</v>
      </c>
      <c r="BN579" s="9">
        <f t="shared" si="20"/>
        <v>300</v>
      </c>
      <c r="BO579" s="10">
        <f t="shared" si="21"/>
        <v>210</v>
      </c>
    </row>
    <row r="580" spans="1:67" ht="24">
      <c r="A580" s="5" t="s">
        <v>352</v>
      </c>
      <c r="B580" s="11" t="s">
        <v>244</v>
      </c>
      <c r="C580" s="11">
        <v>381070</v>
      </c>
      <c r="D580" s="12"/>
      <c r="E580" s="11" t="s">
        <v>16</v>
      </c>
      <c r="F580" s="11" t="s">
        <v>245</v>
      </c>
      <c r="G580" s="11" t="s">
        <v>31</v>
      </c>
      <c r="H580" s="13" t="s">
        <v>8</v>
      </c>
      <c r="I580" s="13" t="s">
        <v>246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3</v>
      </c>
      <c r="AF580" s="13">
        <v>300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13">
        <v>0</v>
      </c>
      <c r="BA580" s="13">
        <v>0</v>
      </c>
      <c r="BB580" s="13">
        <v>0</v>
      </c>
      <c r="BC580" s="13">
        <v>0</v>
      </c>
      <c r="BD580" s="13">
        <v>0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0</v>
      </c>
      <c r="BK580" s="13">
        <v>0</v>
      </c>
      <c r="BL580" s="13">
        <v>0</v>
      </c>
      <c r="BM580" s="18">
        <v>300</v>
      </c>
      <c r="BN580" s="9">
        <f t="shared" si="20"/>
        <v>300</v>
      </c>
      <c r="BO580" s="10">
        <f t="shared" si="21"/>
        <v>210</v>
      </c>
    </row>
    <row r="581" spans="1:67" ht="24">
      <c r="A581" s="5" t="s">
        <v>352</v>
      </c>
      <c r="B581" s="11" t="s">
        <v>320</v>
      </c>
      <c r="C581" s="11">
        <v>392578</v>
      </c>
      <c r="D581" s="12"/>
      <c r="E581" s="11" t="s">
        <v>16</v>
      </c>
      <c r="F581" s="11" t="s">
        <v>233</v>
      </c>
      <c r="G581" s="11" t="s">
        <v>31</v>
      </c>
      <c r="H581" s="13" t="s">
        <v>265</v>
      </c>
      <c r="I581" s="13" t="s">
        <v>311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0</v>
      </c>
      <c r="AJ581" s="13">
        <v>0</v>
      </c>
      <c r="AK581" s="13">
        <v>2</v>
      </c>
      <c r="AL581" s="13">
        <v>0</v>
      </c>
      <c r="AM581" s="13">
        <v>200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13">
        <v>0</v>
      </c>
      <c r="BA581" s="13">
        <v>0</v>
      </c>
      <c r="BB581" s="13">
        <v>0</v>
      </c>
      <c r="BC581" s="13">
        <v>0</v>
      </c>
      <c r="BD581" s="13">
        <v>0</v>
      </c>
      <c r="BE581" s="13">
        <v>0</v>
      </c>
      <c r="BF581" s="13">
        <v>0</v>
      </c>
      <c r="BG581" s="13">
        <v>0</v>
      </c>
      <c r="BH581" s="13">
        <v>0</v>
      </c>
      <c r="BI581" s="13">
        <v>0</v>
      </c>
      <c r="BJ581" s="13">
        <v>0</v>
      </c>
      <c r="BK581" s="13">
        <v>0</v>
      </c>
      <c r="BL581" s="13">
        <v>0</v>
      </c>
      <c r="BM581" s="18">
        <v>200</v>
      </c>
      <c r="BN581" s="9">
        <f t="shared" si="20"/>
        <v>200</v>
      </c>
      <c r="BO581" s="10">
        <f t="shared" si="21"/>
        <v>140</v>
      </c>
    </row>
    <row r="582" spans="1:67" ht="24">
      <c r="A582" s="5" t="s">
        <v>352</v>
      </c>
      <c r="B582" s="11" t="s">
        <v>605</v>
      </c>
      <c r="C582" s="11">
        <v>433508</v>
      </c>
      <c r="D582" s="12"/>
      <c r="E582" s="11" t="s">
        <v>16</v>
      </c>
      <c r="F582" s="11" t="s">
        <v>144</v>
      </c>
      <c r="G582" s="11" t="s">
        <v>10</v>
      </c>
      <c r="H582" s="13" t="s">
        <v>7</v>
      </c>
      <c r="I582" s="13" t="s">
        <v>145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2</v>
      </c>
      <c r="AR582" s="13">
        <v>200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13">
        <v>0</v>
      </c>
      <c r="BA582" s="13">
        <v>0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13">
        <v>0</v>
      </c>
      <c r="BL582" s="13">
        <v>0</v>
      </c>
      <c r="BM582" s="18">
        <v>200</v>
      </c>
      <c r="BN582" s="9">
        <f t="shared" si="20"/>
        <v>200</v>
      </c>
      <c r="BO582" s="10">
        <f t="shared" si="21"/>
        <v>140</v>
      </c>
    </row>
    <row r="583" spans="1:67" ht="24">
      <c r="A583" s="5" t="s">
        <v>352</v>
      </c>
      <c r="B583" s="11" t="s">
        <v>297</v>
      </c>
      <c r="C583" s="11">
        <v>424589</v>
      </c>
      <c r="D583" s="12"/>
      <c r="E583" s="11" t="s">
        <v>16</v>
      </c>
      <c r="F583" s="11" t="s">
        <v>298</v>
      </c>
      <c r="G583" s="11" t="s">
        <v>337</v>
      </c>
      <c r="H583" s="13" t="s">
        <v>8</v>
      </c>
      <c r="I583" s="13" t="s">
        <v>299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2</v>
      </c>
      <c r="AF583" s="13">
        <v>200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13">
        <v>0</v>
      </c>
      <c r="BA583" s="13">
        <v>0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3">
        <v>0</v>
      </c>
      <c r="BI583" s="13">
        <v>0</v>
      </c>
      <c r="BJ583" s="13">
        <v>0</v>
      </c>
      <c r="BK583" s="13">
        <v>0</v>
      </c>
      <c r="BL583" s="13">
        <v>0</v>
      </c>
      <c r="BM583" s="18">
        <v>200</v>
      </c>
      <c r="BN583" s="9">
        <f t="shared" si="20"/>
        <v>200</v>
      </c>
      <c r="BO583" s="10">
        <f t="shared" si="21"/>
        <v>140</v>
      </c>
    </row>
    <row r="584" spans="1:67" ht="24">
      <c r="A584" s="5" t="s">
        <v>352</v>
      </c>
      <c r="B584" s="11" t="s">
        <v>235</v>
      </c>
      <c r="C584" s="11">
        <v>417258</v>
      </c>
      <c r="D584" s="12"/>
      <c r="E584" s="11" t="s">
        <v>16</v>
      </c>
      <c r="F584" s="11" t="s">
        <v>236</v>
      </c>
      <c r="G584" s="11" t="s">
        <v>31</v>
      </c>
      <c r="H584" s="13" t="s">
        <v>8</v>
      </c>
      <c r="I584" s="13" t="s">
        <v>237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2</v>
      </c>
      <c r="AR584" s="13">
        <v>200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0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0</v>
      </c>
      <c r="BM584" s="18">
        <v>200</v>
      </c>
      <c r="BN584" s="9">
        <f t="shared" si="20"/>
        <v>200</v>
      </c>
      <c r="BO584" s="10">
        <f t="shared" si="21"/>
        <v>140</v>
      </c>
    </row>
    <row r="585" spans="1:67" ht="24">
      <c r="A585" s="5" t="s">
        <v>352</v>
      </c>
      <c r="B585" s="11" t="s">
        <v>223</v>
      </c>
      <c r="C585" s="11">
        <v>297776</v>
      </c>
      <c r="D585" s="12"/>
      <c r="E585" s="11" t="s">
        <v>16</v>
      </c>
      <c r="F585" s="11" t="s">
        <v>224</v>
      </c>
      <c r="G585" s="11" t="s">
        <v>337</v>
      </c>
      <c r="H585" s="13" t="s">
        <v>9</v>
      </c>
      <c r="I585" s="13" t="s">
        <v>225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1</v>
      </c>
      <c r="AL585" s="13">
        <v>120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  <c r="BD585" s="13">
        <v>0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0</v>
      </c>
      <c r="BK585" s="13">
        <v>0</v>
      </c>
      <c r="BL585" s="13">
        <v>36</v>
      </c>
      <c r="BM585" s="18">
        <v>120</v>
      </c>
      <c r="BN585" s="9">
        <f t="shared" si="20"/>
        <v>84</v>
      </c>
      <c r="BO585" s="10">
        <f t="shared" si="21"/>
        <v>58.8</v>
      </c>
    </row>
    <row r="586" spans="1:67" ht="24">
      <c r="A586" s="5" t="s">
        <v>352</v>
      </c>
      <c r="B586" s="11" t="s">
        <v>421</v>
      </c>
      <c r="C586" s="11">
        <v>420277</v>
      </c>
      <c r="D586" s="12"/>
      <c r="E586" s="11" t="s">
        <v>16</v>
      </c>
      <c r="F586" s="11" t="s">
        <v>233</v>
      </c>
      <c r="G586" s="11" t="s">
        <v>31</v>
      </c>
      <c r="H586" s="13" t="s">
        <v>8</v>
      </c>
      <c r="I586" s="13" t="s">
        <v>243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1</v>
      </c>
      <c r="AL586" s="13">
        <v>120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0</v>
      </c>
      <c r="BD586" s="13">
        <v>0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0</v>
      </c>
      <c r="BL586" s="13">
        <v>36</v>
      </c>
      <c r="BM586" s="18">
        <v>120</v>
      </c>
      <c r="BN586" s="9">
        <f t="shared" si="20"/>
        <v>84</v>
      </c>
      <c r="BO586" s="10">
        <f t="shared" si="21"/>
        <v>58.8</v>
      </c>
    </row>
    <row r="587" spans="1:67" ht="24">
      <c r="A587" s="5" t="s">
        <v>352</v>
      </c>
      <c r="B587" s="11" t="s">
        <v>71</v>
      </c>
      <c r="C587" s="11">
        <v>387942</v>
      </c>
      <c r="D587" s="12"/>
      <c r="E587" s="11" t="s">
        <v>16</v>
      </c>
      <c r="F587" s="11" t="s">
        <v>72</v>
      </c>
      <c r="G587" s="11" t="s">
        <v>10</v>
      </c>
      <c r="H587" s="13" t="s">
        <v>7</v>
      </c>
      <c r="I587" s="13" t="s">
        <v>73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1</v>
      </c>
      <c r="AL587" s="13">
        <v>120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0</v>
      </c>
      <c r="BK587" s="13">
        <v>0</v>
      </c>
      <c r="BL587" s="13">
        <v>36</v>
      </c>
      <c r="BM587" s="18">
        <v>120</v>
      </c>
      <c r="BN587" s="9">
        <f t="shared" si="20"/>
        <v>84</v>
      </c>
      <c r="BO587" s="10">
        <f t="shared" si="21"/>
        <v>58.8</v>
      </c>
    </row>
    <row r="588" spans="1:67" ht="24">
      <c r="A588" s="5" t="s">
        <v>352</v>
      </c>
      <c r="B588" s="11" t="s">
        <v>262</v>
      </c>
      <c r="C588" s="11">
        <v>377088</v>
      </c>
      <c r="D588" s="12"/>
      <c r="E588" s="11" t="s">
        <v>16</v>
      </c>
      <c r="F588" s="11" t="s">
        <v>263</v>
      </c>
      <c r="G588" s="11" t="s">
        <v>31</v>
      </c>
      <c r="H588" s="13" t="s">
        <v>8</v>
      </c>
      <c r="I588" s="13" t="s">
        <v>264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1</v>
      </c>
      <c r="AL588" s="13">
        <v>0</v>
      </c>
      <c r="AM588" s="13">
        <v>100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13">
        <v>0</v>
      </c>
      <c r="BA588" s="13">
        <v>0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0</v>
      </c>
      <c r="BH588" s="13">
        <v>0</v>
      </c>
      <c r="BI588" s="13">
        <v>0</v>
      </c>
      <c r="BJ588" s="13">
        <v>0</v>
      </c>
      <c r="BK588" s="13">
        <v>0</v>
      </c>
      <c r="BL588" s="13">
        <v>0</v>
      </c>
      <c r="BM588" s="18">
        <v>100</v>
      </c>
      <c r="BN588" s="9">
        <f t="shared" si="20"/>
        <v>100</v>
      </c>
      <c r="BO588" s="10">
        <f t="shared" si="21"/>
        <v>70</v>
      </c>
    </row>
    <row r="589" spans="1:67">
      <c r="BO589" s="7">
        <f>SUM(BO2:BO588)</f>
        <v>49270531.519999944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2023-01-03T08:03:30Z</dcterms:modified>
</cp:coreProperties>
</file>