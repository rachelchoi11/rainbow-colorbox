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K:\13. 콘텐츠사업_매출정산\13E. 정산 데이터\13E3. 22년\12월\1. 월초마감\네이버\"/>
    </mc:Choice>
  </mc:AlternateContent>
  <bookViews>
    <workbookView xWindow="0" yWindow="0" windowWidth="2175" windowHeight="0" tabRatio="766"/>
  </bookViews>
  <sheets>
    <sheet name="합계(12)" sheetId="412" r:id="rId1"/>
  </sheets>
  <definedNames>
    <definedName name="_xlnm._FilterDatabase" localSheetId="0" hidden="1">'합계(12)'!$A$1:$AM$1</definedName>
    <definedName name="_xlnm.Extract" localSheetId="0">'합계(12)'!#REF!</definedName>
  </definedNames>
  <calcPr calcId="152511"/>
</workbook>
</file>

<file path=xl/calcChain.xml><?xml version="1.0" encoding="utf-8"?>
<calcChain xmlns="http://schemas.openxmlformats.org/spreadsheetml/2006/main">
  <c r="C50" i="412" l="1"/>
  <c r="D49" i="412"/>
  <c r="D48" i="412"/>
  <c r="C48" i="412"/>
  <c r="BN5" i="412" l="1"/>
  <c r="BO5" i="412" s="1"/>
  <c r="BN3" i="412"/>
  <c r="B50" i="412" l="1"/>
  <c r="BO3" i="412" l="1"/>
  <c r="BN4" i="412"/>
  <c r="BO4" i="412" s="1"/>
  <c r="BN2" i="412"/>
  <c r="BO2" i="412" l="1"/>
  <c r="BO6" i="412" s="1"/>
  <c r="D9" i="412"/>
  <c r="D10" i="412" s="1"/>
  <c r="D11" i="412" s="1"/>
  <c r="D12" i="412" s="1"/>
  <c r="D13" i="412" s="1"/>
  <c r="D14" i="412" s="1"/>
  <c r="D15" i="412" s="1"/>
  <c r="D16" i="412" s="1"/>
  <c r="D17" i="412" s="1"/>
  <c r="D18" i="412" s="1"/>
  <c r="D19" i="412" s="1"/>
  <c r="D20" i="412" s="1"/>
  <c r="D21" i="412" s="1"/>
  <c r="D22" i="412" s="1"/>
  <c r="D23" i="412" s="1"/>
  <c r="D24" i="412" s="1"/>
  <c r="D25" i="412" s="1"/>
  <c r="D26" i="412" s="1"/>
  <c r="D27" i="412" s="1"/>
  <c r="D28" i="412" s="1"/>
  <c r="D29" i="412" s="1"/>
  <c r="D30" i="412" s="1"/>
  <c r="D31" i="412" s="1"/>
  <c r="D32" i="412" s="1"/>
  <c r="D33" i="412" s="1"/>
  <c r="D34" i="412" s="1"/>
  <c r="D35" i="412" s="1"/>
  <c r="D36" i="412" s="1"/>
  <c r="D37" i="412" s="1"/>
  <c r="D38" i="412" s="1"/>
  <c r="D39" i="412" s="1"/>
  <c r="D40" i="412" s="1"/>
  <c r="D41" i="412" s="1"/>
  <c r="BP4" i="412" l="1"/>
  <c r="D42" i="412" l="1"/>
  <c r="D43" i="412" s="1"/>
  <c r="D44" i="412" s="1"/>
  <c r="D45" i="412" s="1"/>
  <c r="D46" i="412" s="1"/>
  <c r="D47" i="412" s="1"/>
</calcChain>
</file>

<file path=xl/sharedStrings.xml><?xml version="1.0" encoding="utf-8"?>
<sst xmlns="http://schemas.openxmlformats.org/spreadsheetml/2006/main" count="122" uniqueCount="104">
  <si>
    <t>컨텐츠</t>
  </si>
  <si>
    <t>컨텐츠No</t>
  </si>
  <si>
    <t>공급자코드</t>
  </si>
  <si>
    <t>CP명</t>
  </si>
  <si>
    <t>작가명</t>
  </si>
  <si>
    <t>출판사</t>
  </si>
  <si>
    <t>서비스일</t>
  </si>
  <si>
    <t>합계</t>
  </si>
  <si>
    <t>앱마켓수수료</t>
  </si>
  <si>
    <t>&lt;사비타&gt; MG차감내역</t>
    <phoneticPr fontId="20" type="noConversion"/>
  </si>
  <si>
    <t>월</t>
    <phoneticPr fontId="20" type="noConversion"/>
  </si>
  <si>
    <t>MG</t>
    <phoneticPr fontId="20" type="noConversion"/>
  </si>
  <si>
    <t>차감액</t>
    <phoneticPr fontId="20" type="noConversion"/>
  </si>
  <si>
    <t>잔여액</t>
    <phoneticPr fontId="20" type="noConversion"/>
  </si>
  <si>
    <t xml:space="preserve"> </t>
    <phoneticPr fontId="20" type="noConversion"/>
  </si>
  <si>
    <t>21.07(US)</t>
    <phoneticPr fontId="20" type="noConversion"/>
  </si>
  <si>
    <t>21.08(US)</t>
    <phoneticPr fontId="20" type="noConversion"/>
  </si>
  <si>
    <t>21.09(US)</t>
    <phoneticPr fontId="20" type="noConversion"/>
  </si>
  <si>
    <t>21.10</t>
    <phoneticPr fontId="20" type="noConversion"/>
  </si>
  <si>
    <t>21.10(US/JP)</t>
    <phoneticPr fontId="20" type="noConversion"/>
  </si>
  <si>
    <t>21.11(US/JP/FR)</t>
    <phoneticPr fontId="20" type="noConversion"/>
  </si>
  <si>
    <t>21.12(US/JP/FR)</t>
    <phoneticPr fontId="20" type="noConversion"/>
  </si>
  <si>
    <t>22.01(US/JP/FR)</t>
    <phoneticPr fontId="20" type="noConversion"/>
  </si>
  <si>
    <t>22.02(US/JP/FR)</t>
    <phoneticPr fontId="20" type="noConversion"/>
  </si>
  <si>
    <t>22.03(JP/US/FR)</t>
    <phoneticPr fontId="20" type="noConversion"/>
  </si>
  <si>
    <t>합계</t>
    <phoneticPr fontId="20" type="noConversion"/>
  </si>
  <si>
    <t>22.04(JP/FR/DE)</t>
    <phoneticPr fontId="20" type="noConversion"/>
  </si>
  <si>
    <t>22.06(JP/FR/DE)</t>
    <phoneticPr fontId="20" type="noConversion"/>
  </si>
  <si>
    <t>22.05(JP/FR/DE)</t>
    <phoneticPr fontId="20" type="noConversion"/>
  </si>
  <si>
    <t>사랑은 비를 타고 [독점]</t>
  </si>
  <si>
    <t>스토리위즈_사랑은비를타고_MG</t>
  </si>
  <si>
    <t>예리</t>
  </si>
  <si>
    <t>스토리위즈</t>
  </si>
  <si>
    <t>전체이용가</t>
  </si>
  <si>
    <t>2022.04.27</t>
  </si>
  <si>
    <t>시리즈 완전판(APP)</t>
    <phoneticPr fontId="20" type="noConversion"/>
  </si>
  <si>
    <t>시리즈(iOS)</t>
    <phoneticPr fontId="20" type="noConversion"/>
  </si>
  <si>
    <t>N스토어(PC)</t>
    <phoneticPr fontId="20" type="noConversion"/>
  </si>
  <si>
    <t>22.07(JP/FR/DE/US)</t>
    <phoneticPr fontId="20" type="noConversion"/>
  </si>
  <si>
    <t>구분</t>
    <phoneticPr fontId="20" type="noConversion"/>
  </si>
  <si>
    <t>나이제한</t>
    <phoneticPr fontId="20" type="noConversion"/>
  </si>
  <si>
    <t>대여권_건수</t>
    <phoneticPr fontId="20" type="noConversion"/>
  </si>
  <si>
    <t>대여권_비정산</t>
    <phoneticPr fontId="20" type="noConversion"/>
  </si>
  <si>
    <t>대여권_무료이용권</t>
    <phoneticPr fontId="20" type="noConversion"/>
  </si>
  <si>
    <t>대여권_유상쿠키</t>
    <phoneticPr fontId="20" type="noConversion"/>
  </si>
  <si>
    <t>대여권_무상쿠키</t>
    <phoneticPr fontId="20" type="noConversion"/>
  </si>
  <si>
    <t>대여권_유상i쿠키</t>
    <phoneticPr fontId="20" type="noConversion"/>
  </si>
  <si>
    <t>대여권_무상i쿠키</t>
    <phoneticPr fontId="20" type="noConversion"/>
  </si>
  <si>
    <t>대여권_유상자동충전쿠키</t>
    <phoneticPr fontId="20" type="noConversion"/>
  </si>
  <si>
    <t>대여권_무상자동충전쿠키</t>
    <phoneticPr fontId="20" type="noConversion"/>
  </si>
  <si>
    <t>소장권_건수</t>
    <phoneticPr fontId="20" type="noConversion"/>
  </si>
  <si>
    <t>소장권_
비정산</t>
    <phoneticPr fontId="20" type="noConversion"/>
  </si>
  <si>
    <t>소장권_무료이용권</t>
    <phoneticPr fontId="20" type="noConversion"/>
  </si>
  <si>
    <t>소장권_유상쿠키</t>
    <phoneticPr fontId="20" type="noConversion"/>
  </si>
  <si>
    <t>소장권_무상쿠키</t>
    <phoneticPr fontId="20" type="noConversion"/>
  </si>
  <si>
    <t>소장권_유상i쿠키</t>
    <phoneticPr fontId="20" type="noConversion"/>
  </si>
  <si>
    <t>소장권_무상i쿠키</t>
    <phoneticPr fontId="20" type="noConversion"/>
  </si>
  <si>
    <t>소장권_유상자동충전쿠키</t>
    <phoneticPr fontId="20" type="noConversion"/>
  </si>
  <si>
    <t>소장권_무상자동충전쿠키</t>
    <phoneticPr fontId="20" type="noConversion"/>
  </si>
  <si>
    <t>쿠키로대여_건수</t>
    <phoneticPr fontId="20" type="noConversion"/>
  </si>
  <si>
    <t>쿠키로 대여_유상</t>
    <phoneticPr fontId="20" type="noConversion"/>
  </si>
  <si>
    <t>쿠키로 대여_무상</t>
    <phoneticPr fontId="20" type="noConversion"/>
  </si>
  <si>
    <t>쿠키로 구매_건수</t>
    <phoneticPr fontId="20" type="noConversion"/>
  </si>
  <si>
    <t>쿠키로 구매_유상</t>
    <phoneticPr fontId="20" type="noConversion"/>
  </si>
  <si>
    <t>쿠키로 구매_무상</t>
    <phoneticPr fontId="20" type="noConversion"/>
  </si>
  <si>
    <t>i쿠키로 대여_건수</t>
    <phoneticPr fontId="20" type="noConversion"/>
  </si>
  <si>
    <t>i쿠키로 대여_유상</t>
    <phoneticPr fontId="20" type="noConversion"/>
  </si>
  <si>
    <t>i쿠키로 대여_무상</t>
    <phoneticPr fontId="20" type="noConversion"/>
  </si>
  <si>
    <t>i쿠키로 구매_건수</t>
    <phoneticPr fontId="20" type="noConversion"/>
  </si>
  <si>
    <t>i쿠키로 구매_유상</t>
    <phoneticPr fontId="20" type="noConversion"/>
  </si>
  <si>
    <t>i쿠키로 구매_무상</t>
    <phoneticPr fontId="20" type="noConversion"/>
  </si>
  <si>
    <t>자동충전 쿠키로 대여_건수</t>
    <phoneticPr fontId="20" type="noConversion"/>
  </si>
  <si>
    <t>자동충전 쿠키로 대여_유상</t>
    <phoneticPr fontId="20" type="noConversion"/>
  </si>
  <si>
    <t>자동충전 쿠키로 대여_무상</t>
    <phoneticPr fontId="20" type="noConversion"/>
  </si>
  <si>
    <t>자동충전 쿠키로 구매_건수</t>
    <phoneticPr fontId="20" type="noConversion"/>
  </si>
  <si>
    <t>자동충전 쿠키로 구매_유상</t>
    <phoneticPr fontId="20" type="noConversion"/>
  </si>
  <si>
    <t>자동충전 쿠키로 구매_무상</t>
    <phoneticPr fontId="20" type="noConversion"/>
  </si>
  <si>
    <t>구글 쿠키로 대여_건수</t>
    <phoneticPr fontId="20" type="noConversion"/>
  </si>
  <si>
    <t>구글 쿠키로 대여_유상</t>
    <phoneticPr fontId="20" type="noConversion"/>
  </si>
  <si>
    <t>구글 쿠키로 대여_무상</t>
    <phoneticPr fontId="20" type="noConversion"/>
  </si>
  <si>
    <t>구글 쿠키로 구매_건수</t>
    <phoneticPr fontId="20" type="noConversion"/>
  </si>
  <si>
    <t>구글 쿠키로 구매_유상</t>
    <phoneticPr fontId="20" type="noConversion"/>
  </si>
  <si>
    <t>구글 쿠키로 구매_무상</t>
    <phoneticPr fontId="20" type="noConversion"/>
  </si>
  <si>
    <t>구글 외부 쿠키로 대여_건수</t>
    <phoneticPr fontId="20" type="noConversion"/>
  </si>
  <si>
    <t>구글 외부 쿠키로 대여_유상</t>
    <phoneticPr fontId="20" type="noConversion"/>
  </si>
  <si>
    <t>구글 외부 쿠키로 대여_무상</t>
    <phoneticPr fontId="20" type="noConversion"/>
  </si>
  <si>
    <t>구글 외부 쿠키로 구매_건수</t>
    <phoneticPr fontId="20" type="noConversion"/>
  </si>
  <si>
    <t>구글 외부 쿠키로 구매_유상</t>
    <phoneticPr fontId="20" type="noConversion"/>
  </si>
  <si>
    <t>구글 외부 쿠키로 구매_무상</t>
    <phoneticPr fontId="20" type="noConversion"/>
  </si>
  <si>
    <t>원스토어 쿠키로 대여_건수</t>
    <phoneticPr fontId="20" type="noConversion"/>
  </si>
  <si>
    <t>원스토어 쿠키로 대여_유상</t>
    <phoneticPr fontId="20" type="noConversion"/>
  </si>
  <si>
    <t>원스토어 쿠키로 대여_무상</t>
    <phoneticPr fontId="20" type="noConversion"/>
  </si>
  <si>
    <t>원스토어 쿠키로 구매_건수</t>
    <phoneticPr fontId="20" type="noConversion"/>
  </si>
  <si>
    <t>원스토어 쿠키로 구매_유상</t>
    <phoneticPr fontId="20" type="noConversion"/>
  </si>
  <si>
    <t>원스토어 쿠키로 구매_무상</t>
    <phoneticPr fontId="20" type="noConversion"/>
  </si>
  <si>
    <t>순매출(합계-수수료)</t>
    <phoneticPr fontId="20" type="noConversion"/>
  </si>
  <si>
    <t>SW 매출</t>
    <phoneticPr fontId="20" type="noConversion"/>
  </si>
  <si>
    <t>APP 매출</t>
    <phoneticPr fontId="20" type="noConversion"/>
  </si>
  <si>
    <t>22.09(JP/FR/DE/US)</t>
    <phoneticPr fontId="20" type="noConversion"/>
  </si>
  <si>
    <t>22.08(JP/FR/DE/US)</t>
  </si>
  <si>
    <t>22.10(JP/FR/DE/US)</t>
    <phoneticPr fontId="20" type="noConversion"/>
  </si>
  <si>
    <t>시리즈(APP)</t>
    <phoneticPr fontId="20" type="noConversion"/>
  </si>
  <si>
    <t>22.11(JP/FR/DE/US)</t>
    <phoneticPr fontId="20" type="noConversion"/>
  </si>
  <si>
    <t>22.12(JP/FR/DE/US)</t>
    <phoneticPr fontId="2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</si>
</sst>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32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7"/>
      <color theme="1"/>
      <name val="맑은 고딕"/>
      <family val="3"/>
      <charset val="129"/>
      <scheme val="minor"/>
    </font>
    <font>
      <b/>
      <sz val="7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7"/>
      <color rgb="FFFF0000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12"/>
      <color theme="1"/>
      <name val="굴림"/>
      <family val="3"/>
      <charset val="129"/>
    </font>
    <font>
      <sz val="8"/>
      <color theme="1"/>
      <name val="맑은 고딕"/>
      <family val="3"/>
      <charset val="129"/>
      <scheme val="minor"/>
    </font>
    <font>
      <sz val="7"/>
      <color rgb="FF000000"/>
      <name val="맑은 고딕"/>
      <family val="3"/>
      <charset val="129"/>
    </font>
    <font>
      <sz val="8"/>
      <color theme="1"/>
      <name val="맑은 고딕"/>
      <family val="2"/>
      <charset val="129"/>
      <scheme val="minor"/>
    </font>
    <font>
      <b/>
      <sz val="6"/>
      <color theme="1"/>
      <name val="맑은 고딕"/>
      <family val="3"/>
      <charset val="129"/>
      <scheme val="minor"/>
    </font>
    <font>
      <sz val="8"/>
      <color rgb="FF000000"/>
      <name val="맑은 고딕"/>
      <family val="3"/>
      <charset val="129"/>
    </font>
    <font>
      <b/>
      <sz val="7"/>
      <name val="맑은 고딕"/>
      <family val="3"/>
      <charset val="129"/>
      <scheme val="minor"/>
    </font>
    <font>
      <sz val="7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5E6E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2CC"/>
        <bgColor rgb="FF000000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6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0" xfId="0" applyFont="1" applyFill="1" applyBorder="1" applyAlignment="1">
      <alignment vertical="center" wrapText="1"/>
    </xf>
    <xf numFmtId="0" fontId="18" fillId="33" borderId="0" xfId="0" applyFont="1" applyFill="1" applyBorder="1" applyAlignment="1">
      <alignment vertical="center" wrapText="1"/>
    </xf>
    <xf numFmtId="0" fontId="19" fillId="34" borderId="0" xfId="0" applyFont="1" applyFill="1" applyBorder="1" applyAlignment="1">
      <alignment vertical="center" wrapText="1"/>
    </xf>
    <xf numFmtId="0" fontId="18" fillId="0" borderId="0" xfId="0" applyFont="1" applyAlignment="1">
      <alignment horizontal="left" vertical="center" wrapText="1"/>
    </xf>
    <xf numFmtId="49" fontId="18" fillId="0" borderId="0" xfId="0" applyNumberFormat="1" applyFont="1" applyAlignment="1">
      <alignment vertical="center" wrapText="1"/>
    </xf>
    <xf numFmtId="0" fontId="18" fillId="0" borderId="0" xfId="0" applyFont="1" applyAlignment="1">
      <alignment vertical="center" wrapText="1"/>
    </xf>
    <xf numFmtId="3" fontId="18" fillId="0" borderId="0" xfId="0" applyNumberFormat="1" applyFont="1" applyAlignment="1">
      <alignment vertical="center" wrapText="1"/>
    </xf>
    <xf numFmtId="4" fontId="18" fillId="0" borderId="0" xfId="0" applyNumberFormat="1" applyFont="1" applyAlignment="1">
      <alignment vertical="center" wrapText="1"/>
    </xf>
    <xf numFmtId="0" fontId="19" fillId="33" borderId="0" xfId="0" applyFont="1" applyFill="1" applyAlignment="1">
      <alignment horizontal="center" vertical="center" wrapText="1"/>
    </xf>
    <xf numFmtId="41" fontId="0" fillId="0" borderId="0" xfId="42" applyFont="1">
      <alignment vertical="center"/>
    </xf>
    <xf numFmtId="0" fontId="18" fillId="33" borderId="0" xfId="0" applyFont="1" applyFill="1" applyAlignment="1">
      <alignment vertical="center" wrapText="1"/>
    </xf>
    <xf numFmtId="0" fontId="22" fillId="0" borderId="0" xfId="0" applyFont="1" applyBorder="1">
      <alignment vertical="center"/>
    </xf>
    <xf numFmtId="0" fontId="18" fillId="0" borderId="0" xfId="0" applyFont="1" applyBorder="1" applyAlignment="1">
      <alignment horizontal="center" vertical="center"/>
    </xf>
    <xf numFmtId="0" fontId="18" fillId="0" borderId="0" xfId="0" applyFont="1" applyBorder="1">
      <alignment vertical="center"/>
    </xf>
    <xf numFmtId="3" fontId="23" fillId="0" borderId="0" xfId="0" applyNumberFormat="1" applyFont="1">
      <alignment vertical="center"/>
    </xf>
    <xf numFmtId="0" fontId="24" fillId="35" borderId="10" xfId="0" applyFont="1" applyFill="1" applyBorder="1" applyAlignment="1">
      <alignment horizontal="center" vertical="center"/>
    </xf>
    <xf numFmtId="0" fontId="18" fillId="35" borderId="10" xfId="0" applyFont="1" applyFill="1" applyBorder="1" applyAlignment="1">
      <alignment horizontal="center" vertical="center"/>
    </xf>
    <xf numFmtId="0" fontId="24" fillId="0" borderId="10" xfId="0" applyFont="1" applyBorder="1" applyAlignment="1">
      <alignment horizontal="center" vertical="center"/>
    </xf>
    <xf numFmtId="3" fontId="18" fillId="0" borderId="10" xfId="0" applyNumberFormat="1" applyFont="1" applyBorder="1" applyAlignment="1">
      <alignment horizontal="right" vertical="center"/>
    </xf>
    <xf numFmtId="41" fontId="18" fillId="0" borderId="10" xfId="0" applyNumberFormat="1" applyFont="1" applyBorder="1">
      <alignment vertical="center"/>
    </xf>
    <xf numFmtId="41" fontId="18" fillId="0" borderId="10" xfId="42" applyFont="1" applyBorder="1">
      <alignment vertical="center"/>
    </xf>
    <xf numFmtId="0" fontId="24" fillId="36" borderId="10" xfId="0" applyFont="1" applyFill="1" applyBorder="1" applyAlignment="1">
      <alignment horizontal="center" vertical="center"/>
    </xf>
    <xf numFmtId="3" fontId="18" fillId="36" borderId="10" xfId="0" applyNumberFormat="1" applyFont="1" applyFill="1" applyBorder="1" applyAlignment="1">
      <alignment horizontal="right" vertical="center"/>
    </xf>
    <xf numFmtId="41" fontId="18" fillId="36" borderId="10" xfId="0" applyNumberFormat="1" applyFont="1" applyFill="1" applyBorder="1">
      <alignment vertical="center"/>
    </xf>
    <xf numFmtId="41" fontId="18" fillId="36" borderId="10" xfId="42" applyFont="1" applyFill="1" applyBorder="1">
      <alignment vertical="center"/>
    </xf>
    <xf numFmtId="3" fontId="18" fillId="0" borderId="0" xfId="0" applyNumberFormat="1" applyFont="1" applyBorder="1">
      <alignment vertical="center"/>
    </xf>
    <xf numFmtId="0" fontId="24" fillId="0" borderId="10" xfId="0" quotePrefix="1" applyFont="1" applyFill="1" applyBorder="1" applyAlignment="1">
      <alignment horizontal="center" vertical="center"/>
    </xf>
    <xf numFmtId="3" fontId="18" fillId="0" borderId="10" xfId="0" applyNumberFormat="1" applyFont="1" applyFill="1" applyBorder="1" applyAlignment="1">
      <alignment horizontal="right" vertical="center"/>
    </xf>
    <xf numFmtId="41" fontId="18" fillId="0" borderId="10" xfId="0" applyNumberFormat="1" applyFont="1" applyFill="1" applyBorder="1">
      <alignment vertical="center"/>
    </xf>
    <xf numFmtId="41" fontId="18" fillId="0" borderId="10" xfId="42" applyFont="1" applyFill="1" applyBorder="1">
      <alignment vertical="center"/>
    </xf>
    <xf numFmtId="0" fontId="24" fillId="36" borderId="10" xfId="0" quotePrefix="1" applyFont="1" applyFill="1" applyBorder="1" applyAlignment="1">
      <alignment horizontal="center" vertical="center"/>
    </xf>
    <xf numFmtId="0" fontId="18" fillId="0" borderId="10" xfId="0" applyFont="1" applyBorder="1" applyAlignment="1">
      <alignment horizontal="center" vertical="center"/>
    </xf>
    <xf numFmtId="41" fontId="25" fillId="0" borderId="10" xfId="0" applyNumberFormat="1" applyFont="1" applyFill="1" applyBorder="1">
      <alignment vertical="center"/>
    </xf>
    <xf numFmtId="41" fontId="25" fillId="37" borderId="10" xfId="0" applyNumberFormat="1" applyFont="1" applyFill="1" applyBorder="1">
      <alignment vertical="center"/>
    </xf>
    <xf numFmtId="0" fontId="24" fillId="36" borderId="10" xfId="0" quotePrefix="1" applyFont="1" applyFill="1" applyBorder="1">
      <alignment vertical="center"/>
    </xf>
    <xf numFmtId="0" fontId="18" fillId="36" borderId="10" xfId="0" applyFont="1" applyFill="1" applyBorder="1" applyAlignment="1">
      <alignment horizontal="center" vertical="center"/>
    </xf>
    <xf numFmtId="41" fontId="21" fillId="0" borderId="0" xfId="0" applyNumberFormat="1" applyFont="1" applyBorder="1">
      <alignment vertical="center"/>
    </xf>
    <xf numFmtId="41" fontId="24" fillId="0" borderId="0" xfId="42" applyFont="1" applyAlignment="1">
      <alignment vertical="center" wrapText="1"/>
    </xf>
    <xf numFmtId="41" fontId="26" fillId="0" borderId="0" xfId="0" applyNumberFormat="1" applyFont="1">
      <alignment vertical="center"/>
    </xf>
    <xf numFmtId="0" fontId="26" fillId="0" borderId="0" xfId="0" applyFont="1">
      <alignment vertical="center"/>
    </xf>
    <xf numFmtId="0" fontId="24" fillId="0" borderId="0" xfId="0" applyFont="1">
      <alignment vertical="center"/>
    </xf>
    <xf numFmtId="41" fontId="18" fillId="0" borderId="0" xfId="42" applyFont="1" applyAlignment="1">
      <alignment vertical="center" wrapText="1"/>
    </xf>
    <xf numFmtId="41" fontId="27" fillId="34" borderId="0" xfId="42" applyFont="1" applyFill="1" applyAlignment="1">
      <alignment vertical="center" wrapText="1"/>
    </xf>
    <xf numFmtId="0" fontId="28" fillId="0" borderId="10" xfId="0" quotePrefix="1" applyFont="1" applyFill="1" applyBorder="1" applyAlignment="1">
      <alignment horizontal="center" vertical="center"/>
    </xf>
    <xf numFmtId="3" fontId="25" fillId="0" borderId="10" xfId="0" applyNumberFormat="1" applyFont="1" applyFill="1" applyBorder="1" applyAlignment="1">
      <alignment horizontal="right" vertical="center"/>
    </xf>
    <xf numFmtId="0" fontId="28" fillId="37" borderId="10" xfId="0" quotePrefix="1" applyFont="1" applyFill="1" applyBorder="1">
      <alignment vertical="center"/>
    </xf>
    <xf numFmtId="0" fontId="25" fillId="37" borderId="10" xfId="0" applyFont="1" applyFill="1" applyBorder="1" applyAlignment="1">
      <alignment horizontal="center" vertical="center"/>
    </xf>
    <xf numFmtId="41" fontId="25" fillId="37" borderId="10" xfId="42" applyFont="1" applyFill="1" applyBorder="1">
      <alignment vertical="center"/>
    </xf>
    <xf numFmtId="0" fontId="18" fillId="0" borderId="10" xfId="0" applyFont="1" applyFill="1" applyBorder="1" applyAlignment="1">
      <alignment horizontal="center" vertical="center"/>
    </xf>
    <xf numFmtId="2" fontId="24" fillId="0" borderId="10" xfId="0" quotePrefix="1" applyNumberFormat="1" applyFont="1" applyFill="1" applyBorder="1" applyAlignment="1">
      <alignment horizontal="center" vertical="center"/>
    </xf>
    <xf numFmtId="0" fontId="18" fillId="0" borderId="0" xfId="0" applyFont="1">
      <alignment vertical="center"/>
    </xf>
    <xf numFmtId="0" fontId="18" fillId="0" borderId="0" xfId="0" applyFont="1" applyFill="1" applyBorder="1">
      <alignment vertical="center"/>
    </xf>
    <xf numFmtId="0" fontId="29" fillId="33" borderId="0" xfId="0" applyFont="1" applyFill="1" applyAlignment="1">
      <alignment horizontal="center" vertical="center" wrapText="1"/>
    </xf>
    <xf numFmtId="4" fontId="30" fillId="0" borderId="0" xfId="0" applyNumberFormat="1" applyFont="1" applyAlignment="1">
      <alignment vertical="center" wrapText="1"/>
    </xf>
    <xf numFmtId="0" fontId="30" fillId="0" borderId="0" xfId="0" applyFont="1" applyBorder="1">
      <alignment vertical="center"/>
    </xf>
    <xf numFmtId="0" fontId="30" fillId="0" borderId="0" xfId="0" applyFont="1" applyFill="1" applyBorder="1">
      <alignment vertical="center"/>
    </xf>
    <xf numFmtId="0" fontId="30" fillId="0" borderId="0" xfId="0" applyFont="1" applyAlignment="1">
      <alignment vertical="center" wrapText="1"/>
    </xf>
    <xf numFmtId="0" fontId="31" fillId="0" borderId="0" xfId="0" applyFont="1">
      <alignment vertical="center"/>
    </xf>
  </cellXfs>
  <cellStyles count="43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쉼표 [0]" xfId="42" builtinId="6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BQ453"/>
  <sheetViews>
    <sheetView tabSelected="1" topLeftCell="AW1" zoomScale="115" zoomScaleNormal="115" workbookViewId="0">
      <selection activeCell="BN10" sqref="BN10"/>
    </sheetView>
  </sheetViews>
  <sheetFormatPr defaultRowHeight="16.5"/>
  <cols>
    <col min="1" max="1" width="11.875" style="1" customWidth="1"/>
    <col min="2" max="2" width="20" bestFit="1" customWidth="1"/>
    <col min="3" max="3" width="7.75" bestFit="1" customWidth="1"/>
    <col min="4" max="4" width="8.375" bestFit="1" customWidth="1"/>
    <col min="5" max="5" width="10" customWidth="1"/>
    <col min="6" max="6" width="10.25" customWidth="1"/>
    <col min="7" max="7" width="10" bestFit="1" customWidth="1"/>
    <col min="8" max="8" width="13.625" customWidth="1"/>
    <col min="9" max="9" width="7.375" customWidth="1"/>
    <col min="10" max="10" width="4.25" customWidth="1"/>
    <col min="11" max="11" width="4.75" customWidth="1"/>
    <col min="12" max="12" width="7.25" customWidth="1"/>
    <col min="13" max="13" width="6.75" customWidth="1"/>
    <col min="14" max="14" width="6" customWidth="1"/>
    <col min="15" max="16" width="6.25" customWidth="1"/>
    <col min="17" max="17" width="5" customWidth="1"/>
    <col min="18" max="18" width="4.75" customWidth="1"/>
    <col min="19" max="19" width="7.25" customWidth="1"/>
    <col min="20" max="20" width="6.75" customWidth="1"/>
    <col min="21" max="21" width="6" customWidth="1"/>
    <col min="22" max="23" width="6.25" customWidth="1"/>
    <col min="24" max="24" width="3.625" customWidth="1"/>
    <col min="25" max="25" width="5" customWidth="1"/>
    <col min="26" max="27" width="3.625" customWidth="1"/>
    <col min="28" max="28" width="4.25" bestFit="1" customWidth="1"/>
    <col min="29" max="29" width="6.75" bestFit="1" customWidth="1"/>
    <col min="30" max="30" width="5.75" bestFit="1" customWidth="1"/>
    <col min="31" max="31" width="5" bestFit="1" customWidth="1"/>
    <col min="32" max="33" width="6.75" bestFit="1" customWidth="1"/>
    <col min="34" max="35" width="3.625" customWidth="1"/>
    <col min="36" max="36" width="12.75" bestFit="1" customWidth="1"/>
    <col min="37" max="38" width="12.875" bestFit="1" customWidth="1"/>
    <col min="39" max="39" width="15.75" bestFit="1" customWidth="1"/>
    <col min="48" max="48" width="13.875" bestFit="1" customWidth="1"/>
    <col min="65" max="65" width="12.75" style="59" bestFit="1" customWidth="1"/>
    <col min="66" max="66" width="13.5" bestFit="1" customWidth="1"/>
    <col min="67" max="67" width="13.375" style="11" customWidth="1"/>
  </cols>
  <sheetData>
    <row r="1" spans="1:69" ht="27" customHeight="1">
      <c r="A1" s="2" t="s">
        <v>39</v>
      </c>
      <c r="B1" s="2" t="s">
        <v>0</v>
      </c>
      <c r="C1" s="2" t="s">
        <v>1</v>
      </c>
      <c r="D1" s="3" t="s">
        <v>2</v>
      </c>
      <c r="E1" s="2" t="s">
        <v>3</v>
      </c>
      <c r="F1" s="4" t="s">
        <v>4</v>
      </c>
      <c r="G1" s="2" t="s">
        <v>5</v>
      </c>
      <c r="H1" s="3" t="s">
        <v>40</v>
      </c>
      <c r="I1" s="12" t="s">
        <v>6</v>
      </c>
      <c r="J1" s="10" t="s">
        <v>41</v>
      </c>
      <c r="K1" s="10" t="s">
        <v>42</v>
      </c>
      <c r="L1" s="10" t="s">
        <v>43</v>
      </c>
      <c r="M1" s="10" t="s">
        <v>44</v>
      </c>
      <c r="N1" s="10" t="s">
        <v>45</v>
      </c>
      <c r="O1" s="10" t="s">
        <v>46</v>
      </c>
      <c r="P1" s="10" t="s">
        <v>47</v>
      </c>
      <c r="Q1" s="10" t="s">
        <v>48</v>
      </c>
      <c r="R1" s="10" t="s">
        <v>49</v>
      </c>
      <c r="S1" s="10" t="s">
        <v>50</v>
      </c>
      <c r="T1" s="10" t="s">
        <v>51</v>
      </c>
      <c r="U1" s="10" t="s">
        <v>52</v>
      </c>
      <c r="V1" s="10" t="s">
        <v>53</v>
      </c>
      <c r="W1" s="10" t="s">
        <v>54</v>
      </c>
      <c r="X1" s="10" t="s">
        <v>55</v>
      </c>
      <c r="Y1" s="10" t="s">
        <v>56</v>
      </c>
      <c r="Z1" s="10" t="s">
        <v>57</v>
      </c>
      <c r="AA1" s="10" t="s">
        <v>58</v>
      </c>
      <c r="AB1" s="10" t="s">
        <v>59</v>
      </c>
      <c r="AC1" s="10" t="s">
        <v>60</v>
      </c>
      <c r="AD1" s="10" t="s">
        <v>61</v>
      </c>
      <c r="AE1" s="10" t="s">
        <v>62</v>
      </c>
      <c r="AF1" s="10" t="s">
        <v>63</v>
      </c>
      <c r="AG1" s="10" t="s">
        <v>64</v>
      </c>
      <c r="AH1" s="10" t="s">
        <v>65</v>
      </c>
      <c r="AI1" s="10" t="s">
        <v>66</v>
      </c>
      <c r="AJ1" s="10" t="s">
        <v>67</v>
      </c>
      <c r="AK1" s="10" t="s">
        <v>68</v>
      </c>
      <c r="AL1" s="10" t="s">
        <v>69</v>
      </c>
      <c r="AM1" s="10" t="s">
        <v>70</v>
      </c>
      <c r="AN1" s="10" t="s">
        <v>71</v>
      </c>
      <c r="AO1" s="10" t="s">
        <v>72</v>
      </c>
      <c r="AP1" s="10" t="s">
        <v>73</v>
      </c>
      <c r="AQ1" s="10" t="s">
        <v>74</v>
      </c>
      <c r="AR1" s="10" t="s">
        <v>75</v>
      </c>
      <c r="AS1" s="10" t="s">
        <v>76</v>
      </c>
      <c r="AT1" s="10" t="s">
        <v>77</v>
      </c>
      <c r="AU1" s="10" t="s">
        <v>78</v>
      </c>
      <c r="AV1" s="10" t="s">
        <v>79</v>
      </c>
      <c r="AW1" s="10" t="s">
        <v>80</v>
      </c>
      <c r="AX1" s="10" t="s">
        <v>81</v>
      </c>
      <c r="AY1" s="10" t="s">
        <v>82</v>
      </c>
      <c r="AZ1" s="10" t="s">
        <v>83</v>
      </c>
      <c r="BA1" s="10" t="s">
        <v>84</v>
      </c>
      <c r="BB1" s="10" t="s">
        <v>85</v>
      </c>
      <c r="BC1" s="10" t="s">
        <v>86</v>
      </c>
      <c r="BD1" s="10" t="s">
        <v>87</v>
      </c>
      <c r="BE1" s="10" t="s">
        <v>88</v>
      </c>
      <c r="BF1" s="10" t="s">
        <v>89</v>
      </c>
      <c r="BG1" s="10" t="s">
        <v>90</v>
      </c>
      <c r="BH1" s="10" t="s">
        <v>91</v>
      </c>
      <c r="BI1" s="10" t="s">
        <v>92</v>
      </c>
      <c r="BJ1" s="10" t="s">
        <v>93</v>
      </c>
      <c r="BK1" s="10" t="s">
        <v>94</v>
      </c>
      <c r="BL1" s="10" t="s">
        <v>8</v>
      </c>
      <c r="BM1" s="54" t="s">
        <v>7</v>
      </c>
      <c r="BN1" s="10" t="s">
        <v>95</v>
      </c>
      <c r="BO1" s="10" t="s">
        <v>96</v>
      </c>
    </row>
    <row r="2" spans="1:69" s="52" customFormat="1" ht="19.5">
      <c r="A2" s="5" t="s">
        <v>101</v>
      </c>
      <c r="B2" s="5" t="s">
        <v>29</v>
      </c>
      <c r="C2" s="5">
        <v>423644</v>
      </c>
      <c r="D2" s="6"/>
      <c r="E2" s="5" t="s">
        <v>30</v>
      </c>
      <c r="F2" s="5" t="s">
        <v>31</v>
      </c>
      <c r="G2" s="5" t="s">
        <v>32</v>
      </c>
      <c r="H2" s="7" t="s">
        <v>33</v>
      </c>
      <c r="I2" s="7" t="s">
        <v>34</v>
      </c>
      <c r="J2" s="7">
        <v>0</v>
      </c>
      <c r="K2" s="7">
        <v>0</v>
      </c>
      <c r="L2" s="7">
        <v>0</v>
      </c>
      <c r="M2" s="7">
        <v>0</v>
      </c>
      <c r="N2" s="7">
        <v>0</v>
      </c>
      <c r="O2" s="7">
        <v>0</v>
      </c>
      <c r="P2" s="7">
        <v>0</v>
      </c>
      <c r="Q2" s="7">
        <v>0</v>
      </c>
      <c r="R2" s="7">
        <v>0</v>
      </c>
      <c r="S2" s="7">
        <v>0</v>
      </c>
      <c r="T2" s="7">
        <v>0</v>
      </c>
      <c r="U2" s="7">
        <v>0</v>
      </c>
      <c r="V2" s="7">
        <v>0</v>
      </c>
      <c r="W2" s="7">
        <v>0</v>
      </c>
      <c r="X2" s="7">
        <v>0</v>
      </c>
      <c r="Y2" s="7">
        <v>0</v>
      </c>
      <c r="Z2" s="7">
        <v>0</v>
      </c>
      <c r="AA2" s="7">
        <v>0</v>
      </c>
      <c r="AB2" s="7">
        <v>0</v>
      </c>
      <c r="AC2" s="7">
        <v>0</v>
      </c>
      <c r="AD2" s="8">
        <v>0</v>
      </c>
      <c r="AE2" s="7">
        <v>0</v>
      </c>
      <c r="AF2" s="7">
        <v>0</v>
      </c>
      <c r="AG2" s="7">
        <v>0</v>
      </c>
      <c r="AH2" s="7">
        <v>0</v>
      </c>
      <c r="AI2" s="7">
        <v>0</v>
      </c>
      <c r="AJ2" s="7">
        <v>0</v>
      </c>
      <c r="AK2" s="7">
        <v>0</v>
      </c>
      <c r="AL2" s="7">
        <v>0</v>
      </c>
      <c r="AM2" s="7">
        <v>0</v>
      </c>
      <c r="AN2" s="7">
        <v>0</v>
      </c>
      <c r="AO2" s="8">
        <v>0</v>
      </c>
      <c r="AP2" s="7">
        <v>0</v>
      </c>
      <c r="AQ2" s="7">
        <v>0</v>
      </c>
      <c r="AR2" s="7">
        <v>0</v>
      </c>
      <c r="AS2" s="7">
        <v>0</v>
      </c>
      <c r="AT2" s="7">
        <v>0</v>
      </c>
      <c r="AU2" s="7">
        <v>0</v>
      </c>
      <c r="AV2" s="7">
        <v>0</v>
      </c>
      <c r="AW2" s="7">
        <v>0</v>
      </c>
      <c r="AX2" s="7">
        <v>0</v>
      </c>
      <c r="AY2" s="7">
        <v>0</v>
      </c>
      <c r="AZ2" s="7">
        <v>28</v>
      </c>
      <c r="BA2" s="8">
        <v>6720</v>
      </c>
      <c r="BB2" s="7">
        <v>0</v>
      </c>
      <c r="BC2" s="7">
        <v>0</v>
      </c>
      <c r="BD2" s="7">
        <v>0</v>
      </c>
      <c r="BE2" s="7">
        <v>0</v>
      </c>
      <c r="BF2" s="7">
        <v>0</v>
      </c>
      <c r="BG2" s="7">
        <v>0</v>
      </c>
      <c r="BH2" s="7">
        <v>0</v>
      </c>
      <c r="BI2" s="7">
        <v>0</v>
      </c>
      <c r="BJ2" s="7">
        <v>0</v>
      </c>
      <c r="BK2" s="7">
        <v>0</v>
      </c>
      <c r="BL2" s="7">
        <v>403.2</v>
      </c>
      <c r="BM2" s="55">
        <v>6720</v>
      </c>
      <c r="BN2" s="43">
        <f>BM2-BL2</f>
        <v>6316.8</v>
      </c>
      <c r="BO2" s="43">
        <f>BN2*60%</f>
        <v>3790.08</v>
      </c>
    </row>
    <row r="3" spans="1:69" ht="19.5">
      <c r="A3" s="5" t="s">
        <v>35</v>
      </c>
      <c r="B3" s="5" t="s">
        <v>29</v>
      </c>
      <c r="C3" s="5">
        <v>423644</v>
      </c>
      <c r="D3" s="6"/>
      <c r="E3" s="5" t="s">
        <v>30</v>
      </c>
      <c r="F3" s="5" t="s">
        <v>31</v>
      </c>
      <c r="G3" s="5" t="s">
        <v>32</v>
      </c>
      <c r="H3" s="7" t="s">
        <v>33</v>
      </c>
      <c r="I3" s="7" t="s">
        <v>34</v>
      </c>
      <c r="J3" s="7">
        <v>0</v>
      </c>
      <c r="K3" s="8">
        <v>0</v>
      </c>
      <c r="L3" s="7">
        <v>0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7">
        <v>0</v>
      </c>
      <c r="T3" s="7">
        <v>0</v>
      </c>
      <c r="U3" s="7">
        <v>0</v>
      </c>
      <c r="V3" s="7">
        <v>0</v>
      </c>
      <c r="W3" s="7">
        <v>0</v>
      </c>
      <c r="X3" s="7">
        <v>0</v>
      </c>
      <c r="Y3" s="7">
        <v>0</v>
      </c>
      <c r="Z3" s="7">
        <v>0</v>
      </c>
      <c r="AA3" s="7">
        <v>0</v>
      </c>
      <c r="AB3" s="7">
        <v>14</v>
      </c>
      <c r="AC3" s="8">
        <v>0</v>
      </c>
      <c r="AD3" s="8">
        <v>2800</v>
      </c>
      <c r="AE3" s="7">
        <v>23</v>
      </c>
      <c r="AF3" s="7">
        <v>0</v>
      </c>
      <c r="AG3" s="8">
        <v>8900</v>
      </c>
      <c r="AH3" s="7">
        <v>0</v>
      </c>
      <c r="AI3" s="7">
        <v>0</v>
      </c>
      <c r="AJ3" s="7">
        <v>0</v>
      </c>
      <c r="AK3" s="7">
        <v>0</v>
      </c>
      <c r="AL3" s="7">
        <v>0</v>
      </c>
      <c r="AM3" s="7">
        <v>0</v>
      </c>
      <c r="AN3" s="7">
        <v>0</v>
      </c>
      <c r="AO3" s="8">
        <v>0</v>
      </c>
      <c r="AP3" s="7">
        <v>0</v>
      </c>
      <c r="AQ3" s="7">
        <v>1</v>
      </c>
      <c r="AR3" s="8">
        <v>400</v>
      </c>
      <c r="AS3" s="7">
        <v>0</v>
      </c>
      <c r="AT3" s="7">
        <v>0</v>
      </c>
      <c r="AU3" s="7">
        <v>0</v>
      </c>
      <c r="AV3" s="7">
        <v>0</v>
      </c>
      <c r="AW3" s="7">
        <v>0</v>
      </c>
      <c r="AX3" s="7">
        <v>0</v>
      </c>
      <c r="AY3" s="7">
        <v>0</v>
      </c>
      <c r="AZ3" s="7">
        <v>0</v>
      </c>
      <c r="BA3" s="8">
        <v>0</v>
      </c>
      <c r="BB3" s="7">
        <v>0</v>
      </c>
      <c r="BC3" s="7">
        <v>0</v>
      </c>
      <c r="BD3" s="7">
        <v>0</v>
      </c>
      <c r="BE3" s="7">
        <v>0</v>
      </c>
      <c r="BF3" s="7">
        <v>5</v>
      </c>
      <c r="BG3" s="8">
        <v>1200</v>
      </c>
      <c r="BH3" s="7">
        <v>0</v>
      </c>
      <c r="BI3" s="7">
        <v>1</v>
      </c>
      <c r="BJ3" s="8">
        <v>360</v>
      </c>
      <c r="BK3" s="7">
        <v>0</v>
      </c>
      <c r="BL3" s="9">
        <v>78</v>
      </c>
      <c r="BM3" s="55">
        <v>13660</v>
      </c>
      <c r="BN3" s="43">
        <f t="shared" ref="BN3:BN4" si="0">BM3-BL3</f>
        <v>13582</v>
      </c>
      <c r="BO3" s="43">
        <f t="shared" ref="BO3:BO4" si="1">BN3*60%</f>
        <v>8149.2</v>
      </c>
    </row>
    <row r="4" spans="1:69" ht="19.5">
      <c r="A4" s="5" t="s">
        <v>36</v>
      </c>
      <c r="B4" s="5" t="s">
        <v>29</v>
      </c>
      <c r="C4" s="5">
        <v>423644</v>
      </c>
      <c r="D4" s="6"/>
      <c r="E4" s="5" t="s">
        <v>30</v>
      </c>
      <c r="F4" s="5" t="s">
        <v>31</v>
      </c>
      <c r="G4" s="5" t="s">
        <v>32</v>
      </c>
      <c r="H4" s="7" t="s">
        <v>33</v>
      </c>
      <c r="I4" s="7" t="s">
        <v>34</v>
      </c>
      <c r="J4" s="7">
        <v>0</v>
      </c>
      <c r="K4" s="8">
        <v>0</v>
      </c>
      <c r="L4" s="7">
        <v>0</v>
      </c>
      <c r="M4" s="7">
        <v>0</v>
      </c>
      <c r="N4" s="7">
        <v>0</v>
      </c>
      <c r="O4" s="7">
        <v>0</v>
      </c>
      <c r="P4" s="7">
        <v>0</v>
      </c>
      <c r="Q4" s="7">
        <v>0</v>
      </c>
      <c r="R4" s="7">
        <v>0</v>
      </c>
      <c r="S4" s="7">
        <v>0</v>
      </c>
      <c r="T4" s="7">
        <v>0</v>
      </c>
      <c r="U4" s="7">
        <v>0</v>
      </c>
      <c r="V4" s="7">
        <v>0</v>
      </c>
      <c r="W4" s="7">
        <v>0</v>
      </c>
      <c r="X4" s="7">
        <v>0</v>
      </c>
      <c r="Y4" s="7">
        <v>0</v>
      </c>
      <c r="Z4" s="7">
        <v>0</v>
      </c>
      <c r="AA4" s="7">
        <v>0</v>
      </c>
      <c r="AB4" s="7">
        <v>4</v>
      </c>
      <c r="AC4" s="8">
        <v>100</v>
      </c>
      <c r="AD4" s="8">
        <v>700</v>
      </c>
      <c r="AE4" s="7">
        <v>0</v>
      </c>
      <c r="AF4" s="7">
        <v>0</v>
      </c>
      <c r="AG4" s="7">
        <v>0</v>
      </c>
      <c r="AH4" s="7">
        <v>6</v>
      </c>
      <c r="AI4" s="8">
        <v>0</v>
      </c>
      <c r="AJ4" s="8">
        <v>1200</v>
      </c>
      <c r="AK4" s="7">
        <v>0</v>
      </c>
      <c r="AL4" s="7">
        <v>0</v>
      </c>
      <c r="AM4" s="7">
        <v>0</v>
      </c>
      <c r="AN4" s="7">
        <v>0</v>
      </c>
      <c r="AO4" s="8">
        <v>0</v>
      </c>
      <c r="AP4" s="7">
        <v>0</v>
      </c>
      <c r="AQ4" s="7">
        <v>0</v>
      </c>
      <c r="AR4" s="8">
        <v>0</v>
      </c>
      <c r="AS4" s="7">
        <v>0</v>
      </c>
      <c r="AT4" s="7">
        <v>0</v>
      </c>
      <c r="AU4" s="7">
        <v>0</v>
      </c>
      <c r="AV4" s="7">
        <v>0</v>
      </c>
      <c r="AW4" s="7">
        <v>0</v>
      </c>
      <c r="AX4" s="7">
        <v>0</v>
      </c>
      <c r="AY4" s="7">
        <v>0</v>
      </c>
      <c r="AZ4" s="7">
        <v>0</v>
      </c>
      <c r="BA4" s="7">
        <v>0</v>
      </c>
      <c r="BB4" s="7">
        <v>0</v>
      </c>
      <c r="BC4" s="7">
        <v>0</v>
      </c>
      <c r="BD4" s="7">
        <v>0</v>
      </c>
      <c r="BE4" s="7">
        <v>0</v>
      </c>
      <c r="BF4" s="7">
        <v>0</v>
      </c>
      <c r="BG4" s="7">
        <v>0</v>
      </c>
      <c r="BH4" s="7">
        <v>0</v>
      </c>
      <c r="BI4" s="7">
        <v>0</v>
      </c>
      <c r="BJ4" s="7">
        <v>0</v>
      </c>
      <c r="BK4" s="7">
        <v>0</v>
      </c>
      <c r="BL4" s="9">
        <v>0</v>
      </c>
      <c r="BM4" s="55">
        <v>2000</v>
      </c>
      <c r="BN4" s="43">
        <f t="shared" si="0"/>
        <v>2000</v>
      </c>
      <c r="BO4" s="43">
        <f t="shared" si="1"/>
        <v>1200</v>
      </c>
      <c r="BP4" s="40">
        <f>SUM(BO2:BO4)</f>
        <v>13139.279999999999</v>
      </c>
      <c r="BQ4" s="41" t="s">
        <v>97</v>
      </c>
    </row>
    <row r="5" spans="1:69" ht="19.5">
      <c r="A5" s="5" t="s">
        <v>37</v>
      </c>
      <c r="B5" s="5" t="s">
        <v>29</v>
      </c>
      <c r="C5" s="5">
        <v>423644</v>
      </c>
      <c r="D5" s="6"/>
      <c r="E5" s="5" t="s">
        <v>30</v>
      </c>
      <c r="F5" s="5" t="s">
        <v>31</v>
      </c>
      <c r="G5" s="5" t="s">
        <v>32</v>
      </c>
      <c r="H5" s="7" t="s">
        <v>33</v>
      </c>
      <c r="I5" s="7" t="s">
        <v>34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7">
        <v>0</v>
      </c>
      <c r="U5" s="7">
        <v>0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8">
        <v>0</v>
      </c>
      <c r="AG5" s="7">
        <v>0</v>
      </c>
      <c r="AH5" s="7">
        <v>0</v>
      </c>
      <c r="AI5" s="7">
        <v>0</v>
      </c>
      <c r="AJ5" s="8">
        <v>0</v>
      </c>
      <c r="AK5" s="7">
        <v>0</v>
      </c>
      <c r="AL5" s="7">
        <v>0</v>
      </c>
      <c r="AM5" s="7">
        <v>0</v>
      </c>
      <c r="AN5" s="7">
        <v>1</v>
      </c>
      <c r="AO5" s="8">
        <v>200</v>
      </c>
      <c r="AP5" s="7">
        <v>0</v>
      </c>
      <c r="AQ5" s="7">
        <v>0</v>
      </c>
      <c r="AR5" s="8">
        <v>0</v>
      </c>
      <c r="AS5" s="7">
        <v>0</v>
      </c>
      <c r="AT5" s="7">
        <v>0</v>
      </c>
      <c r="AU5" s="7">
        <v>0</v>
      </c>
      <c r="AV5" s="7">
        <v>0</v>
      </c>
      <c r="AW5" s="7">
        <v>0</v>
      </c>
      <c r="AX5" s="7">
        <v>0</v>
      </c>
      <c r="AY5" s="7">
        <v>0</v>
      </c>
      <c r="AZ5" s="7">
        <v>0</v>
      </c>
      <c r="BA5" s="7">
        <v>0</v>
      </c>
      <c r="BB5" s="7">
        <v>0</v>
      </c>
      <c r="BC5" s="7">
        <v>0</v>
      </c>
      <c r="BD5" s="7">
        <v>0</v>
      </c>
      <c r="BE5" s="7">
        <v>0</v>
      </c>
      <c r="BF5" s="7">
        <v>0</v>
      </c>
      <c r="BG5" s="7">
        <v>0</v>
      </c>
      <c r="BH5" s="7">
        <v>0</v>
      </c>
      <c r="BI5" s="7">
        <v>0</v>
      </c>
      <c r="BJ5" s="7">
        <v>0</v>
      </c>
      <c r="BK5" s="7">
        <v>0</v>
      </c>
      <c r="BL5" s="9">
        <v>0</v>
      </c>
      <c r="BM5" s="55">
        <v>200</v>
      </c>
      <c r="BN5" s="43">
        <f t="shared" ref="BN5" si="2">BM5-BL5</f>
        <v>200</v>
      </c>
      <c r="BO5" s="43">
        <f t="shared" ref="BO5" si="3">BN5*60%</f>
        <v>120</v>
      </c>
      <c r="BP5" s="42"/>
      <c r="BQ5" s="42"/>
    </row>
    <row r="6" spans="1:69">
      <c r="A6" s="5"/>
      <c r="B6" s="5"/>
      <c r="C6" s="5"/>
      <c r="D6" s="6"/>
      <c r="E6" s="5"/>
      <c r="F6" s="5"/>
      <c r="G6" s="5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8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55"/>
      <c r="BN6" s="39"/>
      <c r="BO6" s="44">
        <f>SUM(BO2:BO5)</f>
        <v>13259.279999999999</v>
      </c>
    </row>
    <row r="7" spans="1:69" s="15" customFormat="1" ht="14.25">
      <c r="A7" s="13" t="s">
        <v>9</v>
      </c>
      <c r="B7" s="14"/>
      <c r="AU7" s="16"/>
      <c r="AW7" s="16"/>
      <c r="BM7" s="56"/>
      <c r="BO7" s="38"/>
    </row>
    <row r="8" spans="1:69" s="15" customFormat="1" ht="11.25">
      <c r="A8" s="17" t="s">
        <v>10</v>
      </c>
      <c r="B8" s="18" t="s">
        <v>11</v>
      </c>
      <c r="C8" s="18" t="s">
        <v>12</v>
      </c>
      <c r="D8" s="18" t="s">
        <v>13</v>
      </c>
      <c r="J8" s="15" t="s">
        <v>14</v>
      </c>
      <c r="BM8" s="56"/>
    </row>
    <row r="9" spans="1:69" s="15" customFormat="1" ht="11.25">
      <c r="A9" s="19">
        <v>21.02</v>
      </c>
      <c r="B9" s="20">
        <v>30000000</v>
      </c>
      <c r="C9" s="21">
        <v>472077</v>
      </c>
      <c r="D9" s="22">
        <f>B9-C9</f>
        <v>29527923</v>
      </c>
      <c r="BM9" s="56"/>
    </row>
    <row r="10" spans="1:69" s="15" customFormat="1" ht="11.25">
      <c r="A10" s="19">
        <v>21.03</v>
      </c>
      <c r="B10" s="20"/>
      <c r="C10" s="21">
        <v>408648</v>
      </c>
      <c r="D10" s="22">
        <f t="shared" ref="D10:D31" si="4">D9-C10</f>
        <v>29119275</v>
      </c>
      <c r="BM10" s="56"/>
    </row>
    <row r="11" spans="1:69" s="15" customFormat="1" ht="11.25">
      <c r="A11" s="19">
        <v>21.04</v>
      </c>
      <c r="B11" s="20"/>
      <c r="C11" s="21">
        <v>160198.56</v>
      </c>
      <c r="D11" s="22">
        <f t="shared" si="4"/>
        <v>28959076.440000001</v>
      </c>
      <c r="BM11" s="56"/>
    </row>
    <row r="12" spans="1:69" s="15" customFormat="1" ht="11.25">
      <c r="A12" s="19">
        <v>21.05</v>
      </c>
      <c r="B12" s="20"/>
      <c r="C12" s="21">
        <v>121166</v>
      </c>
      <c r="D12" s="22">
        <f t="shared" si="4"/>
        <v>28837910.440000001</v>
      </c>
      <c r="BM12" s="56"/>
    </row>
    <row r="13" spans="1:69" s="15" customFormat="1" ht="10.9" customHeight="1">
      <c r="A13" s="19">
        <v>21.06</v>
      </c>
      <c r="B13" s="20"/>
      <c r="C13" s="21">
        <v>290693</v>
      </c>
      <c r="D13" s="22">
        <f t="shared" si="4"/>
        <v>28547217.440000001</v>
      </c>
      <c r="BM13" s="56"/>
    </row>
    <row r="14" spans="1:69" s="15" customFormat="1" ht="11.25">
      <c r="A14" s="23" t="s">
        <v>15</v>
      </c>
      <c r="B14" s="24"/>
      <c r="C14" s="25">
        <v>1204515</v>
      </c>
      <c r="D14" s="26">
        <f t="shared" si="4"/>
        <v>27342702.440000001</v>
      </c>
      <c r="BM14" s="56"/>
    </row>
    <row r="15" spans="1:69" s="15" customFormat="1" ht="11.25">
      <c r="A15" s="19">
        <v>21.07</v>
      </c>
      <c r="B15" s="20"/>
      <c r="C15" s="21">
        <v>188088</v>
      </c>
      <c r="D15" s="22">
        <f t="shared" si="4"/>
        <v>27154614.440000001</v>
      </c>
      <c r="AU15" s="27"/>
      <c r="AW15" s="27"/>
      <c r="BM15" s="56"/>
    </row>
    <row r="16" spans="1:69" s="15" customFormat="1" ht="11.25">
      <c r="A16" s="19">
        <v>21.08</v>
      </c>
      <c r="B16" s="20"/>
      <c r="C16" s="21">
        <v>118512</v>
      </c>
      <c r="D16" s="22">
        <f t="shared" si="4"/>
        <v>27036102.440000001</v>
      </c>
      <c r="AU16" s="27"/>
      <c r="AW16" s="27"/>
      <c r="BM16" s="56"/>
    </row>
    <row r="17" spans="1:65" s="15" customFormat="1" ht="11.25">
      <c r="A17" s="23" t="s">
        <v>16</v>
      </c>
      <c r="B17" s="24"/>
      <c r="C17" s="25">
        <v>844621</v>
      </c>
      <c r="D17" s="26">
        <f t="shared" si="4"/>
        <v>26191481.440000001</v>
      </c>
      <c r="AU17" s="27"/>
      <c r="AW17" s="27"/>
      <c r="BM17" s="56"/>
    </row>
    <row r="18" spans="1:65" s="15" customFormat="1" ht="11.25">
      <c r="A18" s="19">
        <v>21.09</v>
      </c>
      <c r="B18" s="20"/>
      <c r="C18" s="21">
        <v>322027</v>
      </c>
      <c r="D18" s="22">
        <f t="shared" si="4"/>
        <v>25869454.440000001</v>
      </c>
      <c r="AU18" s="27"/>
      <c r="AW18" s="27"/>
      <c r="BM18" s="56"/>
    </row>
    <row r="19" spans="1:65" s="15" customFormat="1" ht="11.25">
      <c r="A19" s="23" t="s">
        <v>17</v>
      </c>
      <c r="B19" s="24"/>
      <c r="C19" s="25">
        <v>552842</v>
      </c>
      <c r="D19" s="26">
        <f t="shared" si="4"/>
        <v>25316612.440000001</v>
      </c>
      <c r="AU19" s="27"/>
      <c r="AW19" s="27"/>
      <c r="BM19" s="56"/>
    </row>
    <row r="20" spans="1:65" s="15" customFormat="1" ht="11.25">
      <c r="A20" s="28" t="s">
        <v>18</v>
      </c>
      <c r="B20" s="29"/>
      <c r="C20" s="30">
        <v>91790.399999999994</v>
      </c>
      <c r="D20" s="31">
        <f t="shared" si="4"/>
        <v>25224822.040000003</v>
      </c>
      <c r="AU20" s="27"/>
      <c r="AW20" s="27"/>
      <c r="BM20" s="56"/>
    </row>
    <row r="21" spans="1:65" s="15" customFormat="1" ht="11.25">
      <c r="A21" s="32" t="s">
        <v>19</v>
      </c>
      <c r="B21" s="24"/>
      <c r="C21" s="25">
        <v>605653</v>
      </c>
      <c r="D21" s="26">
        <f t="shared" si="4"/>
        <v>24619169.040000003</v>
      </c>
      <c r="AU21" s="27"/>
      <c r="AW21" s="27"/>
      <c r="BM21" s="56"/>
    </row>
    <row r="22" spans="1:65" s="15" customFormat="1" ht="11.25">
      <c r="A22" s="32" t="s">
        <v>20</v>
      </c>
      <c r="B22" s="24"/>
      <c r="C22" s="25">
        <v>547220</v>
      </c>
      <c r="D22" s="26">
        <f t="shared" si="4"/>
        <v>24071949.040000003</v>
      </c>
      <c r="AU22" s="27"/>
      <c r="AW22" s="27"/>
      <c r="BM22" s="56"/>
    </row>
    <row r="23" spans="1:65" s="15" customFormat="1" ht="10.9" customHeight="1">
      <c r="A23" s="28">
        <v>21.11</v>
      </c>
      <c r="B23" s="29"/>
      <c r="C23" s="30">
        <v>25450</v>
      </c>
      <c r="D23" s="31">
        <f t="shared" si="4"/>
        <v>24046499.040000003</v>
      </c>
      <c r="AU23" s="27"/>
      <c r="AW23" s="27"/>
      <c r="BM23" s="56"/>
    </row>
    <row r="24" spans="1:65" s="15" customFormat="1" ht="11.25">
      <c r="A24" s="32" t="s">
        <v>21</v>
      </c>
      <c r="B24" s="24"/>
      <c r="C24" s="25">
        <v>457391</v>
      </c>
      <c r="D24" s="26">
        <f t="shared" si="4"/>
        <v>23589108.040000003</v>
      </c>
      <c r="AU24" s="27"/>
      <c r="AW24" s="27"/>
      <c r="BM24" s="56"/>
    </row>
    <row r="25" spans="1:65" s="15" customFormat="1" ht="11.25">
      <c r="A25" s="28">
        <v>21.12</v>
      </c>
      <c r="B25" s="29"/>
      <c r="C25" s="30">
        <v>23400</v>
      </c>
      <c r="D25" s="31">
        <f t="shared" si="4"/>
        <v>23565708.040000003</v>
      </c>
      <c r="AU25" s="27"/>
      <c r="AW25" s="27"/>
      <c r="BM25" s="56"/>
    </row>
    <row r="26" spans="1:65" s="15" customFormat="1" ht="11.25">
      <c r="A26" s="32" t="s">
        <v>22</v>
      </c>
      <c r="B26" s="24"/>
      <c r="C26" s="25">
        <v>477210</v>
      </c>
      <c r="D26" s="26">
        <f t="shared" si="4"/>
        <v>23088498.040000003</v>
      </c>
      <c r="AU26" s="27"/>
      <c r="AW26" s="27"/>
      <c r="BM26" s="56"/>
    </row>
    <row r="27" spans="1:65" s="15" customFormat="1" ht="11.25">
      <c r="A27" s="28">
        <v>22.01</v>
      </c>
      <c r="B27" s="29"/>
      <c r="C27" s="30">
        <v>260419.20000000001</v>
      </c>
      <c r="D27" s="31">
        <f t="shared" si="4"/>
        <v>22828078.840000004</v>
      </c>
      <c r="AU27" s="27"/>
      <c r="AW27" s="27"/>
      <c r="BM27" s="56"/>
    </row>
    <row r="28" spans="1:65" s="15" customFormat="1" ht="11.25">
      <c r="A28" s="32" t="s">
        <v>23</v>
      </c>
      <c r="B28" s="24"/>
      <c r="C28" s="25">
        <v>295476</v>
      </c>
      <c r="D28" s="26">
        <f t="shared" si="4"/>
        <v>22532602.840000004</v>
      </c>
      <c r="AU28" s="27"/>
      <c r="AW28" s="27"/>
      <c r="BM28" s="56"/>
    </row>
    <row r="29" spans="1:65" s="15" customFormat="1" ht="11.25">
      <c r="A29" s="28">
        <v>22.02</v>
      </c>
      <c r="B29" s="29"/>
      <c r="C29" s="34">
        <v>482780.27999999991</v>
      </c>
      <c r="D29" s="31">
        <f t="shared" si="4"/>
        <v>22049822.560000002</v>
      </c>
      <c r="AU29" s="27"/>
      <c r="AW29" s="27"/>
      <c r="BM29" s="56"/>
    </row>
    <row r="30" spans="1:65" s="15" customFormat="1" ht="11.25">
      <c r="A30" s="28">
        <v>22.03</v>
      </c>
      <c r="B30" s="29"/>
      <c r="C30" s="34">
        <v>905174.87999999989</v>
      </c>
      <c r="D30" s="31">
        <f t="shared" si="4"/>
        <v>21144647.680000003</v>
      </c>
      <c r="AU30" s="27"/>
      <c r="AW30" s="27"/>
      <c r="BM30" s="56"/>
    </row>
    <row r="31" spans="1:65" s="15" customFormat="1" ht="11.25">
      <c r="A31" s="32" t="s">
        <v>24</v>
      </c>
      <c r="B31" s="24"/>
      <c r="C31" s="35">
        <v>113872</v>
      </c>
      <c r="D31" s="26">
        <f t="shared" si="4"/>
        <v>21030775.680000003</v>
      </c>
      <c r="AU31" s="27"/>
      <c r="AW31" s="27"/>
      <c r="BM31" s="56"/>
    </row>
    <row r="32" spans="1:65" s="15" customFormat="1" ht="19.899999999999999" customHeight="1">
      <c r="A32" s="28">
        <v>22.04</v>
      </c>
      <c r="B32" s="33"/>
      <c r="C32" s="34">
        <v>905174.87999999989</v>
      </c>
      <c r="D32" s="31">
        <f t="shared" ref="D32:D37" si="5">D31-C32</f>
        <v>20125600.800000004</v>
      </c>
      <c r="BM32" s="56"/>
    </row>
    <row r="33" spans="1:65" s="15" customFormat="1" ht="11.25">
      <c r="A33" s="32" t="s">
        <v>26</v>
      </c>
      <c r="B33" s="24"/>
      <c r="C33" s="35">
        <v>169682</v>
      </c>
      <c r="D33" s="26">
        <f t="shared" si="5"/>
        <v>19955918.800000004</v>
      </c>
      <c r="AU33" s="27"/>
      <c r="AW33" s="27"/>
      <c r="BM33" s="56"/>
    </row>
    <row r="34" spans="1:65" s="15" customFormat="1" ht="11.25">
      <c r="A34" s="28">
        <v>22.05</v>
      </c>
      <c r="B34" s="29"/>
      <c r="C34" s="30">
        <v>1300003.9799999997</v>
      </c>
      <c r="D34" s="31">
        <f t="shared" si="5"/>
        <v>18655914.820000004</v>
      </c>
      <c r="AU34" s="27"/>
      <c r="AW34" s="27"/>
      <c r="BM34" s="56"/>
    </row>
    <row r="35" spans="1:65" s="15" customFormat="1" ht="11.25">
      <c r="A35" s="36" t="s">
        <v>28</v>
      </c>
      <c r="B35" s="37"/>
      <c r="C35" s="26">
        <v>105406</v>
      </c>
      <c r="D35" s="26">
        <f t="shared" si="5"/>
        <v>18550508.820000004</v>
      </c>
      <c r="BM35" s="56"/>
    </row>
    <row r="36" spans="1:65" s="15" customFormat="1" ht="11.25">
      <c r="A36" s="28">
        <v>22.06</v>
      </c>
      <c r="B36" s="29"/>
      <c r="C36" s="30">
        <v>103000</v>
      </c>
      <c r="D36" s="31">
        <f t="shared" si="5"/>
        <v>18447508.820000004</v>
      </c>
      <c r="AU36" s="27"/>
      <c r="AW36" s="27"/>
      <c r="BM36" s="56"/>
    </row>
    <row r="37" spans="1:65" s="15" customFormat="1" ht="11.25">
      <c r="A37" s="36" t="s">
        <v>27</v>
      </c>
      <c r="B37" s="37"/>
      <c r="C37" s="26">
        <v>588627</v>
      </c>
      <c r="D37" s="26">
        <f t="shared" si="5"/>
        <v>17858881.820000004</v>
      </c>
      <c r="BM37" s="56"/>
    </row>
    <row r="38" spans="1:65" s="15" customFormat="1" ht="11.25">
      <c r="A38" s="28">
        <v>22.07</v>
      </c>
      <c r="B38" s="29"/>
      <c r="C38" s="30">
        <v>21828.480000000003</v>
      </c>
      <c r="D38" s="31">
        <f t="shared" ref="D38:D42" si="6">D37-C38</f>
        <v>17837053.340000004</v>
      </c>
      <c r="BM38" s="56"/>
    </row>
    <row r="39" spans="1:65" s="15" customFormat="1" ht="11.25">
      <c r="A39" s="36" t="s">
        <v>38</v>
      </c>
      <c r="B39" s="37"/>
      <c r="C39" s="26">
        <v>631815</v>
      </c>
      <c r="D39" s="26">
        <f t="shared" si="6"/>
        <v>17205238.340000004</v>
      </c>
      <c r="BM39" s="56"/>
    </row>
    <row r="40" spans="1:65" s="15" customFormat="1" ht="11.25">
      <c r="A40" s="45">
        <v>22.08</v>
      </c>
      <c r="B40" s="46"/>
      <c r="C40" s="34">
        <v>22375.68</v>
      </c>
      <c r="D40" s="31">
        <f t="shared" si="6"/>
        <v>17182862.660000004</v>
      </c>
      <c r="BM40" s="56"/>
    </row>
    <row r="41" spans="1:65" s="15" customFormat="1" ht="11.25">
      <c r="A41" s="47" t="s">
        <v>99</v>
      </c>
      <c r="B41" s="48"/>
      <c r="C41" s="49">
        <v>557461</v>
      </c>
      <c r="D41" s="26">
        <f t="shared" si="6"/>
        <v>16625401.660000004</v>
      </c>
      <c r="BM41" s="56"/>
    </row>
    <row r="42" spans="1:65" s="15" customFormat="1" ht="11.25">
      <c r="A42" s="28">
        <v>22.09</v>
      </c>
      <c r="B42" s="29"/>
      <c r="C42" s="30">
        <v>464043.95999999996</v>
      </c>
      <c r="D42" s="31">
        <f t="shared" si="6"/>
        <v>16161357.700000003</v>
      </c>
      <c r="BM42" s="56"/>
    </row>
    <row r="43" spans="1:65" s="15" customFormat="1" ht="11.25">
      <c r="A43" s="36" t="s">
        <v>98</v>
      </c>
      <c r="B43" s="37"/>
      <c r="C43" s="26">
        <v>290215</v>
      </c>
      <c r="D43" s="26">
        <f t="shared" ref="D43:D49" si="7">D42-C43</f>
        <v>15871142.700000003</v>
      </c>
      <c r="BM43" s="56"/>
    </row>
    <row r="44" spans="1:65" s="15" customFormat="1" ht="11.25">
      <c r="A44" s="51">
        <v>22.1</v>
      </c>
      <c r="B44" s="50"/>
      <c r="C44" s="31">
        <v>128070</v>
      </c>
      <c r="D44" s="31">
        <f t="shared" si="7"/>
        <v>15743072.700000003</v>
      </c>
      <c r="BM44" s="56"/>
    </row>
    <row r="45" spans="1:65" s="15" customFormat="1" ht="11.25">
      <c r="A45" s="36" t="s">
        <v>100</v>
      </c>
      <c r="B45" s="37"/>
      <c r="C45" s="26">
        <v>117731</v>
      </c>
      <c r="D45" s="26">
        <f t="shared" si="7"/>
        <v>15625341.700000003</v>
      </c>
      <c r="BM45" s="56"/>
    </row>
    <row r="46" spans="1:65" s="53" customFormat="1" ht="11.25">
      <c r="A46" s="51">
        <v>22.11</v>
      </c>
      <c r="B46" s="50"/>
      <c r="C46" s="31">
        <v>41666.879999999997</v>
      </c>
      <c r="D46" s="31">
        <f t="shared" si="7"/>
        <v>15583674.820000002</v>
      </c>
      <c r="BM46" s="57"/>
    </row>
    <row r="47" spans="1:65" s="15" customFormat="1" ht="11.25">
      <c r="A47" s="36" t="s">
        <v>102</v>
      </c>
      <c r="B47" s="37"/>
      <c r="C47" s="26">
        <v>119554</v>
      </c>
      <c r="D47" s="26">
        <f t="shared" si="7"/>
        <v>15464120.820000002</v>
      </c>
      <c r="BM47" s="56"/>
    </row>
    <row r="48" spans="1:65" s="53" customFormat="1" ht="11.25">
      <c r="A48" s="51">
        <v>22.12</v>
      </c>
      <c r="B48" s="50"/>
      <c r="C48" s="31">
        <f>BO6</f>
        <v>13259.279999999999</v>
      </c>
      <c r="D48" s="31">
        <f t="shared" si="7"/>
        <v>15450861.540000003</v>
      </c>
      <c r="BM48" s="57"/>
    </row>
    <row r="49" spans="1:65" s="15" customFormat="1" ht="11.25">
      <c r="A49" s="36" t="s">
        <v>103</v>
      </c>
      <c r="B49" s="37"/>
      <c r="C49" s="26">
        <v>137496</v>
      </c>
      <c r="D49" s="26">
        <f t="shared" si="7"/>
        <v>15313365.540000003</v>
      </c>
      <c r="BM49" s="56"/>
    </row>
    <row r="50" spans="1:65" s="15" customFormat="1" ht="11.25">
      <c r="A50" s="17" t="s">
        <v>25</v>
      </c>
      <c r="B50" s="20">
        <f>SUM(B9:B37)</f>
        <v>30000000</v>
      </c>
      <c r="C50" s="20">
        <f>SUM(C9:C49)</f>
        <v>14686634.460000001</v>
      </c>
      <c r="D50" s="20"/>
      <c r="BM50" s="56"/>
    </row>
    <row r="51" spans="1:65">
      <c r="A51" s="5"/>
      <c r="B51" s="5"/>
      <c r="C51" s="5"/>
      <c r="D51" s="6"/>
      <c r="E51" s="5"/>
      <c r="F51" s="5"/>
      <c r="G51" s="5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  <c r="AY51" s="7"/>
      <c r="AZ51" s="7"/>
      <c r="BA51" s="7"/>
      <c r="BB51" s="7"/>
      <c r="BC51" s="7"/>
      <c r="BD51" s="7"/>
      <c r="BE51" s="7"/>
      <c r="BF51" s="7"/>
      <c r="BG51" s="7"/>
      <c r="BH51" s="7"/>
      <c r="BI51" s="7"/>
      <c r="BJ51" s="7"/>
      <c r="BK51" s="7"/>
      <c r="BL51" s="7"/>
      <c r="BM51" s="58"/>
    </row>
    <row r="52" spans="1:65">
      <c r="A52" s="5"/>
      <c r="B52" s="5"/>
      <c r="C52" s="5"/>
      <c r="D52" s="6"/>
      <c r="E52" s="5"/>
      <c r="F52" s="5"/>
      <c r="G52" s="5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7"/>
      <c r="AZ52" s="7"/>
      <c r="BA52" s="7"/>
      <c r="BB52" s="7"/>
      <c r="BC52" s="7"/>
      <c r="BD52" s="7"/>
      <c r="BE52" s="7"/>
      <c r="BF52" s="7"/>
      <c r="BG52" s="7"/>
      <c r="BH52" s="7"/>
      <c r="BI52" s="7"/>
      <c r="BJ52" s="7"/>
      <c r="BK52" s="7"/>
      <c r="BL52" s="7"/>
      <c r="BM52" s="58"/>
    </row>
    <row r="53" spans="1:65">
      <c r="A53" s="5"/>
      <c r="B53" s="5"/>
      <c r="C53" s="5"/>
      <c r="D53" s="6"/>
      <c r="E53" s="5"/>
      <c r="F53" s="5"/>
      <c r="G53" s="5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8"/>
      <c r="AG53" s="8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  <c r="AY53" s="7"/>
      <c r="AZ53" s="7"/>
      <c r="BA53" s="7"/>
      <c r="BB53" s="7"/>
      <c r="BC53" s="7"/>
      <c r="BD53" s="7"/>
      <c r="BE53" s="7"/>
      <c r="BF53" s="7"/>
      <c r="BG53" s="7"/>
      <c r="BH53" s="7"/>
      <c r="BI53" s="7"/>
      <c r="BJ53" s="7"/>
      <c r="BK53" s="7"/>
      <c r="BL53" s="7"/>
      <c r="BM53" s="55"/>
    </row>
    <row r="54" spans="1:65">
      <c r="A54" s="5"/>
      <c r="B54" s="5"/>
      <c r="C54" s="5"/>
      <c r="D54" s="6"/>
      <c r="E54" s="5"/>
      <c r="F54" s="5"/>
      <c r="G54" s="5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8"/>
      <c r="AG54" s="8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  <c r="AY54" s="7"/>
      <c r="AZ54" s="7"/>
      <c r="BA54" s="7"/>
      <c r="BB54" s="7"/>
      <c r="BC54" s="7"/>
      <c r="BD54" s="7"/>
      <c r="BE54" s="7"/>
      <c r="BF54" s="7"/>
      <c r="BG54" s="7"/>
      <c r="BH54" s="7"/>
      <c r="BI54" s="7"/>
      <c r="BJ54" s="7"/>
      <c r="BK54" s="7"/>
      <c r="BL54" s="7"/>
      <c r="BM54" s="55"/>
    </row>
    <row r="55" spans="1:65">
      <c r="A55" s="5"/>
      <c r="B55" s="5"/>
      <c r="C55" s="5"/>
      <c r="D55" s="6"/>
      <c r="E55" s="5"/>
      <c r="F55" s="5"/>
      <c r="G55" s="5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8"/>
      <c r="AG55" s="8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  <c r="AY55" s="7"/>
      <c r="AZ55" s="7"/>
      <c r="BA55" s="7"/>
      <c r="BB55" s="7"/>
      <c r="BC55" s="7"/>
      <c r="BD55" s="7"/>
      <c r="BE55" s="7"/>
      <c r="BF55" s="7"/>
      <c r="BG55" s="7"/>
      <c r="BH55" s="7"/>
      <c r="BI55" s="7"/>
      <c r="BJ55" s="7"/>
      <c r="BK55" s="7"/>
      <c r="BL55" s="7"/>
      <c r="BM55" s="55"/>
    </row>
    <row r="56" spans="1:65">
      <c r="A56" s="5"/>
      <c r="B56" s="5"/>
      <c r="C56" s="5"/>
      <c r="D56" s="6"/>
      <c r="E56" s="5"/>
      <c r="F56" s="5"/>
      <c r="G56" s="5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8"/>
      <c r="AG56" s="8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8"/>
      <c r="AS56" s="7"/>
      <c r="AT56" s="7"/>
      <c r="AU56" s="7"/>
      <c r="AV56" s="7"/>
      <c r="AW56" s="7"/>
      <c r="AX56" s="7"/>
      <c r="AY56" s="7"/>
      <c r="AZ56" s="7"/>
      <c r="BA56" s="7"/>
      <c r="BB56" s="7"/>
      <c r="BC56" s="7"/>
      <c r="BD56" s="7"/>
      <c r="BE56" s="7"/>
      <c r="BF56" s="7"/>
      <c r="BG56" s="7"/>
      <c r="BH56" s="7"/>
      <c r="BI56" s="7"/>
      <c r="BJ56" s="7"/>
      <c r="BK56" s="7"/>
      <c r="BL56" s="7"/>
      <c r="BM56" s="55"/>
    </row>
    <row r="57" spans="1:65">
      <c r="A57" s="5"/>
      <c r="B57" s="5"/>
      <c r="C57" s="5"/>
      <c r="D57" s="6"/>
      <c r="E57" s="5"/>
      <c r="F57" s="5"/>
      <c r="G57" s="5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8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8"/>
      <c r="AS57" s="7"/>
      <c r="AT57" s="7"/>
      <c r="AU57" s="7"/>
      <c r="AV57" s="7"/>
      <c r="AW57" s="7"/>
      <c r="AX57" s="7"/>
      <c r="AY57" s="7"/>
      <c r="AZ57" s="7"/>
      <c r="BA57" s="7"/>
      <c r="BB57" s="7"/>
      <c r="BC57" s="7"/>
      <c r="BD57" s="7"/>
      <c r="BE57" s="7"/>
      <c r="BF57" s="7"/>
      <c r="BG57" s="7"/>
      <c r="BH57" s="7"/>
      <c r="BI57" s="7"/>
      <c r="BJ57" s="7"/>
      <c r="BK57" s="7"/>
      <c r="BL57" s="7"/>
      <c r="BM57" s="55"/>
    </row>
    <row r="58" spans="1:65">
      <c r="A58" s="5"/>
      <c r="B58" s="5"/>
      <c r="C58" s="5"/>
      <c r="D58" s="6"/>
      <c r="E58" s="5"/>
      <c r="F58" s="5"/>
      <c r="G58" s="5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8"/>
      <c r="AG58" s="8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8"/>
      <c r="AS58" s="7"/>
      <c r="AT58" s="7"/>
      <c r="AU58" s="7"/>
      <c r="AV58" s="7"/>
      <c r="AW58" s="7"/>
      <c r="AX58" s="7"/>
      <c r="AY58" s="7"/>
      <c r="AZ58" s="7"/>
      <c r="BA58" s="7"/>
      <c r="BB58" s="7"/>
      <c r="BC58" s="7"/>
      <c r="BD58" s="7"/>
      <c r="BE58" s="7"/>
      <c r="BF58" s="7"/>
      <c r="BG58" s="7"/>
      <c r="BH58" s="7"/>
      <c r="BI58" s="7"/>
      <c r="BJ58" s="7"/>
      <c r="BK58" s="7"/>
      <c r="BL58" s="7"/>
      <c r="BM58" s="55"/>
    </row>
    <row r="59" spans="1:65">
      <c r="A59" s="5"/>
      <c r="B59" s="5"/>
      <c r="C59" s="5"/>
      <c r="D59" s="6"/>
      <c r="E59" s="5"/>
      <c r="F59" s="5"/>
      <c r="G59" s="5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8"/>
      <c r="AG59" s="8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  <c r="AY59" s="7"/>
      <c r="AZ59" s="7"/>
      <c r="BA59" s="7"/>
      <c r="BB59" s="7"/>
      <c r="BC59" s="7"/>
      <c r="BD59" s="7"/>
      <c r="BE59" s="7"/>
      <c r="BF59" s="7"/>
      <c r="BG59" s="7"/>
      <c r="BH59" s="7"/>
      <c r="BI59" s="7"/>
      <c r="BJ59" s="7"/>
      <c r="BK59" s="7"/>
      <c r="BL59" s="7"/>
      <c r="BM59" s="55"/>
    </row>
    <row r="60" spans="1:65">
      <c r="A60" s="5"/>
      <c r="B60" s="5"/>
      <c r="C60" s="5"/>
      <c r="D60" s="6"/>
      <c r="E60" s="5"/>
      <c r="F60" s="5"/>
      <c r="G60" s="5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8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  <c r="AY60" s="7"/>
      <c r="AZ60" s="7"/>
      <c r="BA60" s="7"/>
      <c r="BB60" s="7"/>
      <c r="BC60" s="7"/>
      <c r="BD60" s="7"/>
      <c r="BE60" s="7"/>
      <c r="BF60" s="7"/>
      <c r="BG60" s="7"/>
      <c r="BH60" s="7"/>
      <c r="BI60" s="7"/>
      <c r="BJ60" s="7"/>
      <c r="BK60" s="7"/>
      <c r="BL60" s="7"/>
      <c r="BM60" s="55"/>
    </row>
    <row r="61" spans="1:65">
      <c r="A61" s="5"/>
      <c r="B61" s="5"/>
      <c r="C61" s="5"/>
      <c r="D61" s="6"/>
      <c r="E61" s="5"/>
      <c r="F61" s="5"/>
      <c r="G61" s="5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8"/>
      <c r="AG61" s="8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8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55"/>
    </row>
    <row r="62" spans="1:65">
      <c r="A62" s="5"/>
      <c r="B62" s="5"/>
      <c r="C62" s="5"/>
      <c r="D62" s="6"/>
      <c r="E62" s="5"/>
      <c r="F62" s="5"/>
      <c r="G62" s="5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8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  <c r="BE62" s="7"/>
      <c r="BF62" s="7"/>
      <c r="BG62" s="7"/>
      <c r="BH62" s="7"/>
      <c r="BI62" s="7"/>
      <c r="BJ62" s="7"/>
      <c r="BK62" s="7"/>
      <c r="BL62" s="7"/>
      <c r="BM62" s="55"/>
    </row>
    <row r="63" spans="1:65">
      <c r="A63" s="5"/>
      <c r="B63" s="5"/>
      <c r="C63" s="5"/>
      <c r="D63" s="6"/>
      <c r="E63" s="5"/>
      <c r="F63" s="5"/>
      <c r="G63" s="5"/>
      <c r="H63" s="7"/>
      <c r="I63" s="7"/>
      <c r="J63" s="7"/>
      <c r="K63" s="7"/>
      <c r="L63" s="8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8"/>
      <c r="AG63" s="8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  <c r="AY63" s="7"/>
      <c r="AZ63" s="7"/>
      <c r="BA63" s="7"/>
      <c r="BB63" s="7"/>
      <c r="BC63" s="7"/>
      <c r="BD63" s="7"/>
      <c r="BE63" s="7"/>
      <c r="BF63" s="7"/>
      <c r="BG63" s="7"/>
      <c r="BH63" s="7"/>
      <c r="BI63" s="7"/>
      <c r="BJ63" s="7"/>
      <c r="BK63" s="7"/>
      <c r="BL63" s="7"/>
      <c r="BM63" s="55"/>
    </row>
    <row r="64" spans="1:65">
      <c r="A64" s="5"/>
      <c r="B64" s="5"/>
      <c r="C64" s="5"/>
      <c r="D64" s="6"/>
      <c r="E64" s="5"/>
      <c r="F64" s="5"/>
      <c r="G64" s="5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8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8"/>
      <c r="AS64" s="7"/>
      <c r="AT64" s="7"/>
      <c r="AU64" s="7"/>
      <c r="AV64" s="7"/>
      <c r="AW64" s="7"/>
      <c r="AX64" s="7"/>
      <c r="AY64" s="7"/>
      <c r="AZ64" s="7"/>
      <c r="BA64" s="7"/>
      <c r="BB64" s="7"/>
      <c r="BC64" s="7"/>
      <c r="BD64" s="7"/>
      <c r="BE64" s="7"/>
      <c r="BF64" s="7"/>
      <c r="BG64" s="7"/>
      <c r="BH64" s="7"/>
      <c r="BI64" s="7"/>
      <c r="BJ64" s="7"/>
      <c r="BK64" s="7"/>
      <c r="BL64" s="7"/>
      <c r="BM64" s="55"/>
    </row>
    <row r="65" spans="1:65">
      <c r="A65" s="5"/>
      <c r="B65" s="5"/>
      <c r="C65" s="5"/>
      <c r="D65" s="6"/>
      <c r="E65" s="5"/>
      <c r="F65" s="5"/>
      <c r="G65" s="5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8"/>
      <c r="AG65" s="8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8"/>
      <c r="AS65" s="7"/>
      <c r="AT65" s="7"/>
      <c r="AU65" s="7"/>
      <c r="AV65" s="7"/>
      <c r="AW65" s="7"/>
      <c r="AX65" s="7"/>
      <c r="AY65" s="7"/>
      <c r="AZ65" s="7"/>
      <c r="BA65" s="7"/>
      <c r="BB65" s="7"/>
      <c r="BC65" s="7"/>
      <c r="BD65" s="7"/>
      <c r="BE65" s="7"/>
      <c r="BF65" s="7"/>
      <c r="BG65" s="7"/>
      <c r="BH65" s="7"/>
      <c r="BI65" s="7"/>
      <c r="BJ65" s="7"/>
      <c r="BK65" s="7"/>
      <c r="BL65" s="7"/>
      <c r="BM65" s="55"/>
    </row>
    <row r="66" spans="1:65">
      <c r="A66" s="5"/>
      <c r="B66" s="5"/>
      <c r="C66" s="5"/>
      <c r="D66" s="6"/>
      <c r="E66" s="5"/>
      <c r="F66" s="5"/>
      <c r="G66" s="5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8"/>
      <c r="AG66" s="8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  <c r="AY66" s="7"/>
      <c r="AZ66" s="7"/>
      <c r="BA66" s="7"/>
      <c r="BB66" s="7"/>
      <c r="BC66" s="7"/>
      <c r="BD66" s="7"/>
      <c r="BE66" s="7"/>
      <c r="BF66" s="7"/>
      <c r="BG66" s="7"/>
      <c r="BH66" s="7"/>
      <c r="BI66" s="7"/>
      <c r="BJ66" s="7"/>
      <c r="BK66" s="7"/>
      <c r="BL66" s="7"/>
      <c r="BM66" s="55"/>
    </row>
    <row r="67" spans="1:65">
      <c r="A67" s="5"/>
      <c r="B67" s="5"/>
      <c r="C67" s="5"/>
      <c r="D67" s="6"/>
      <c r="E67" s="5"/>
      <c r="F67" s="5"/>
      <c r="G67" s="5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8"/>
      <c r="AG67" s="8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8"/>
      <c r="AS67" s="7"/>
      <c r="AT67" s="7"/>
      <c r="AU67" s="7"/>
      <c r="AV67" s="7"/>
      <c r="AW67" s="7"/>
      <c r="AX67" s="7"/>
      <c r="AY67" s="7"/>
      <c r="AZ67" s="7"/>
      <c r="BA67" s="7"/>
      <c r="BB67" s="7"/>
      <c r="BC67" s="7"/>
      <c r="BD67" s="7"/>
      <c r="BE67" s="7"/>
      <c r="BF67" s="7"/>
      <c r="BG67" s="7"/>
      <c r="BH67" s="7"/>
      <c r="BI67" s="7"/>
      <c r="BJ67" s="7"/>
      <c r="BK67" s="7"/>
      <c r="BL67" s="7"/>
      <c r="BM67" s="55"/>
    </row>
    <row r="68" spans="1:65">
      <c r="A68" s="5"/>
      <c r="B68" s="5"/>
      <c r="C68" s="5"/>
      <c r="D68" s="6"/>
      <c r="E68" s="5"/>
      <c r="F68" s="5"/>
      <c r="G68" s="5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8"/>
      <c r="AS68" s="7"/>
      <c r="AT68" s="7"/>
      <c r="AU68" s="7"/>
      <c r="AV68" s="7"/>
      <c r="AW68" s="7"/>
      <c r="AX68" s="7"/>
      <c r="AY68" s="7"/>
      <c r="AZ68" s="7"/>
      <c r="BA68" s="7"/>
      <c r="BB68" s="7"/>
      <c r="BC68" s="7"/>
      <c r="BD68" s="7"/>
      <c r="BE68" s="7"/>
      <c r="BF68" s="7"/>
      <c r="BG68" s="7"/>
      <c r="BH68" s="7"/>
      <c r="BI68" s="7"/>
      <c r="BJ68" s="7"/>
      <c r="BK68" s="7"/>
      <c r="BL68" s="7"/>
      <c r="BM68" s="55"/>
    </row>
    <row r="69" spans="1:65">
      <c r="A69" s="5"/>
      <c r="B69" s="5"/>
      <c r="C69" s="5"/>
      <c r="D69" s="6"/>
      <c r="E69" s="5"/>
      <c r="F69" s="5"/>
      <c r="G69" s="5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8"/>
      <c r="AG69" s="8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/>
      <c r="AX69" s="7"/>
      <c r="AY69" s="7"/>
      <c r="AZ69" s="7"/>
      <c r="BA69" s="7"/>
      <c r="BB69" s="7"/>
      <c r="BC69" s="7"/>
      <c r="BD69" s="7"/>
      <c r="BE69" s="7"/>
      <c r="BF69" s="7"/>
      <c r="BG69" s="7"/>
      <c r="BH69" s="7"/>
      <c r="BI69" s="7"/>
      <c r="BJ69" s="7"/>
      <c r="BK69" s="7"/>
      <c r="BL69" s="7"/>
      <c r="BM69" s="55"/>
    </row>
    <row r="70" spans="1:65">
      <c r="A70" s="5"/>
      <c r="B70" s="5"/>
      <c r="C70" s="5"/>
      <c r="D70" s="6"/>
      <c r="E70" s="5"/>
      <c r="F70" s="5"/>
      <c r="G70" s="5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8"/>
      <c r="AG70" s="8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  <c r="AY70" s="7"/>
      <c r="AZ70" s="7"/>
      <c r="BA70" s="7"/>
      <c r="BB70" s="7"/>
      <c r="BC70" s="7"/>
      <c r="BD70" s="7"/>
      <c r="BE70" s="7"/>
      <c r="BF70" s="7"/>
      <c r="BG70" s="7"/>
      <c r="BH70" s="7"/>
      <c r="BI70" s="7"/>
      <c r="BJ70" s="7"/>
      <c r="BK70" s="7"/>
      <c r="BL70" s="7"/>
      <c r="BM70" s="55"/>
    </row>
    <row r="71" spans="1:65">
      <c r="A71" s="5"/>
      <c r="B71" s="5"/>
      <c r="C71" s="5"/>
      <c r="D71" s="6"/>
      <c r="E71" s="5"/>
      <c r="F71" s="5"/>
      <c r="G71" s="5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8"/>
      <c r="AG71" s="8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  <c r="AU71" s="7"/>
      <c r="AV71" s="7"/>
      <c r="AW71" s="7"/>
      <c r="AX71" s="7"/>
      <c r="AY71" s="7"/>
      <c r="AZ71" s="7"/>
      <c r="BA71" s="7"/>
      <c r="BB71" s="7"/>
      <c r="BC71" s="7"/>
      <c r="BD71" s="7"/>
      <c r="BE71" s="7"/>
      <c r="BF71" s="7"/>
      <c r="BG71" s="7"/>
      <c r="BH71" s="7"/>
      <c r="BI71" s="7"/>
      <c r="BJ71" s="7"/>
      <c r="BK71" s="7"/>
      <c r="BL71" s="7"/>
      <c r="BM71" s="55"/>
    </row>
    <row r="72" spans="1:65">
      <c r="A72" s="5"/>
      <c r="B72" s="5"/>
      <c r="C72" s="5"/>
      <c r="D72" s="6"/>
      <c r="E72" s="5"/>
      <c r="F72" s="5"/>
      <c r="G72" s="5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8"/>
      <c r="AG72" s="8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/>
      <c r="AX72" s="7"/>
      <c r="AY72" s="7"/>
      <c r="AZ72" s="7"/>
      <c r="BA72" s="7"/>
      <c r="BB72" s="7"/>
      <c r="BC72" s="7"/>
      <c r="BD72" s="7"/>
      <c r="BE72" s="7"/>
      <c r="BF72" s="7"/>
      <c r="BG72" s="7"/>
      <c r="BH72" s="7"/>
      <c r="BI72" s="7"/>
      <c r="BJ72" s="7"/>
      <c r="BK72" s="7"/>
      <c r="BL72" s="7"/>
      <c r="BM72" s="55"/>
    </row>
    <row r="73" spans="1:65">
      <c r="A73" s="5"/>
      <c r="B73" s="5"/>
      <c r="C73" s="5"/>
      <c r="D73" s="6"/>
      <c r="E73" s="5"/>
      <c r="F73" s="5"/>
      <c r="G73" s="5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8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  <c r="AY73" s="7"/>
      <c r="AZ73" s="7"/>
      <c r="BA73" s="7"/>
      <c r="BB73" s="7"/>
      <c r="BC73" s="7"/>
      <c r="BD73" s="7"/>
      <c r="BE73" s="7"/>
      <c r="BF73" s="7"/>
      <c r="BG73" s="7"/>
      <c r="BH73" s="7"/>
      <c r="BI73" s="7"/>
      <c r="BJ73" s="7"/>
      <c r="BK73" s="7"/>
      <c r="BL73" s="7"/>
      <c r="BM73" s="55"/>
    </row>
    <row r="74" spans="1:65">
      <c r="A74" s="5"/>
      <c r="B74" s="5"/>
      <c r="C74" s="5"/>
      <c r="D74" s="6"/>
      <c r="E74" s="5"/>
      <c r="F74" s="5"/>
      <c r="G74" s="5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8"/>
      <c r="AG74" s="8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8"/>
      <c r="AS74" s="7"/>
      <c r="AT74" s="7"/>
      <c r="AU74" s="7"/>
      <c r="AV74" s="7"/>
      <c r="AW74" s="7"/>
      <c r="AX74" s="7"/>
      <c r="AY74" s="7"/>
      <c r="AZ74" s="7"/>
      <c r="BA74" s="7"/>
      <c r="BB74" s="7"/>
      <c r="BC74" s="7"/>
      <c r="BD74" s="7"/>
      <c r="BE74" s="7"/>
      <c r="BF74" s="7"/>
      <c r="BG74" s="7"/>
      <c r="BH74" s="7"/>
      <c r="BI74" s="7"/>
      <c r="BJ74" s="7"/>
      <c r="BK74" s="7"/>
      <c r="BL74" s="7"/>
      <c r="BM74" s="55"/>
    </row>
    <row r="75" spans="1:65">
      <c r="A75" s="5"/>
      <c r="B75" s="5"/>
      <c r="C75" s="5"/>
      <c r="D75" s="6"/>
      <c r="E75" s="5"/>
      <c r="F75" s="5"/>
      <c r="G75" s="5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8"/>
      <c r="AG75" s="8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8"/>
      <c r="AS75" s="7"/>
      <c r="AT75" s="7"/>
      <c r="AU75" s="7"/>
      <c r="AV75" s="7"/>
      <c r="AW75" s="7"/>
      <c r="AX75" s="7"/>
      <c r="AY75" s="7"/>
      <c r="AZ75" s="7"/>
      <c r="BA75" s="7"/>
      <c r="BB75" s="7"/>
      <c r="BC75" s="7"/>
      <c r="BD75" s="7"/>
      <c r="BE75" s="7"/>
      <c r="BF75" s="7"/>
      <c r="BG75" s="7"/>
      <c r="BH75" s="7"/>
      <c r="BI75" s="7"/>
      <c r="BJ75" s="7"/>
      <c r="BK75" s="7"/>
      <c r="BL75" s="7"/>
      <c r="BM75" s="55"/>
    </row>
    <row r="76" spans="1:65">
      <c r="A76" s="5"/>
      <c r="B76" s="5"/>
      <c r="C76" s="5"/>
      <c r="D76" s="6"/>
      <c r="E76" s="5"/>
      <c r="F76" s="5"/>
      <c r="G76" s="5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8"/>
      <c r="AG76" s="8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  <c r="AT76" s="7"/>
      <c r="AU76" s="7"/>
      <c r="AV76" s="7"/>
      <c r="AW76" s="7"/>
      <c r="AX76" s="7"/>
      <c r="AY76" s="7"/>
      <c r="AZ76" s="7"/>
      <c r="BA76" s="7"/>
      <c r="BB76" s="7"/>
      <c r="BC76" s="7"/>
      <c r="BD76" s="7"/>
      <c r="BE76" s="7"/>
      <c r="BF76" s="7"/>
      <c r="BG76" s="7"/>
      <c r="BH76" s="7"/>
      <c r="BI76" s="7"/>
      <c r="BJ76" s="7"/>
      <c r="BK76" s="7"/>
      <c r="BL76" s="7"/>
      <c r="BM76" s="55"/>
    </row>
    <row r="77" spans="1:65">
      <c r="A77" s="5"/>
      <c r="B77" s="5"/>
      <c r="C77" s="5"/>
      <c r="D77" s="6"/>
      <c r="E77" s="5"/>
      <c r="F77" s="5"/>
      <c r="G77" s="5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8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8"/>
      <c r="AS77" s="7"/>
      <c r="AT77" s="7"/>
      <c r="AU77" s="7"/>
      <c r="AV77" s="7"/>
      <c r="AW77" s="7"/>
      <c r="AX77" s="7"/>
      <c r="AY77" s="7"/>
      <c r="AZ77" s="7"/>
      <c r="BA77" s="7"/>
      <c r="BB77" s="7"/>
      <c r="BC77" s="7"/>
      <c r="BD77" s="7"/>
      <c r="BE77" s="7"/>
      <c r="BF77" s="7"/>
      <c r="BG77" s="7"/>
      <c r="BH77" s="7"/>
      <c r="BI77" s="7"/>
      <c r="BJ77" s="7"/>
      <c r="BK77" s="7"/>
      <c r="BL77" s="7"/>
      <c r="BM77" s="55"/>
    </row>
    <row r="78" spans="1:65">
      <c r="A78" s="5"/>
      <c r="B78" s="5"/>
      <c r="C78" s="5"/>
      <c r="D78" s="6"/>
      <c r="E78" s="5"/>
      <c r="F78" s="5"/>
      <c r="G78" s="5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8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8"/>
      <c r="AS78" s="7"/>
      <c r="AT78" s="7"/>
      <c r="AU78" s="7"/>
      <c r="AV78" s="7"/>
      <c r="AW78" s="7"/>
      <c r="AX78" s="7"/>
      <c r="AY78" s="7"/>
      <c r="AZ78" s="7"/>
      <c r="BA78" s="7"/>
      <c r="BB78" s="7"/>
      <c r="BC78" s="7"/>
      <c r="BD78" s="7"/>
      <c r="BE78" s="7"/>
      <c r="BF78" s="7"/>
      <c r="BG78" s="7"/>
      <c r="BH78" s="7"/>
      <c r="BI78" s="7"/>
      <c r="BJ78" s="7"/>
      <c r="BK78" s="7"/>
      <c r="BL78" s="7"/>
      <c r="BM78" s="55"/>
    </row>
    <row r="79" spans="1:65">
      <c r="A79" s="5"/>
      <c r="B79" s="5"/>
      <c r="C79" s="5"/>
      <c r="D79" s="6"/>
      <c r="E79" s="5"/>
      <c r="F79" s="5"/>
      <c r="G79" s="5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8"/>
      <c r="AG79" s="8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7"/>
      <c r="AX79" s="7"/>
      <c r="AY79" s="7"/>
      <c r="AZ79" s="7"/>
      <c r="BA79" s="7"/>
      <c r="BB79" s="7"/>
      <c r="BC79" s="7"/>
      <c r="BD79" s="7"/>
      <c r="BE79" s="7"/>
      <c r="BF79" s="7"/>
      <c r="BG79" s="7"/>
      <c r="BH79" s="7"/>
      <c r="BI79" s="7"/>
      <c r="BJ79" s="7"/>
      <c r="BK79" s="7"/>
      <c r="BL79" s="7"/>
      <c r="BM79" s="55"/>
    </row>
    <row r="80" spans="1:65">
      <c r="A80" s="5"/>
      <c r="B80" s="5"/>
      <c r="C80" s="5"/>
      <c r="D80" s="6"/>
      <c r="E80" s="5"/>
      <c r="F80" s="5"/>
      <c r="G80" s="5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8"/>
      <c r="AG80" s="8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/>
      <c r="AX80" s="7"/>
      <c r="AY80" s="7"/>
      <c r="AZ80" s="7"/>
      <c r="BA80" s="7"/>
      <c r="BB80" s="7"/>
      <c r="BC80" s="7"/>
      <c r="BD80" s="7"/>
      <c r="BE80" s="7"/>
      <c r="BF80" s="7"/>
      <c r="BG80" s="7"/>
      <c r="BH80" s="7"/>
      <c r="BI80" s="7"/>
      <c r="BJ80" s="7"/>
      <c r="BK80" s="7"/>
      <c r="BL80" s="7"/>
      <c r="BM80" s="55"/>
    </row>
    <row r="81" spans="1:65">
      <c r="A81" s="5"/>
      <c r="B81" s="5"/>
      <c r="C81" s="5"/>
      <c r="D81" s="6"/>
      <c r="E81" s="5"/>
      <c r="F81" s="5"/>
      <c r="G81" s="5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8"/>
      <c r="AG81" s="8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8"/>
      <c r="AS81" s="7"/>
      <c r="AT81" s="7"/>
      <c r="AU81" s="7"/>
      <c r="AV81" s="7"/>
      <c r="AW81" s="7"/>
      <c r="AX81" s="7"/>
      <c r="AY81" s="7"/>
      <c r="AZ81" s="7"/>
      <c r="BA81" s="7"/>
      <c r="BB81" s="7"/>
      <c r="BC81" s="7"/>
      <c r="BD81" s="7"/>
      <c r="BE81" s="7"/>
      <c r="BF81" s="7"/>
      <c r="BG81" s="7"/>
      <c r="BH81" s="7"/>
      <c r="BI81" s="7"/>
      <c r="BJ81" s="7"/>
      <c r="BK81" s="7"/>
      <c r="BL81" s="7"/>
      <c r="BM81" s="55"/>
    </row>
    <row r="82" spans="1:65">
      <c r="A82" s="5"/>
      <c r="B82" s="5"/>
      <c r="C82" s="5"/>
      <c r="D82" s="6"/>
      <c r="E82" s="5"/>
      <c r="F82" s="5"/>
      <c r="G82" s="5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8"/>
      <c r="AG82" s="8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  <c r="AY82" s="7"/>
      <c r="AZ82" s="7"/>
      <c r="BA82" s="7"/>
      <c r="BB82" s="7"/>
      <c r="BC82" s="7"/>
      <c r="BD82" s="7"/>
      <c r="BE82" s="7"/>
      <c r="BF82" s="7"/>
      <c r="BG82" s="7"/>
      <c r="BH82" s="7"/>
      <c r="BI82" s="7"/>
      <c r="BJ82" s="7"/>
      <c r="BK82" s="7"/>
      <c r="BL82" s="7"/>
      <c r="BM82" s="55"/>
    </row>
    <row r="83" spans="1:65">
      <c r="A83" s="5"/>
      <c r="B83" s="5"/>
      <c r="C83" s="5"/>
      <c r="D83" s="6"/>
      <c r="E83" s="5"/>
      <c r="F83" s="5"/>
      <c r="G83" s="5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8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8"/>
      <c r="AS83" s="7"/>
      <c r="AT83" s="7"/>
      <c r="AU83" s="7"/>
      <c r="AV83" s="7"/>
      <c r="AW83" s="7"/>
      <c r="AX83" s="7"/>
      <c r="AY83" s="7"/>
      <c r="AZ83" s="7"/>
      <c r="BA83" s="7"/>
      <c r="BB83" s="7"/>
      <c r="BC83" s="7"/>
      <c r="BD83" s="7"/>
      <c r="BE83" s="7"/>
      <c r="BF83" s="7"/>
      <c r="BG83" s="7"/>
      <c r="BH83" s="7"/>
      <c r="BI83" s="7"/>
      <c r="BJ83" s="7"/>
      <c r="BK83" s="7"/>
      <c r="BL83" s="7"/>
      <c r="BM83" s="55"/>
    </row>
    <row r="84" spans="1:65">
      <c r="A84" s="5"/>
      <c r="B84" s="5"/>
      <c r="C84" s="5"/>
      <c r="D84" s="6"/>
      <c r="E84" s="5"/>
      <c r="F84" s="5"/>
      <c r="G84" s="5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8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8"/>
      <c r="AS84" s="7"/>
      <c r="AT84" s="7"/>
      <c r="AU84" s="7"/>
      <c r="AV84" s="7"/>
      <c r="AW84" s="7"/>
      <c r="AX84" s="7"/>
      <c r="AY84" s="7"/>
      <c r="AZ84" s="7"/>
      <c r="BA84" s="7"/>
      <c r="BB84" s="7"/>
      <c r="BC84" s="7"/>
      <c r="BD84" s="7"/>
      <c r="BE84" s="7"/>
      <c r="BF84" s="7"/>
      <c r="BG84" s="7"/>
      <c r="BH84" s="7"/>
      <c r="BI84" s="7"/>
      <c r="BJ84" s="7"/>
      <c r="BK84" s="7"/>
      <c r="BL84" s="7"/>
      <c r="BM84" s="55"/>
    </row>
    <row r="85" spans="1:65">
      <c r="A85" s="5"/>
      <c r="B85" s="5"/>
      <c r="C85" s="5"/>
      <c r="D85" s="6"/>
      <c r="E85" s="5"/>
      <c r="F85" s="5"/>
      <c r="G85" s="5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8"/>
      <c r="AG85" s="8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8"/>
      <c r="AS85" s="7"/>
      <c r="AT85" s="7"/>
      <c r="AU85" s="7"/>
      <c r="AV85" s="7"/>
      <c r="AW85" s="7"/>
      <c r="AX85" s="7"/>
      <c r="AY85" s="7"/>
      <c r="AZ85" s="7"/>
      <c r="BA85" s="7"/>
      <c r="BB85" s="7"/>
      <c r="BC85" s="7"/>
      <c r="BD85" s="7"/>
      <c r="BE85" s="7"/>
      <c r="BF85" s="7"/>
      <c r="BG85" s="7"/>
      <c r="BH85" s="7"/>
      <c r="BI85" s="7"/>
      <c r="BJ85" s="7"/>
      <c r="BK85" s="7"/>
      <c r="BL85" s="7"/>
      <c r="BM85" s="55"/>
    </row>
    <row r="86" spans="1:65">
      <c r="A86" s="5"/>
      <c r="B86" s="5"/>
      <c r="C86" s="5"/>
      <c r="D86" s="6"/>
      <c r="E86" s="5"/>
      <c r="F86" s="5"/>
      <c r="G86" s="5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8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8"/>
      <c r="AS86" s="7"/>
      <c r="AT86" s="7"/>
      <c r="AU86" s="7"/>
      <c r="AV86" s="7"/>
      <c r="AW86" s="7"/>
      <c r="AX86" s="7"/>
      <c r="AY86" s="7"/>
      <c r="AZ86" s="7"/>
      <c r="BA86" s="7"/>
      <c r="BB86" s="7"/>
      <c r="BC86" s="7"/>
      <c r="BD86" s="7"/>
      <c r="BE86" s="7"/>
      <c r="BF86" s="7"/>
      <c r="BG86" s="7"/>
      <c r="BH86" s="7"/>
      <c r="BI86" s="7"/>
      <c r="BJ86" s="7"/>
      <c r="BK86" s="7"/>
      <c r="BL86" s="7"/>
      <c r="BM86" s="55"/>
    </row>
    <row r="87" spans="1:65">
      <c r="A87" s="5"/>
      <c r="B87" s="5"/>
      <c r="C87" s="5"/>
      <c r="D87" s="6"/>
      <c r="E87" s="5"/>
      <c r="F87" s="5"/>
      <c r="G87" s="5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8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7"/>
      <c r="AY87" s="7"/>
      <c r="AZ87" s="7"/>
      <c r="BA87" s="7"/>
      <c r="BB87" s="7"/>
      <c r="BC87" s="7"/>
      <c r="BD87" s="7"/>
      <c r="BE87" s="7"/>
      <c r="BF87" s="7"/>
      <c r="BG87" s="7"/>
      <c r="BH87" s="7"/>
      <c r="BI87" s="7"/>
      <c r="BJ87" s="7"/>
      <c r="BK87" s="7"/>
      <c r="BL87" s="7"/>
      <c r="BM87" s="55"/>
    </row>
    <row r="88" spans="1:65">
      <c r="A88" s="5"/>
      <c r="B88" s="5"/>
      <c r="C88" s="5"/>
      <c r="D88" s="6"/>
      <c r="E88" s="5"/>
      <c r="F88" s="5"/>
      <c r="G88" s="5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8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  <c r="AY88" s="7"/>
      <c r="AZ88" s="7"/>
      <c r="BA88" s="7"/>
      <c r="BB88" s="7"/>
      <c r="BC88" s="7"/>
      <c r="BD88" s="7"/>
      <c r="BE88" s="7"/>
      <c r="BF88" s="7"/>
      <c r="BG88" s="7"/>
      <c r="BH88" s="7"/>
      <c r="BI88" s="7"/>
      <c r="BJ88" s="7"/>
      <c r="BK88" s="7"/>
      <c r="BL88" s="7"/>
      <c r="BM88" s="55"/>
    </row>
    <row r="89" spans="1:65">
      <c r="A89" s="5"/>
      <c r="B89" s="5"/>
      <c r="C89" s="5"/>
      <c r="D89" s="6"/>
      <c r="E89" s="5"/>
      <c r="F89" s="5"/>
      <c r="G89" s="5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8"/>
      <c r="AG89" s="8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7"/>
      <c r="AY89" s="7"/>
      <c r="AZ89" s="7"/>
      <c r="BA89" s="7"/>
      <c r="BB89" s="7"/>
      <c r="BC89" s="7"/>
      <c r="BD89" s="7"/>
      <c r="BE89" s="7"/>
      <c r="BF89" s="7"/>
      <c r="BG89" s="7"/>
      <c r="BH89" s="7"/>
      <c r="BI89" s="7"/>
      <c r="BJ89" s="7"/>
      <c r="BK89" s="7"/>
      <c r="BL89" s="7"/>
      <c r="BM89" s="55"/>
    </row>
    <row r="90" spans="1:65">
      <c r="A90" s="5"/>
      <c r="B90" s="5"/>
      <c r="C90" s="5"/>
      <c r="D90" s="6"/>
      <c r="E90" s="5"/>
      <c r="F90" s="5"/>
      <c r="G90" s="5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8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7"/>
      <c r="AY90" s="7"/>
      <c r="AZ90" s="7"/>
      <c r="BA90" s="7"/>
      <c r="BB90" s="7"/>
      <c r="BC90" s="7"/>
      <c r="BD90" s="7"/>
      <c r="BE90" s="7"/>
      <c r="BF90" s="7"/>
      <c r="BG90" s="7"/>
      <c r="BH90" s="7"/>
      <c r="BI90" s="7"/>
      <c r="BJ90" s="7"/>
      <c r="BK90" s="7"/>
      <c r="BL90" s="7"/>
      <c r="BM90" s="55"/>
    </row>
    <row r="91" spans="1:65">
      <c r="A91" s="5"/>
      <c r="B91" s="5"/>
      <c r="C91" s="5"/>
      <c r="D91" s="6"/>
      <c r="E91" s="5"/>
      <c r="F91" s="5"/>
      <c r="G91" s="5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8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  <c r="AY91" s="7"/>
      <c r="AZ91" s="7"/>
      <c r="BA91" s="7"/>
      <c r="BB91" s="7"/>
      <c r="BC91" s="7"/>
      <c r="BD91" s="7"/>
      <c r="BE91" s="7"/>
      <c r="BF91" s="7"/>
      <c r="BG91" s="7"/>
      <c r="BH91" s="7"/>
      <c r="BI91" s="7"/>
      <c r="BJ91" s="7"/>
      <c r="BK91" s="7"/>
      <c r="BL91" s="7"/>
      <c r="BM91" s="55"/>
    </row>
    <row r="92" spans="1:65">
      <c r="A92" s="5"/>
      <c r="B92" s="5"/>
      <c r="C92" s="5"/>
      <c r="D92" s="6"/>
      <c r="E92" s="5"/>
      <c r="F92" s="5"/>
      <c r="G92" s="5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8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/>
      <c r="AX92" s="7"/>
      <c r="AY92" s="7"/>
      <c r="AZ92" s="7"/>
      <c r="BA92" s="7"/>
      <c r="BB92" s="7"/>
      <c r="BC92" s="7"/>
      <c r="BD92" s="7"/>
      <c r="BE92" s="7"/>
      <c r="BF92" s="7"/>
      <c r="BG92" s="7"/>
      <c r="BH92" s="7"/>
      <c r="BI92" s="7"/>
      <c r="BJ92" s="7"/>
      <c r="BK92" s="7"/>
      <c r="BL92" s="7"/>
      <c r="BM92" s="55"/>
    </row>
    <row r="93" spans="1:65">
      <c r="A93" s="5"/>
      <c r="B93" s="5"/>
      <c r="C93" s="5"/>
      <c r="D93" s="6"/>
      <c r="E93" s="5"/>
      <c r="F93" s="5"/>
      <c r="G93" s="5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8"/>
      <c r="AG93" s="8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7"/>
      <c r="AX93" s="7"/>
      <c r="AY93" s="7"/>
      <c r="AZ93" s="7"/>
      <c r="BA93" s="7"/>
      <c r="BB93" s="7"/>
      <c r="BC93" s="7"/>
      <c r="BD93" s="7"/>
      <c r="BE93" s="7"/>
      <c r="BF93" s="7"/>
      <c r="BG93" s="7"/>
      <c r="BH93" s="7"/>
      <c r="BI93" s="7"/>
      <c r="BJ93" s="7"/>
      <c r="BK93" s="7"/>
      <c r="BL93" s="7"/>
      <c r="BM93" s="55"/>
    </row>
    <row r="94" spans="1:65">
      <c r="A94" s="5"/>
      <c r="B94" s="5"/>
      <c r="C94" s="5"/>
      <c r="D94" s="6"/>
      <c r="E94" s="5"/>
      <c r="F94" s="5"/>
      <c r="G94" s="5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8"/>
      <c r="AG94" s="8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/>
      <c r="AX94" s="7"/>
      <c r="AY94" s="7"/>
      <c r="AZ94" s="7"/>
      <c r="BA94" s="7"/>
      <c r="BB94" s="7"/>
      <c r="BC94" s="7"/>
      <c r="BD94" s="7"/>
      <c r="BE94" s="7"/>
      <c r="BF94" s="7"/>
      <c r="BG94" s="7"/>
      <c r="BH94" s="7"/>
      <c r="BI94" s="7"/>
      <c r="BJ94" s="7"/>
      <c r="BK94" s="7"/>
      <c r="BL94" s="7"/>
      <c r="BM94" s="55"/>
    </row>
    <row r="95" spans="1:65">
      <c r="A95" s="5"/>
      <c r="B95" s="5"/>
      <c r="C95" s="5"/>
      <c r="D95" s="6"/>
      <c r="E95" s="5"/>
      <c r="F95" s="5"/>
      <c r="G95" s="5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8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8"/>
      <c r="AS95" s="7"/>
      <c r="AT95" s="7"/>
      <c r="AU95" s="7"/>
      <c r="AV95" s="7"/>
      <c r="AW95" s="7"/>
      <c r="AX95" s="7"/>
      <c r="AY95" s="7"/>
      <c r="AZ95" s="7"/>
      <c r="BA95" s="7"/>
      <c r="BB95" s="7"/>
      <c r="BC95" s="7"/>
      <c r="BD95" s="7"/>
      <c r="BE95" s="7"/>
      <c r="BF95" s="7"/>
      <c r="BG95" s="7"/>
      <c r="BH95" s="7"/>
      <c r="BI95" s="7"/>
      <c r="BJ95" s="7"/>
      <c r="BK95" s="7"/>
      <c r="BL95" s="7"/>
      <c r="BM95" s="55"/>
    </row>
    <row r="96" spans="1:65">
      <c r="A96" s="5"/>
      <c r="B96" s="5"/>
      <c r="C96" s="5"/>
      <c r="D96" s="6"/>
      <c r="E96" s="5"/>
      <c r="F96" s="5"/>
      <c r="G96" s="5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8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  <c r="AY96" s="7"/>
      <c r="AZ96" s="7"/>
      <c r="BA96" s="7"/>
      <c r="BB96" s="7"/>
      <c r="BC96" s="7"/>
      <c r="BD96" s="7"/>
      <c r="BE96" s="7"/>
      <c r="BF96" s="7"/>
      <c r="BG96" s="7"/>
      <c r="BH96" s="7"/>
      <c r="BI96" s="7"/>
      <c r="BJ96" s="7"/>
      <c r="BK96" s="7"/>
      <c r="BL96" s="7"/>
      <c r="BM96" s="55"/>
    </row>
    <row r="97" spans="1:65">
      <c r="A97" s="5"/>
      <c r="B97" s="5"/>
      <c r="C97" s="5"/>
      <c r="D97" s="6"/>
      <c r="E97" s="5"/>
      <c r="F97" s="5"/>
      <c r="G97" s="5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8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8"/>
      <c r="AS97" s="7"/>
      <c r="AT97" s="7"/>
      <c r="AU97" s="7"/>
      <c r="AV97" s="7"/>
      <c r="AW97" s="7"/>
      <c r="AX97" s="7"/>
      <c r="AY97" s="7"/>
      <c r="AZ97" s="7"/>
      <c r="BA97" s="7"/>
      <c r="BB97" s="7"/>
      <c r="BC97" s="7"/>
      <c r="BD97" s="7"/>
      <c r="BE97" s="7"/>
      <c r="BF97" s="7"/>
      <c r="BG97" s="7"/>
      <c r="BH97" s="7"/>
      <c r="BI97" s="7"/>
      <c r="BJ97" s="7"/>
      <c r="BK97" s="7"/>
      <c r="BL97" s="7"/>
      <c r="BM97" s="55"/>
    </row>
    <row r="98" spans="1:65">
      <c r="A98" s="5"/>
      <c r="B98" s="5"/>
      <c r="C98" s="5"/>
      <c r="D98" s="6"/>
      <c r="E98" s="5"/>
      <c r="F98" s="5"/>
      <c r="G98" s="5"/>
      <c r="H98" s="7"/>
      <c r="I98" s="7"/>
      <c r="J98" s="7"/>
      <c r="K98" s="7"/>
      <c r="L98" s="8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8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8"/>
      <c r="AS98" s="7"/>
      <c r="AT98" s="7"/>
      <c r="AU98" s="7"/>
      <c r="AV98" s="7"/>
      <c r="AW98" s="7"/>
      <c r="AX98" s="7"/>
      <c r="AY98" s="7"/>
      <c r="AZ98" s="7"/>
      <c r="BA98" s="7"/>
      <c r="BB98" s="7"/>
      <c r="BC98" s="7"/>
      <c r="BD98" s="7"/>
      <c r="BE98" s="7"/>
      <c r="BF98" s="7"/>
      <c r="BG98" s="7"/>
      <c r="BH98" s="7"/>
      <c r="BI98" s="7"/>
      <c r="BJ98" s="7"/>
      <c r="BK98" s="7"/>
      <c r="BL98" s="7"/>
      <c r="BM98" s="55"/>
    </row>
    <row r="99" spans="1:65">
      <c r="A99" s="5"/>
      <c r="B99" s="5"/>
      <c r="C99" s="5"/>
      <c r="D99" s="6"/>
      <c r="E99" s="5"/>
      <c r="F99" s="5"/>
      <c r="G99" s="5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8"/>
      <c r="AG99" s="8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8"/>
      <c r="AS99" s="7"/>
      <c r="AT99" s="7"/>
      <c r="AU99" s="7"/>
      <c r="AV99" s="7"/>
      <c r="AW99" s="7"/>
      <c r="AX99" s="7"/>
      <c r="AY99" s="7"/>
      <c r="AZ99" s="7"/>
      <c r="BA99" s="7"/>
      <c r="BB99" s="7"/>
      <c r="BC99" s="7"/>
      <c r="BD99" s="7"/>
      <c r="BE99" s="7"/>
      <c r="BF99" s="7"/>
      <c r="BG99" s="7"/>
      <c r="BH99" s="7"/>
      <c r="BI99" s="7"/>
      <c r="BJ99" s="7"/>
      <c r="BK99" s="7"/>
      <c r="BL99" s="7"/>
      <c r="BM99" s="55"/>
    </row>
    <row r="100" spans="1:65">
      <c r="A100" s="5"/>
      <c r="B100" s="5"/>
      <c r="C100" s="5"/>
      <c r="D100" s="6"/>
      <c r="E100" s="5"/>
      <c r="F100" s="5"/>
      <c r="G100" s="5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8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  <c r="AY100" s="7"/>
      <c r="AZ100" s="7"/>
      <c r="BA100" s="7"/>
      <c r="BB100" s="7"/>
      <c r="BC100" s="7"/>
      <c r="BD100" s="7"/>
      <c r="BE100" s="7"/>
      <c r="BF100" s="7"/>
      <c r="BG100" s="7"/>
      <c r="BH100" s="7"/>
      <c r="BI100" s="7"/>
      <c r="BJ100" s="7"/>
      <c r="BK100" s="7"/>
      <c r="BL100" s="7"/>
      <c r="BM100" s="55"/>
    </row>
    <row r="101" spans="1:65">
      <c r="A101" s="5"/>
      <c r="B101" s="5"/>
      <c r="C101" s="5"/>
      <c r="D101" s="6"/>
      <c r="E101" s="5"/>
      <c r="F101" s="5"/>
      <c r="G101" s="5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8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8"/>
      <c r="AS101" s="7"/>
      <c r="AT101" s="7"/>
      <c r="AU101" s="7"/>
      <c r="AV101" s="7"/>
      <c r="AW101" s="7"/>
      <c r="AX101" s="7"/>
      <c r="AY101" s="7"/>
      <c r="AZ101" s="7"/>
      <c r="BA101" s="7"/>
      <c r="BB101" s="7"/>
      <c r="BC101" s="7"/>
      <c r="BD101" s="7"/>
      <c r="BE101" s="7"/>
      <c r="BF101" s="7"/>
      <c r="BG101" s="7"/>
      <c r="BH101" s="7"/>
      <c r="BI101" s="7"/>
      <c r="BJ101" s="7"/>
      <c r="BK101" s="7"/>
      <c r="BL101" s="7"/>
      <c r="BM101" s="55"/>
    </row>
    <row r="102" spans="1:65">
      <c r="A102" s="5"/>
      <c r="B102" s="5"/>
      <c r="C102" s="5"/>
      <c r="D102" s="6"/>
      <c r="E102" s="5"/>
      <c r="F102" s="5"/>
      <c r="G102" s="5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8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  <c r="AY102" s="7"/>
      <c r="AZ102" s="7"/>
      <c r="BA102" s="7"/>
      <c r="BB102" s="7"/>
      <c r="BC102" s="7"/>
      <c r="BD102" s="7"/>
      <c r="BE102" s="7"/>
      <c r="BF102" s="7"/>
      <c r="BG102" s="7"/>
      <c r="BH102" s="7"/>
      <c r="BI102" s="7"/>
      <c r="BJ102" s="7"/>
      <c r="BK102" s="7"/>
      <c r="BL102" s="7"/>
      <c r="BM102" s="55"/>
    </row>
    <row r="103" spans="1:65">
      <c r="A103" s="5"/>
      <c r="B103" s="5"/>
      <c r="C103" s="5"/>
      <c r="D103" s="6"/>
      <c r="E103" s="5"/>
      <c r="F103" s="5"/>
      <c r="G103" s="5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8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  <c r="AX103" s="7"/>
      <c r="AY103" s="7"/>
      <c r="AZ103" s="7"/>
      <c r="BA103" s="7"/>
      <c r="BB103" s="7"/>
      <c r="BC103" s="7"/>
      <c r="BD103" s="7"/>
      <c r="BE103" s="7"/>
      <c r="BF103" s="7"/>
      <c r="BG103" s="7"/>
      <c r="BH103" s="7"/>
      <c r="BI103" s="7"/>
      <c r="BJ103" s="7"/>
      <c r="BK103" s="7"/>
      <c r="BL103" s="7"/>
      <c r="BM103" s="55"/>
    </row>
    <row r="104" spans="1:65">
      <c r="A104" s="5"/>
      <c r="B104" s="5"/>
      <c r="C104" s="5"/>
      <c r="D104" s="6"/>
      <c r="E104" s="5"/>
      <c r="F104" s="5"/>
      <c r="G104" s="5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8"/>
      <c r="AG104" s="8"/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8"/>
      <c r="AS104" s="7"/>
      <c r="AT104" s="7"/>
      <c r="AU104" s="7"/>
      <c r="AV104" s="7"/>
      <c r="AW104" s="7"/>
      <c r="AX104" s="7"/>
      <c r="AY104" s="7"/>
      <c r="AZ104" s="7"/>
      <c r="BA104" s="7"/>
      <c r="BB104" s="7"/>
      <c r="BC104" s="7"/>
      <c r="BD104" s="7"/>
      <c r="BE104" s="7"/>
      <c r="BF104" s="7"/>
      <c r="BG104" s="7"/>
      <c r="BH104" s="7"/>
      <c r="BI104" s="7"/>
      <c r="BJ104" s="7"/>
      <c r="BK104" s="7"/>
      <c r="BL104" s="7"/>
      <c r="BM104" s="55"/>
    </row>
    <row r="105" spans="1:65">
      <c r="A105" s="5"/>
      <c r="B105" s="5"/>
      <c r="C105" s="5"/>
      <c r="D105" s="6"/>
      <c r="E105" s="5"/>
      <c r="F105" s="5"/>
      <c r="G105" s="5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8"/>
      <c r="AG105" s="8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W105" s="7"/>
      <c r="AX105" s="7"/>
      <c r="AY105" s="7"/>
      <c r="AZ105" s="7"/>
      <c r="BA105" s="7"/>
      <c r="BB105" s="7"/>
      <c r="BC105" s="7"/>
      <c r="BD105" s="7"/>
      <c r="BE105" s="7"/>
      <c r="BF105" s="7"/>
      <c r="BG105" s="7"/>
      <c r="BH105" s="7"/>
      <c r="BI105" s="7"/>
      <c r="BJ105" s="7"/>
      <c r="BK105" s="7"/>
      <c r="BL105" s="7"/>
      <c r="BM105" s="55"/>
    </row>
    <row r="106" spans="1:65">
      <c r="A106" s="5"/>
      <c r="B106" s="5"/>
      <c r="C106" s="5"/>
      <c r="D106" s="6"/>
      <c r="E106" s="5"/>
      <c r="F106" s="5"/>
      <c r="G106" s="5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8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  <c r="AY106" s="7"/>
      <c r="AZ106" s="7"/>
      <c r="BA106" s="7"/>
      <c r="BB106" s="7"/>
      <c r="BC106" s="7"/>
      <c r="BD106" s="7"/>
      <c r="BE106" s="7"/>
      <c r="BF106" s="7"/>
      <c r="BG106" s="7"/>
      <c r="BH106" s="7"/>
      <c r="BI106" s="7"/>
      <c r="BJ106" s="7"/>
      <c r="BK106" s="7"/>
      <c r="BL106" s="7"/>
      <c r="BM106" s="55"/>
    </row>
    <row r="107" spans="1:65">
      <c r="A107" s="5"/>
      <c r="B107" s="5"/>
      <c r="C107" s="5"/>
      <c r="D107" s="6"/>
      <c r="E107" s="5"/>
      <c r="F107" s="5"/>
      <c r="G107" s="5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8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8"/>
      <c r="AS107" s="7"/>
      <c r="AT107" s="7"/>
      <c r="AU107" s="7"/>
      <c r="AV107" s="7"/>
      <c r="AW107" s="7"/>
      <c r="AX107" s="7"/>
      <c r="AY107" s="7"/>
      <c r="AZ107" s="7"/>
      <c r="BA107" s="7"/>
      <c r="BB107" s="7"/>
      <c r="BC107" s="7"/>
      <c r="BD107" s="7"/>
      <c r="BE107" s="7"/>
      <c r="BF107" s="7"/>
      <c r="BG107" s="7"/>
      <c r="BH107" s="7"/>
      <c r="BI107" s="7"/>
      <c r="BJ107" s="7"/>
      <c r="BK107" s="7"/>
      <c r="BL107" s="7"/>
      <c r="BM107" s="55"/>
    </row>
    <row r="108" spans="1:65">
      <c r="A108" s="5"/>
      <c r="B108" s="5"/>
      <c r="C108" s="5"/>
      <c r="D108" s="6"/>
      <c r="E108" s="5"/>
      <c r="F108" s="5"/>
      <c r="G108" s="5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8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8"/>
      <c r="AS108" s="7"/>
      <c r="AT108" s="7"/>
      <c r="AU108" s="7"/>
      <c r="AV108" s="7"/>
      <c r="AW108" s="7"/>
      <c r="AX108" s="7"/>
      <c r="AY108" s="7"/>
      <c r="AZ108" s="7"/>
      <c r="BA108" s="7"/>
      <c r="BB108" s="7"/>
      <c r="BC108" s="7"/>
      <c r="BD108" s="7"/>
      <c r="BE108" s="7"/>
      <c r="BF108" s="7"/>
      <c r="BG108" s="7"/>
      <c r="BH108" s="7"/>
      <c r="BI108" s="7"/>
      <c r="BJ108" s="7"/>
      <c r="BK108" s="7"/>
      <c r="BL108" s="7"/>
      <c r="BM108" s="55"/>
    </row>
    <row r="109" spans="1:65">
      <c r="A109" s="5"/>
      <c r="B109" s="5"/>
      <c r="C109" s="5"/>
      <c r="D109" s="6"/>
      <c r="E109" s="5"/>
      <c r="F109" s="5"/>
      <c r="G109" s="5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8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  <c r="AY109" s="7"/>
      <c r="AZ109" s="7"/>
      <c r="BA109" s="7"/>
      <c r="BB109" s="7"/>
      <c r="BC109" s="7"/>
      <c r="BD109" s="7"/>
      <c r="BE109" s="7"/>
      <c r="BF109" s="7"/>
      <c r="BG109" s="7"/>
      <c r="BH109" s="7"/>
      <c r="BI109" s="7"/>
      <c r="BJ109" s="7"/>
      <c r="BK109" s="7"/>
      <c r="BL109" s="7"/>
      <c r="BM109" s="55"/>
    </row>
    <row r="110" spans="1:65">
      <c r="A110" s="5"/>
      <c r="B110" s="5"/>
      <c r="C110" s="5"/>
      <c r="D110" s="6"/>
      <c r="E110" s="5"/>
      <c r="F110" s="5"/>
      <c r="G110" s="5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8"/>
      <c r="AG110" s="8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7"/>
      <c r="AY110" s="7"/>
      <c r="AZ110" s="7"/>
      <c r="BA110" s="7"/>
      <c r="BB110" s="7"/>
      <c r="BC110" s="7"/>
      <c r="BD110" s="7"/>
      <c r="BE110" s="7"/>
      <c r="BF110" s="7"/>
      <c r="BG110" s="7"/>
      <c r="BH110" s="7"/>
      <c r="BI110" s="7"/>
      <c r="BJ110" s="7"/>
      <c r="BK110" s="7"/>
      <c r="BL110" s="7"/>
      <c r="BM110" s="55"/>
    </row>
    <row r="111" spans="1:65">
      <c r="A111" s="5"/>
      <c r="B111" s="5"/>
      <c r="C111" s="5"/>
      <c r="D111" s="6"/>
      <c r="E111" s="5"/>
      <c r="F111" s="5"/>
      <c r="G111" s="5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8"/>
      <c r="AG111" s="8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7"/>
      <c r="AX111" s="7"/>
      <c r="AY111" s="7"/>
      <c r="AZ111" s="7"/>
      <c r="BA111" s="7"/>
      <c r="BB111" s="7"/>
      <c r="BC111" s="7"/>
      <c r="BD111" s="7"/>
      <c r="BE111" s="7"/>
      <c r="BF111" s="7"/>
      <c r="BG111" s="7"/>
      <c r="BH111" s="7"/>
      <c r="BI111" s="7"/>
      <c r="BJ111" s="7"/>
      <c r="BK111" s="7"/>
      <c r="BL111" s="7"/>
      <c r="BM111" s="55"/>
    </row>
    <row r="112" spans="1:65">
      <c r="A112" s="5"/>
      <c r="B112" s="5"/>
      <c r="C112" s="5"/>
      <c r="D112" s="6"/>
      <c r="E112" s="5"/>
      <c r="F112" s="5"/>
      <c r="G112" s="5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8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7"/>
      <c r="AS112" s="7"/>
      <c r="AT112" s="7"/>
      <c r="AU112" s="7"/>
      <c r="AV112" s="7"/>
      <c r="AW112" s="7"/>
      <c r="AX112" s="7"/>
      <c r="AY112" s="7"/>
      <c r="AZ112" s="7"/>
      <c r="BA112" s="7"/>
      <c r="BB112" s="7"/>
      <c r="BC112" s="7"/>
      <c r="BD112" s="7"/>
      <c r="BE112" s="7"/>
      <c r="BF112" s="7"/>
      <c r="BG112" s="7"/>
      <c r="BH112" s="7"/>
      <c r="BI112" s="7"/>
      <c r="BJ112" s="7"/>
      <c r="BK112" s="7"/>
      <c r="BL112" s="7"/>
      <c r="BM112" s="55"/>
    </row>
    <row r="113" spans="1:65">
      <c r="A113" s="5"/>
      <c r="B113" s="5"/>
      <c r="C113" s="5"/>
      <c r="D113" s="6"/>
      <c r="E113" s="5"/>
      <c r="F113" s="5"/>
      <c r="G113" s="5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8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  <c r="AY113" s="7"/>
      <c r="AZ113" s="7"/>
      <c r="BA113" s="7"/>
      <c r="BB113" s="7"/>
      <c r="BC113" s="7"/>
      <c r="BD113" s="7"/>
      <c r="BE113" s="7"/>
      <c r="BF113" s="7"/>
      <c r="BG113" s="7"/>
      <c r="BH113" s="7"/>
      <c r="BI113" s="7"/>
      <c r="BJ113" s="7"/>
      <c r="BK113" s="7"/>
      <c r="BL113" s="7"/>
      <c r="BM113" s="55"/>
    </row>
    <row r="114" spans="1:65">
      <c r="A114" s="5"/>
      <c r="B114" s="5"/>
      <c r="C114" s="5"/>
      <c r="D114" s="6"/>
      <c r="E114" s="5"/>
      <c r="F114" s="5"/>
      <c r="G114" s="5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8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7"/>
      <c r="AS114" s="7"/>
      <c r="AT114" s="7"/>
      <c r="AU114" s="7"/>
      <c r="AV114" s="7"/>
      <c r="AW114" s="7"/>
      <c r="AX114" s="7"/>
      <c r="AY114" s="7"/>
      <c r="AZ114" s="7"/>
      <c r="BA114" s="7"/>
      <c r="BB114" s="7"/>
      <c r="BC114" s="7"/>
      <c r="BD114" s="7"/>
      <c r="BE114" s="7"/>
      <c r="BF114" s="7"/>
      <c r="BG114" s="7"/>
      <c r="BH114" s="7"/>
      <c r="BI114" s="7"/>
      <c r="BJ114" s="7"/>
      <c r="BK114" s="7"/>
      <c r="BL114" s="7"/>
      <c r="BM114" s="55"/>
    </row>
    <row r="115" spans="1:65">
      <c r="A115" s="5"/>
      <c r="B115" s="5"/>
      <c r="C115" s="5"/>
      <c r="D115" s="6"/>
      <c r="E115" s="5"/>
      <c r="F115" s="5"/>
      <c r="G115" s="5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8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  <c r="AX115" s="7"/>
      <c r="AY115" s="7"/>
      <c r="AZ115" s="7"/>
      <c r="BA115" s="7"/>
      <c r="BB115" s="7"/>
      <c r="BC115" s="7"/>
      <c r="BD115" s="7"/>
      <c r="BE115" s="7"/>
      <c r="BF115" s="7"/>
      <c r="BG115" s="7"/>
      <c r="BH115" s="7"/>
      <c r="BI115" s="7"/>
      <c r="BJ115" s="7"/>
      <c r="BK115" s="7"/>
      <c r="BL115" s="7"/>
      <c r="BM115" s="55"/>
    </row>
    <row r="116" spans="1:65">
      <c r="A116" s="5"/>
      <c r="B116" s="5"/>
      <c r="C116" s="5"/>
      <c r="D116" s="6"/>
      <c r="E116" s="5"/>
      <c r="F116" s="5"/>
      <c r="G116" s="5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8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  <c r="AY116" s="7"/>
      <c r="AZ116" s="7"/>
      <c r="BA116" s="7"/>
      <c r="BB116" s="7"/>
      <c r="BC116" s="7"/>
      <c r="BD116" s="7"/>
      <c r="BE116" s="7"/>
      <c r="BF116" s="7"/>
      <c r="BG116" s="7"/>
      <c r="BH116" s="7"/>
      <c r="BI116" s="7"/>
      <c r="BJ116" s="7"/>
      <c r="BK116" s="7"/>
      <c r="BL116" s="7"/>
      <c r="BM116" s="55"/>
    </row>
    <row r="117" spans="1:65">
      <c r="A117" s="5"/>
      <c r="B117" s="5"/>
      <c r="C117" s="5"/>
      <c r="D117" s="6"/>
      <c r="E117" s="5"/>
      <c r="F117" s="5"/>
      <c r="G117" s="5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8"/>
      <c r="AD117" s="7"/>
      <c r="AE117" s="7"/>
      <c r="AF117" s="8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7"/>
      <c r="AS117" s="7"/>
      <c r="AT117" s="7"/>
      <c r="AU117" s="7"/>
      <c r="AV117" s="7"/>
      <c r="AW117" s="7"/>
      <c r="AX117" s="7"/>
      <c r="AY117" s="7"/>
      <c r="AZ117" s="7"/>
      <c r="BA117" s="7"/>
      <c r="BB117" s="7"/>
      <c r="BC117" s="7"/>
      <c r="BD117" s="7"/>
      <c r="BE117" s="7"/>
      <c r="BF117" s="7"/>
      <c r="BG117" s="7"/>
      <c r="BH117" s="7"/>
      <c r="BI117" s="7"/>
      <c r="BJ117" s="7"/>
      <c r="BK117" s="7"/>
      <c r="BL117" s="7"/>
      <c r="BM117" s="55"/>
    </row>
    <row r="118" spans="1:65">
      <c r="A118" s="5"/>
      <c r="B118" s="5"/>
      <c r="C118" s="5"/>
      <c r="D118" s="6"/>
      <c r="E118" s="5"/>
      <c r="F118" s="5"/>
      <c r="G118" s="5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8"/>
      <c r="AG118" s="8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/>
      <c r="AX118" s="7"/>
      <c r="AY118" s="7"/>
      <c r="AZ118" s="7"/>
      <c r="BA118" s="7"/>
      <c r="BB118" s="7"/>
      <c r="BC118" s="7"/>
      <c r="BD118" s="7"/>
      <c r="BE118" s="7"/>
      <c r="BF118" s="7"/>
      <c r="BG118" s="7"/>
      <c r="BH118" s="7"/>
      <c r="BI118" s="7"/>
      <c r="BJ118" s="7"/>
      <c r="BK118" s="7"/>
      <c r="BL118" s="7"/>
      <c r="BM118" s="55"/>
    </row>
    <row r="119" spans="1:65">
      <c r="A119" s="5"/>
      <c r="B119" s="5"/>
      <c r="C119" s="5"/>
      <c r="D119" s="6"/>
      <c r="E119" s="5"/>
      <c r="F119" s="5"/>
      <c r="G119" s="5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8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7"/>
      <c r="AX119" s="7"/>
      <c r="AY119" s="7"/>
      <c r="AZ119" s="7"/>
      <c r="BA119" s="7"/>
      <c r="BB119" s="7"/>
      <c r="BC119" s="7"/>
      <c r="BD119" s="7"/>
      <c r="BE119" s="7"/>
      <c r="BF119" s="7"/>
      <c r="BG119" s="7"/>
      <c r="BH119" s="7"/>
      <c r="BI119" s="7"/>
      <c r="BJ119" s="7"/>
      <c r="BK119" s="7"/>
      <c r="BL119" s="7"/>
      <c r="BM119" s="55"/>
    </row>
    <row r="120" spans="1:65">
      <c r="A120" s="5"/>
      <c r="B120" s="5"/>
      <c r="C120" s="5"/>
      <c r="D120" s="6"/>
      <c r="E120" s="5"/>
      <c r="F120" s="5"/>
      <c r="G120" s="5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8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  <c r="AY120" s="7"/>
      <c r="AZ120" s="7"/>
      <c r="BA120" s="7"/>
      <c r="BB120" s="7"/>
      <c r="BC120" s="7"/>
      <c r="BD120" s="7"/>
      <c r="BE120" s="7"/>
      <c r="BF120" s="7"/>
      <c r="BG120" s="7"/>
      <c r="BH120" s="7"/>
      <c r="BI120" s="7"/>
      <c r="BJ120" s="7"/>
      <c r="BK120" s="7"/>
      <c r="BL120" s="7"/>
      <c r="BM120" s="55"/>
    </row>
    <row r="121" spans="1:65">
      <c r="A121" s="5"/>
      <c r="B121" s="5"/>
      <c r="C121" s="5"/>
      <c r="D121" s="6"/>
      <c r="E121" s="5"/>
      <c r="F121" s="5"/>
      <c r="G121" s="5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8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  <c r="AS121" s="7"/>
      <c r="AT121" s="7"/>
      <c r="AU121" s="7"/>
      <c r="AV121" s="7"/>
      <c r="AW121" s="7"/>
      <c r="AX121" s="7"/>
      <c r="AY121" s="7"/>
      <c r="AZ121" s="7"/>
      <c r="BA121" s="7"/>
      <c r="BB121" s="7"/>
      <c r="BC121" s="7"/>
      <c r="BD121" s="7"/>
      <c r="BE121" s="7"/>
      <c r="BF121" s="7"/>
      <c r="BG121" s="7"/>
      <c r="BH121" s="7"/>
      <c r="BI121" s="7"/>
      <c r="BJ121" s="7"/>
      <c r="BK121" s="7"/>
      <c r="BL121" s="7"/>
      <c r="BM121" s="55"/>
    </row>
    <row r="122" spans="1:65">
      <c r="A122" s="5"/>
      <c r="B122" s="5"/>
      <c r="C122" s="5"/>
      <c r="D122" s="6"/>
      <c r="E122" s="5"/>
      <c r="F122" s="5"/>
      <c r="G122" s="5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8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  <c r="AW122" s="7"/>
      <c r="AX122" s="7"/>
      <c r="AY122" s="7"/>
      <c r="AZ122" s="7"/>
      <c r="BA122" s="7"/>
      <c r="BB122" s="7"/>
      <c r="BC122" s="7"/>
      <c r="BD122" s="7"/>
      <c r="BE122" s="7"/>
      <c r="BF122" s="7"/>
      <c r="BG122" s="7"/>
      <c r="BH122" s="7"/>
      <c r="BI122" s="7"/>
      <c r="BJ122" s="7"/>
      <c r="BK122" s="7"/>
      <c r="BL122" s="7"/>
      <c r="BM122" s="55"/>
    </row>
    <row r="123" spans="1:65">
      <c r="A123" s="5"/>
      <c r="B123" s="5"/>
      <c r="C123" s="5"/>
      <c r="D123" s="6"/>
      <c r="E123" s="5"/>
      <c r="F123" s="5"/>
      <c r="G123" s="5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8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/>
      <c r="AX123" s="7"/>
      <c r="AY123" s="7"/>
      <c r="AZ123" s="7"/>
      <c r="BA123" s="7"/>
      <c r="BB123" s="7"/>
      <c r="BC123" s="7"/>
      <c r="BD123" s="7"/>
      <c r="BE123" s="7"/>
      <c r="BF123" s="7"/>
      <c r="BG123" s="7"/>
      <c r="BH123" s="7"/>
      <c r="BI123" s="7"/>
      <c r="BJ123" s="7"/>
      <c r="BK123" s="7"/>
      <c r="BL123" s="7"/>
      <c r="BM123" s="55"/>
    </row>
    <row r="124" spans="1:65">
      <c r="A124" s="5"/>
      <c r="B124" s="5"/>
      <c r="C124" s="5"/>
      <c r="D124" s="6"/>
      <c r="E124" s="5"/>
      <c r="F124" s="5"/>
      <c r="G124" s="5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8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8"/>
      <c r="AS124" s="7"/>
      <c r="AT124" s="7"/>
      <c r="AU124" s="7"/>
      <c r="AV124" s="7"/>
      <c r="AW124" s="7"/>
      <c r="AX124" s="7"/>
      <c r="AY124" s="7"/>
      <c r="AZ124" s="7"/>
      <c r="BA124" s="7"/>
      <c r="BB124" s="7"/>
      <c r="BC124" s="7"/>
      <c r="BD124" s="7"/>
      <c r="BE124" s="7"/>
      <c r="BF124" s="7"/>
      <c r="BG124" s="7"/>
      <c r="BH124" s="7"/>
      <c r="BI124" s="7"/>
      <c r="BJ124" s="7"/>
      <c r="BK124" s="7"/>
      <c r="BL124" s="7"/>
      <c r="BM124" s="55"/>
    </row>
    <row r="125" spans="1:65">
      <c r="A125" s="5"/>
      <c r="B125" s="5"/>
      <c r="C125" s="5"/>
      <c r="D125" s="6"/>
      <c r="E125" s="5"/>
      <c r="F125" s="5"/>
      <c r="G125" s="5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8"/>
      <c r="AG125" s="8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/>
      <c r="AX125" s="7"/>
      <c r="AY125" s="7"/>
      <c r="AZ125" s="7"/>
      <c r="BA125" s="7"/>
      <c r="BB125" s="7"/>
      <c r="BC125" s="7"/>
      <c r="BD125" s="7"/>
      <c r="BE125" s="7"/>
      <c r="BF125" s="7"/>
      <c r="BG125" s="7"/>
      <c r="BH125" s="7"/>
      <c r="BI125" s="7"/>
      <c r="BJ125" s="7"/>
      <c r="BK125" s="7"/>
      <c r="BL125" s="7"/>
      <c r="BM125" s="55"/>
    </row>
    <row r="126" spans="1:65">
      <c r="A126" s="5"/>
      <c r="B126" s="5"/>
      <c r="C126" s="5"/>
      <c r="D126" s="6"/>
      <c r="E126" s="5"/>
      <c r="F126" s="5"/>
      <c r="G126" s="5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8"/>
      <c r="AS126" s="8"/>
      <c r="AT126" s="7"/>
      <c r="AU126" s="7"/>
      <c r="AV126" s="7"/>
      <c r="AW126" s="7"/>
      <c r="AX126" s="7"/>
      <c r="AY126" s="7"/>
      <c r="AZ126" s="7"/>
      <c r="BA126" s="7"/>
      <c r="BB126" s="7"/>
      <c r="BC126" s="7"/>
      <c r="BD126" s="7"/>
      <c r="BE126" s="7"/>
      <c r="BF126" s="7"/>
      <c r="BG126" s="7"/>
      <c r="BH126" s="7"/>
      <c r="BI126" s="7"/>
      <c r="BJ126" s="7"/>
      <c r="BK126" s="7"/>
      <c r="BL126" s="7"/>
      <c r="BM126" s="55"/>
    </row>
    <row r="127" spans="1:65">
      <c r="A127" s="5"/>
      <c r="B127" s="5"/>
      <c r="C127" s="5"/>
      <c r="D127" s="6"/>
      <c r="E127" s="5"/>
      <c r="F127" s="5"/>
      <c r="G127" s="5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8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/>
      <c r="AY127" s="7"/>
      <c r="AZ127" s="7"/>
      <c r="BA127" s="7"/>
      <c r="BB127" s="7"/>
      <c r="BC127" s="7"/>
      <c r="BD127" s="7"/>
      <c r="BE127" s="7"/>
      <c r="BF127" s="7"/>
      <c r="BG127" s="7"/>
      <c r="BH127" s="7"/>
      <c r="BI127" s="7"/>
      <c r="BJ127" s="7"/>
      <c r="BK127" s="7"/>
      <c r="BL127" s="7"/>
      <c r="BM127" s="55"/>
    </row>
    <row r="128" spans="1:65">
      <c r="A128" s="5"/>
      <c r="B128" s="5"/>
      <c r="C128" s="5"/>
      <c r="D128" s="6"/>
      <c r="E128" s="5"/>
      <c r="F128" s="5"/>
      <c r="G128" s="5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8"/>
      <c r="AG128" s="8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  <c r="AT128" s="7"/>
      <c r="AU128" s="7"/>
      <c r="AV128" s="7"/>
      <c r="AW128" s="7"/>
      <c r="AX128" s="7"/>
      <c r="AY128" s="7"/>
      <c r="AZ128" s="7"/>
      <c r="BA128" s="7"/>
      <c r="BB128" s="7"/>
      <c r="BC128" s="7"/>
      <c r="BD128" s="7"/>
      <c r="BE128" s="7"/>
      <c r="BF128" s="7"/>
      <c r="BG128" s="7"/>
      <c r="BH128" s="7"/>
      <c r="BI128" s="7"/>
      <c r="BJ128" s="7"/>
      <c r="BK128" s="7"/>
      <c r="BL128" s="7"/>
      <c r="BM128" s="55"/>
    </row>
    <row r="129" spans="1:65">
      <c r="A129" s="5"/>
      <c r="B129" s="5"/>
      <c r="C129" s="5"/>
      <c r="D129" s="6"/>
      <c r="E129" s="5"/>
      <c r="F129" s="5"/>
      <c r="G129" s="5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8"/>
      <c r="AS129" s="7"/>
      <c r="AT129" s="7"/>
      <c r="AU129" s="7"/>
      <c r="AV129" s="7"/>
      <c r="AW129" s="7"/>
      <c r="AX129" s="7"/>
      <c r="AY129" s="7"/>
      <c r="AZ129" s="7"/>
      <c r="BA129" s="7"/>
      <c r="BB129" s="7"/>
      <c r="BC129" s="7"/>
      <c r="BD129" s="7"/>
      <c r="BE129" s="7"/>
      <c r="BF129" s="7"/>
      <c r="BG129" s="7"/>
      <c r="BH129" s="7"/>
      <c r="BI129" s="7"/>
      <c r="BJ129" s="7"/>
      <c r="BK129" s="7"/>
      <c r="BL129" s="7"/>
      <c r="BM129" s="55"/>
    </row>
    <row r="130" spans="1:65">
      <c r="A130" s="5"/>
      <c r="B130" s="5"/>
      <c r="C130" s="5"/>
      <c r="D130" s="6"/>
      <c r="E130" s="5"/>
      <c r="F130" s="5"/>
      <c r="G130" s="5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8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/>
      <c r="AX130" s="7"/>
      <c r="AY130" s="7"/>
      <c r="AZ130" s="7"/>
      <c r="BA130" s="7"/>
      <c r="BB130" s="7"/>
      <c r="BC130" s="7"/>
      <c r="BD130" s="7"/>
      <c r="BE130" s="7"/>
      <c r="BF130" s="7"/>
      <c r="BG130" s="7"/>
      <c r="BH130" s="7"/>
      <c r="BI130" s="7"/>
      <c r="BJ130" s="7"/>
      <c r="BK130" s="7"/>
      <c r="BL130" s="7"/>
      <c r="BM130" s="55"/>
    </row>
    <row r="131" spans="1:65">
      <c r="A131" s="5"/>
      <c r="B131" s="5"/>
      <c r="C131" s="5"/>
      <c r="D131" s="6"/>
      <c r="E131" s="5"/>
      <c r="F131" s="5"/>
      <c r="G131" s="5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8"/>
      <c r="AS131" s="7"/>
      <c r="AT131" s="7"/>
      <c r="AU131" s="7"/>
      <c r="AV131" s="7"/>
      <c r="AW131" s="7"/>
      <c r="AX131" s="7"/>
      <c r="AY131" s="7"/>
      <c r="AZ131" s="7"/>
      <c r="BA131" s="7"/>
      <c r="BB131" s="7"/>
      <c r="BC131" s="7"/>
      <c r="BD131" s="7"/>
      <c r="BE131" s="7"/>
      <c r="BF131" s="7"/>
      <c r="BG131" s="7"/>
      <c r="BH131" s="7"/>
      <c r="BI131" s="7"/>
      <c r="BJ131" s="7"/>
      <c r="BK131" s="7"/>
      <c r="BL131" s="7"/>
      <c r="BM131" s="55"/>
    </row>
    <row r="132" spans="1:65">
      <c r="A132" s="5"/>
      <c r="B132" s="5"/>
      <c r="C132" s="5"/>
      <c r="D132" s="6"/>
      <c r="E132" s="5"/>
      <c r="F132" s="5"/>
      <c r="G132" s="5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8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  <c r="AS132" s="7"/>
      <c r="AT132" s="7"/>
      <c r="AU132" s="7"/>
      <c r="AV132" s="7"/>
      <c r="AW132" s="7"/>
      <c r="AX132" s="7"/>
      <c r="AY132" s="7"/>
      <c r="AZ132" s="7"/>
      <c r="BA132" s="7"/>
      <c r="BB132" s="7"/>
      <c r="BC132" s="7"/>
      <c r="BD132" s="7"/>
      <c r="BE132" s="7"/>
      <c r="BF132" s="7"/>
      <c r="BG132" s="7"/>
      <c r="BH132" s="7"/>
      <c r="BI132" s="7"/>
      <c r="BJ132" s="7"/>
      <c r="BK132" s="7"/>
      <c r="BL132" s="7"/>
      <c r="BM132" s="55"/>
    </row>
    <row r="133" spans="1:65">
      <c r="A133" s="5"/>
      <c r="B133" s="5"/>
      <c r="C133" s="5"/>
      <c r="D133" s="6"/>
      <c r="E133" s="5"/>
      <c r="F133" s="5"/>
      <c r="G133" s="5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8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7"/>
      <c r="AS133" s="7"/>
      <c r="AT133" s="7"/>
      <c r="AU133" s="7"/>
      <c r="AV133" s="7"/>
      <c r="AW133" s="7"/>
      <c r="AX133" s="7"/>
      <c r="AY133" s="7"/>
      <c r="AZ133" s="7"/>
      <c r="BA133" s="7"/>
      <c r="BB133" s="7"/>
      <c r="BC133" s="7"/>
      <c r="BD133" s="7"/>
      <c r="BE133" s="7"/>
      <c r="BF133" s="7"/>
      <c r="BG133" s="7"/>
      <c r="BH133" s="7"/>
      <c r="BI133" s="7"/>
      <c r="BJ133" s="7"/>
      <c r="BK133" s="7"/>
      <c r="BL133" s="7"/>
      <c r="BM133" s="55"/>
    </row>
    <row r="134" spans="1:65">
      <c r="A134" s="5"/>
      <c r="B134" s="5"/>
      <c r="C134" s="5"/>
      <c r="D134" s="6"/>
      <c r="E134" s="5"/>
      <c r="F134" s="5"/>
      <c r="G134" s="5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8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7"/>
      <c r="AY134" s="7"/>
      <c r="AZ134" s="7"/>
      <c r="BA134" s="7"/>
      <c r="BB134" s="7"/>
      <c r="BC134" s="7"/>
      <c r="BD134" s="7"/>
      <c r="BE134" s="7"/>
      <c r="BF134" s="7"/>
      <c r="BG134" s="7"/>
      <c r="BH134" s="7"/>
      <c r="BI134" s="7"/>
      <c r="BJ134" s="7"/>
      <c r="BK134" s="7"/>
      <c r="BL134" s="7"/>
      <c r="BM134" s="55"/>
    </row>
    <row r="135" spans="1:65">
      <c r="A135" s="5"/>
      <c r="B135" s="5"/>
      <c r="C135" s="5"/>
      <c r="D135" s="6"/>
      <c r="E135" s="5"/>
      <c r="F135" s="5"/>
      <c r="G135" s="5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8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  <c r="AW135" s="7"/>
      <c r="AX135" s="7"/>
      <c r="AY135" s="7"/>
      <c r="AZ135" s="7"/>
      <c r="BA135" s="7"/>
      <c r="BB135" s="7"/>
      <c r="BC135" s="7"/>
      <c r="BD135" s="7"/>
      <c r="BE135" s="7"/>
      <c r="BF135" s="7"/>
      <c r="BG135" s="7"/>
      <c r="BH135" s="7"/>
      <c r="BI135" s="7"/>
      <c r="BJ135" s="7"/>
      <c r="BK135" s="7"/>
      <c r="BL135" s="7"/>
      <c r="BM135" s="55"/>
    </row>
    <row r="136" spans="1:65">
      <c r="A136" s="5"/>
      <c r="B136" s="5"/>
      <c r="C136" s="5"/>
      <c r="D136" s="6"/>
      <c r="E136" s="5"/>
      <c r="F136" s="5"/>
      <c r="G136" s="5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8"/>
      <c r="AS136" s="7"/>
      <c r="AT136" s="7"/>
      <c r="AU136" s="7"/>
      <c r="AV136" s="7"/>
      <c r="AW136" s="7"/>
      <c r="AX136" s="7"/>
      <c r="AY136" s="7"/>
      <c r="AZ136" s="7"/>
      <c r="BA136" s="7"/>
      <c r="BB136" s="7"/>
      <c r="BC136" s="7"/>
      <c r="BD136" s="7"/>
      <c r="BE136" s="7"/>
      <c r="BF136" s="7"/>
      <c r="BG136" s="7"/>
      <c r="BH136" s="7"/>
      <c r="BI136" s="7"/>
      <c r="BJ136" s="7"/>
      <c r="BK136" s="7"/>
      <c r="BL136" s="7"/>
      <c r="BM136" s="55"/>
    </row>
    <row r="137" spans="1:65">
      <c r="A137" s="5"/>
      <c r="B137" s="5"/>
      <c r="C137" s="5"/>
      <c r="D137" s="6"/>
      <c r="E137" s="5"/>
      <c r="F137" s="5"/>
      <c r="G137" s="5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8"/>
      <c r="AG137" s="7"/>
      <c r="AH137" s="7"/>
      <c r="AI137" s="7"/>
      <c r="AJ137" s="7"/>
      <c r="AK137" s="7"/>
      <c r="AL137" s="7"/>
      <c r="AM137" s="7"/>
      <c r="AN137" s="7"/>
      <c r="AO137" s="7"/>
      <c r="AP137" s="7"/>
      <c r="AQ137" s="7"/>
      <c r="AR137" s="7"/>
      <c r="AS137" s="7"/>
      <c r="AT137" s="7"/>
      <c r="AU137" s="7"/>
      <c r="AV137" s="7"/>
      <c r="AW137" s="7"/>
      <c r="AX137" s="7"/>
      <c r="AY137" s="7"/>
      <c r="AZ137" s="7"/>
      <c r="BA137" s="7"/>
      <c r="BB137" s="7"/>
      <c r="BC137" s="7"/>
      <c r="BD137" s="7"/>
      <c r="BE137" s="7"/>
      <c r="BF137" s="7"/>
      <c r="BG137" s="7"/>
      <c r="BH137" s="7"/>
      <c r="BI137" s="7"/>
      <c r="BJ137" s="7"/>
      <c r="BK137" s="7"/>
      <c r="BL137" s="7"/>
      <c r="BM137" s="55"/>
    </row>
    <row r="138" spans="1:65">
      <c r="A138" s="5"/>
      <c r="B138" s="5"/>
      <c r="C138" s="5"/>
      <c r="D138" s="6"/>
      <c r="E138" s="5"/>
      <c r="F138" s="5"/>
      <c r="G138" s="5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8"/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7"/>
      <c r="AS138" s="7"/>
      <c r="AT138" s="7"/>
      <c r="AU138" s="7"/>
      <c r="AV138" s="7"/>
      <c r="AW138" s="7"/>
      <c r="AX138" s="7"/>
      <c r="AY138" s="7"/>
      <c r="AZ138" s="7"/>
      <c r="BA138" s="7"/>
      <c r="BB138" s="7"/>
      <c r="BC138" s="7"/>
      <c r="BD138" s="7"/>
      <c r="BE138" s="7"/>
      <c r="BF138" s="7"/>
      <c r="BG138" s="7"/>
      <c r="BH138" s="7"/>
      <c r="BI138" s="7"/>
      <c r="BJ138" s="7"/>
      <c r="BK138" s="7"/>
      <c r="BL138" s="7"/>
      <c r="BM138" s="55"/>
    </row>
    <row r="139" spans="1:65">
      <c r="A139" s="5"/>
      <c r="B139" s="5"/>
      <c r="C139" s="5"/>
      <c r="D139" s="6"/>
      <c r="E139" s="5"/>
      <c r="F139" s="5"/>
      <c r="G139" s="5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8"/>
      <c r="AG139" s="7"/>
      <c r="AH139" s="7"/>
      <c r="AI139" s="7"/>
      <c r="AJ139" s="7"/>
      <c r="AK139" s="7"/>
      <c r="AL139" s="7"/>
      <c r="AM139" s="7"/>
      <c r="AN139" s="7"/>
      <c r="AO139" s="7"/>
      <c r="AP139" s="7"/>
      <c r="AQ139" s="7"/>
      <c r="AR139" s="7"/>
      <c r="AS139" s="7"/>
      <c r="AT139" s="7"/>
      <c r="AU139" s="7"/>
      <c r="AV139" s="7"/>
      <c r="AW139" s="7"/>
      <c r="AX139" s="7"/>
      <c r="AY139" s="7"/>
      <c r="AZ139" s="7"/>
      <c r="BA139" s="7"/>
      <c r="BB139" s="7"/>
      <c r="BC139" s="7"/>
      <c r="BD139" s="7"/>
      <c r="BE139" s="7"/>
      <c r="BF139" s="7"/>
      <c r="BG139" s="7"/>
      <c r="BH139" s="7"/>
      <c r="BI139" s="7"/>
      <c r="BJ139" s="7"/>
      <c r="BK139" s="7"/>
      <c r="BL139" s="7"/>
      <c r="BM139" s="55"/>
    </row>
    <row r="140" spans="1:65">
      <c r="A140" s="5"/>
      <c r="B140" s="5"/>
      <c r="C140" s="5"/>
      <c r="D140" s="6"/>
      <c r="E140" s="5"/>
      <c r="F140" s="5"/>
      <c r="G140" s="5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7"/>
      <c r="AQ140" s="7"/>
      <c r="AR140" s="7"/>
      <c r="AS140" s="7"/>
      <c r="AT140" s="7"/>
      <c r="AU140" s="7"/>
      <c r="AV140" s="7"/>
      <c r="AW140" s="7"/>
      <c r="AX140" s="7"/>
      <c r="AY140" s="7"/>
      <c r="AZ140" s="7"/>
      <c r="BA140" s="7"/>
      <c r="BB140" s="7"/>
      <c r="BC140" s="7"/>
      <c r="BD140" s="7"/>
      <c r="BE140" s="7"/>
      <c r="BF140" s="7"/>
      <c r="BG140" s="7"/>
      <c r="BH140" s="7"/>
      <c r="BI140" s="7"/>
      <c r="BJ140" s="7"/>
      <c r="BK140" s="7"/>
      <c r="BL140" s="7"/>
      <c r="BM140" s="55"/>
    </row>
    <row r="141" spans="1:65">
      <c r="A141" s="5"/>
      <c r="B141" s="5"/>
      <c r="C141" s="5"/>
      <c r="D141" s="6"/>
      <c r="E141" s="5"/>
      <c r="F141" s="5"/>
      <c r="G141" s="5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  <c r="AP141" s="7"/>
      <c r="AQ141" s="7"/>
      <c r="AR141" s="7"/>
      <c r="AS141" s="7"/>
      <c r="AT141" s="7"/>
      <c r="AU141" s="7"/>
      <c r="AV141" s="7"/>
      <c r="AW141" s="7"/>
      <c r="AX141" s="7"/>
      <c r="AY141" s="7"/>
      <c r="AZ141" s="7"/>
      <c r="BA141" s="7"/>
      <c r="BB141" s="7"/>
      <c r="BC141" s="7"/>
      <c r="BD141" s="7"/>
      <c r="BE141" s="7"/>
      <c r="BF141" s="7"/>
      <c r="BG141" s="7"/>
      <c r="BH141" s="7"/>
      <c r="BI141" s="7"/>
      <c r="BJ141" s="7"/>
      <c r="BK141" s="7"/>
      <c r="BL141" s="7"/>
      <c r="BM141" s="55"/>
    </row>
    <row r="142" spans="1:65">
      <c r="A142" s="5"/>
      <c r="B142" s="5"/>
      <c r="C142" s="5"/>
      <c r="D142" s="6"/>
      <c r="E142" s="5"/>
      <c r="F142" s="5"/>
      <c r="G142" s="5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8"/>
      <c r="AG142" s="7"/>
      <c r="AH142" s="7"/>
      <c r="AI142" s="7"/>
      <c r="AJ142" s="7"/>
      <c r="AK142" s="7"/>
      <c r="AL142" s="7"/>
      <c r="AM142" s="7"/>
      <c r="AN142" s="7"/>
      <c r="AO142" s="7"/>
      <c r="AP142" s="7"/>
      <c r="AQ142" s="7"/>
      <c r="AR142" s="7"/>
      <c r="AS142" s="7"/>
      <c r="AT142" s="7"/>
      <c r="AU142" s="7"/>
      <c r="AV142" s="7"/>
      <c r="AW142" s="7"/>
      <c r="AX142" s="7"/>
      <c r="AY142" s="7"/>
      <c r="AZ142" s="7"/>
      <c r="BA142" s="7"/>
      <c r="BB142" s="7"/>
      <c r="BC142" s="7"/>
      <c r="BD142" s="7"/>
      <c r="BE142" s="7"/>
      <c r="BF142" s="7"/>
      <c r="BG142" s="7"/>
      <c r="BH142" s="7"/>
      <c r="BI142" s="7"/>
      <c r="BJ142" s="7"/>
      <c r="BK142" s="7"/>
      <c r="BL142" s="7"/>
      <c r="BM142" s="55"/>
    </row>
    <row r="143" spans="1:65">
      <c r="A143" s="5"/>
      <c r="B143" s="5"/>
      <c r="C143" s="5"/>
      <c r="D143" s="6"/>
      <c r="E143" s="5"/>
      <c r="F143" s="5"/>
      <c r="G143" s="5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7"/>
      <c r="AQ143" s="7"/>
      <c r="AR143" s="7"/>
      <c r="AS143" s="7"/>
      <c r="AT143" s="7"/>
      <c r="AU143" s="7"/>
      <c r="AV143" s="7"/>
      <c r="AW143" s="7"/>
      <c r="AX143" s="7"/>
      <c r="AY143" s="7"/>
      <c r="AZ143" s="7"/>
      <c r="BA143" s="7"/>
      <c r="BB143" s="7"/>
      <c r="BC143" s="7"/>
      <c r="BD143" s="7"/>
      <c r="BE143" s="7"/>
      <c r="BF143" s="7"/>
      <c r="BG143" s="7"/>
      <c r="BH143" s="7"/>
      <c r="BI143" s="7"/>
      <c r="BJ143" s="7"/>
      <c r="BK143" s="7"/>
      <c r="BL143" s="7"/>
      <c r="BM143" s="58"/>
    </row>
    <row r="144" spans="1:65">
      <c r="A144" s="5"/>
      <c r="B144" s="5"/>
      <c r="C144" s="5"/>
      <c r="D144" s="6"/>
      <c r="E144" s="5"/>
      <c r="F144" s="5"/>
      <c r="G144" s="5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7"/>
      <c r="AQ144" s="7"/>
      <c r="AR144" s="7"/>
      <c r="AS144" s="7"/>
      <c r="AT144" s="7"/>
      <c r="AU144" s="7"/>
      <c r="AV144" s="7"/>
      <c r="AW144" s="7"/>
      <c r="AX144" s="7"/>
      <c r="AY144" s="7"/>
      <c r="AZ144" s="7"/>
      <c r="BA144" s="7"/>
      <c r="BB144" s="7"/>
      <c r="BC144" s="7"/>
      <c r="BD144" s="7"/>
      <c r="BE144" s="7"/>
      <c r="BF144" s="7"/>
      <c r="BG144" s="7"/>
      <c r="BH144" s="7"/>
      <c r="BI144" s="7"/>
      <c r="BJ144" s="7"/>
      <c r="BK144" s="7"/>
      <c r="BL144" s="7"/>
      <c r="BM144" s="58"/>
    </row>
    <row r="145" spans="1:65">
      <c r="A145" s="5"/>
      <c r="B145" s="5"/>
      <c r="C145" s="5"/>
      <c r="D145" s="6"/>
      <c r="E145" s="5"/>
      <c r="F145" s="5"/>
      <c r="G145" s="5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7"/>
      <c r="AQ145" s="7"/>
      <c r="AR145" s="7"/>
      <c r="AS145" s="7"/>
      <c r="AT145" s="7"/>
      <c r="AU145" s="7"/>
      <c r="AV145" s="7"/>
      <c r="AW145" s="7"/>
      <c r="AX145" s="7"/>
      <c r="AY145" s="7"/>
      <c r="AZ145" s="7"/>
      <c r="BA145" s="7"/>
      <c r="BB145" s="7"/>
      <c r="BC145" s="7"/>
      <c r="BD145" s="7"/>
      <c r="BE145" s="7"/>
      <c r="BF145" s="7"/>
      <c r="BG145" s="7"/>
      <c r="BH145" s="7"/>
      <c r="BI145" s="7"/>
      <c r="BJ145" s="7"/>
      <c r="BK145" s="7"/>
      <c r="BL145" s="7"/>
      <c r="BM145" s="58"/>
    </row>
    <row r="146" spans="1:65">
      <c r="A146" s="5"/>
      <c r="B146" s="5"/>
      <c r="C146" s="5"/>
      <c r="D146" s="6"/>
      <c r="E146" s="5"/>
      <c r="F146" s="5"/>
      <c r="G146" s="5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7"/>
      <c r="AP146" s="7"/>
      <c r="AQ146" s="7"/>
      <c r="AR146" s="7"/>
      <c r="AS146" s="7"/>
      <c r="AT146" s="7"/>
      <c r="AU146" s="7"/>
      <c r="AV146" s="7"/>
      <c r="AW146" s="7"/>
      <c r="AX146" s="7"/>
      <c r="AY146" s="7"/>
      <c r="AZ146" s="7"/>
      <c r="BA146" s="7"/>
      <c r="BB146" s="7"/>
      <c r="BC146" s="7"/>
      <c r="BD146" s="7"/>
      <c r="BE146" s="7"/>
      <c r="BF146" s="7"/>
      <c r="BG146" s="7"/>
      <c r="BH146" s="7"/>
      <c r="BI146" s="7"/>
      <c r="BJ146" s="7"/>
      <c r="BK146" s="7"/>
      <c r="BL146" s="7"/>
      <c r="BM146" s="58"/>
    </row>
    <row r="147" spans="1:65">
      <c r="A147" s="5"/>
      <c r="B147" s="5"/>
      <c r="C147" s="5"/>
      <c r="D147" s="6"/>
      <c r="E147" s="5"/>
      <c r="F147" s="5"/>
      <c r="G147" s="5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  <c r="AP147" s="7"/>
      <c r="AQ147" s="7"/>
      <c r="AR147" s="7"/>
      <c r="AS147" s="7"/>
      <c r="AT147" s="7"/>
      <c r="AU147" s="7"/>
      <c r="AV147" s="7"/>
      <c r="AW147" s="7"/>
      <c r="AX147" s="7"/>
      <c r="AY147" s="7"/>
      <c r="AZ147" s="7"/>
      <c r="BA147" s="7"/>
      <c r="BB147" s="7"/>
      <c r="BC147" s="7"/>
      <c r="BD147" s="7"/>
      <c r="BE147" s="7"/>
      <c r="BF147" s="7"/>
      <c r="BG147" s="7"/>
      <c r="BH147" s="7"/>
      <c r="BI147" s="7"/>
      <c r="BJ147" s="7"/>
      <c r="BK147" s="7"/>
      <c r="BL147" s="7"/>
      <c r="BM147" s="58"/>
    </row>
    <row r="148" spans="1:65">
      <c r="A148" s="5"/>
      <c r="B148" s="5"/>
      <c r="C148" s="5"/>
      <c r="D148" s="6"/>
      <c r="E148" s="5"/>
      <c r="F148" s="5"/>
      <c r="G148" s="5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7"/>
      <c r="AR148" s="7"/>
      <c r="AS148" s="7"/>
      <c r="AT148" s="7"/>
      <c r="AU148" s="7"/>
      <c r="AV148" s="7"/>
      <c r="AW148" s="7"/>
      <c r="AX148" s="7"/>
      <c r="AY148" s="7"/>
      <c r="AZ148" s="7"/>
      <c r="BA148" s="7"/>
      <c r="BB148" s="7"/>
      <c r="BC148" s="7"/>
      <c r="BD148" s="7"/>
      <c r="BE148" s="7"/>
      <c r="BF148" s="7"/>
      <c r="BG148" s="7"/>
      <c r="BH148" s="7"/>
      <c r="BI148" s="7"/>
      <c r="BJ148" s="7"/>
      <c r="BK148" s="7"/>
      <c r="BL148" s="7"/>
      <c r="BM148" s="58"/>
    </row>
    <row r="149" spans="1:65">
      <c r="A149" s="5"/>
      <c r="B149" s="5"/>
      <c r="C149" s="5"/>
      <c r="D149" s="6"/>
      <c r="E149" s="5"/>
      <c r="F149" s="5"/>
      <c r="G149" s="5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7"/>
      <c r="AP149" s="7"/>
      <c r="AQ149" s="7"/>
      <c r="AR149" s="7"/>
      <c r="AS149" s="7"/>
      <c r="AT149" s="7"/>
      <c r="AU149" s="7"/>
      <c r="AV149" s="7"/>
      <c r="AW149" s="7"/>
      <c r="AX149" s="7"/>
      <c r="AY149" s="7"/>
      <c r="AZ149" s="7"/>
      <c r="BA149" s="7"/>
      <c r="BB149" s="7"/>
      <c r="BC149" s="7"/>
      <c r="BD149" s="7"/>
      <c r="BE149" s="7"/>
      <c r="BF149" s="7"/>
      <c r="BG149" s="7"/>
      <c r="BH149" s="7"/>
      <c r="BI149" s="7"/>
      <c r="BJ149" s="7"/>
      <c r="BK149" s="7"/>
      <c r="BL149" s="7"/>
      <c r="BM149" s="58"/>
    </row>
    <row r="150" spans="1:65">
      <c r="A150" s="5"/>
      <c r="B150" s="5"/>
      <c r="C150" s="5"/>
      <c r="D150" s="6"/>
      <c r="E150" s="5"/>
      <c r="F150" s="5"/>
      <c r="G150" s="5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7"/>
      <c r="AQ150" s="7"/>
      <c r="AR150" s="7"/>
      <c r="AS150" s="7"/>
      <c r="AT150" s="7"/>
      <c r="AU150" s="7"/>
      <c r="AV150" s="7"/>
      <c r="AW150" s="7"/>
      <c r="AX150" s="7"/>
      <c r="AY150" s="7"/>
      <c r="AZ150" s="7"/>
      <c r="BA150" s="7"/>
      <c r="BB150" s="7"/>
      <c r="BC150" s="7"/>
      <c r="BD150" s="7"/>
      <c r="BE150" s="7"/>
      <c r="BF150" s="7"/>
      <c r="BG150" s="7"/>
      <c r="BH150" s="7"/>
      <c r="BI150" s="7"/>
      <c r="BJ150" s="7"/>
      <c r="BK150" s="7"/>
      <c r="BL150" s="7"/>
      <c r="BM150" s="58"/>
    </row>
    <row r="151" spans="1:65">
      <c r="A151" s="5"/>
      <c r="B151" s="5"/>
      <c r="C151" s="5"/>
      <c r="D151" s="6"/>
      <c r="E151" s="5"/>
      <c r="F151" s="5"/>
      <c r="G151" s="5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  <c r="AP151" s="7"/>
      <c r="AQ151" s="7"/>
      <c r="AR151" s="7"/>
      <c r="AS151" s="7"/>
      <c r="AT151" s="7"/>
      <c r="AU151" s="7"/>
      <c r="AV151" s="7"/>
      <c r="AW151" s="7"/>
      <c r="AX151" s="7"/>
      <c r="AY151" s="7"/>
      <c r="AZ151" s="7"/>
      <c r="BA151" s="7"/>
      <c r="BB151" s="7"/>
      <c r="BC151" s="7"/>
      <c r="BD151" s="7"/>
      <c r="BE151" s="7"/>
      <c r="BF151" s="7"/>
      <c r="BG151" s="7"/>
      <c r="BH151" s="7"/>
      <c r="BI151" s="7"/>
      <c r="BJ151" s="7"/>
      <c r="BK151" s="7"/>
      <c r="BL151" s="7"/>
      <c r="BM151" s="58"/>
    </row>
    <row r="152" spans="1:65">
      <c r="A152" s="5"/>
      <c r="B152" s="5"/>
      <c r="C152" s="5"/>
      <c r="D152" s="6"/>
      <c r="E152" s="5"/>
      <c r="F152" s="5"/>
      <c r="G152" s="5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  <c r="AO152" s="7"/>
      <c r="AP152" s="7"/>
      <c r="AQ152" s="7"/>
      <c r="AR152" s="7"/>
      <c r="AS152" s="7"/>
      <c r="AT152" s="7"/>
      <c r="AU152" s="7"/>
      <c r="AV152" s="7"/>
      <c r="AW152" s="7"/>
      <c r="AX152" s="7"/>
      <c r="AY152" s="7"/>
      <c r="AZ152" s="7"/>
      <c r="BA152" s="7"/>
      <c r="BB152" s="7"/>
      <c r="BC152" s="7"/>
      <c r="BD152" s="7"/>
      <c r="BE152" s="7"/>
      <c r="BF152" s="7"/>
      <c r="BG152" s="7"/>
      <c r="BH152" s="7"/>
      <c r="BI152" s="7"/>
      <c r="BJ152" s="7"/>
      <c r="BK152" s="7"/>
      <c r="BL152" s="7"/>
      <c r="BM152" s="58"/>
    </row>
    <row r="153" spans="1:65">
      <c r="A153" s="5"/>
      <c r="B153" s="5"/>
      <c r="C153" s="5"/>
      <c r="D153" s="6"/>
      <c r="E153" s="5"/>
      <c r="F153" s="5"/>
      <c r="G153" s="5"/>
      <c r="H153" s="7"/>
      <c r="I153" s="7"/>
      <c r="J153" s="7"/>
      <c r="K153" s="8"/>
      <c r="L153" s="8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8"/>
      <c r="AF153" s="8"/>
      <c r="AG153" s="8"/>
      <c r="AH153" s="7"/>
      <c r="AI153" s="7"/>
      <c r="AJ153" s="7"/>
      <c r="AK153" s="7"/>
      <c r="AL153" s="7"/>
      <c r="AM153" s="7"/>
      <c r="AN153" s="7"/>
      <c r="AO153" s="7"/>
      <c r="AP153" s="7"/>
      <c r="AQ153" s="8"/>
      <c r="AR153" s="8"/>
      <c r="AS153" s="8"/>
      <c r="AT153" s="7"/>
      <c r="AU153" s="7"/>
      <c r="AV153" s="7"/>
      <c r="AW153" s="7"/>
      <c r="AX153" s="7"/>
      <c r="AY153" s="7"/>
      <c r="AZ153" s="7"/>
      <c r="BA153" s="7"/>
      <c r="BB153" s="7"/>
      <c r="BC153" s="7"/>
      <c r="BD153" s="7"/>
      <c r="BE153" s="7"/>
      <c r="BF153" s="7"/>
      <c r="BG153" s="7"/>
      <c r="BH153" s="7"/>
      <c r="BI153" s="7"/>
      <c r="BJ153" s="7"/>
      <c r="BK153" s="7"/>
      <c r="BL153" s="7"/>
      <c r="BM153" s="55"/>
    </row>
    <row r="154" spans="1:65">
      <c r="A154" s="5"/>
      <c r="B154" s="5"/>
      <c r="C154" s="5"/>
      <c r="D154" s="6"/>
      <c r="E154" s="5"/>
      <c r="F154" s="5"/>
      <c r="G154" s="5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8"/>
      <c r="AG154" s="8"/>
      <c r="AH154" s="7"/>
      <c r="AI154" s="7"/>
      <c r="AJ154" s="7"/>
      <c r="AK154" s="7"/>
      <c r="AL154" s="7"/>
      <c r="AM154" s="7"/>
      <c r="AN154" s="7"/>
      <c r="AO154" s="7"/>
      <c r="AP154" s="7"/>
      <c r="AQ154" s="7"/>
      <c r="AR154" s="8"/>
      <c r="AS154" s="8"/>
      <c r="AT154" s="7"/>
      <c r="AU154" s="7"/>
      <c r="AV154" s="7"/>
      <c r="AW154" s="7"/>
      <c r="AX154" s="7"/>
      <c r="AY154" s="7"/>
      <c r="AZ154" s="7"/>
      <c r="BA154" s="7"/>
      <c r="BB154" s="7"/>
      <c r="BC154" s="7"/>
      <c r="BD154" s="7"/>
      <c r="BE154" s="7"/>
      <c r="BF154" s="7"/>
      <c r="BG154" s="7"/>
      <c r="BH154" s="7"/>
      <c r="BI154" s="7"/>
      <c r="BJ154" s="7"/>
      <c r="BK154" s="7"/>
      <c r="BL154" s="7"/>
      <c r="BM154" s="55"/>
    </row>
    <row r="155" spans="1:65">
      <c r="A155" s="5"/>
      <c r="B155" s="5"/>
      <c r="C155" s="5"/>
      <c r="D155" s="6"/>
      <c r="E155" s="5"/>
      <c r="F155" s="5"/>
      <c r="G155" s="5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8"/>
      <c r="AD155" s="8"/>
      <c r="AE155" s="7"/>
      <c r="AF155" s="8"/>
      <c r="AG155" s="8"/>
      <c r="AH155" s="7"/>
      <c r="AI155" s="7"/>
      <c r="AJ155" s="7"/>
      <c r="AK155" s="7"/>
      <c r="AL155" s="7"/>
      <c r="AM155" s="7"/>
      <c r="AN155" s="7"/>
      <c r="AO155" s="8"/>
      <c r="AP155" s="7"/>
      <c r="AQ155" s="7"/>
      <c r="AR155" s="8"/>
      <c r="AS155" s="7"/>
      <c r="AT155" s="7"/>
      <c r="AU155" s="7"/>
      <c r="AV155" s="7"/>
      <c r="AW155" s="7"/>
      <c r="AX155" s="7"/>
      <c r="AY155" s="7"/>
      <c r="AZ155" s="7"/>
      <c r="BA155" s="7"/>
      <c r="BB155" s="7"/>
      <c r="BC155" s="7"/>
      <c r="BD155" s="7"/>
      <c r="BE155" s="7"/>
      <c r="BF155" s="7"/>
      <c r="BG155" s="7"/>
      <c r="BH155" s="7"/>
      <c r="BI155" s="7"/>
      <c r="BJ155" s="7"/>
      <c r="BK155" s="7"/>
      <c r="BL155" s="7"/>
      <c r="BM155" s="55"/>
    </row>
    <row r="156" spans="1:65">
      <c r="A156" s="5"/>
      <c r="B156" s="5"/>
      <c r="C156" s="5"/>
      <c r="D156" s="6"/>
      <c r="E156" s="5"/>
      <c r="F156" s="5"/>
      <c r="G156" s="5"/>
      <c r="H156" s="7"/>
      <c r="I156" s="7"/>
      <c r="J156" s="7"/>
      <c r="K156" s="8"/>
      <c r="L156" s="8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8"/>
      <c r="AF156" s="8"/>
      <c r="AG156" s="8"/>
      <c r="AH156" s="7"/>
      <c r="AI156" s="7"/>
      <c r="AJ156" s="7"/>
      <c r="AK156" s="7"/>
      <c r="AL156" s="7"/>
      <c r="AM156" s="7"/>
      <c r="AN156" s="7"/>
      <c r="AO156" s="7"/>
      <c r="AP156" s="7"/>
      <c r="AQ156" s="7"/>
      <c r="AR156" s="8"/>
      <c r="AS156" s="7"/>
      <c r="AT156" s="7"/>
      <c r="AU156" s="7"/>
      <c r="AV156" s="7"/>
      <c r="AW156" s="7"/>
      <c r="AX156" s="7"/>
      <c r="AY156" s="7"/>
      <c r="AZ156" s="7"/>
      <c r="BA156" s="7"/>
      <c r="BB156" s="7"/>
      <c r="BC156" s="7"/>
      <c r="BD156" s="7"/>
      <c r="BE156" s="7"/>
      <c r="BF156" s="7"/>
      <c r="BG156" s="7"/>
      <c r="BH156" s="7"/>
      <c r="BI156" s="7"/>
      <c r="BJ156" s="7"/>
      <c r="BK156" s="7"/>
      <c r="BL156" s="7"/>
      <c r="BM156" s="55"/>
    </row>
    <row r="157" spans="1:65">
      <c r="A157" s="5"/>
      <c r="B157" s="5"/>
      <c r="C157" s="5"/>
      <c r="D157" s="6"/>
      <c r="E157" s="5"/>
      <c r="F157" s="5"/>
      <c r="G157" s="5"/>
      <c r="H157" s="7"/>
      <c r="I157" s="7"/>
      <c r="J157" s="8"/>
      <c r="K157" s="8"/>
      <c r="L157" s="8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8"/>
      <c r="AG157" s="8"/>
      <c r="AH157" s="7"/>
      <c r="AI157" s="7"/>
      <c r="AJ157" s="7"/>
      <c r="AK157" s="7"/>
      <c r="AL157" s="7"/>
      <c r="AM157" s="7"/>
      <c r="AN157" s="7"/>
      <c r="AO157" s="7"/>
      <c r="AP157" s="7"/>
      <c r="AQ157" s="7"/>
      <c r="AR157" s="7"/>
      <c r="AS157" s="7"/>
      <c r="AT157" s="7"/>
      <c r="AU157" s="7"/>
      <c r="AV157" s="7"/>
      <c r="AW157" s="7"/>
      <c r="AX157" s="7"/>
      <c r="AY157" s="7"/>
      <c r="AZ157" s="7"/>
      <c r="BA157" s="7"/>
      <c r="BB157" s="7"/>
      <c r="BC157" s="7"/>
      <c r="BD157" s="7"/>
      <c r="BE157" s="7"/>
      <c r="BF157" s="7"/>
      <c r="BG157" s="7"/>
      <c r="BH157" s="7"/>
      <c r="BI157" s="7"/>
      <c r="BJ157" s="7"/>
      <c r="BK157" s="7"/>
      <c r="BL157" s="7"/>
      <c r="BM157" s="55"/>
    </row>
    <row r="158" spans="1:65">
      <c r="A158" s="5"/>
      <c r="B158" s="5"/>
      <c r="C158" s="5"/>
      <c r="D158" s="6"/>
      <c r="E158" s="5"/>
      <c r="F158" s="5"/>
      <c r="G158" s="5"/>
      <c r="H158" s="7"/>
      <c r="I158" s="7"/>
      <c r="J158" s="7"/>
      <c r="K158" s="8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8"/>
      <c r="AF158" s="8"/>
      <c r="AG158" s="8"/>
      <c r="AH158" s="7"/>
      <c r="AI158" s="7"/>
      <c r="AJ158" s="7"/>
      <c r="AK158" s="7"/>
      <c r="AL158" s="7"/>
      <c r="AM158" s="7"/>
      <c r="AN158" s="7"/>
      <c r="AO158" s="7"/>
      <c r="AP158" s="7"/>
      <c r="AQ158" s="7"/>
      <c r="AR158" s="8"/>
      <c r="AS158" s="7"/>
      <c r="AT158" s="7"/>
      <c r="AU158" s="7"/>
      <c r="AV158" s="7"/>
      <c r="AW158" s="7"/>
      <c r="AX158" s="7"/>
      <c r="AY158" s="7"/>
      <c r="AZ158" s="7"/>
      <c r="BA158" s="7"/>
      <c r="BB158" s="7"/>
      <c r="BC158" s="7"/>
      <c r="BD158" s="7"/>
      <c r="BE158" s="7"/>
      <c r="BF158" s="7"/>
      <c r="BG158" s="7"/>
      <c r="BH158" s="7"/>
      <c r="BI158" s="7"/>
      <c r="BJ158" s="7"/>
      <c r="BK158" s="7"/>
      <c r="BL158" s="7"/>
      <c r="BM158" s="55"/>
    </row>
    <row r="159" spans="1:65">
      <c r="A159" s="5"/>
      <c r="B159" s="5"/>
      <c r="C159" s="5"/>
      <c r="D159" s="6"/>
      <c r="E159" s="5"/>
      <c r="F159" s="5"/>
      <c r="G159" s="5"/>
      <c r="H159" s="7"/>
      <c r="I159" s="7"/>
      <c r="J159" s="7"/>
      <c r="K159" s="8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8"/>
      <c r="AF159" s="8"/>
      <c r="AG159" s="8"/>
      <c r="AH159" s="7"/>
      <c r="AI159" s="7"/>
      <c r="AJ159" s="7"/>
      <c r="AK159" s="7"/>
      <c r="AL159" s="7"/>
      <c r="AM159" s="7"/>
      <c r="AN159" s="7"/>
      <c r="AO159" s="7"/>
      <c r="AP159" s="7"/>
      <c r="AQ159" s="7"/>
      <c r="AR159" s="8"/>
      <c r="AS159" s="7"/>
      <c r="AT159" s="7"/>
      <c r="AU159" s="7"/>
      <c r="AV159" s="7"/>
      <c r="AW159" s="7"/>
      <c r="AX159" s="7"/>
      <c r="AY159" s="7"/>
      <c r="AZ159" s="7"/>
      <c r="BA159" s="7"/>
      <c r="BB159" s="7"/>
      <c r="BC159" s="7"/>
      <c r="BD159" s="7"/>
      <c r="BE159" s="7"/>
      <c r="BF159" s="7"/>
      <c r="BG159" s="7"/>
      <c r="BH159" s="7"/>
      <c r="BI159" s="7"/>
      <c r="BJ159" s="7"/>
      <c r="BK159" s="7"/>
      <c r="BL159" s="7"/>
      <c r="BM159" s="55"/>
    </row>
    <row r="160" spans="1:65">
      <c r="A160" s="5"/>
      <c r="B160" s="5"/>
      <c r="C160" s="5"/>
      <c r="D160" s="6"/>
      <c r="E160" s="5"/>
      <c r="F160" s="5"/>
      <c r="G160" s="5"/>
      <c r="H160" s="7"/>
      <c r="I160" s="7"/>
      <c r="J160" s="7"/>
      <c r="K160" s="8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8"/>
      <c r="AF160" s="8"/>
      <c r="AG160" s="8"/>
      <c r="AH160" s="7"/>
      <c r="AI160" s="7"/>
      <c r="AJ160" s="7"/>
      <c r="AK160" s="7"/>
      <c r="AL160" s="7"/>
      <c r="AM160" s="7"/>
      <c r="AN160" s="7"/>
      <c r="AO160" s="7"/>
      <c r="AP160" s="7"/>
      <c r="AQ160" s="7"/>
      <c r="AR160" s="8"/>
      <c r="AS160" s="7"/>
      <c r="AT160" s="7"/>
      <c r="AU160" s="7"/>
      <c r="AV160" s="7"/>
      <c r="AW160" s="7"/>
      <c r="AX160" s="7"/>
      <c r="AY160" s="7"/>
      <c r="AZ160" s="7"/>
      <c r="BA160" s="7"/>
      <c r="BB160" s="7"/>
      <c r="BC160" s="7"/>
      <c r="BD160" s="7"/>
      <c r="BE160" s="7"/>
      <c r="BF160" s="7"/>
      <c r="BG160" s="7"/>
      <c r="BH160" s="7"/>
      <c r="BI160" s="7"/>
      <c r="BJ160" s="7"/>
      <c r="BK160" s="7"/>
      <c r="BL160" s="7"/>
      <c r="BM160" s="55"/>
    </row>
    <row r="161" spans="1:65">
      <c r="A161" s="5"/>
      <c r="B161" s="5"/>
      <c r="C161" s="5"/>
      <c r="D161" s="6"/>
      <c r="E161" s="5"/>
      <c r="F161" s="5"/>
      <c r="G161" s="5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8"/>
      <c r="AD161" s="7"/>
      <c r="AE161" s="7"/>
      <c r="AF161" s="8"/>
      <c r="AG161" s="8"/>
      <c r="AH161" s="7"/>
      <c r="AI161" s="7"/>
      <c r="AJ161" s="7"/>
      <c r="AK161" s="7"/>
      <c r="AL161" s="7"/>
      <c r="AM161" s="7"/>
      <c r="AN161" s="7"/>
      <c r="AO161" s="8"/>
      <c r="AP161" s="7"/>
      <c r="AQ161" s="7"/>
      <c r="AR161" s="8"/>
      <c r="AS161" s="7"/>
      <c r="AT161" s="7"/>
      <c r="AU161" s="7"/>
      <c r="AV161" s="7"/>
      <c r="AW161" s="7"/>
      <c r="AX161" s="7"/>
      <c r="AY161" s="7"/>
      <c r="AZ161" s="7"/>
      <c r="BA161" s="7"/>
      <c r="BB161" s="7"/>
      <c r="BC161" s="7"/>
      <c r="BD161" s="7"/>
      <c r="BE161" s="7"/>
      <c r="BF161" s="7"/>
      <c r="BG161" s="7"/>
      <c r="BH161" s="7"/>
      <c r="BI161" s="7"/>
      <c r="BJ161" s="7"/>
      <c r="BK161" s="7"/>
      <c r="BL161" s="7"/>
      <c r="BM161" s="55"/>
    </row>
    <row r="162" spans="1:65">
      <c r="A162" s="5"/>
      <c r="B162" s="5"/>
      <c r="C162" s="5"/>
      <c r="D162" s="6"/>
      <c r="E162" s="5"/>
      <c r="F162" s="5"/>
      <c r="G162" s="5"/>
      <c r="H162" s="7"/>
      <c r="I162" s="7"/>
      <c r="J162" s="7"/>
      <c r="K162" s="8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8"/>
      <c r="AF162" s="8"/>
      <c r="AG162" s="8"/>
      <c r="AH162" s="7"/>
      <c r="AI162" s="7"/>
      <c r="AJ162" s="7"/>
      <c r="AK162" s="7"/>
      <c r="AL162" s="7"/>
      <c r="AM162" s="7"/>
      <c r="AN162" s="7"/>
      <c r="AO162" s="7"/>
      <c r="AP162" s="7"/>
      <c r="AQ162" s="7"/>
      <c r="AR162" s="8"/>
      <c r="AS162" s="7"/>
      <c r="AT162" s="7"/>
      <c r="AU162" s="7"/>
      <c r="AV162" s="7"/>
      <c r="AW162" s="7"/>
      <c r="AX162" s="7"/>
      <c r="AY162" s="7"/>
      <c r="AZ162" s="7"/>
      <c r="BA162" s="7"/>
      <c r="BB162" s="7"/>
      <c r="BC162" s="7"/>
      <c r="BD162" s="7"/>
      <c r="BE162" s="7"/>
      <c r="BF162" s="7"/>
      <c r="BG162" s="7"/>
      <c r="BH162" s="7"/>
      <c r="BI162" s="7"/>
      <c r="BJ162" s="7"/>
      <c r="BK162" s="7"/>
      <c r="BL162" s="7"/>
      <c r="BM162" s="55"/>
    </row>
    <row r="163" spans="1:65">
      <c r="A163" s="5"/>
      <c r="B163" s="5"/>
      <c r="C163" s="5"/>
      <c r="D163" s="6"/>
      <c r="E163" s="5"/>
      <c r="F163" s="5"/>
      <c r="G163" s="5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8"/>
      <c r="AF163" s="8"/>
      <c r="AG163" s="8"/>
      <c r="AH163" s="7"/>
      <c r="AI163" s="7"/>
      <c r="AJ163" s="7"/>
      <c r="AK163" s="7"/>
      <c r="AL163" s="7"/>
      <c r="AM163" s="7"/>
      <c r="AN163" s="7"/>
      <c r="AO163" s="7"/>
      <c r="AP163" s="7"/>
      <c r="AQ163" s="7"/>
      <c r="AR163" s="8"/>
      <c r="AS163" s="8"/>
      <c r="AT163" s="7"/>
      <c r="AU163" s="7"/>
      <c r="AV163" s="7"/>
      <c r="AW163" s="7"/>
      <c r="AX163" s="7"/>
      <c r="AY163" s="7"/>
      <c r="AZ163" s="7"/>
      <c r="BA163" s="7"/>
      <c r="BB163" s="7"/>
      <c r="BC163" s="7"/>
      <c r="BD163" s="7"/>
      <c r="BE163" s="7"/>
      <c r="BF163" s="7"/>
      <c r="BG163" s="7"/>
      <c r="BH163" s="7"/>
      <c r="BI163" s="7"/>
      <c r="BJ163" s="7"/>
      <c r="BK163" s="7"/>
      <c r="BL163" s="7"/>
      <c r="BM163" s="55"/>
    </row>
    <row r="164" spans="1:65">
      <c r="A164" s="5"/>
      <c r="B164" s="5"/>
      <c r="C164" s="5"/>
      <c r="D164" s="6"/>
      <c r="E164" s="5"/>
      <c r="F164" s="5"/>
      <c r="G164" s="5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8"/>
      <c r="AF164" s="8"/>
      <c r="AG164" s="8"/>
      <c r="AH164" s="7"/>
      <c r="AI164" s="7"/>
      <c r="AJ164" s="7"/>
      <c r="AK164" s="7"/>
      <c r="AL164" s="7"/>
      <c r="AM164" s="7"/>
      <c r="AN164" s="7"/>
      <c r="AO164" s="7"/>
      <c r="AP164" s="7"/>
      <c r="AQ164" s="7"/>
      <c r="AR164" s="8"/>
      <c r="AS164" s="7"/>
      <c r="AT164" s="7"/>
      <c r="AU164" s="7"/>
      <c r="AV164" s="7"/>
      <c r="AW164" s="7"/>
      <c r="AX164" s="7"/>
      <c r="AY164" s="7"/>
      <c r="AZ164" s="7"/>
      <c r="BA164" s="7"/>
      <c r="BB164" s="7"/>
      <c r="BC164" s="7"/>
      <c r="BD164" s="7"/>
      <c r="BE164" s="7"/>
      <c r="BF164" s="7"/>
      <c r="BG164" s="7"/>
      <c r="BH164" s="7"/>
      <c r="BI164" s="7"/>
      <c r="BJ164" s="7"/>
      <c r="BK164" s="7"/>
      <c r="BL164" s="7"/>
      <c r="BM164" s="55"/>
    </row>
    <row r="165" spans="1:65">
      <c r="A165" s="5"/>
      <c r="B165" s="5"/>
      <c r="C165" s="5"/>
      <c r="D165" s="6"/>
      <c r="E165" s="5"/>
      <c r="F165" s="5"/>
      <c r="G165" s="5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8"/>
      <c r="AG165" s="8"/>
      <c r="AH165" s="7"/>
      <c r="AI165" s="7"/>
      <c r="AJ165" s="7"/>
      <c r="AK165" s="7"/>
      <c r="AL165" s="7"/>
      <c r="AM165" s="7"/>
      <c r="AN165" s="7"/>
      <c r="AO165" s="7"/>
      <c r="AP165" s="7"/>
      <c r="AQ165" s="7"/>
      <c r="AR165" s="8"/>
      <c r="AS165" s="7"/>
      <c r="AT165" s="7"/>
      <c r="AU165" s="7"/>
      <c r="AV165" s="7"/>
      <c r="AW165" s="7"/>
      <c r="AX165" s="7"/>
      <c r="AY165" s="7"/>
      <c r="AZ165" s="7"/>
      <c r="BA165" s="7"/>
      <c r="BB165" s="7"/>
      <c r="BC165" s="7"/>
      <c r="BD165" s="7"/>
      <c r="BE165" s="7"/>
      <c r="BF165" s="7"/>
      <c r="BG165" s="7"/>
      <c r="BH165" s="7"/>
      <c r="BI165" s="7"/>
      <c r="BJ165" s="7"/>
      <c r="BK165" s="7"/>
      <c r="BL165" s="7"/>
      <c r="BM165" s="55"/>
    </row>
    <row r="166" spans="1:65">
      <c r="A166" s="5"/>
      <c r="B166" s="5"/>
      <c r="C166" s="5"/>
      <c r="D166" s="6"/>
      <c r="E166" s="5"/>
      <c r="F166" s="5"/>
      <c r="G166" s="5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8"/>
      <c r="AF166" s="8"/>
      <c r="AG166" s="8"/>
      <c r="AH166" s="7"/>
      <c r="AI166" s="7"/>
      <c r="AJ166" s="7"/>
      <c r="AK166" s="7"/>
      <c r="AL166" s="7"/>
      <c r="AM166" s="7"/>
      <c r="AN166" s="7"/>
      <c r="AO166" s="7"/>
      <c r="AP166" s="7"/>
      <c r="AQ166" s="7"/>
      <c r="AR166" s="8"/>
      <c r="AS166" s="7"/>
      <c r="AT166" s="7"/>
      <c r="AU166" s="7"/>
      <c r="AV166" s="7"/>
      <c r="AW166" s="7"/>
      <c r="AX166" s="7"/>
      <c r="AY166" s="7"/>
      <c r="AZ166" s="7"/>
      <c r="BA166" s="7"/>
      <c r="BB166" s="7"/>
      <c r="BC166" s="7"/>
      <c r="BD166" s="7"/>
      <c r="BE166" s="7"/>
      <c r="BF166" s="7"/>
      <c r="BG166" s="7"/>
      <c r="BH166" s="7"/>
      <c r="BI166" s="7"/>
      <c r="BJ166" s="7"/>
      <c r="BK166" s="7"/>
      <c r="BL166" s="7"/>
      <c r="BM166" s="55"/>
    </row>
    <row r="167" spans="1:65">
      <c r="A167" s="5"/>
      <c r="B167" s="5"/>
      <c r="C167" s="5"/>
      <c r="D167" s="6"/>
      <c r="E167" s="5"/>
      <c r="F167" s="5"/>
      <c r="G167" s="5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8"/>
      <c r="AF167" s="8"/>
      <c r="AG167" s="8"/>
      <c r="AH167" s="7"/>
      <c r="AI167" s="7"/>
      <c r="AJ167" s="7"/>
      <c r="AK167" s="7"/>
      <c r="AL167" s="7"/>
      <c r="AM167" s="7"/>
      <c r="AN167" s="7"/>
      <c r="AO167" s="7"/>
      <c r="AP167" s="7"/>
      <c r="AQ167" s="7"/>
      <c r="AR167" s="8"/>
      <c r="AS167" s="7"/>
      <c r="AT167" s="7"/>
      <c r="AU167" s="7"/>
      <c r="AV167" s="7"/>
      <c r="AW167" s="7"/>
      <c r="AX167" s="7"/>
      <c r="AY167" s="7"/>
      <c r="AZ167" s="7"/>
      <c r="BA167" s="7"/>
      <c r="BB167" s="7"/>
      <c r="BC167" s="7"/>
      <c r="BD167" s="7"/>
      <c r="BE167" s="7"/>
      <c r="BF167" s="7"/>
      <c r="BG167" s="7"/>
      <c r="BH167" s="7"/>
      <c r="BI167" s="7"/>
      <c r="BJ167" s="7"/>
      <c r="BK167" s="7"/>
      <c r="BL167" s="7"/>
      <c r="BM167" s="55"/>
    </row>
    <row r="168" spans="1:65">
      <c r="A168" s="5"/>
      <c r="B168" s="5"/>
      <c r="C168" s="5"/>
      <c r="D168" s="6"/>
      <c r="E168" s="5"/>
      <c r="F168" s="5"/>
      <c r="G168" s="5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8"/>
      <c r="AG168" s="8"/>
      <c r="AH168" s="7"/>
      <c r="AI168" s="7"/>
      <c r="AJ168" s="7"/>
      <c r="AK168" s="7"/>
      <c r="AL168" s="7"/>
      <c r="AM168" s="7"/>
      <c r="AN168" s="7"/>
      <c r="AO168" s="7"/>
      <c r="AP168" s="7"/>
      <c r="AQ168" s="7"/>
      <c r="AR168" s="8"/>
      <c r="AS168" s="7"/>
      <c r="AT168" s="7"/>
      <c r="AU168" s="7"/>
      <c r="AV168" s="7"/>
      <c r="AW168" s="7"/>
      <c r="AX168" s="7"/>
      <c r="AY168" s="7"/>
      <c r="AZ168" s="7"/>
      <c r="BA168" s="7"/>
      <c r="BB168" s="7"/>
      <c r="BC168" s="7"/>
      <c r="BD168" s="7"/>
      <c r="BE168" s="7"/>
      <c r="BF168" s="7"/>
      <c r="BG168" s="7"/>
      <c r="BH168" s="7"/>
      <c r="BI168" s="7"/>
      <c r="BJ168" s="7"/>
      <c r="BK168" s="7"/>
      <c r="BL168" s="7"/>
      <c r="BM168" s="55"/>
    </row>
    <row r="169" spans="1:65">
      <c r="A169" s="5"/>
      <c r="B169" s="5"/>
      <c r="C169" s="5"/>
      <c r="D169" s="6"/>
      <c r="E169" s="5"/>
      <c r="F169" s="5"/>
      <c r="G169" s="5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8"/>
      <c r="AG169" s="8"/>
      <c r="AH169" s="7"/>
      <c r="AI169" s="7"/>
      <c r="AJ169" s="7"/>
      <c r="AK169" s="7"/>
      <c r="AL169" s="7"/>
      <c r="AM169" s="7"/>
      <c r="AN169" s="7"/>
      <c r="AO169" s="7"/>
      <c r="AP169" s="7"/>
      <c r="AQ169" s="7"/>
      <c r="AR169" s="7"/>
      <c r="AS169" s="7"/>
      <c r="AT169" s="7"/>
      <c r="AU169" s="7"/>
      <c r="AV169" s="7"/>
      <c r="AW169" s="7"/>
      <c r="AX169" s="7"/>
      <c r="AY169" s="7"/>
      <c r="AZ169" s="7"/>
      <c r="BA169" s="7"/>
      <c r="BB169" s="7"/>
      <c r="BC169" s="7"/>
      <c r="BD169" s="7"/>
      <c r="BE169" s="7"/>
      <c r="BF169" s="7"/>
      <c r="BG169" s="7"/>
      <c r="BH169" s="7"/>
      <c r="BI169" s="7"/>
      <c r="BJ169" s="7"/>
      <c r="BK169" s="7"/>
      <c r="BL169" s="7"/>
      <c r="BM169" s="55"/>
    </row>
    <row r="170" spans="1:65">
      <c r="A170" s="5"/>
      <c r="B170" s="5"/>
      <c r="C170" s="5"/>
      <c r="D170" s="6"/>
      <c r="E170" s="5"/>
      <c r="F170" s="5"/>
      <c r="G170" s="5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8"/>
      <c r="AG170" s="8"/>
      <c r="AH170" s="7"/>
      <c r="AI170" s="7"/>
      <c r="AJ170" s="7"/>
      <c r="AK170" s="7"/>
      <c r="AL170" s="7"/>
      <c r="AM170" s="7"/>
      <c r="AN170" s="7"/>
      <c r="AO170" s="7"/>
      <c r="AP170" s="7"/>
      <c r="AQ170" s="7"/>
      <c r="AR170" s="7"/>
      <c r="AS170" s="7"/>
      <c r="AT170" s="7"/>
      <c r="AU170" s="7"/>
      <c r="AV170" s="7"/>
      <c r="AW170" s="7"/>
      <c r="AX170" s="7"/>
      <c r="AY170" s="7"/>
      <c r="AZ170" s="7"/>
      <c r="BA170" s="7"/>
      <c r="BB170" s="7"/>
      <c r="BC170" s="7"/>
      <c r="BD170" s="7"/>
      <c r="BE170" s="7"/>
      <c r="BF170" s="7"/>
      <c r="BG170" s="7"/>
      <c r="BH170" s="7"/>
      <c r="BI170" s="7"/>
      <c r="BJ170" s="7"/>
      <c r="BK170" s="7"/>
      <c r="BL170" s="7"/>
      <c r="BM170" s="55"/>
    </row>
    <row r="171" spans="1:65">
      <c r="A171" s="5"/>
      <c r="B171" s="5"/>
      <c r="C171" s="5"/>
      <c r="D171" s="6"/>
      <c r="E171" s="5"/>
      <c r="F171" s="5"/>
      <c r="G171" s="5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8"/>
      <c r="AG171" s="8"/>
      <c r="AH171" s="7"/>
      <c r="AI171" s="7"/>
      <c r="AJ171" s="7"/>
      <c r="AK171" s="7"/>
      <c r="AL171" s="7"/>
      <c r="AM171" s="7"/>
      <c r="AN171" s="7"/>
      <c r="AO171" s="7"/>
      <c r="AP171" s="7"/>
      <c r="AQ171" s="7"/>
      <c r="AR171" s="8"/>
      <c r="AS171" s="7"/>
      <c r="AT171" s="7"/>
      <c r="AU171" s="7"/>
      <c r="AV171" s="7"/>
      <c r="AW171" s="7"/>
      <c r="AX171" s="7"/>
      <c r="AY171" s="7"/>
      <c r="AZ171" s="7"/>
      <c r="BA171" s="7"/>
      <c r="BB171" s="7"/>
      <c r="BC171" s="7"/>
      <c r="BD171" s="7"/>
      <c r="BE171" s="7"/>
      <c r="BF171" s="7"/>
      <c r="BG171" s="7"/>
      <c r="BH171" s="7"/>
      <c r="BI171" s="7"/>
      <c r="BJ171" s="7"/>
      <c r="BK171" s="7"/>
      <c r="BL171" s="7"/>
      <c r="BM171" s="55"/>
    </row>
    <row r="172" spans="1:65">
      <c r="A172" s="5"/>
      <c r="B172" s="5"/>
      <c r="C172" s="5"/>
      <c r="D172" s="6"/>
      <c r="E172" s="5"/>
      <c r="F172" s="5"/>
      <c r="G172" s="5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8"/>
      <c r="AG172" s="8"/>
      <c r="AH172" s="7"/>
      <c r="AI172" s="7"/>
      <c r="AJ172" s="7"/>
      <c r="AK172" s="7"/>
      <c r="AL172" s="7"/>
      <c r="AM172" s="7"/>
      <c r="AN172" s="7"/>
      <c r="AO172" s="7"/>
      <c r="AP172" s="7"/>
      <c r="AQ172" s="7"/>
      <c r="AR172" s="8"/>
      <c r="AS172" s="7"/>
      <c r="AT172" s="7"/>
      <c r="AU172" s="7"/>
      <c r="AV172" s="7"/>
      <c r="AW172" s="7"/>
      <c r="AX172" s="7"/>
      <c r="AY172" s="7"/>
      <c r="AZ172" s="7"/>
      <c r="BA172" s="7"/>
      <c r="BB172" s="7"/>
      <c r="BC172" s="7"/>
      <c r="BD172" s="7"/>
      <c r="BE172" s="7"/>
      <c r="BF172" s="7"/>
      <c r="BG172" s="7"/>
      <c r="BH172" s="7"/>
      <c r="BI172" s="7"/>
      <c r="BJ172" s="7"/>
      <c r="BK172" s="7"/>
      <c r="BL172" s="7"/>
      <c r="BM172" s="55"/>
    </row>
    <row r="173" spans="1:65">
      <c r="A173" s="5"/>
      <c r="B173" s="5"/>
      <c r="C173" s="5"/>
      <c r="D173" s="6"/>
      <c r="E173" s="5"/>
      <c r="F173" s="5"/>
      <c r="G173" s="5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8"/>
      <c r="AG173" s="7"/>
      <c r="AH173" s="7"/>
      <c r="AI173" s="7"/>
      <c r="AJ173" s="7"/>
      <c r="AK173" s="7"/>
      <c r="AL173" s="7"/>
      <c r="AM173" s="7"/>
      <c r="AN173" s="7"/>
      <c r="AO173" s="7"/>
      <c r="AP173" s="7"/>
      <c r="AQ173" s="7"/>
      <c r="AR173" s="8"/>
      <c r="AS173" s="7"/>
      <c r="AT173" s="7"/>
      <c r="AU173" s="7"/>
      <c r="AV173" s="7"/>
      <c r="AW173" s="7"/>
      <c r="AX173" s="7"/>
      <c r="AY173" s="7"/>
      <c r="AZ173" s="7"/>
      <c r="BA173" s="7"/>
      <c r="BB173" s="7"/>
      <c r="BC173" s="7"/>
      <c r="BD173" s="7"/>
      <c r="BE173" s="7"/>
      <c r="BF173" s="7"/>
      <c r="BG173" s="7"/>
      <c r="BH173" s="7"/>
      <c r="BI173" s="7"/>
      <c r="BJ173" s="7"/>
      <c r="BK173" s="7"/>
      <c r="BL173" s="7"/>
      <c r="BM173" s="55"/>
    </row>
    <row r="174" spans="1:65">
      <c r="A174" s="5"/>
      <c r="B174" s="5"/>
      <c r="C174" s="5"/>
      <c r="D174" s="6"/>
      <c r="E174" s="5"/>
      <c r="F174" s="5"/>
      <c r="G174" s="5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8"/>
      <c r="AD174" s="7"/>
      <c r="AE174" s="7"/>
      <c r="AF174" s="8"/>
      <c r="AG174" s="8"/>
      <c r="AH174" s="7"/>
      <c r="AI174" s="7"/>
      <c r="AJ174" s="7"/>
      <c r="AK174" s="7"/>
      <c r="AL174" s="7"/>
      <c r="AM174" s="7"/>
      <c r="AN174" s="7"/>
      <c r="AO174" s="8"/>
      <c r="AP174" s="8"/>
      <c r="AQ174" s="7"/>
      <c r="AR174" s="8"/>
      <c r="AS174" s="8"/>
      <c r="AT174" s="7"/>
      <c r="AU174" s="7"/>
      <c r="AV174" s="7"/>
      <c r="AW174" s="7"/>
      <c r="AX174" s="7"/>
      <c r="AY174" s="7"/>
      <c r="AZ174" s="7"/>
      <c r="BA174" s="7"/>
      <c r="BB174" s="7"/>
      <c r="BC174" s="7"/>
      <c r="BD174" s="7"/>
      <c r="BE174" s="7"/>
      <c r="BF174" s="7"/>
      <c r="BG174" s="7"/>
      <c r="BH174" s="7"/>
      <c r="BI174" s="7"/>
      <c r="BJ174" s="7"/>
      <c r="BK174" s="7"/>
      <c r="BL174" s="7"/>
      <c r="BM174" s="55"/>
    </row>
    <row r="175" spans="1:65">
      <c r="A175" s="5"/>
      <c r="B175" s="5"/>
      <c r="C175" s="5"/>
      <c r="D175" s="6"/>
      <c r="E175" s="5"/>
      <c r="F175" s="5"/>
      <c r="G175" s="5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8"/>
      <c r="AG175" s="8"/>
      <c r="AH175" s="7"/>
      <c r="AI175" s="7"/>
      <c r="AJ175" s="7"/>
      <c r="AK175" s="7"/>
      <c r="AL175" s="7"/>
      <c r="AM175" s="7"/>
      <c r="AN175" s="7"/>
      <c r="AO175" s="7"/>
      <c r="AP175" s="7"/>
      <c r="AQ175" s="7"/>
      <c r="AR175" s="8"/>
      <c r="AS175" s="7"/>
      <c r="AT175" s="7"/>
      <c r="AU175" s="7"/>
      <c r="AV175" s="7"/>
      <c r="AW175" s="7"/>
      <c r="AX175" s="7"/>
      <c r="AY175" s="7"/>
      <c r="AZ175" s="7"/>
      <c r="BA175" s="7"/>
      <c r="BB175" s="7"/>
      <c r="BC175" s="7"/>
      <c r="BD175" s="7"/>
      <c r="BE175" s="7"/>
      <c r="BF175" s="7"/>
      <c r="BG175" s="7"/>
      <c r="BH175" s="7"/>
      <c r="BI175" s="7"/>
      <c r="BJ175" s="7"/>
      <c r="BK175" s="7"/>
      <c r="BL175" s="7"/>
      <c r="BM175" s="55"/>
    </row>
    <row r="176" spans="1:65">
      <c r="A176" s="5"/>
      <c r="B176" s="5"/>
      <c r="C176" s="5"/>
      <c r="D176" s="6"/>
      <c r="E176" s="5"/>
      <c r="F176" s="5"/>
      <c r="G176" s="5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8"/>
      <c r="AG176" s="8"/>
      <c r="AH176" s="7"/>
      <c r="AI176" s="7"/>
      <c r="AJ176" s="7"/>
      <c r="AK176" s="7"/>
      <c r="AL176" s="7"/>
      <c r="AM176" s="7"/>
      <c r="AN176" s="7"/>
      <c r="AO176" s="7"/>
      <c r="AP176" s="7"/>
      <c r="AQ176" s="7"/>
      <c r="AR176" s="8"/>
      <c r="AS176" s="7"/>
      <c r="AT176" s="7"/>
      <c r="AU176" s="7"/>
      <c r="AV176" s="7"/>
      <c r="AW176" s="7"/>
      <c r="AX176" s="7"/>
      <c r="AY176" s="7"/>
      <c r="AZ176" s="7"/>
      <c r="BA176" s="7"/>
      <c r="BB176" s="7"/>
      <c r="BC176" s="7"/>
      <c r="BD176" s="7"/>
      <c r="BE176" s="7"/>
      <c r="BF176" s="7"/>
      <c r="BG176" s="7"/>
      <c r="BH176" s="7"/>
      <c r="BI176" s="7"/>
      <c r="BJ176" s="7"/>
      <c r="BK176" s="7"/>
      <c r="BL176" s="7"/>
      <c r="BM176" s="55"/>
    </row>
    <row r="177" spans="1:65">
      <c r="A177" s="5"/>
      <c r="B177" s="5"/>
      <c r="C177" s="5"/>
      <c r="D177" s="6"/>
      <c r="E177" s="5"/>
      <c r="F177" s="5"/>
      <c r="G177" s="5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8"/>
      <c r="AG177" s="7"/>
      <c r="AH177" s="7"/>
      <c r="AI177" s="7"/>
      <c r="AJ177" s="7"/>
      <c r="AK177" s="7"/>
      <c r="AL177" s="7"/>
      <c r="AM177" s="7"/>
      <c r="AN177" s="7"/>
      <c r="AO177" s="7"/>
      <c r="AP177" s="7"/>
      <c r="AQ177" s="7"/>
      <c r="AR177" s="8"/>
      <c r="AS177" s="7"/>
      <c r="AT177" s="7"/>
      <c r="AU177" s="7"/>
      <c r="AV177" s="7"/>
      <c r="AW177" s="7"/>
      <c r="AX177" s="7"/>
      <c r="AY177" s="7"/>
      <c r="AZ177" s="7"/>
      <c r="BA177" s="7"/>
      <c r="BB177" s="7"/>
      <c r="BC177" s="7"/>
      <c r="BD177" s="7"/>
      <c r="BE177" s="7"/>
      <c r="BF177" s="7"/>
      <c r="BG177" s="7"/>
      <c r="BH177" s="7"/>
      <c r="BI177" s="7"/>
      <c r="BJ177" s="7"/>
      <c r="BK177" s="7"/>
      <c r="BL177" s="7"/>
      <c r="BM177" s="55"/>
    </row>
    <row r="178" spans="1:65">
      <c r="A178" s="5"/>
      <c r="B178" s="5"/>
      <c r="C178" s="5"/>
      <c r="D178" s="6"/>
      <c r="E178" s="5"/>
      <c r="F178" s="5"/>
      <c r="G178" s="5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8"/>
      <c r="AG178" s="8"/>
      <c r="AH178" s="7"/>
      <c r="AI178" s="7"/>
      <c r="AJ178" s="7"/>
      <c r="AK178" s="7"/>
      <c r="AL178" s="7"/>
      <c r="AM178" s="7"/>
      <c r="AN178" s="7"/>
      <c r="AO178" s="7"/>
      <c r="AP178" s="7"/>
      <c r="AQ178" s="7"/>
      <c r="AR178" s="8"/>
      <c r="AS178" s="7"/>
      <c r="AT178" s="7"/>
      <c r="AU178" s="7"/>
      <c r="AV178" s="7"/>
      <c r="AW178" s="7"/>
      <c r="AX178" s="7"/>
      <c r="AY178" s="7"/>
      <c r="AZ178" s="7"/>
      <c r="BA178" s="7"/>
      <c r="BB178" s="7"/>
      <c r="BC178" s="7"/>
      <c r="BD178" s="7"/>
      <c r="BE178" s="7"/>
      <c r="BF178" s="7"/>
      <c r="BG178" s="7"/>
      <c r="BH178" s="7"/>
      <c r="BI178" s="7"/>
      <c r="BJ178" s="7"/>
      <c r="BK178" s="7"/>
      <c r="BL178" s="7"/>
      <c r="BM178" s="55"/>
    </row>
    <row r="179" spans="1:65">
      <c r="A179" s="5"/>
      <c r="B179" s="5"/>
      <c r="C179" s="5"/>
      <c r="D179" s="6"/>
      <c r="E179" s="5"/>
      <c r="F179" s="5"/>
      <c r="G179" s="5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8"/>
      <c r="AG179" s="7"/>
      <c r="AH179" s="7"/>
      <c r="AI179" s="7"/>
      <c r="AJ179" s="7"/>
      <c r="AK179" s="7"/>
      <c r="AL179" s="7"/>
      <c r="AM179" s="7"/>
      <c r="AN179" s="7"/>
      <c r="AO179" s="7"/>
      <c r="AP179" s="7"/>
      <c r="AQ179" s="7"/>
      <c r="AR179" s="7"/>
      <c r="AS179" s="7"/>
      <c r="AT179" s="7"/>
      <c r="AU179" s="7"/>
      <c r="AV179" s="7"/>
      <c r="AW179" s="7"/>
      <c r="AX179" s="7"/>
      <c r="AY179" s="7"/>
      <c r="AZ179" s="7"/>
      <c r="BA179" s="7"/>
      <c r="BB179" s="7"/>
      <c r="BC179" s="7"/>
      <c r="BD179" s="7"/>
      <c r="BE179" s="7"/>
      <c r="BF179" s="7"/>
      <c r="BG179" s="7"/>
      <c r="BH179" s="7"/>
      <c r="BI179" s="7"/>
      <c r="BJ179" s="7"/>
      <c r="BK179" s="7"/>
      <c r="BL179" s="7"/>
      <c r="BM179" s="55"/>
    </row>
    <row r="180" spans="1:65">
      <c r="A180" s="5"/>
      <c r="B180" s="5"/>
      <c r="C180" s="5"/>
      <c r="D180" s="6"/>
      <c r="E180" s="5"/>
      <c r="F180" s="5"/>
      <c r="G180" s="5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8"/>
      <c r="AG180" s="7"/>
      <c r="AH180" s="7"/>
      <c r="AI180" s="7"/>
      <c r="AJ180" s="7"/>
      <c r="AK180" s="7"/>
      <c r="AL180" s="7"/>
      <c r="AM180" s="7"/>
      <c r="AN180" s="7"/>
      <c r="AO180" s="7"/>
      <c r="AP180" s="7"/>
      <c r="AQ180" s="7"/>
      <c r="AR180" s="8"/>
      <c r="AS180" s="7"/>
      <c r="AT180" s="7"/>
      <c r="AU180" s="7"/>
      <c r="AV180" s="7"/>
      <c r="AW180" s="7"/>
      <c r="AX180" s="7"/>
      <c r="AY180" s="7"/>
      <c r="AZ180" s="7"/>
      <c r="BA180" s="7"/>
      <c r="BB180" s="7"/>
      <c r="BC180" s="7"/>
      <c r="BD180" s="7"/>
      <c r="BE180" s="7"/>
      <c r="BF180" s="7"/>
      <c r="BG180" s="7"/>
      <c r="BH180" s="7"/>
      <c r="BI180" s="7"/>
      <c r="BJ180" s="7"/>
      <c r="BK180" s="7"/>
      <c r="BL180" s="7"/>
      <c r="BM180" s="55"/>
    </row>
    <row r="181" spans="1:65">
      <c r="A181" s="5"/>
      <c r="B181" s="5"/>
      <c r="C181" s="5"/>
      <c r="D181" s="6"/>
      <c r="E181" s="5"/>
      <c r="F181" s="5"/>
      <c r="G181" s="5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8"/>
      <c r="AG181" s="7"/>
      <c r="AH181" s="7"/>
      <c r="AI181" s="7"/>
      <c r="AJ181" s="7"/>
      <c r="AK181" s="7"/>
      <c r="AL181" s="7"/>
      <c r="AM181" s="7"/>
      <c r="AN181" s="7"/>
      <c r="AO181" s="7"/>
      <c r="AP181" s="7"/>
      <c r="AQ181" s="7"/>
      <c r="AR181" s="7"/>
      <c r="AS181" s="7"/>
      <c r="AT181" s="7"/>
      <c r="AU181" s="7"/>
      <c r="AV181" s="7"/>
      <c r="AW181" s="7"/>
      <c r="AX181" s="7"/>
      <c r="AY181" s="7"/>
      <c r="AZ181" s="7"/>
      <c r="BA181" s="7"/>
      <c r="BB181" s="7"/>
      <c r="BC181" s="7"/>
      <c r="BD181" s="7"/>
      <c r="BE181" s="7"/>
      <c r="BF181" s="7"/>
      <c r="BG181" s="7"/>
      <c r="BH181" s="7"/>
      <c r="BI181" s="7"/>
      <c r="BJ181" s="7"/>
      <c r="BK181" s="7"/>
      <c r="BL181" s="7"/>
      <c r="BM181" s="55"/>
    </row>
    <row r="182" spans="1:65">
      <c r="A182" s="5"/>
      <c r="B182" s="5"/>
      <c r="C182" s="5"/>
      <c r="D182" s="6"/>
      <c r="E182" s="5"/>
      <c r="F182" s="5"/>
      <c r="G182" s="5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8"/>
      <c r="AD182" s="8"/>
      <c r="AE182" s="7"/>
      <c r="AF182" s="7"/>
      <c r="AG182" s="8"/>
      <c r="AH182" s="7"/>
      <c r="AI182" s="7"/>
      <c r="AJ182" s="7"/>
      <c r="AK182" s="7"/>
      <c r="AL182" s="7"/>
      <c r="AM182" s="7"/>
      <c r="AN182" s="7"/>
      <c r="AO182" s="8"/>
      <c r="AP182" s="7"/>
      <c r="AQ182" s="7"/>
      <c r="AR182" s="7"/>
      <c r="AS182" s="7"/>
      <c r="AT182" s="7"/>
      <c r="AU182" s="7"/>
      <c r="AV182" s="7"/>
      <c r="AW182" s="7"/>
      <c r="AX182" s="7"/>
      <c r="AY182" s="7"/>
      <c r="AZ182" s="7"/>
      <c r="BA182" s="7"/>
      <c r="BB182" s="7"/>
      <c r="BC182" s="7"/>
      <c r="BD182" s="7"/>
      <c r="BE182" s="7"/>
      <c r="BF182" s="7"/>
      <c r="BG182" s="7"/>
      <c r="BH182" s="7"/>
      <c r="BI182" s="7"/>
      <c r="BJ182" s="7"/>
      <c r="BK182" s="7"/>
      <c r="BL182" s="7"/>
      <c r="BM182" s="55"/>
    </row>
    <row r="183" spans="1:65">
      <c r="A183" s="5"/>
      <c r="B183" s="5"/>
      <c r="C183" s="5"/>
      <c r="D183" s="6"/>
      <c r="E183" s="5"/>
      <c r="F183" s="5"/>
      <c r="G183" s="5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8"/>
      <c r="AG183" s="8"/>
      <c r="AH183" s="7"/>
      <c r="AI183" s="7"/>
      <c r="AJ183" s="7"/>
      <c r="AK183" s="7"/>
      <c r="AL183" s="7"/>
      <c r="AM183" s="7"/>
      <c r="AN183" s="7"/>
      <c r="AO183" s="7"/>
      <c r="AP183" s="7"/>
      <c r="AQ183" s="7"/>
      <c r="AR183" s="8"/>
      <c r="AS183" s="7"/>
      <c r="AT183" s="7"/>
      <c r="AU183" s="7"/>
      <c r="AV183" s="7"/>
      <c r="AW183" s="7"/>
      <c r="AX183" s="7"/>
      <c r="AY183" s="7"/>
      <c r="AZ183" s="7"/>
      <c r="BA183" s="7"/>
      <c r="BB183" s="7"/>
      <c r="BC183" s="7"/>
      <c r="BD183" s="7"/>
      <c r="BE183" s="7"/>
      <c r="BF183" s="7"/>
      <c r="BG183" s="7"/>
      <c r="BH183" s="7"/>
      <c r="BI183" s="7"/>
      <c r="BJ183" s="7"/>
      <c r="BK183" s="7"/>
      <c r="BL183" s="7"/>
      <c r="BM183" s="55"/>
    </row>
    <row r="184" spans="1:65">
      <c r="A184" s="5"/>
      <c r="B184" s="5"/>
      <c r="C184" s="5"/>
      <c r="D184" s="6"/>
      <c r="E184" s="5"/>
      <c r="F184" s="5"/>
      <c r="G184" s="5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8"/>
      <c r="AG184" s="7"/>
      <c r="AH184" s="7"/>
      <c r="AI184" s="7"/>
      <c r="AJ184" s="7"/>
      <c r="AK184" s="7"/>
      <c r="AL184" s="7"/>
      <c r="AM184" s="7"/>
      <c r="AN184" s="7"/>
      <c r="AO184" s="7"/>
      <c r="AP184" s="7"/>
      <c r="AQ184" s="7"/>
      <c r="AR184" s="8"/>
      <c r="AS184" s="7"/>
      <c r="AT184" s="7"/>
      <c r="AU184" s="7"/>
      <c r="AV184" s="7"/>
      <c r="AW184" s="7"/>
      <c r="AX184" s="7"/>
      <c r="AY184" s="7"/>
      <c r="AZ184" s="7"/>
      <c r="BA184" s="7"/>
      <c r="BB184" s="7"/>
      <c r="BC184" s="7"/>
      <c r="BD184" s="7"/>
      <c r="BE184" s="7"/>
      <c r="BF184" s="7"/>
      <c r="BG184" s="7"/>
      <c r="BH184" s="7"/>
      <c r="BI184" s="7"/>
      <c r="BJ184" s="7"/>
      <c r="BK184" s="7"/>
      <c r="BL184" s="7"/>
      <c r="BM184" s="55"/>
    </row>
    <row r="185" spans="1:65">
      <c r="A185" s="5"/>
      <c r="B185" s="5"/>
      <c r="C185" s="5"/>
      <c r="D185" s="6"/>
      <c r="E185" s="5"/>
      <c r="F185" s="5"/>
      <c r="G185" s="5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8"/>
      <c r="AG185" s="8"/>
      <c r="AH185" s="7"/>
      <c r="AI185" s="7"/>
      <c r="AJ185" s="7"/>
      <c r="AK185" s="7"/>
      <c r="AL185" s="7"/>
      <c r="AM185" s="7"/>
      <c r="AN185" s="7"/>
      <c r="AO185" s="7"/>
      <c r="AP185" s="7"/>
      <c r="AQ185" s="7"/>
      <c r="AR185" s="7"/>
      <c r="AS185" s="7"/>
      <c r="AT185" s="7"/>
      <c r="AU185" s="7"/>
      <c r="AV185" s="7"/>
      <c r="AW185" s="7"/>
      <c r="AX185" s="7"/>
      <c r="AY185" s="7"/>
      <c r="AZ185" s="7"/>
      <c r="BA185" s="7"/>
      <c r="BB185" s="7"/>
      <c r="BC185" s="7"/>
      <c r="BD185" s="7"/>
      <c r="BE185" s="7"/>
      <c r="BF185" s="7"/>
      <c r="BG185" s="7"/>
      <c r="BH185" s="7"/>
      <c r="BI185" s="7"/>
      <c r="BJ185" s="7"/>
      <c r="BK185" s="7"/>
      <c r="BL185" s="7"/>
      <c r="BM185" s="55"/>
    </row>
    <row r="186" spans="1:65">
      <c r="A186" s="5"/>
      <c r="B186" s="5"/>
      <c r="C186" s="5"/>
      <c r="D186" s="6"/>
      <c r="E186" s="5"/>
      <c r="F186" s="5"/>
      <c r="G186" s="5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8"/>
      <c r="AG186" s="7"/>
      <c r="AH186" s="7"/>
      <c r="AI186" s="7"/>
      <c r="AJ186" s="7"/>
      <c r="AK186" s="7"/>
      <c r="AL186" s="7"/>
      <c r="AM186" s="7"/>
      <c r="AN186" s="7"/>
      <c r="AO186" s="7"/>
      <c r="AP186" s="7"/>
      <c r="AQ186" s="7"/>
      <c r="AR186" s="7"/>
      <c r="AS186" s="7"/>
      <c r="AT186" s="7"/>
      <c r="AU186" s="7"/>
      <c r="AV186" s="7"/>
      <c r="AW186" s="7"/>
      <c r="AX186" s="7"/>
      <c r="AY186" s="7"/>
      <c r="AZ186" s="7"/>
      <c r="BA186" s="7"/>
      <c r="BB186" s="7"/>
      <c r="BC186" s="7"/>
      <c r="BD186" s="7"/>
      <c r="BE186" s="7"/>
      <c r="BF186" s="7"/>
      <c r="BG186" s="7"/>
      <c r="BH186" s="7"/>
      <c r="BI186" s="7"/>
      <c r="BJ186" s="7"/>
      <c r="BK186" s="7"/>
      <c r="BL186" s="7"/>
      <c r="BM186" s="55"/>
    </row>
    <row r="187" spans="1:65">
      <c r="A187" s="5"/>
      <c r="B187" s="5"/>
      <c r="C187" s="5"/>
      <c r="D187" s="6"/>
      <c r="E187" s="5"/>
      <c r="F187" s="5"/>
      <c r="G187" s="5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8"/>
      <c r="AG187" s="8"/>
      <c r="AH187" s="7"/>
      <c r="AI187" s="7"/>
      <c r="AJ187" s="7"/>
      <c r="AK187" s="7"/>
      <c r="AL187" s="7"/>
      <c r="AM187" s="7"/>
      <c r="AN187" s="7"/>
      <c r="AO187" s="7"/>
      <c r="AP187" s="7"/>
      <c r="AQ187" s="7"/>
      <c r="AR187" s="7"/>
      <c r="AS187" s="7"/>
      <c r="AT187" s="7"/>
      <c r="AU187" s="7"/>
      <c r="AV187" s="7"/>
      <c r="AW187" s="7"/>
      <c r="AX187" s="7"/>
      <c r="AY187" s="7"/>
      <c r="AZ187" s="7"/>
      <c r="BA187" s="7"/>
      <c r="BB187" s="7"/>
      <c r="BC187" s="7"/>
      <c r="BD187" s="7"/>
      <c r="BE187" s="7"/>
      <c r="BF187" s="7"/>
      <c r="BG187" s="7"/>
      <c r="BH187" s="7"/>
      <c r="BI187" s="7"/>
      <c r="BJ187" s="7"/>
      <c r="BK187" s="7"/>
      <c r="BL187" s="7"/>
      <c r="BM187" s="55"/>
    </row>
    <row r="188" spans="1:65">
      <c r="A188" s="5"/>
      <c r="B188" s="5"/>
      <c r="C188" s="5"/>
      <c r="D188" s="6"/>
      <c r="E188" s="5"/>
      <c r="F188" s="5"/>
      <c r="G188" s="5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8"/>
      <c r="AG188" s="8"/>
      <c r="AH188" s="7"/>
      <c r="AI188" s="7"/>
      <c r="AJ188" s="7"/>
      <c r="AK188" s="7"/>
      <c r="AL188" s="7"/>
      <c r="AM188" s="7"/>
      <c r="AN188" s="7"/>
      <c r="AO188" s="7"/>
      <c r="AP188" s="7"/>
      <c r="AQ188" s="7"/>
      <c r="AR188" s="8"/>
      <c r="AS188" s="7"/>
      <c r="AT188" s="7"/>
      <c r="AU188" s="7"/>
      <c r="AV188" s="7"/>
      <c r="AW188" s="7"/>
      <c r="AX188" s="7"/>
      <c r="AY188" s="7"/>
      <c r="AZ188" s="7"/>
      <c r="BA188" s="7"/>
      <c r="BB188" s="7"/>
      <c r="BC188" s="7"/>
      <c r="BD188" s="7"/>
      <c r="BE188" s="7"/>
      <c r="BF188" s="7"/>
      <c r="BG188" s="7"/>
      <c r="BH188" s="7"/>
      <c r="BI188" s="7"/>
      <c r="BJ188" s="7"/>
      <c r="BK188" s="7"/>
      <c r="BL188" s="7"/>
      <c r="BM188" s="55"/>
    </row>
    <row r="189" spans="1:65">
      <c r="A189" s="5"/>
      <c r="B189" s="5"/>
      <c r="C189" s="5"/>
      <c r="D189" s="6"/>
      <c r="E189" s="5"/>
      <c r="F189" s="5"/>
      <c r="G189" s="5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8"/>
      <c r="AG189" s="8"/>
      <c r="AH189" s="7"/>
      <c r="AI189" s="7"/>
      <c r="AJ189" s="7"/>
      <c r="AK189" s="7"/>
      <c r="AL189" s="7"/>
      <c r="AM189" s="7"/>
      <c r="AN189" s="7"/>
      <c r="AO189" s="7"/>
      <c r="AP189" s="7"/>
      <c r="AQ189" s="7"/>
      <c r="AR189" s="7"/>
      <c r="AS189" s="7"/>
      <c r="AT189" s="7"/>
      <c r="AU189" s="7"/>
      <c r="AV189" s="7"/>
      <c r="AW189" s="7"/>
      <c r="AX189" s="7"/>
      <c r="AY189" s="7"/>
      <c r="AZ189" s="7"/>
      <c r="BA189" s="7"/>
      <c r="BB189" s="7"/>
      <c r="BC189" s="7"/>
      <c r="BD189" s="7"/>
      <c r="BE189" s="7"/>
      <c r="BF189" s="7"/>
      <c r="BG189" s="7"/>
      <c r="BH189" s="7"/>
      <c r="BI189" s="7"/>
      <c r="BJ189" s="7"/>
      <c r="BK189" s="7"/>
      <c r="BL189" s="7"/>
      <c r="BM189" s="55"/>
    </row>
    <row r="190" spans="1:65">
      <c r="A190" s="5"/>
      <c r="B190" s="5"/>
      <c r="C190" s="5"/>
      <c r="D190" s="6"/>
      <c r="E190" s="5"/>
      <c r="F190" s="5"/>
      <c r="G190" s="5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8"/>
      <c r="AG190" s="8"/>
      <c r="AH190" s="7"/>
      <c r="AI190" s="7"/>
      <c r="AJ190" s="7"/>
      <c r="AK190" s="7"/>
      <c r="AL190" s="7"/>
      <c r="AM190" s="7"/>
      <c r="AN190" s="7"/>
      <c r="AO190" s="7"/>
      <c r="AP190" s="7"/>
      <c r="AQ190" s="7"/>
      <c r="AR190" s="7"/>
      <c r="AS190" s="7"/>
      <c r="AT190" s="7"/>
      <c r="AU190" s="7"/>
      <c r="AV190" s="7"/>
      <c r="AW190" s="7"/>
      <c r="AX190" s="7"/>
      <c r="AY190" s="7"/>
      <c r="AZ190" s="7"/>
      <c r="BA190" s="7"/>
      <c r="BB190" s="7"/>
      <c r="BC190" s="7"/>
      <c r="BD190" s="7"/>
      <c r="BE190" s="7"/>
      <c r="BF190" s="7"/>
      <c r="BG190" s="7"/>
      <c r="BH190" s="7"/>
      <c r="BI190" s="7"/>
      <c r="BJ190" s="7"/>
      <c r="BK190" s="7"/>
      <c r="BL190" s="7"/>
      <c r="BM190" s="55"/>
    </row>
    <row r="191" spans="1:65">
      <c r="A191" s="5"/>
      <c r="B191" s="5"/>
      <c r="C191" s="5"/>
      <c r="D191" s="6"/>
      <c r="E191" s="5"/>
      <c r="F191" s="5"/>
      <c r="G191" s="5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8"/>
      <c r="AG191" s="7"/>
      <c r="AH191" s="7"/>
      <c r="AI191" s="7"/>
      <c r="AJ191" s="7"/>
      <c r="AK191" s="7"/>
      <c r="AL191" s="7"/>
      <c r="AM191" s="7"/>
      <c r="AN191" s="7"/>
      <c r="AO191" s="7"/>
      <c r="AP191" s="7"/>
      <c r="AQ191" s="7"/>
      <c r="AR191" s="8"/>
      <c r="AS191" s="7"/>
      <c r="AT191" s="7"/>
      <c r="AU191" s="7"/>
      <c r="AV191" s="7"/>
      <c r="AW191" s="7"/>
      <c r="AX191" s="7"/>
      <c r="AY191" s="7"/>
      <c r="AZ191" s="7"/>
      <c r="BA191" s="7"/>
      <c r="BB191" s="7"/>
      <c r="BC191" s="7"/>
      <c r="BD191" s="7"/>
      <c r="BE191" s="7"/>
      <c r="BF191" s="7"/>
      <c r="BG191" s="7"/>
      <c r="BH191" s="7"/>
      <c r="BI191" s="7"/>
      <c r="BJ191" s="7"/>
      <c r="BK191" s="7"/>
      <c r="BL191" s="7"/>
      <c r="BM191" s="55"/>
    </row>
    <row r="192" spans="1:65">
      <c r="A192" s="5"/>
      <c r="B192" s="5"/>
      <c r="C192" s="5"/>
      <c r="D192" s="6"/>
      <c r="E192" s="5"/>
      <c r="F192" s="5"/>
      <c r="G192" s="5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8"/>
      <c r="AG192" s="8"/>
      <c r="AH192" s="7"/>
      <c r="AI192" s="7"/>
      <c r="AJ192" s="7"/>
      <c r="AK192" s="7"/>
      <c r="AL192" s="7"/>
      <c r="AM192" s="7"/>
      <c r="AN192" s="7"/>
      <c r="AO192" s="7"/>
      <c r="AP192" s="7"/>
      <c r="AQ192" s="7"/>
      <c r="AR192" s="8"/>
      <c r="AS192" s="7"/>
      <c r="AT192" s="7"/>
      <c r="AU192" s="7"/>
      <c r="AV192" s="7"/>
      <c r="AW192" s="7"/>
      <c r="AX192" s="7"/>
      <c r="AY192" s="7"/>
      <c r="AZ192" s="7"/>
      <c r="BA192" s="7"/>
      <c r="BB192" s="7"/>
      <c r="BC192" s="7"/>
      <c r="BD192" s="7"/>
      <c r="BE192" s="7"/>
      <c r="BF192" s="7"/>
      <c r="BG192" s="7"/>
      <c r="BH192" s="7"/>
      <c r="BI192" s="7"/>
      <c r="BJ192" s="7"/>
      <c r="BK192" s="7"/>
      <c r="BL192" s="7"/>
      <c r="BM192" s="55"/>
    </row>
    <row r="193" spans="1:65">
      <c r="A193" s="5"/>
      <c r="B193" s="5"/>
      <c r="C193" s="5"/>
      <c r="D193" s="6"/>
      <c r="E193" s="5"/>
      <c r="F193" s="5"/>
      <c r="G193" s="5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8"/>
      <c r="AG193" s="8"/>
      <c r="AH193" s="7"/>
      <c r="AI193" s="7"/>
      <c r="AJ193" s="7"/>
      <c r="AK193" s="7"/>
      <c r="AL193" s="7"/>
      <c r="AM193" s="7"/>
      <c r="AN193" s="7"/>
      <c r="AO193" s="7"/>
      <c r="AP193" s="7"/>
      <c r="AQ193" s="7"/>
      <c r="AR193" s="8"/>
      <c r="AS193" s="7"/>
      <c r="AT193" s="7"/>
      <c r="AU193" s="7"/>
      <c r="AV193" s="7"/>
      <c r="AW193" s="7"/>
      <c r="AX193" s="7"/>
      <c r="AY193" s="7"/>
      <c r="AZ193" s="7"/>
      <c r="BA193" s="7"/>
      <c r="BB193" s="7"/>
      <c r="BC193" s="7"/>
      <c r="BD193" s="7"/>
      <c r="BE193" s="7"/>
      <c r="BF193" s="7"/>
      <c r="BG193" s="7"/>
      <c r="BH193" s="7"/>
      <c r="BI193" s="7"/>
      <c r="BJ193" s="7"/>
      <c r="BK193" s="7"/>
      <c r="BL193" s="7"/>
      <c r="BM193" s="55"/>
    </row>
    <row r="194" spans="1:65">
      <c r="A194" s="5"/>
      <c r="B194" s="5"/>
      <c r="C194" s="5"/>
      <c r="D194" s="6"/>
      <c r="E194" s="5"/>
      <c r="F194" s="5"/>
      <c r="G194" s="5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8"/>
      <c r="AG194" s="8"/>
      <c r="AH194" s="7"/>
      <c r="AI194" s="7"/>
      <c r="AJ194" s="7"/>
      <c r="AK194" s="7"/>
      <c r="AL194" s="7"/>
      <c r="AM194" s="7"/>
      <c r="AN194" s="7"/>
      <c r="AO194" s="7"/>
      <c r="AP194" s="7"/>
      <c r="AQ194" s="7"/>
      <c r="AR194" s="7"/>
      <c r="AS194" s="7"/>
      <c r="AT194" s="7"/>
      <c r="AU194" s="7"/>
      <c r="AV194" s="7"/>
      <c r="AW194" s="7"/>
      <c r="AX194" s="7"/>
      <c r="AY194" s="7"/>
      <c r="AZ194" s="7"/>
      <c r="BA194" s="7"/>
      <c r="BB194" s="7"/>
      <c r="BC194" s="7"/>
      <c r="BD194" s="7"/>
      <c r="BE194" s="7"/>
      <c r="BF194" s="7"/>
      <c r="BG194" s="7"/>
      <c r="BH194" s="7"/>
      <c r="BI194" s="7"/>
      <c r="BJ194" s="7"/>
      <c r="BK194" s="7"/>
      <c r="BL194" s="7"/>
      <c r="BM194" s="55"/>
    </row>
    <row r="195" spans="1:65">
      <c r="A195" s="5"/>
      <c r="B195" s="5"/>
      <c r="C195" s="5"/>
      <c r="D195" s="6"/>
      <c r="E195" s="5"/>
      <c r="F195" s="5"/>
      <c r="G195" s="5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8"/>
      <c r="AG195" s="7"/>
      <c r="AH195" s="7"/>
      <c r="AI195" s="7"/>
      <c r="AJ195" s="7"/>
      <c r="AK195" s="7"/>
      <c r="AL195" s="7"/>
      <c r="AM195" s="7"/>
      <c r="AN195" s="7"/>
      <c r="AO195" s="7"/>
      <c r="AP195" s="7"/>
      <c r="AQ195" s="7"/>
      <c r="AR195" s="7"/>
      <c r="AS195" s="7"/>
      <c r="AT195" s="7"/>
      <c r="AU195" s="7"/>
      <c r="AV195" s="7"/>
      <c r="AW195" s="7"/>
      <c r="AX195" s="7"/>
      <c r="AY195" s="7"/>
      <c r="AZ195" s="7"/>
      <c r="BA195" s="7"/>
      <c r="BB195" s="7"/>
      <c r="BC195" s="7"/>
      <c r="BD195" s="7"/>
      <c r="BE195" s="7"/>
      <c r="BF195" s="7"/>
      <c r="BG195" s="7"/>
      <c r="BH195" s="7"/>
      <c r="BI195" s="7"/>
      <c r="BJ195" s="7"/>
      <c r="BK195" s="7"/>
      <c r="BL195" s="7"/>
      <c r="BM195" s="55"/>
    </row>
    <row r="196" spans="1:65">
      <c r="A196" s="5"/>
      <c r="B196" s="5"/>
      <c r="C196" s="5"/>
      <c r="D196" s="6"/>
      <c r="E196" s="5"/>
      <c r="F196" s="5"/>
      <c r="G196" s="5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8"/>
      <c r="AG196" s="8"/>
      <c r="AH196" s="7"/>
      <c r="AI196" s="7"/>
      <c r="AJ196" s="7"/>
      <c r="AK196" s="7"/>
      <c r="AL196" s="7"/>
      <c r="AM196" s="7"/>
      <c r="AN196" s="7"/>
      <c r="AO196" s="7"/>
      <c r="AP196" s="7"/>
      <c r="AQ196" s="7"/>
      <c r="AR196" s="8"/>
      <c r="AS196" s="7"/>
      <c r="AT196" s="7"/>
      <c r="AU196" s="7"/>
      <c r="AV196" s="7"/>
      <c r="AW196" s="7"/>
      <c r="AX196" s="7"/>
      <c r="AY196" s="7"/>
      <c r="AZ196" s="7"/>
      <c r="BA196" s="7"/>
      <c r="BB196" s="7"/>
      <c r="BC196" s="7"/>
      <c r="BD196" s="7"/>
      <c r="BE196" s="7"/>
      <c r="BF196" s="7"/>
      <c r="BG196" s="7"/>
      <c r="BH196" s="7"/>
      <c r="BI196" s="7"/>
      <c r="BJ196" s="7"/>
      <c r="BK196" s="7"/>
      <c r="BL196" s="7"/>
      <c r="BM196" s="55"/>
    </row>
    <row r="197" spans="1:65">
      <c r="A197" s="5"/>
      <c r="B197" s="5"/>
      <c r="C197" s="5"/>
      <c r="D197" s="6"/>
      <c r="E197" s="5"/>
      <c r="F197" s="5"/>
      <c r="G197" s="5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8"/>
      <c r="AG197" s="8"/>
      <c r="AH197" s="7"/>
      <c r="AI197" s="7"/>
      <c r="AJ197" s="7"/>
      <c r="AK197" s="7"/>
      <c r="AL197" s="7"/>
      <c r="AM197" s="7"/>
      <c r="AN197" s="7"/>
      <c r="AO197" s="7"/>
      <c r="AP197" s="7"/>
      <c r="AQ197" s="7"/>
      <c r="AR197" s="7"/>
      <c r="AS197" s="7"/>
      <c r="AT197" s="7"/>
      <c r="AU197" s="7"/>
      <c r="AV197" s="7"/>
      <c r="AW197" s="7"/>
      <c r="AX197" s="7"/>
      <c r="AY197" s="7"/>
      <c r="AZ197" s="7"/>
      <c r="BA197" s="7"/>
      <c r="BB197" s="7"/>
      <c r="BC197" s="7"/>
      <c r="BD197" s="7"/>
      <c r="BE197" s="7"/>
      <c r="BF197" s="7"/>
      <c r="BG197" s="7"/>
      <c r="BH197" s="7"/>
      <c r="BI197" s="7"/>
      <c r="BJ197" s="7"/>
      <c r="BK197" s="7"/>
      <c r="BL197" s="7"/>
      <c r="BM197" s="55"/>
    </row>
    <row r="198" spans="1:65">
      <c r="A198" s="5"/>
      <c r="B198" s="5"/>
      <c r="C198" s="5"/>
      <c r="D198" s="6"/>
      <c r="E198" s="5"/>
      <c r="F198" s="5"/>
      <c r="G198" s="5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8"/>
      <c r="AG198" s="7"/>
      <c r="AH198" s="7"/>
      <c r="AI198" s="7"/>
      <c r="AJ198" s="7"/>
      <c r="AK198" s="7"/>
      <c r="AL198" s="7"/>
      <c r="AM198" s="7"/>
      <c r="AN198" s="7"/>
      <c r="AO198" s="7"/>
      <c r="AP198" s="7"/>
      <c r="AQ198" s="7"/>
      <c r="AR198" s="8"/>
      <c r="AS198" s="7"/>
      <c r="AT198" s="7"/>
      <c r="AU198" s="7"/>
      <c r="AV198" s="7"/>
      <c r="AW198" s="7"/>
      <c r="AX198" s="7"/>
      <c r="AY198" s="7"/>
      <c r="AZ198" s="7"/>
      <c r="BA198" s="7"/>
      <c r="BB198" s="7"/>
      <c r="BC198" s="7"/>
      <c r="BD198" s="7"/>
      <c r="BE198" s="7"/>
      <c r="BF198" s="7"/>
      <c r="BG198" s="7"/>
      <c r="BH198" s="7"/>
      <c r="BI198" s="7"/>
      <c r="BJ198" s="7"/>
      <c r="BK198" s="7"/>
      <c r="BL198" s="7"/>
      <c r="BM198" s="55"/>
    </row>
    <row r="199" spans="1:65">
      <c r="A199" s="5"/>
      <c r="B199" s="5"/>
      <c r="C199" s="5"/>
      <c r="D199" s="6"/>
      <c r="E199" s="5"/>
      <c r="F199" s="5"/>
      <c r="G199" s="5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8"/>
      <c r="AG199" s="7"/>
      <c r="AH199" s="7"/>
      <c r="AI199" s="7"/>
      <c r="AJ199" s="7"/>
      <c r="AK199" s="7"/>
      <c r="AL199" s="7"/>
      <c r="AM199" s="7"/>
      <c r="AN199" s="7"/>
      <c r="AO199" s="7"/>
      <c r="AP199" s="7"/>
      <c r="AQ199" s="7"/>
      <c r="AR199" s="7"/>
      <c r="AS199" s="7"/>
      <c r="AT199" s="7"/>
      <c r="AU199" s="7"/>
      <c r="AV199" s="7"/>
      <c r="AW199" s="7"/>
      <c r="AX199" s="7"/>
      <c r="AY199" s="7"/>
      <c r="AZ199" s="7"/>
      <c r="BA199" s="7"/>
      <c r="BB199" s="7"/>
      <c r="BC199" s="7"/>
      <c r="BD199" s="7"/>
      <c r="BE199" s="7"/>
      <c r="BF199" s="7"/>
      <c r="BG199" s="7"/>
      <c r="BH199" s="7"/>
      <c r="BI199" s="7"/>
      <c r="BJ199" s="7"/>
      <c r="BK199" s="7"/>
      <c r="BL199" s="7"/>
      <c r="BM199" s="55"/>
    </row>
    <row r="200" spans="1:65">
      <c r="A200" s="5"/>
      <c r="B200" s="5"/>
      <c r="C200" s="5"/>
      <c r="D200" s="6"/>
      <c r="E200" s="5"/>
      <c r="F200" s="5"/>
      <c r="G200" s="5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8"/>
      <c r="AG200" s="7"/>
      <c r="AH200" s="7"/>
      <c r="AI200" s="7"/>
      <c r="AJ200" s="7"/>
      <c r="AK200" s="7"/>
      <c r="AL200" s="7"/>
      <c r="AM200" s="7"/>
      <c r="AN200" s="7"/>
      <c r="AO200" s="7"/>
      <c r="AP200" s="7"/>
      <c r="AQ200" s="7"/>
      <c r="AR200" s="7"/>
      <c r="AS200" s="7"/>
      <c r="AT200" s="7"/>
      <c r="AU200" s="7"/>
      <c r="AV200" s="7"/>
      <c r="AW200" s="7"/>
      <c r="AX200" s="7"/>
      <c r="AY200" s="7"/>
      <c r="AZ200" s="7"/>
      <c r="BA200" s="7"/>
      <c r="BB200" s="7"/>
      <c r="BC200" s="7"/>
      <c r="BD200" s="7"/>
      <c r="BE200" s="7"/>
      <c r="BF200" s="7"/>
      <c r="BG200" s="7"/>
      <c r="BH200" s="7"/>
      <c r="BI200" s="7"/>
      <c r="BJ200" s="7"/>
      <c r="BK200" s="7"/>
      <c r="BL200" s="7"/>
      <c r="BM200" s="55"/>
    </row>
    <row r="201" spans="1:65">
      <c r="A201" s="5"/>
      <c r="B201" s="5"/>
      <c r="C201" s="5"/>
      <c r="D201" s="6"/>
      <c r="E201" s="5"/>
      <c r="F201" s="5"/>
      <c r="G201" s="5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8"/>
      <c r="AG201" s="7"/>
      <c r="AH201" s="7"/>
      <c r="AI201" s="7"/>
      <c r="AJ201" s="7"/>
      <c r="AK201" s="7"/>
      <c r="AL201" s="7"/>
      <c r="AM201" s="7"/>
      <c r="AN201" s="7"/>
      <c r="AO201" s="7"/>
      <c r="AP201" s="7"/>
      <c r="AQ201" s="7"/>
      <c r="AR201" s="7"/>
      <c r="AS201" s="7"/>
      <c r="AT201" s="7"/>
      <c r="AU201" s="7"/>
      <c r="AV201" s="7"/>
      <c r="AW201" s="7"/>
      <c r="AX201" s="7"/>
      <c r="AY201" s="7"/>
      <c r="AZ201" s="7"/>
      <c r="BA201" s="7"/>
      <c r="BB201" s="7"/>
      <c r="BC201" s="7"/>
      <c r="BD201" s="7"/>
      <c r="BE201" s="7"/>
      <c r="BF201" s="7"/>
      <c r="BG201" s="7"/>
      <c r="BH201" s="7"/>
      <c r="BI201" s="7"/>
      <c r="BJ201" s="7"/>
      <c r="BK201" s="7"/>
      <c r="BL201" s="7"/>
      <c r="BM201" s="55"/>
    </row>
    <row r="202" spans="1:65">
      <c r="A202" s="5"/>
      <c r="B202" s="5"/>
      <c r="C202" s="5"/>
      <c r="D202" s="6"/>
      <c r="E202" s="5"/>
      <c r="F202" s="5"/>
      <c r="G202" s="5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8"/>
      <c r="AG202" s="8"/>
      <c r="AH202" s="7"/>
      <c r="AI202" s="7"/>
      <c r="AJ202" s="7"/>
      <c r="AK202" s="7"/>
      <c r="AL202" s="7"/>
      <c r="AM202" s="7"/>
      <c r="AN202" s="7"/>
      <c r="AO202" s="7"/>
      <c r="AP202" s="7"/>
      <c r="AQ202" s="7"/>
      <c r="AR202" s="7"/>
      <c r="AS202" s="7"/>
      <c r="AT202" s="7"/>
      <c r="AU202" s="7"/>
      <c r="AV202" s="7"/>
      <c r="AW202" s="7"/>
      <c r="AX202" s="7"/>
      <c r="AY202" s="7"/>
      <c r="AZ202" s="7"/>
      <c r="BA202" s="7"/>
      <c r="BB202" s="7"/>
      <c r="BC202" s="7"/>
      <c r="BD202" s="7"/>
      <c r="BE202" s="7"/>
      <c r="BF202" s="7"/>
      <c r="BG202" s="7"/>
      <c r="BH202" s="7"/>
      <c r="BI202" s="7"/>
      <c r="BJ202" s="7"/>
      <c r="BK202" s="7"/>
      <c r="BL202" s="7"/>
      <c r="BM202" s="55"/>
    </row>
    <row r="203" spans="1:65">
      <c r="A203" s="5"/>
      <c r="B203" s="5"/>
      <c r="C203" s="5"/>
      <c r="D203" s="6"/>
      <c r="E203" s="5"/>
      <c r="F203" s="5"/>
      <c r="G203" s="5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8"/>
      <c r="AG203" s="7"/>
      <c r="AH203" s="7"/>
      <c r="AI203" s="7"/>
      <c r="AJ203" s="7"/>
      <c r="AK203" s="7"/>
      <c r="AL203" s="7"/>
      <c r="AM203" s="7"/>
      <c r="AN203" s="7"/>
      <c r="AO203" s="7"/>
      <c r="AP203" s="7"/>
      <c r="AQ203" s="7"/>
      <c r="AR203" s="7"/>
      <c r="AS203" s="7"/>
      <c r="AT203" s="7"/>
      <c r="AU203" s="7"/>
      <c r="AV203" s="7"/>
      <c r="AW203" s="7"/>
      <c r="AX203" s="7"/>
      <c r="AY203" s="7"/>
      <c r="AZ203" s="7"/>
      <c r="BA203" s="7"/>
      <c r="BB203" s="7"/>
      <c r="BC203" s="7"/>
      <c r="BD203" s="7"/>
      <c r="BE203" s="7"/>
      <c r="BF203" s="7"/>
      <c r="BG203" s="7"/>
      <c r="BH203" s="7"/>
      <c r="BI203" s="7"/>
      <c r="BJ203" s="7"/>
      <c r="BK203" s="7"/>
      <c r="BL203" s="7"/>
      <c r="BM203" s="55"/>
    </row>
    <row r="204" spans="1:65">
      <c r="A204" s="5"/>
      <c r="B204" s="5"/>
      <c r="C204" s="5"/>
      <c r="D204" s="6"/>
      <c r="E204" s="5"/>
      <c r="F204" s="5"/>
      <c r="G204" s="5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8"/>
      <c r="AD204" s="8"/>
      <c r="AE204" s="7"/>
      <c r="AF204" s="7"/>
      <c r="AG204" s="7"/>
      <c r="AH204" s="7"/>
      <c r="AI204" s="7"/>
      <c r="AJ204" s="7"/>
      <c r="AK204" s="7"/>
      <c r="AL204" s="7"/>
      <c r="AM204" s="7"/>
      <c r="AN204" s="7"/>
      <c r="AO204" s="7"/>
      <c r="AP204" s="7"/>
      <c r="AQ204" s="7"/>
      <c r="AR204" s="7"/>
      <c r="AS204" s="7"/>
      <c r="AT204" s="7"/>
      <c r="AU204" s="7"/>
      <c r="AV204" s="7"/>
      <c r="AW204" s="7"/>
      <c r="AX204" s="7"/>
      <c r="AY204" s="7"/>
      <c r="AZ204" s="7"/>
      <c r="BA204" s="7"/>
      <c r="BB204" s="7"/>
      <c r="BC204" s="7"/>
      <c r="BD204" s="7"/>
      <c r="BE204" s="7"/>
      <c r="BF204" s="7"/>
      <c r="BG204" s="7"/>
      <c r="BH204" s="7"/>
      <c r="BI204" s="7"/>
      <c r="BJ204" s="7"/>
      <c r="BK204" s="7"/>
      <c r="BL204" s="7"/>
      <c r="BM204" s="55"/>
    </row>
    <row r="205" spans="1:65">
      <c r="A205" s="5"/>
      <c r="B205" s="5"/>
      <c r="C205" s="5"/>
      <c r="D205" s="6"/>
      <c r="E205" s="5"/>
      <c r="F205" s="5"/>
      <c r="G205" s="5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8"/>
      <c r="AG205" s="8"/>
      <c r="AH205" s="7"/>
      <c r="AI205" s="7"/>
      <c r="AJ205" s="7"/>
      <c r="AK205" s="7"/>
      <c r="AL205" s="7"/>
      <c r="AM205" s="7"/>
      <c r="AN205" s="7"/>
      <c r="AO205" s="7"/>
      <c r="AP205" s="7"/>
      <c r="AQ205" s="7"/>
      <c r="AR205" s="7"/>
      <c r="AS205" s="7"/>
      <c r="AT205" s="7"/>
      <c r="AU205" s="7"/>
      <c r="AV205" s="7"/>
      <c r="AW205" s="7"/>
      <c r="AX205" s="7"/>
      <c r="AY205" s="7"/>
      <c r="AZ205" s="7"/>
      <c r="BA205" s="7"/>
      <c r="BB205" s="7"/>
      <c r="BC205" s="7"/>
      <c r="BD205" s="7"/>
      <c r="BE205" s="7"/>
      <c r="BF205" s="7"/>
      <c r="BG205" s="7"/>
      <c r="BH205" s="7"/>
      <c r="BI205" s="7"/>
      <c r="BJ205" s="7"/>
      <c r="BK205" s="7"/>
      <c r="BL205" s="7"/>
      <c r="BM205" s="55"/>
    </row>
    <row r="206" spans="1:65">
      <c r="A206" s="5"/>
      <c r="B206" s="5"/>
      <c r="C206" s="5"/>
      <c r="D206" s="6"/>
      <c r="E206" s="5"/>
      <c r="F206" s="5"/>
      <c r="G206" s="5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8"/>
      <c r="AG206" s="7"/>
      <c r="AH206" s="7"/>
      <c r="AI206" s="7"/>
      <c r="AJ206" s="7"/>
      <c r="AK206" s="7"/>
      <c r="AL206" s="7"/>
      <c r="AM206" s="7"/>
      <c r="AN206" s="7"/>
      <c r="AO206" s="7"/>
      <c r="AP206" s="7"/>
      <c r="AQ206" s="7"/>
      <c r="AR206" s="7"/>
      <c r="AS206" s="7"/>
      <c r="AT206" s="7"/>
      <c r="AU206" s="7"/>
      <c r="AV206" s="7"/>
      <c r="AW206" s="7"/>
      <c r="AX206" s="7"/>
      <c r="AY206" s="7"/>
      <c r="AZ206" s="7"/>
      <c r="BA206" s="7"/>
      <c r="BB206" s="7"/>
      <c r="BC206" s="7"/>
      <c r="BD206" s="7"/>
      <c r="BE206" s="7"/>
      <c r="BF206" s="7"/>
      <c r="BG206" s="7"/>
      <c r="BH206" s="7"/>
      <c r="BI206" s="7"/>
      <c r="BJ206" s="7"/>
      <c r="BK206" s="7"/>
      <c r="BL206" s="7"/>
      <c r="BM206" s="55"/>
    </row>
    <row r="207" spans="1:65">
      <c r="A207" s="5"/>
      <c r="B207" s="5"/>
      <c r="C207" s="5"/>
      <c r="D207" s="6"/>
      <c r="E207" s="5"/>
      <c r="F207" s="5"/>
      <c r="G207" s="5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8"/>
      <c r="AG207" s="8"/>
      <c r="AH207" s="7"/>
      <c r="AI207" s="7"/>
      <c r="AJ207" s="7"/>
      <c r="AK207" s="7"/>
      <c r="AL207" s="7"/>
      <c r="AM207" s="7"/>
      <c r="AN207" s="7"/>
      <c r="AO207" s="7"/>
      <c r="AP207" s="7"/>
      <c r="AQ207" s="7"/>
      <c r="AR207" s="8"/>
      <c r="AS207" s="7"/>
      <c r="AT207" s="7"/>
      <c r="AU207" s="7"/>
      <c r="AV207" s="7"/>
      <c r="AW207" s="7"/>
      <c r="AX207" s="7"/>
      <c r="AY207" s="7"/>
      <c r="AZ207" s="7"/>
      <c r="BA207" s="7"/>
      <c r="BB207" s="7"/>
      <c r="BC207" s="7"/>
      <c r="BD207" s="7"/>
      <c r="BE207" s="7"/>
      <c r="BF207" s="7"/>
      <c r="BG207" s="7"/>
      <c r="BH207" s="7"/>
      <c r="BI207" s="7"/>
      <c r="BJ207" s="7"/>
      <c r="BK207" s="7"/>
      <c r="BL207" s="7"/>
      <c r="BM207" s="55"/>
    </row>
    <row r="208" spans="1:65">
      <c r="A208" s="5"/>
      <c r="B208" s="5"/>
      <c r="C208" s="5"/>
      <c r="D208" s="6"/>
      <c r="E208" s="5"/>
      <c r="F208" s="5"/>
      <c r="G208" s="5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8"/>
      <c r="AG208" s="7"/>
      <c r="AH208" s="7"/>
      <c r="AI208" s="7"/>
      <c r="AJ208" s="7"/>
      <c r="AK208" s="7"/>
      <c r="AL208" s="7"/>
      <c r="AM208" s="7"/>
      <c r="AN208" s="7"/>
      <c r="AO208" s="7"/>
      <c r="AP208" s="7"/>
      <c r="AQ208" s="7"/>
      <c r="AR208" s="7"/>
      <c r="AS208" s="7"/>
      <c r="AT208" s="7"/>
      <c r="AU208" s="7"/>
      <c r="AV208" s="7"/>
      <c r="AW208" s="7"/>
      <c r="AX208" s="7"/>
      <c r="AY208" s="7"/>
      <c r="AZ208" s="7"/>
      <c r="BA208" s="7"/>
      <c r="BB208" s="7"/>
      <c r="BC208" s="7"/>
      <c r="BD208" s="7"/>
      <c r="BE208" s="7"/>
      <c r="BF208" s="7"/>
      <c r="BG208" s="7"/>
      <c r="BH208" s="7"/>
      <c r="BI208" s="7"/>
      <c r="BJ208" s="7"/>
      <c r="BK208" s="7"/>
      <c r="BL208" s="7"/>
      <c r="BM208" s="55"/>
    </row>
    <row r="209" spans="1:65">
      <c r="A209" s="5"/>
      <c r="B209" s="5"/>
      <c r="C209" s="5"/>
      <c r="D209" s="6"/>
      <c r="E209" s="5"/>
      <c r="F209" s="5"/>
      <c r="G209" s="5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8"/>
      <c r="AG209" s="8"/>
      <c r="AH209" s="7"/>
      <c r="AI209" s="7"/>
      <c r="AJ209" s="7"/>
      <c r="AK209" s="7"/>
      <c r="AL209" s="7"/>
      <c r="AM209" s="7"/>
      <c r="AN209" s="7"/>
      <c r="AO209" s="7"/>
      <c r="AP209" s="7"/>
      <c r="AQ209" s="7"/>
      <c r="AR209" s="7"/>
      <c r="AS209" s="7"/>
      <c r="AT209" s="7"/>
      <c r="AU209" s="7"/>
      <c r="AV209" s="7"/>
      <c r="AW209" s="7"/>
      <c r="AX209" s="7"/>
      <c r="AY209" s="7"/>
      <c r="AZ209" s="7"/>
      <c r="BA209" s="7"/>
      <c r="BB209" s="7"/>
      <c r="BC209" s="7"/>
      <c r="BD209" s="7"/>
      <c r="BE209" s="7"/>
      <c r="BF209" s="7"/>
      <c r="BG209" s="7"/>
      <c r="BH209" s="7"/>
      <c r="BI209" s="7"/>
      <c r="BJ209" s="7"/>
      <c r="BK209" s="7"/>
      <c r="BL209" s="7"/>
      <c r="BM209" s="55"/>
    </row>
    <row r="210" spans="1:65">
      <c r="A210" s="5"/>
      <c r="B210" s="5"/>
      <c r="C210" s="5"/>
      <c r="D210" s="6"/>
      <c r="E210" s="5"/>
      <c r="F210" s="5"/>
      <c r="G210" s="5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8"/>
      <c r="AG210" s="8"/>
      <c r="AH210" s="7"/>
      <c r="AI210" s="7"/>
      <c r="AJ210" s="7"/>
      <c r="AK210" s="7"/>
      <c r="AL210" s="7"/>
      <c r="AM210" s="7"/>
      <c r="AN210" s="7"/>
      <c r="AO210" s="7"/>
      <c r="AP210" s="7"/>
      <c r="AQ210" s="7"/>
      <c r="AR210" s="7"/>
      <c r="AS210" s="7"/>
      <c r="AT210" s="7"/>
      <c r="AU210" s="7"/>
      <c r="AV210" s="7"/>
      <c r="AW210" s="7"/>
      <c r="AX210" s="7"/>
      <c r="AY210" s="7"/>
      <c r="AZ210" s="7"/>
      <c r="BA210" s="7"/>
      <c r="BB210" s="7"/>
      <c r="BC210" s="7"/>
      <c r="BD210" s="7"/>
      <c r="BE210" s="7"/>
      <c r="BF210" s="7"/>
      <c r="BG210" s="7"/>
      <c r="BH210" s="7"/>
      <c r="BI210" s="7"/>
      <c r="BJ210" s="7"/>
      <c r="BK210" s="7"/>
      <c r="BL210" s="7"/>
      <c r="BM210" s="55"/>
    </row>
    <row r="211" spans="1:65">
      <c r="A211" s="5"/>
      <c r="B211" s="5"/>
      <c r="C211" s="5"/>
      <c r="D211" s="6"/>
      <c r="E211" s="5"/>
      <c r="F211" s="5"/>
      <c r="G211" s="5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8"/>
      <c r="AG211" s="7"/>
      <c r="AH211" s="7"/>
      <c r="AI211" s="7"/>
      <c r="AJ211" s="7"/>
      <c r="AK211" s="7"/>
      <c r="AL211" s="7"/>
      <c r="AM211" s="7"/>
      <c r="AN211" s="7"/>
      <c r="AO211" s="7"/>
      <c r="AP211" s="7"/>
      <c r="AQ211" s="7"/>
      <c r="AR211" s="8"/>
      <c r="AS211" s="7"/>
      <c r="AT211" s="7"/>
      <c r="AU211" s="7"/>
      <c r="AV211" s="7"/>
      <c r="AW211" s="7"/>
      <c r="AX211" s="7"/>
      <c r="AY211" s="7"/>
      <c r="AZ211" s="7"/>
      <c r="BA211" s="7"/>
      <c r="BB211" s="7"/>
      <c r="BC211" s="7"/>
      <c r="BD211" s="7"/>
      <c r="BE211" s="7"/>
      <c r="BF211" s="7"/>
      <c r="BG211" s="7"/>
      <c r="BH211" s="7"/>
      <c r="BI211" s="7"/>
      <c r="BJ211" s="7"/>
      <c r="BK211" s="7"/>
      <c r="BL211" s="7"/>
      <c r="BM211" s="55"/>
    </row>
    <row r="212" spans="1:65">
      <c r="A212" s="5"/>
      <c r="B212" s="5"/>
      <c r="C212" s="5"/>
      <c r="D212" s="6"/>
      <c r="E212" s="5"/>
      <c r="F212" s="5"/>
      <c r="G212" s="5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8"/>
      <c r="AG212" s="7"/>
      <c r="AH212" s="7"/>
      <c r="AI212" s="7"/>
      <c r="AJ212" s="7"/>
      <c r="AK212" s="7"/>
      <c r="AL212" s="7"/>
      <c r="AM212" s="7"/>
      <c r="AN212" s="7"/>
      <c r="AO212" s="7"/>
      <c r="AP212" s="7"/>
      <c r="AQ212" s="7"/>
      <c r="AR212" s="7"/>
      <c r="AS212" s="7"/>
      <c r="AT212" s="7"/>
      <c r="AU212" s="7"/>
      <c r="AV212" s="7"/>
      <c r="AW212" s="7"/>
      <c r="AX212" s="7"/>
      <c r="AY212" s="7"/>
      <c r="AZ212" s="7"/>
      <c r="BA212" s="7"/>
      <c r="BB212" s="7"/>
      <c r="BC212" s="7"/>
      <c r="BD212" s="7"/>
      <c r="BE212" s="7"/>
      <c r="BF212" s="7"/>
      <c r="BG212" s="7"/>
      <c r="BH212" s="7"/>
      <c r="BI212" s="7"/>
      <c r="BJ212" s="7"/>
      <c r="BK212" s="7"/>
      <c r="BL212" s="7"/>
      <c r="BM212" s="55"/>
    </row>
    <row r="213" spans="1:65">
      <c r="A213" s="5"/>
      <c r="B213" s="5"/>
      <c r="C213" s="5"/>
      <c r="D213" s="6"/>
      <c r="E213" s="5"/>
      <c r="F213" s="5"/>
      <c r="G213" s="5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8"/>
      <c r="AG213" s="7"/>
      <c r="AH213" s="7"/>
      <c r="AI213" s="7"/>
      <c r="AJ213" s="7"/>
      <c r="AK213" s="7"/>
      <c r="AL213" s="7"/>
      <c r="AM213" s="7"/>
      <c r="AN213" s="7"/>
      <c r="AO213" s="7"/>
      <c r="AP213" s="7"/>
      <c r="AQ213" s="7"/>
      <c r="AR213" s="7"/>
      <c r="AS213" s="7"/>
      <c r="AT213" s="7"/>
      <c r="AU213" s="7"/>
      <c r="AV213" s="7"/>
      <c r="AW213" s="7"/>
      <c r="AX213" s="7"/>
      <c r="AY213" s="7"/>
      <c r="AZ213" s="7"/>
      <c r="BA213" s="7"/>
      <c r="BB213" s="7"/>
      <c r="BC213" s="7"/>
      <c r="BD213" s="7"/>
      <c r="BE213" s="7"/>
      <c r="BF213" s="7"/>
      <c r="BG213" s="7"/>
      <c r="BH213" s="7"/>
      <c r="BI213" s="7"/>
      <c r="BJ213" s="7"/>
      <c r="BK213" s="7"/>
      <c r="BL213" s="7"/>
      <c r="BM213" s="55"/>
    </row>
    <row r="214" spans="1:65">
      <c r="A214" s="5"/>
      <c r="B214" s="5"/>
      <c r="C214" s="5"/>
      <c r="D214" s="6"/>
      <c r="E214" s="5"/>
      <c r="F214" s="5"/>
      <c r="G214" s="5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8"/>
      <c r="AG214" s="7"/>
      <c r="AH214" s="7"/>
      <c r="AI214" s="7"/>
      <c r="AJ214" s="7"/>
      <c r="AK214" s="7"/>
      <c r="AL214" s="7"/>
      <c r="AM214" s="7"/>
      <c r="AN214" s="7"/>
      <c r="AO214" s="7"/>
      <c r="AP214" s="7"/>
      <c r="AQ214" s="7"/>
      <c r="AR214" s="8"/>
      <c r="AS214" s="7"/>
      <c r="AT214" s="7"/>
      <c r="AU214" s="7"/>
      <c r="AV214" s="7"/>
      <c r="AW214" s="7"/>
      <c r="AX214" s="7"/>
      <c r="AY214" s="7"/>
      <c r="AZ214" s="7"/>
      <c r="BA214" s="7"/>
      <c r="BB214" s="7"/>
      <c r="BC214" s="7"/>
      <c r="BD214" s="7"/>
      <c r="BE214" s="7"/>
      <c r="BF214" s="7"/>
      <c r="BG214" s="7"/>
      <c r="BH214" s="7"/>
      <c r="BI214" s="7"/>
      <c r="BJ214" s="7"/>
      <c r="BK214" s="7"/>
      <c r="BL214" s="7"/>
      <c r="BM214" s="55"/>
    </row>
    <row r="215" spans="1:65">
      <c r="A215" s="5"/>
      <c r="B215" s="5"/>
      <c r="C215" s="5"/>
      <c r="D215" s="6"/>
      <c r="E215" s="5"/>
      <c r="F215" s="5"/>
      <c r="G215" s="5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8"/>
      <c r="AG215" s="8"/>
      <c r="AH215" s="7"/>
      <c r="AI215" s="7"/>
      <c r="AJ215" s="7"/>
      <c r="AK215" s="7"/>
      <c r="AL215" s="7"/>
      <c r="AM215" s="7"/>
      <c r="AN215" s="7"/>
      <c r="AO215" s="7"/>
      <c r="AP215" s="7"/>
      <c r="AQ215" s="7"/>
      <c r="AR215" s="7"/>
      <c r="AS215" s="7"/>
      <c r="AT215" s="7"/>
      <c r="AU215" s="7"/>
      <c r="AV215" s="7"/>
      <c r="AW215" s="7"/>
      <c r="AX215" s="7"/>
      <c r="AY215" s="7"/>
      <c r="AZ215" s="7"/>
      <c r="BA215" s="7"/>
      <c r="BB215" s="7"/>
      <c r="BC215" s="7"/>
      <c r="BD215" s="7"/>
      <c r="BE215" s="7"/>
      <c r="BF215" s="7"/>
      <c r="BG215" s="7"/>
      <c r="BH215" s="7"/>
      <c r="BI215" s="7"/>
      <c r="BJ215" s="7"/>
      <c r="BK215" s="7"/>
      <c r="BL215" s="7"/>
      <c r="BM215" s="55"/>
    </row>
    <row r="216" spans="1:65">
      <c r="A216" s="5"/>
      <c r="B216" s="5"/>
      <c r="C216" s="5"/>
      <c r="D216" s="6"/>
      <c r="E216" s="5"/>
      <c r="F216" s="5"/>
      <c r="G216" s="5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8"/>
      <c r="AG216" s="7"/>
      <c r="AH216" s="7"/>
      <c r="AI216" s="7"/>
      <c r="AJ216" s="7"/>
      <c r="AK216" s="7"/>
      <c r="AL216" s="7"/>
      <c r="AM216" s="7"/>
      <c r="AN216" s="7"/>
      <c r="AO216" s="7"/>
      <c r="AP216" s="7"/>
      <c r="AQ216" s="7"/>
      <c r="AR216" s="7"/>
      <c r="AS216" s="7"/>
      <c r="AT216" s="7"/>
      <c r="AU216" s="7"/>
      <c r="AV216" s="7"/>
      <c r="AW216" s="7"/>
      <c r="AX216" s="7"/>
      <c r="AY216" s="7"/>
      <c r="AZ216" s="7"/>
      <c r="BA216" s="7"/>
      <c r="BB216" s="7"/>
      <c r="BC216" s="7"/>
      <c r="BD216" s="7"/>
      <c r="BE216" s="7"/>
      <c r="BF216" s="7"/>
      <c r="BG216" s="7"/>
      <c r="BH216" s="7"/>
      <c r="BI216" s="7"/>
      <c r="BJ216" s="7"/>
      <c r="BK216" s="7"/>
      <c r="BL216" s="7"/>
      <c r="BM216" s="55"/>
    </row>
    <row r="217" spans="1:65">
      <c r="A217" s="5"/>
      <c r="B217" s="5"/>
      <c r="C217" s="5"/>
      <c r="D217" s="6"/>
      <c r="E217" s="5"/>
      <c r="F217" s="5"/>
      <c r="G217" s="5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8"/>
      <c r="AG217" s="8"/>
      <c r="AH217" s="7"/>
      <c r="AI217" s="7"/>
      <c r="AJ217" s="7"/>
      <c r="AK217" s="7"/>
      <c r="AL217" s="7"/>
      <c r="AM217" s="7"/>
      <c r="AN217" s="7"/>
      <c r="AO217" s="7"/>
      <c r="AP217" s="7"/>
      <c r="AQ217" s="7"/>
      <c r="AR217" s="7"/>
      <c r="AS217" s="7"/>
      <c r="AT217" s="7"/>
      <c r="AU217" s="7"/>
      <c r="AV217" s="7"/>
      <c r="AW217" s="7"/>
      <c r="AX217" s="7"/>
      <c r="AY217" s="7"/>
      <c r="AZ217" s="7"/>
      <c r="BA217" s="7"/>
      <c r="BB217" s="7"/>
      <c r="BC217" s="7"/>
      <c r="BD217" s="7"/>
      <c r="BE217" s="7"/>
      <c r="BF217" s="7"/>
      <c r="BG217" s="7"/>
      <c r="BH217" s="7"/>
      <c r="BI217" s="7"/>
      <c r="BJ217" s="7"/>
      <c r="BK217" s="7"/>
      <c r="BL217" s="7"/>
      <c r="BM217" s="55"/>
    </row>
    <row r="218" spans="1:65">
      <c r="A218" s="5"/>
      <c r="B218" s="5"/>
      <c r="C218" s="5"/>
      <c r="D218" s="6"/>
      <c r="E218" s="5"/>
      <c r="F218" s="5"/>
      <c r="G218" s="5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8"/>
      <c r="AG218" s="7"/>
      <c r="AH218" s="7"/>
      <c r="AI218" s="7"/>
      <c r="AJ218" s="7"/>
      <c r="AK218" s="7"/>
      <c r="AL218" s="7"/>
      <c r="AM218" s="7"/>
      <c r="AN218" s="7"/>
      <c r="AO218" s="7"/>
      <c r="AP218" s="7"/>
      <c r="AQ218" s="7"/>
      <c r="AR218" s="8"/>
      <c r="AS218" s="7"/>
      <c r="AT218" s="7"/>
      <c r="AU218" s="7"/>
      <c r="AV218" s="7"/>
      <c r="AW218" s="7"/>
      <c r="AX218" s="7"/>
      <c r="AY218" s="7"/>
      <c r="AZ218" s="7"/>
      <c r="BA218" s="7"/>
      <c r="BB218" s="7"/>
      <c r="BC218" s="7"/>
      <c r="BD218" s="7"/>
      <c r="BE218" s="7"/>
      <c r="BF218" s="7"/>
      <c r="BG218" s="7"/>
      <c r="BH218" s="7"/>
      <c r="BI218" s="7"/>
      <c r="BJ218" s="7"/>
      <c r="BK218" s="7"/>
      <c r="BL218" s="7"/>
      <c r="BM218" s="55"/>
    </row>
    <row r="219" spans="1:65">
      <c r="A219" s="5"/>
      <c r="B219" s="5"/>
      <c r="C219" s="5"/>
      <c r="D219" s="6"/>
      <c r="E219" s="5"/>
      <c r="F219" s="5"/>
      <c r="G219" s="5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8"/>
      <c r="AG219" s="7"/>
      <c r="AH219" s="7"/>
      <c r="AI219" s="7"/>
      <c r="AJ219" s="7"/>
      <c r="AK219" s="7"/>
      <c r="AL219" s="7"/>
      <c r="AM219" s="7"/>
      <c r="AN219" s="7"/>
      <c r="AO219" s="7"/>
      <c r="AP219" s="7"/>
      <c r="AQ219" s="7"/>
      <c r="AR219" s="7"/>
      <c r="AS219" s="7"/>
      <c r="AT219" s="7"/>
      <c r="AU219" s="7"/>
      <c r="AV219" s="7"/>
      <c r="AW219" s="7"/>
      <c r="AX219" s="7"/>
      <c r="AY219" s="7"/>
      <c r="AZ219" s="7"/>
      <c r="BA219" s="7"/>
      <c r="BB219" s="7"/>
      <c r="BC219" s="7"/>
      <c r="BD219" s="7"/>
      <c r="BE219" s="7"/>
      <c r="BF219" s="7"/>
      <c r="BG219" s="7"/>
      <c r="BH219" s="7"/>
      <c r="BI219" s="7"/>
      <c r="BJ219" s="7"/>
      <c r="BK219" s="7"/>
      <c r="BL219" s="7"/>
      <c r="BM219" s="55"/>
    </row>
    <row r="220" spans="1:65">
      <c r="A220" s="5"/>
      <c r="B220" s="5"/>
      <c r="C220" s="5"/>
      <c r="D220" s="6"/>
      <c r="E220" s="5"/>
      <c r="F220" s="5"/>
      <c r="G220" s="5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8"/>
      <c r="AG220" s="7"/>
      <c r="AH220" s="7"/>
      <c r="AI220" s="7"/>
      <c r="AJ220" s="7"/>
      <c r="AK220" s="7"/>
      <c r="AL220" s="7"/>
      <c r="AM220" s="7"/>
      <c r="AN220" s="7"/>
      <c r="AO220" s="7"/>
      <c r="AP220" s="7"/>
      <c r="AQ220" s="7"/>
      <c r="AR220" s="7"/>
      <c r="AS220" s="7"/>
      <c r="AT220" s="7"/>
      <c r="AU220" s="7"/>
      <c r="AV220" s="7"/>
      <c r="AW220" s="7"/>
      <c r="AX220" s="7"/>
      <c r="AY220" s="7"/>
      <c r="AZ220" s="7"/>
      <c r="BA220" s="7"/>
      <c r="BB220" s="7"/>
      <c r="BC220" s="7"/>
      <c r="BD220" s="7"/>
      <c r="BE220" s="7"/>
      <c r="BF220" s="7"/>
      <c r="BG220" s="7"/>
      <c r="BH220" s="7"/>
      <c r="BI220" s="7"/>
      <c r="BJ220" s="7"/>
      <c r="BK220" s="7"/>
      <c r="BL220" s="7"/>
      <c r="BM220" s="55"/>
    </row>
    <row r="221" spans="1:65">
      <c r="A221" s="5"/>
      <c r="B221" s="5"/>
      <c r="C221" s="5"/>
      <c r="D221" s="6"/>
      <c r="E221" s="5"/>
      <c r="F221" s="5"/>
      <c r="G221" s="5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8"/>
      <c r="AG221" s="7"/>
      <c r="AH221" s="7"/>
      <c r="AI221" s="7"/>
      <c r="AJ221" s="7"/>
      <c r="AK221" s="7"/>
      <c r="AL221" s="7"/>
      <c r="AM221" s="7"/>
      <c r="AN221" s="7"/>
      <c r="AO221" s="7"/>
      <c r="AP221" s="7"/>
      <c r="AQ221" s="7"/>
      <c r="AR221" s="7"/>
      <c r="AS221" s="7"/>
      <c r="AT221" s="7"/>
      <c r="AU221" s="7"/>
      <c r="AV221" s="7"/>
      <c r="AW221" s="7"/>
      <c r="AX221" s="7"/>
      <c r="AY221" s="7"/>
      <c r="AZ221" s="7"/>
      <c r="BA221" s="7"/>
      <c r="BB221" s="7"/>
      <c r="BC221" s="7"/>
      <c r="BD221" s="7"/>
      <c r="BE221" s="7"/>
      <c r="BF221" s="7"/>
      <c r="BG221" s="7"/>
      <c r="BH221" s="7"/>
      <c r="BI221" s="7"/>
      <c r="BJ221" s="7"/>
      <c r="BK221" s="7"/>
      <c r="BL221" s="7"/>
      <c r="BM221" s="55"/>
    </row>
    <row r="222" spans="1:65">
      <c r="A222" s="5"/>
      <c r="B222" s="5"/>
      <c r="C222" s="5"/>
      <c r="D222" s="6"/>
      <c r="E222" s="5"/>
      <c r="F222" s="5"/>
      <c r="G222" s="5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8"/>
      <c r="AG222" s="8"/>
      <c r="AH222" s="7"/>
      <c r="AI222" s="7"/>
      <c r="AJ222" s="7"/>
      <c r="AK222" s="7"/>
      <c r="AL222" s="7"/>
      <c r="AM222" s="7"/>
      <c r="AN222" s="7"/>
      <c r="AO222" s="7"/>
      <c r="AP222" s="7"/>
      <c r="AQ222" s="7"/>
      <c r="AR222" s="8"/>
      <c r="AS222" s="7"/>
      <c r="AT222" s="7"/>
      <c r="AU222" s="7"/>
      <c r="AV222" s="7"/>
      <c r="AW222" s="7"/>
      <c r="AX222" s="7"/>
      <c r="AY222" s="7"/>
      <c r="AZ222" s="7"/>
      <c r="BA222" s="7"/>
      <c r="BB222" s="7"/>
      <c r="BC222" s="7"/>
      <c r="BD222" s="7"/>
      <c r="BE222" s="7"/>
      <c r="BF222" s="7"/>
      <c r="BG222" s="7"/>
      <c r="BH222" s="7"/>
      <c r="BI222" s="7"/>
      <c r="BJ222" s="7"/>
      <c r="BK222" s="7"/>
      <c r="BL222" s="7"/>
      <c r="BM222" s="55"/>
    </row>
    <row r="223" spans="1:65">
      <c r="A223" s="5"/>
      <c r="B223" s="5"/>
      <c r="C223" s="5"/>
      <c r="D223" s="6"/>
      <c r="E223" s="5"/>
      <c r="F223" s="5"/>
      <c r="G223" s="5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8"/>
      <c r="AG223" s="7"/>
      <c r="AH223" s="7"/>
      <c r="AI223" s="7"/>
      <c r="AJ223" s="7"/>
      <c r="AK223" s="7"/>
      <c r="AL223" s="7"/>
      <c r="AM223" s="7"/>
      <c r="AN223" s="7"/>
      <c r="AO223" s="7"/>
      <c r="AP223" s="7"/>
      <c r="AQ223" s="7"/>
      <c r="AR223" s="8"/>
      <c r="AS223" s="7"/>
      <c r="AT223" s="7"/>
      <c r="AU223" s="7"/>
      <c r="AV223" s="7"/>
      <c r="AW223" s="7"/>
      <c r="AX223" s="7"/>
      <c r="AY223" s="7"/>
      <c r="AZ223" s="7"/>
      <c r="BA223" s="7"/>
      <c r="BB223" s="7"/>
      <c r="BC223" s="7"/>
      <c r="BD223" s="7"/>
      <c r="BE223" s="7"/>
      <c r="BF223" s="7"/>
      <c r="BG223" s="7"/>
      <c r="BH223" s="7"/>
      <c r="BI223" s="7"/>
      <c r="BJ223" s="7"/>
      <c r="BK223" s="7"/>
      <c r="BL223" s="7"/>
      <c r="BM223" s="55"/>
    </row>
    <row r="224" spans="1:65">
      <c r="A224" s="5"/>
      <c r="B224" s="5"/>
      <c r="C224" s="5"/>
      <c r="D224" s="6"/>
      <c r="E224" s="5"/>
      <c r="F224" s="5"/>
      <c r="G224" s="5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8"/>
      <c r="AG224" s="8"/>
      <c r="AH224" s="7"/>
      <c r="AI224" s="7"/>
      <c r="AJ224" s="7"/>
      <c r="AK224" s="7"/>
      <c r="AL224" s="7"/>
      <c r="AM224" s="7"/>
      <c r="AN224" s="7"/>
      <c r="AO224" s="7"/>
      <c r="AP224" s="7"/>
      <c r="AQ224" s="7"/>
      <c r="AR224" s="7"/>
      <c r="AS224" s="7"/>
      <c r="AT224" s="7"/>
      <c r="AU224" s="7"/>
      <c r="AV224" s="7"/>
      <c r="AW224" s="7"/>
      <c r="AX224" s="7"/>
      <c r="AY224" s="7"/>
      <c r="AZ224" s="7"/>
      <c r="BA224" s="7"/>
      <c r="BB224" s="7"/>
      <c r="BC224" s="7"/>
      <c r="BD224" s="7"/>
      <c r="BE224" s="7"/>
      <c r="BF224" s="7"/>
      <c r="BG224" s="7"/>
      <c r="BH224" s="7"/>
      <c r="BI224" s="7"/>
      <c r="BJ224" s="7"/>
      <c r="BK224" s="7"/>
      <c r="BL224" s="7"/>
      <c r="BM224" s="55"/>
    </row>
    <row r="225" spans="1:65">
      <c r="A225" s="5"/>
      <c r="B225" s="5"/>
      <c r="C225" s="5"/>
      <c r="D225" s="6"/>
      <c r="E225" s="5"/>
      <c r="F225" s="5"/>
      <c r="G225" s="5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8"/>
      <c r="AG225" s="8"/>
      <c r="AH225" s="7"/>
      <c r="AI225" s="7"/>
      <c r="AJ225" s="7"/>
      <c r="AK225" s="7"/>
      <c r="AL225" s="7"/>
      <c r="AM225" s="7"/>
      <c r="AN225" s="7"/>
      <c r="AO225" s="7"/>
      <c r="AP225" s="7"/>
      <c r="AQ225" s="7"/>
      <c r="AR225" s="7"/>
      <c r="AS225" s="7"/>
      <c r="AT225" s="7"/>
      <c r="AU225" s="7"/>
      <c r="AV225" s="7"/>
      <c r="AW225" s="7"/>
      <c r="AX225" s="7"/>
      <c r="AY225" s="7"/>
      <c r="AZ225" s="7"/>
      <c r="BA225" s="7"/>
      <c r="BB225" s="7"/>
      <c r="BC225" s="7"/>
      <c r="BD225" s="7"/>
      <c r="BE225" s="7"/>
      <c r="BF225" s="7"/>
      <c r="BG225" s="7"/>
      <c r="BH225" s="7"/>
      <c r="BI225" s="7"/>
      <c r="BJ225" s="7"/>
      <c r="BK225" s="7"/>
      <c r="BL225" s="7"/>
      <c r="BM225" s="55"/>
    </row>
    <row r="226" spans="1:65">
      <c r="A226" s="5"/>
      <c r="B226" s="5"/>
      <c r="C226" s="5"/>
      <c r="D226" s="6"/>
      <c r="E226" s="5"/>
      <c r="F226" s="5"/>
      <c r="G226" s="5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8"/>
      <c r="AG226" s="8"/>
      <c r="AH226" s="7"/>
      <c r="AI226" s="7"/>
      <c r="AJ226" s="7"/>
      <c r="AK226" s="7"/>
      <c r="AL226" s="7"/>
      <c r="AM226" s="7"/>
      <c r="AN226" s="7"/>
      <c r="AO226" s="7"/>
      <c r="AP226" s="7"/>
      <c r="AQ226" s="7"/>
      <c r="AR226" s="7"/>
      <c r="AS226" s="7"/>
      <c r="AT226" s="7"/>
      <c r="AU226" s="7"/>
      <c r="AV226" s="7"/>
      <c r="AW226" s="7"/>
      <c r="AX226" s="7"/>
      <c r="AY226" s="7"/>
      <c r="AZ226" s="7"/>
      <c r="BA226" s="7"/>
      <c r="BB226" s="7"/>
      <c r="BC226" s="7"/>
      <c r="BD226" s="7"/>
      <c r="BE226" s="7"/>
      <c r="BF226" s="7"/>
      <c r="BG226" s="7"/>
      <c r="BH226" s="7"/>
      <c r="BI226" s="7"/>
      <c r="BJ226" s="7"/>
      <c r="BK226" s="7"/>
      <c r="BL226" s="7"/>
      <c r="BM226" s="55"/>
    </row>
    <row r="227" spans="1:65">
      <c r="A227" s="5"/>
      <c r="B227" s="5"/>
      <c r="C227" s="5"/>
      <c r="D227" s="6"/>
      <c r="E227" s="5"/>
      <c r="F227" s="5"/>
      <c r="G227" s="5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8"/>
      <c r="AG227" s="7"/>
      <c r="AH227" s="7"/>
      <c r="AI227" s="7"/>
      <c r="AJ227" s="7"/>
      <c r="AK227" s="7"/>
      <c r="AL227" s="7"/>
      <c r="AM227" s="7"/>
      <c r="AN227" s="7"/>
      <c r="AO227" s="7"/>
      <c r="AP227" s="7"/>
      <c r="AQ227" s="7"/>
      <c r="AR227" s="7"/>
      <c r="AS227" s="7"/>
      <c r="AT227" s="7"/>
      <c r="AU227" s="7"/>
      <c r="AV227" s="7"/>
      <c r="AW227" s="7"/>
      <c r="AX227" s="7"/>
      <c r="AY227" s="7"/>
      <c r="AZ227" s="7"/>
      <c r="BA227" s="7"/>
      <c r="BB227" s="7"/>
      <c r="BC227" s="7"/>
      <c r="BD227" s="7"/>
      <c r="BE227" s="7"/>
      <c r="BF227" s="7"/>
      <c r="BG227" s="7"/>
      <c r="BH227" s="7"/>
      <c r="BI227" s="7"/>
      <c r="BJ227" s="7"/>
      <c r="BK227" s="7"/>
      <c r="BL227" s="7"/>
      <c r="BM227" s="55"/>
    </row>
    <row r="228" spans="1:65">
      <c r="A228" s="5"/>
      <c r="B228" s="5"/>
      <c r="C228" s="5"/>
      <c r="D228" s="6"/>
      <c r="E228" s="5"/>
      <c r="F228" s="5"/>
      <c r="G228" s="5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8"/>
      <c r="AH228" s="7"/>
      <c r="AI228" s="7"/>
      <c r="AJ228" s="7"/>
      <c r="AK228" s="7"/>
      <c r="AL228" s="7"/>
      <c r="AM228" s="7"/>
      <c r="AN228" s="7"/>
      <c r="AO228" s="7"/>
      <c r="AP228" s="7"/>
      <c r="AQ228" s="7"/>
      <c r="AR228" s="7"/>
      <c r="AS228" s="7"/>
      <c r="AT228" s="7"/>
      <c r="AU228" s="7"/>
      <c r="AV228" s="7"/>
      <c r="AW228" s="7"/>
      <c r="AX228" s="7"/>
      <c r="AY228" s="7"/>
      <c r="AZ228" s="7"/>
      <c r="BA228" s="7"/>
      <c r="BB228" s="7"/>
      <c r="BC228" s="7"/>
      <c r="BD228" s="7"/>
      <c r="BE228" s="7"/>
      <c r="BF228" s="7"/>
      <c r="BG228" s="7"/>
      <c r="BH228" s="7"/>
      <c r="BI228" s="7"/>
      <c r="BJ228" s="7"/>
      <c r="BK228" s="7"/>
      <c r="BL228" s="7"/>
      <c r="BM228" s="55"/>
    </row>
    <row r="229" spans="1:65">
      <c r="A229" s="5"/>
      <c r="B229" s="5"/>
      <c r="C229" s="5"/>
      <c r="D229" s="6"/>
      <c r="E229" s="5"/>
      <c r="F229" s="5"/>
      <c r="G229" s="5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8"/>
      <c r="AG229" s="7"/>
      <c r="AH229" s="7"/>
      <c r="AI229" s="7"/>
      <c r="AJ229" s="7"/>
      <c r="AK229" s="7"/>
      <c r="AL229" s="7"/>
      <c r="AM229" s="7"/>
      <c r="AN229" s="7"/>
      <c r="AO229" s="7"/>
      <c r="AP229" s="7"/>
      <c r="AQ229" s="7"/>
      <c r="AR229" s="7"/>
      <c r="AS229" s="7"/>
      <c r="AT229" s="7"/>
      <c r="AU229" s="7"/>
      <c r="AV229" s="7"/>
      <c r="AW229" s="7"/>
      <c r="AX229" s="7"/>
      <c r="AY229" s="7"/>
      <c r="AZ229" s="7"/>
      <c r="BA229" s="7"/>
      <c r="BB229" s="7"/>
      <c r="BC229" s="7"/>
      <c r="BD229" s="7"/>
      <c r="BE229" s="7"/>
      <c r="BF229" s="7"/>
      <c r="BG229" s="7"/>
      <c r="BH229" s="7"/>
      <c r="BI229" s="7"/>
      <c r="BJ229" s="7"/>
      <c r="BK229" s="7"/>
      <c r="BL229" s="7"/>
      <c r="BM229" s="55"/>
    </row>
    <row r="230" spans="1:65">
      <c r="A230" s="5"/>
      <c r="B230" s="5"/>
      <c r="C230" s="5"/>
      <c r="D230" s="6"/>
      <c r="E230" s="5"/>
      <c r="F230" s="5"/>
      <c r="G230" s="5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8"/>
      <c r="AG230" s="7"/>
      <c r="AH230" s="7"/>
      <c r="AI230" s="7"/>
      <c r="AJ230" s="7"/>
      <c r="AK230" s="7"/>
      <c r="AL230" s="7"/>
      <c r="AM230" s="7"/>
      <c r="AN230" s="7"/>
      <c r="AO230" s="7"/>
      <c r="AP230" s="7"/>
      <c r="AQ230" s="7"/>
      <c r="AR230" s="7"/>
      <c r="AS230" s="7"/>
      <c r="AT230" s="7"/>
      <c r="AU230" s="7"/>
      <c r="AV230" s="7"/>
      <c r="AW230" s="7"/>
      <c r="AX230" s="7"/>
      <c r="AY230" s="7"/>
      <c r="AZ230" s="7"/>
      <c r="BA230" s="7"/>
      <c r="BB230" s="7"/>
      <c r="BC230" s="7"/>
      <c r="BD230" s="7"/>
      <c r="BE230" s="7"/>
      <c r="BF230" s="7"/>
      <c r="BG230" s="7"/>
      <c r="BH230" s="7"/>
      <c r="BI230" s="7"/>
      <c r="BJ230" s="7"/>
      <c r="BK230" s="7"/>
      <c r="BL230" s="7"/>
      <c r="BM230" s="55"/>
    </row>
    <row r="231" spans="1:65">
      <c r="A231" s="5"/>
      <c r="B231" s="5"/>
      <c r="C231" s="5"/>
      <c r="D231" s="6"/>
      <c r="E231" s="5"/>
      <c r="F231" s="5"/>
      <c r="G231" s="5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8"/>
      <c r="AH231" s="7"/>
      <c r="AI231" s="7"/>
      <c r="AJ231" s="7"/>
      <c r="AK231" s="7"/>
      <c r="AL231" s="7"/>
      <c r="AM231" s="7"/>
      <c r="AN231" s="7"/>
      <c r="AO231" s="7"/>
      <c r="AP231" s="7"/>
      <c r="AQ231" s="7"/>
      <c r="AR231" s="7"/>
      <c r="AS231" s="7"/>
      <c r="AT231" s="7"/>
      <c r="AU231" s="7"/>
      <c r="AV231" s="7"/>
      <c r="AW231" s="7"/>
      <c r="AX231" s="7"/>
      <c r="AY231" s="7"/>
      <c r="AZ231" s="7"/>
      <c r="BA231" s="7"/>
      <c r="BB231" s="7"/>
      <c r="BC231" s="7"/>
      <c r="BD231" s="7"/>
      <c r="BE231" s="7"/>
      <c r="BF231" s="7"/>
      <c r="BG231" s="7"/>
      <c r="BH231" s="7"/>
      <c r="BI231" s="7"/>
      <c r="BJ231" s="7"/>
      <c r="BK231" s="7"/>
      <c r="BL231" s="7"/>
      <c r="BM231" s="55"/>
    </row>
    <row r="232" spans="1:65">
      <c r="A232" s="5"/>
      <c r="B232" s="5"/>
      <c r="C232" s="5"/>
      <c r="D232" s="6"/>
      <c r="E232" s="5"/>
      <c r="F232" s="5"/>
      <c r="G232" s="5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8"/>
      <c r="AG232" s="8"/>
      <c r="AH232" s="7"/>
      <c r="AI232" s="7"/>
      <c r="AJ232" s="7"/>
      <c r="AK232" s="7"/>
      <c r="AL232" s="7"/>
      <c r="AM232" s="7"/>
      <c r="AN232" s="7"/>
      <c r="AO232" s="7"/>
      <c r="AP232" s="7"/>
      <c r="AQ232" s="7"/>
      <c r="AR232" s="8"/>
      <c r="AS232" s="7"/>
      <c r="AT232" s="7"/>
      <c r="AU232" s="7"/>
      <c r="AV232" s="7"/>
      <c r="AW232" s="7"/>
      <c r="AX232" s="7"/>
      <c r="AY232" s="7"/>
      <c r="AZ232" s="7"/>
      <c r="BA232" s="7"/>
      <c r="BB232" s="7"/>
      <c r="BC232" s="7"/>
      <c r="BD232" s="7"/>
      <c r="BE232" s="7"/>
      <c r="BF232" s="7"/>
      <c r="BG232" s="7"/>
      <c r="BH232" s="7"/>
      <c r="BI232" s="7"/>
      <c r="BJ232" s="7"/>
      <c r="BK232" s="7"/>
      <c r="BL232" s="7"/>
      <c r="BM232" s="55"/>
    </row>
    <row r="233" spans="1:65">
      <c r="A233" s="5"/>
      <c r="B233" s="5"/>
      <c r="C233" s="5"/>
      <c r="D233" s="6"/>
      <c r="E233" s="5"/>
      <c r="F233" s="5"/>
      <c r="G233" s="5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8"/>
      <c r="AG233" s="7"/>
      <c r="AH233" s="7"/>
      <c r="AI233" s="7"/>
      <c r="AJ233" s="7"/>
      <c r="AK233" s="7"/>
      <c r="AL233" s="7"/>
      <c r="AM233" s="7"/>
      <c r="AN233" s="7"/>
      <c r="AO233" s="7"/>
      <c r="AP233" s="7"/>
      <c r="AQ233" s="7"/>
      <c r="AR233" s="7"/>
      <c r="AS233" s="7"/>
      <c r="AT233" s="7"/>
      <c r="AU233" s="7"/>
      <c r="AV233" s="7"/>
      <c r="AW233" s="7"/>
      <c r="AX233" s="7"/>
      <c r="AY233" s="7"/>
      <c r="AZ233" s="7"/>
      <c r="BA233" s="7"/>
      <c r="BB233" s="7"/>
      <c r="BC233" s="7"/>
      <c r="BD233" s="7"/>
      <c r="BE233" s="7"/>
      <c r="BF233" s="7"/>
      <c r="BG233" s="7"/>
      <c r="BH233" s="7"/>
      <c r="BI233" s="7"/>
      <c r="BJ233" s="7"/>
      <c r="BK233" s="7"/>
      <c r="BL233" s="7"/>
      <c r="BM233" s="55"/>
    </row>
    <row r="234" spans="1:65">
      <c r="A234" s="5"/>
      <c r="B234" s="5"/>
      <c r="C234" s="5"/>
      <c r="D234" s="6"/>
      <c r="E234" s="5"/>
      <c r="F234" s="5"/>
      <c r="G234" s="5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8"/>
      <c r="AG234" s="7"/>
      <c r="AH234" s="7"/>
      <c r="AI234" s="7"/>
      <c r="AJ234" s="7"/>
      <c r="AK234" s="7"/>
      <c r="AL234" s="7"/>
      <c r="AM234" s="7"/>
      <c r="AN234" s="7"/>
      <c r="AO234" s="7"/>
      <c r="AP234" s="7"/>
      <c r="AQ234" s="7"/>
      <c r="AR234" s="7"/>
      <c r="AS234" s="7"/>
      <c r="AT234" s="7"/>
      <c r="AU234" s="7"/>
      <c r="AV234" s="7"/>
      <c r="AW234" s="7"/>
      <c r="AX234" s="7"/>
      <c r="AY234" s="7"/>
      <c r="AZ234" s="7"/>
      <c r="BA234" s="7"/>
      <c r="BB234" s="7"/>
      <c r="BC234" s="7"/>
      <c r="BD234" s="7"/>
      <c r="BE234" s="7"/>
      <c r="BF234" s="7"/>
      <c r="BG234" s="7"/>
      <c r="BH234" s="7"/>
      <c r="BI234" s="7"/>
      <c r="BJ234" s="7"/>
      <c r="BK234" s="7"/>
      <c r="BL234" s="7"/>
      <c r="BM234" s="55"/>
    </row>
    <row r="235" spans="1:65">
      <c r="A235" s="5"/>
      <c r="B235" s="5"/>
      <c r="C235" s="5"/>
      <c r="D235" s="6"/>
      <c r="E235" s="5"/>
      <c r="F235" s="5"/>
      <c r="G235" s="5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8"/>
      <c r="AH235" s="7"/>
      <c r="AI235" s="7"/>
      <c r="AJ235" s="7"/>
      <c r="AK235" s="7"/>
      <c r="AL235" s="7"/>
      <c r="AM235" s="7"/>
      <c r="AN235" s="7"/>
      <c r="AO235" s="7"/>
      <c r="AP235" s="7"/>
      <c r="AQ235" s="7"/>
      <c r="AR235" s="7"/>
      <c r="AS235" s="7"/>
      <c r="AT235" s="7"/>
      <c r="AU235" s="7"/>
      <c r="AV235" s="7"/>
      <c r="AW235" s="7"/>
      <c r="AX235" s="7"/>
      <c r="AY235" s="7"/>
      <c r="AZ235" s="7"/>
      <c r="BA235" s="7"/>
      <c r="BB235" s="7"/>
      <c r="BC235" s="7"/>
      <c r="BD235" s="7"/>
      <c r="BE235" s="7"/>
      <c r="BF235" s="7"/>
      <c r="BG235" s="7"/>
      <c r="BH235" s="7"/>
      <c r="BI235" s="7"/>
      <c r="BJ235" s="7"/>
      <c r="BK235" s="7"/>
      <c r="BL235" s="7"/>
      <c r="BM235" s="55"/>
    </row>
    <row r="236" spans="1:65">
      <c r="A236" s="5"/>
      <c r="B236" s="5"/>
      <c r="C236" s="5"/>
      <c r="D236" s="6"/>
      <c r="E236" s="5"/>
      <c r="F236" s="5"/>
      <c r="G236" s="5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8"/>
      <c r="AG236" s="7"/>
      <c r="AH236" s="7"/>
      <c r="AI236" s="7"/>
      <c r="AJ236" s="7"/>
      <c r="AK236" s="7"/>
      <c r="AL236" s="7"/>
      <c r="AM236" s="7"/>
      <c r="AN236" s="7"/>
      <c r="AO236" s="7"/>
      <c r="AP236" s="7"/>
      <c r="AQ236" s="7"/>
      <c r="AR236" s="8"/>
      <c r="AS236" s="7"/>
      <c r="AT236" s="7"/>
      <c r="AU236" s="7"/>
      <c r="AV236" s="7"/>
      <c r="AW236" s="7"/>
      <c r="AX236" s="7"/>
      <c r="AY236" s="7"/>
      <c r="AZ236" s="7"/>
      <c r="BA236" s="7"/>
      <c r="BB236" s="7"/>
      <c r="BC236" s="7"/>
      <c r="BD236" s="7"/>
      <c r="BE236" s="7"/>
      <c r="BF236" s="7"/>
      <c r="BG236" s="7"/>
      <c r="BH236" s="7"/>
      <c r="BI236" s="7"/>
      <c r="BJ236" s="7"/>
      <c r="BK236" s="7"/>
      <c r="BL236" s="7"/>
      <c r="BM236" s="55"/>
    </row>
    <row r="237" spans="1:65">
      <c r="A237" s="5"/>
      <c r="B237" s="5"/>
      <c r="C237" s="5"/>
      <c r="D237" s="6"/>
      <c r="E237" s="5"/>
      <c r="F237" s="5"/>
      <c r="G237" s="5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8"/>
      <c r="AG237" s="7"/>
      <c r="AH237" s="7"/>
      <c r="AI237" s="7"/>
      <c r="AJ237" s="7"/>
      <c r="AK237" s="7"/>
      <c r="AL237" s="7"/>
      <c r="AM237" s="7"/>
      <c r="AN237" s="7"/>
      <c r="AO237" s="7"/>
      <c r="AP237" s="7"/>
      <c r="AQ237" s="7"/>
      <c r="AR237" s="7"/>
      <c r="AS237" s="7"/>
      <c r="AT237" s="7"/>
      <c r="AU237" s="7"/>
      <c r="AV237" s="7"/>
      <c r="AW237" s="7"/>
      <c r="AX237" s="7"/>
      <c r="AY237" s="7"/>
      <c r="AZ237" s="7"/>
      <c r="BA237" s="7"/>
      <c r="BB237" s="7"/>
      <c r="BC237" s="7"/>
      <c r="BD237" s="7"/>
      <c r="BE237" s="7"/>
      <c r="BF237" s="7"/>
      <c r="BG237" s="7"/>
      <c r="BH237" s="7"/>
      <c r="BI237" s="7"/>
      <c r="BJ237" s="7"/>
      <c r="BK237" s="7"/>
      <c r="BL237" s="7"/>
      <c r="BM237" s="55"/>
    </row>
    <row r="238" spans="1:65">
      <c r="A238" s="5"/>
      <c r="B238" s="5"/>
      <c r="C238" s="5"/>
      <c r="D238" s="6"/>
      <c r="E238" s="5"/>
      <c r="F238" s="5"/>
      <c r="G238" s="5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8"/>
      <c r="AG238" s="7"/>
      <c r="AH238" s="7"/>
      <c r="AI238" s="7"/>
      <c r="AJ238" s="7"/>
      <c r="AK238" s="7"/>
      <c r="AL238" s="7"/>
      <c r="AM238" s="7"/>
      <c r="AN238" s="7"/>
      <c r="AO238" s="7"/>
      <c r="AP238" s="7"/>
      <c r="AQ238" s="7"/>
      <c r="AR238" s="7"/>
      <c r="AS238" s="7"/>
      <c r="AT238" s="7"/>
      <c r="AU238" s="7"/>
      <c r="AV238" s="7"/>
      <c r="AW238" s="7"/>
      <c r="AX238" s="7"/>
      <c r="AY238" s="7"/>
      <c r="AZ238" s="7"/>
      <c r="BA238" s="7"/>
      <c r="BB238" s="7"/>
      <c r="BC238" s="7"/>
      <c r="BD238" s="7"/>
      <c r="BE238" s="7"/>
      <c r="BF238" s="7"/>
      <c r="BG238" s="7"/>
      <c r="BH238" s="7"/>
      <c r="BI238" s="7"/>
      <c r="BJ238" s="7"/>
      <c r="BK238" s="7"/>
      <c r="BL238" s="7"/>
      <c r="BM238" s="55"/>
    </row>
    <row r="239" spans="1:65">
      <c r="A239" s="5"/>
      <c r="B239" s="5"/>
      <c r="C239" s="5"/>
      <c r="D239" s="6"/>
      <c r="E239" s="5"/>
      <c r="F239" s="5"/>
      <c r="G239" s="5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8"/>
      <c r="AG239" s="8"/>
      <c r="AH239" s="7"/>
      <c r="AI239" s="7"/>
      <c r="AJ239" s="7"/>
      <c r="AK239" s="7"/>
      <c r="AL239" s="7"/>
      <c r="AM239" s="7"/>
      <c r="AN239" s="7"/>
      <c r="AO239" s="7"/>
      <c r="AP239" s="7"/>
      <c r="AQ239" s="7"/>
      <c r="AR239" s="8"/>
      <c r="AS239" s="7"/>
      <c r="AT239" s="7"/>
      <c r="AU239" s="7"/>
      <c r="AV239" s="7"/>
      <c r="AW239" s="7"/>
      <c r="AX239" s="7"/>
      <c r="AY239" s="7"/>
      <c r="AZ239" s="7"/>
      <c r="BA239" s="7"/>
      <c r="BB239" s="7"/>
      <c r="BC239" s="7"/>
      <c r="BD239" s="7"/>
      <c r="BE239" s="7"/>
      <c r="BF239" s="7"/>
      <c r="BG239" s="7"/>
      <c r="BH239" s="7"/>
      <c r="BI239" s="7"/>
      <c r="BJ239" s="7"/>
      <c r="BK239" s="7"/>
      <c r="BL239" s="7"/>
      <c r="BM239" s="55"/>
    </row>
    <row r="240" spans="1:65">
      <c r="A240" s="5"/>
      <c r="B240" s="5"/>
      <c r="C240" s="5"/>
      <c r="D240" s="6"/>
      <c r="E240" s="5"/>
      <c r="F240" s="5"/>
      <c r="G240" s="5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8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  <c r="AL240" s="7"/>
      <c r="AM240" s="7"/>
      <c r="AN240" s="7"/>
      <c r="AO240" s="7"/>
      <c r="AP240" s="7"/>
      <c r="AQ240" s="7"/>
      <c r="AR240" s="7"/>
      <c r="AS240" s="7"/>
      <c r="AT240" s="7"/>
      <c r="AU240" s="7"/>
      <c r="AV240" s="7"/>
      <c r="AW240" s="7"/>
      <c r="AX240" s="7"/>
      <c r="AY240" s="7"/>
      <c r="AZ240" s="7"/>
      <c r="BA240" s="7"/>
      <c r="BB240" s="7"/>
      <c r="BC240" s="7"/>
      <c r="BD240" s="7"/>
      <c r="BE240" s="7"/>
      <c r="BF240" s="7"/>
      <c r="BG240" s="7"/>
      <c r="BH240" s="7"/>
      <c r="BI240" s="7"/>
      <c r="BJ240" s="7"/>
      <c r="BK240" s="7"/>
      <c r="BL240" s="7"/>
      <c r="BM240" s="55"/>
    </row>
    <row r="241" spans="1:65">
      <c r="A241" s="5"/>
      <c r="B241" s="5"/>
      <c r="C241" s="5"/>
      <c r="D241" s="6"/>
      <c r="E241" s="5"/>
      <c r="F241" s="5"/>
      <c r="G241" s="5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8"/>
      <c r="AG241" s="7"/>
      <c r="AH241" s="7"/>
      <c r="AI241" s="7"/>
      <c r="AJ241" s="7"/>
      <c r="AK241" s="7"/>
      <c r="AL241" s="7"/>
      <c r="AM241" s="7"/>
      <c r="AN241" s="7"/>
      <c r="AO241" s="7"/>
      <c r="AP241" s="7"/>
      <c r="AQ241" s="7"/>
      <c r="AR241" s="7"/>
      <c r="AS241" s="7"/>
      <c r="AT241" s="7"/>
      <c r="AU241" s="7"/>
      <c r="AV241" s="7"/>
      <c r="AW241" s="7"/>
      <c r="AX241" s="7"/>
      <c r="AY241" s="7"/>
      <c r="AZ241" s="7"/>
      <c r="BA241" s="7"/>
      <c r="BB241" s="7"/>
      <c r="BC241" s="7"/>
      <c r="BD241" s="7"/>
      <c r="BE241" s="7"/>
      <c r="BF241" s="7"/>
      <c r="BG241" s="7"/>
      <c r="BH241" s="7"/>
      <c r="BI241" s="7"/>
      <c r="BJ241" s="7"/>
      <c r="BK241" s="7"/>
      <c r="BL241" s="7"/>
      <c r="BM241" s="55"/>
    </row>
    <row r="242" spans="1:65">
      <c r="A242" s="5"/>
      <c r="B242" s="5"/>
      <c r="C242" s="5"/>
      <c r="D242" s="6"/>
      <c r="E242" s="5"/>
      <c r="F242" s="5"/>
      <c r="G242" s="5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8"/>
      <c r="AG242" s="7"/>
      <c r="AH242" s="7"/>
      <c r="AI242" s="7"/>
      <c r="AJ242" s="7"/>
      <c r="AK242" s="7"/>
      <c r="AL242" s="7"/>
      <c r="AM242" s="7"/>
      <c r="AN242" s="7"/>
      <c r="AO242" s="7"/>
      <c r="AP242" s="7"/>
      <c r="AQ242" s="7"/>
      <c r="AR242" s="7"/>
      <c r="AS242" s="7"/>
      <c r="AT242" s="7"/>
      <c r="AU242" s="7"/>
      <c r="AV242" s="7"/>
      <c r="AW242" s="7"/>
      <c r="AX242" s="7"/>
      <c r="AY242" s="7"/>
      <c r="AZ242" s="7"/>
      <c r="BA242" s="7"/>
      <c r="BB242" s="7"/>
      <c r="BC242" s="7"/>
      <c r="BD242" s="7"/>
      <c r="BE242" s="7"/>
      <c r="BF242" s="7"/>
      <c r="BG242" s="7"/>
      <c r="BH242" s="7"/>
      <c r="BI242" s="7"/>
      <c r="BJ242" s="7"/>
      <c r="BK242" s="7"/>
      <c r="BL242" s="7"/>
      <c r="BM242" s="55"/>
    </row>
    <row r="243" spans="1:65">
      <c r="A243" s="5"/>
      <c r="B243" s="5"/>
      <c r="C243" s="5"/>
      <c r="D243" s="6"/>
      <c r="E243" s="5"/>
      <c r="F243" s="5"/>
      <c r="G243" s="5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7"/>
      <c r="AL243" s="7"/>
      <c r="AM243" s="7"/>
      <c r="AN243" s="7"/>
      <c r="AO243" s="7"/>
      <c r="AP243" s="7"/>
      <c r="AQ243" s="7"/>
      <c r="AR243" s="8"/>
      <c r="AS243" s="7"/>
      <c r="AT243" s="7"/>
      <c r="AU243" s="7"/>
      <c r="AV243" s="7"/>
      <c r="AW243" s="7"/>
      <c r="AX243" s="7"/>
      <c r="AY243" s="7"/>
      <c r="AZ243" s="7"/>
      <c r="BA243" s="7"/>
      <c r="BB243" s="7"/>
      <c r="BC243" s="7"/>
      <c r="BD243" s="7"/>
      <c r="BE243" s="7"/>
      <c r="BF243" s="7"/>
      <c r="BG243" s="7"/>
      <c r="BH243" s="7"/>
      <c r="BI243" s="7"/>
      <c r="BJ243" s="7"/>
      <c r="BK243" s="7"/>
      <c r="BL243" s="7"/>
      <c r="BM243" s="55"/>
    </row>
    <row r="244" spans="1:65">
      <c r="A244" s="5"/>
      <c r="B244" s="5"/>
      <c r="C244" s="5"/>
      <c r="D244" s="6"/>
      <c r="E244" s="5"/>
      <c r="F244" s="5"/>
      <c r="G244" s="5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8"/>
      <c r="AG244" s="7"/>
      <c r="AH244" s="7"/>
      <c r="AI244" s="7"/>
      <c r="AJ244" s="7"/>
      <c r="AK244" s="7"/>
      <c r="AL244" s="7"/>
      <c r="AM244" s="7"/>
      <c r="AN244" s="7"/>
      <c r="AO244" s="7"/>
      <c r="AP244" s="7"/>
      <c r="AQ244" s="7"/>
      <c r="AR244" s="7"/>
      <c r="AS244" s="7"/>
      <c r="AT244" s="7"/>
      <c r="AU244" s="7"/>
      <c r="AV244" s="7"/>
      <c r="AW244" s="7"/>
      <c r="AX244" s="7"/>
      <c r="AY244" s="7"/>
      <c r="AZ244" s="7"/>
      <c r="BA244" s="7"/>
      <c r="BB244" s="7"/>
      <c r="BC244" s="7"/>
      <c r="BD244" s="7"/>
      <c r="BE244" s="7"/>
      <c r="BF244" s="7"/>
      <c r="BG244" s="7"/>
      <c r="BH244" s="7"/>
      <c r="BI244" s="7"/>
      <c r="BJ244" s="7"/>
      <c r="BK244" s="7"/>
      <c r="BL244" s="7"/>
      <c r="BM244" s="55"/>
    </row>
    <row r="245" spans="1:65">
      <c r="A245" s="5"/>
      <c r="B245" s="5"/>
      <c r="C245" s="5"/>
      <c r="D245" s="6"/>
      <c r="E245" s="5"/>
      <c r="F245" s="5"/>
      <c r="G245" s="5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8"/>
      <c r="AG245" s="7"/>
      <c r="AH245" s="7"/>
      <c r="AI245" s="7"/>
      <c r="AJ245" s="7"/>
      <c r="AK245" s="7"/>
      <c r="AL245" s="7"/>
      <c r="AM245" s="7"/>
      <c r="AN245" s="7"/>
      <c r="AO245" s="7"/>
      <c r="AP245" s="7"/>
      <c r="AQ245" s="7"/>
      <c r="AR245" s="7"/>
      <c r="AS245" s="7"/>
      <c r="AT245" s="7"/>
      <c r="AU245" s="7"/>
      <c r="AV245" s="7"/>
      <c r="AW245" s="7"/>
      <c r="AX245" s="7"/>
      <c r="AY245" s="7"/>
      <c r="AZ245" s="7"/>
      <c r="BA245" s="7"/>
      <c r="BB245" s="7"/>
      <c r="BC245" s="7"/>
      <c r="BD245" s="7"/>
      <c r="BE245" s="7"/>
      <c r="BF245" s="7"/>
      <c r="BG245" s="7"/>
      <c r="BH245" s="7"/>
      <c r="BI245" s="7"/>
      <c r="BJ245" s="7"/>
      <c r="BK245" s="7"/>
      <c r="BL245" s="7"/>
      <c r="BM245" s="55"/>
    </row>
    <row r="246" spans="1:65">
      <c r="A246" s="5"/>
      <c r="B246" s="5"/>
      <c r="C246" s="5"/>
      <c r="D246" s="6"/>
      <c r="E246" s="5"/>
      <c r="F246" s="5"/>
      <c r="G246" s="5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8"/>
      <c r="AG246" s="7"/>
      <c r="AH246" s="7"/>
      <c r="AI246" s="7"/>
      <c r="AJ246" s="7"/>
      <c r="AK246" s="7"/>
      <c r="AL246" s="7"/>
      <c r="AM246" s="7"/>
      <c r="AN246" s="7"/>
      <c r="AO246" s="7"/>
      <c r="AP246" s="7"/>
      <c r="AQ246" s="7"/>
      <c r="AR246" s="7"/>
      <c r="AS246" s="7"/>
      <c r="AT246" s="7"/>
      <c r="AU246" s="7"/>
      <c r="AV246" s="7"/>
      <c r="AW246" s="7"/>
      <c r="AX246" s="7"/>
      <c r="AY246" s="7"/>
      <c r="AZ246" s="7"/>
      <c r="BA246" s="7"/>
      <c r="BB246" s="7"/>
      <c r="BC246" s="7"/>
      <c r="BD246" s="7"/>
      <c r="BE246" s="7"/>
      <c r="BF246" s="7"/>
      <c r="BG246" s="7"/>
      <c r="BH246" s="7"/>
      <c r="BI246" s="7"/>
      <c r="BJ246" s="7"/>
      <c r="BK246" s="7"/>
      <c r="BL246" s="7"/>
      <c r="BM246" s="55"/>
    </row>
    <row r="247" spans="1:65">
      <c r="A247" s="5"/>
      <c r="B247" s="5"/>
      <c r="C247" s="5"/>
      <c r="D247" s="6"/>
      <c r="E247" s="5"/>
      <c r="F247" s="5"/>
      <c r="G247" s="5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8"/>
      <c r="AG247" s="7"/>
      <c r="AH247" s="7"/>
      <c r="AI247" s="7"/>
      <c r="AJ247" s="7"/>
      <c r="AK247" s="7"/>
      <c r="AL247" s="7"/>
      <c r="AM247" s="7"/>
      <c r="AN247" s="7"/>
      <c r="AO247" s="7"/>
      <c r="AP247" s="7"/>
      <c r="AQ247" s="7"/>
      <c r="AR247" s="7"/>
      <c r="AS247" s="7"/>
      <c r="AT247" s="7"/>
      <c r="AU247" s="7"/>
      <c r="AV247" s="7"/>
      <c r="AW247" s="7"/>
      <c r="AX247" s="7"/>
      <c r="AY247" s="7"/>
      <c r="AZ247" s="7"/>
      <c r="BA247" s="7"/>
      <c r="BB247" s="7"/>
      <c r="BC247" s="7"/>
      <c r="BD247" s="7"/>
      <c r="BE247" s="7"/>
      <c r="BF247" s="7"/>
      <c r="BG247" s="7"/>
      <c r="BH247" s="7"/>
      <c r="BI247" s="7"/>
      <c r="BJ247" s="7"/>
      <c r="BK247" s="7"/>
      <c r="BL247" s="7"/>
      <c r="BM247" s="55"/>
    </row>
    <row r="248" spans="1:65">
      <c r="A248" s="5"/>
      <c r="B248" s="5"/>
      <c r="C248" s="5"/>
      <c r="D248" s="6"/>
      <c r="E248" s="5"/>
      <c r="F248" s="5"/>
      <c r="G248" s="5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8"/>
      <c r="AG248" s="7"/>
      <c r="AH248" s="7"/>
      <c r="AI248" s="7"/>
      <c r="AJ248" s="7"/>
      <c r="AK248" s="7"/>
      <c r="AL248" s="7"/>
      <c r="AM248" s="7"/>
      <c r="AN248" s="7"/>
      <c r="AO248" s="7"/>
      <c r="AP248" s="7"/>
      <c r="AQ248" s="7"/>
      <c r="AR248" s="7"/>
      <c r="AS248" s="7"/>
      <c r="AT248" s="7"/>
      <c r="AU248" s="7"/>
      <c r="AV248" s="7"/>
      <c r="AW248" s="7"/>
      <c r="AX248" s="7"/>
      <c r="AY248" s="7"/>
      <c r="AZ248" s="7"/>
      <c r="BA248" s="7"/>
      <c r="BB248" s="7"/>
      <c r="BC248" s="7"/>
      <c r="BD248" s="7"/>
      <c r="BE248" s="7"/>
      <c r="BF248" s="7"/>
      <c r="BG248" s="7"/>
      <c r="BH248" s="7"/>
      <c r="BI248" s="7"/>
      <c r="BJ248" s="7"/>
      <c r="BK248" s="7"/>
      <c r="BL248" s="7"/>
      <c r="BM248" s="55"/>
    </row>
    <row r="249" spans="1:65">
      <c r="A249" s="5"/>
      <c r="B249" s="5"/>
      <c r="C249" s="5"/>
      <c r="D249" s="6"/>
      <c r="E249" s="5"/>
      <c r="F249" s="5"/>
      <c r="G249" s="5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8"/>
      <c r="AG249" s="7"/>
      <c r="AH249" s="7"/>
      <c r="AI249" s="7"/>
      <c r="AJ249" s="7"/>
      <c r="AK249" s="7"/>
      <c r="AL249" s="7"/>
      <c r="AM249" s="7"/>
      <c r="AN249" s="7"/>
      <c r="AO249" s="7"/>
      <c r="AP249" s="7"/>
      <c r="AQ249" s="7"/>
      <c r="AR249" s="7"/>
      <c r="AS249" s="7"/>
      <c r="AT249" s="7"/>
      <c r="AU249" s="7"/>
      <c r="AV249" s="7"/>
      <c r="AW249" s="7"/>
      <c r="AX249" s="7"/>
      <c r="AY249" s="7"/>
      <c r="AZ249" s="7"/>
      <c r="BA249" s="7"/>
      <c r="BB249" s="7"/>
      <c r="BC249" s="7"/>
      <c r="BD249" s="7"/>
      <c r="BE249" s="7"/>
      <c r="BF249" s="7"/>
      <c r="BG249" s="7"/>
      <c r="BH249" s="7"/>
      <c r="BI249" s="7"/>
      <c r="BJ249" s="7"/>
      <c r="BK249" s="7"/>
      <c r="BL249" s="7"/>
      <c r="BM249" s="55"/>
    </row>
    <row r="250" spans="1:65">
      <c r="A250" s="5"/>
      <c r="B250" s="5"/>
      <c r="C250" s="5"/>
      <c r="D250" s="6"/>
      <c r="E250" s="5"/>
      <c r="F250" s="5"/>
      <c r="G250" s="5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8"/>
      <c r="AG250" s="7"/>
      <c r="AH250" s="7"/>
      <c r="AI250" s="7"/>
      <c r="AJ250" s="7"/>
      <c r="AK250" s="7"/>
      <c r="AL250" s="7"/>
      <c r="AM250" s="7"/>
      <c r="AN250" s="7"/>
      <c r="AO250" s="7"/>
      <c r="AP250" s="7"/>
      <c r="AQ250" s="7"/>
      <c r="AR250" s="7"/>
      <c r="AS250" s="7"/>
      <c r="AT250" s="7"/>
      <c r="AU250" s="7"/>
      <c r="AV250" s="7"/>
      <c r="AW250" s="7"/>
      <c r="AX250" s="7"/>
      <c r="AY250" s="7"/>
      <c r="AZ250" s="7"/>
      <c r="BA250" s="7"/>
      <c r="BB250" s="7"/>
      <c r="BC250" s="7"/>
      <c r="BD250" s="7"/>
      <c r="BE250" s="7"/>
      <c r="BF250" s="7"/>
      <c r="BG250" s="7"/>
      <c r="BH250" s="7"/>
      <c r="BI250" s="7"/>
      <c r="BJ250" s="7"/>
      <c r="BK250" s="7"/>
      <c r="BL250" s="7"/>
      <c r="BM250" s="55"/>
    </row>
    <row r="251" spans="1:65">
      <c r="A251" s="5"/>
      <c r="B251" s="5"/>
      <c r="C251" s="5"/>
      <c r="D251" s="6"/>
      <c r="E251" s="5"/>
      <c r="F251" s="5"/>
      <c r="G251" s="5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8"/>
      <c r="AG251" s="7"/>
      <c r="AH251" s="7"/>
      <c r="AI251" s="7"/>
      <c r="AJ251" s="7"/>
      <c r="AK251" s="7"/>
      <c r="AL251" s="7"/>
      <c r="AM251" s="7"/>
      <c r="AN251" s="7"/>
      <c r="AO251" s="7"/>
      <c r="AP251" s="7"/>
      <c r="AQ251" s="7"/>
      <c r="AR251" s="7"/>
      <c r="AS251" s="7"/>
      <c r="AT251" s="7"/>
      <c r="AU251" s="7"/>
      <c r="AV251" s="7"/>
      <c r="AW251" s="7"/>
      <c r="AX251" s="7"/>
      <c r="AY251" s="7"/>
      <c r="AZ251" s="7"/>
      <c r="BA251" s="7"/>
      <c r="BB251" s="7"/>
      <c r="BC251" s="7"/>
      <c r="BD251" s="7"/>
      <c r="BE251" s="7"/>
      <c r="BF251" s="7"/>
      <c r="BG251" s="7"/>
      <c r="BH251" s="7"/>
      <c r="BI251" s="7"/>
      <c r="BJ251" s="7"/>
      <c r="BK251" s="7"/>
      <c r="BL251" s="7"/>
      <c r="BM251" s="55"/>
    </row>
    <row r="252" spans="1:65">
      <c r="A252" s="5"/>
      <c r="B252" s="5"/>
      <c r="C252" s="5"/>
      <c r="D252" s="6"/>
      <c r="E252" s="5"/>
      <c r="F252" s="5"/>
      <c r="G252" s="5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8"/>
      <c r="AG252" s="7"/>
      <c r="AH252" s="7"/>
      <c r="AI252" s="7"/>
      <c r="AJ252" s="7"/>
      <c r="AK252" s="7"/>
      <c r="AL252" s="7"/>
      <c r="AM252" s="7"/>
      <c r="AN252" s="7"/>
      <c r="AO252" s="7"/>
      <c r="AP252" s="7"/>
      <c r="AQ252" s="7"/>
      <c r="AR252" s="8"/>
      <c r="AS252" s="7"/>
      <c r="AT252" s="7"/>
      <c r="AU252" s="7"/>
      <c r="AV252" s="7"/>
      <c r="AW252" s="7"/>
      <c r="AX252" s="7"/>
      <c r="AY252" s="7"/>
      <c r="AZ252" s="7"/>
      <c r="BA252" s="7"/>
      <c r="BB252" s="7"/>
      <c r="BC252" s="7"/>
      <c r="BD252" s="7"/>
      <c r="BE252" s="7"/>
      <c r="BF252" s="7"/>
      <c r="BG252" s="7"/>
      <c r="BH252" s="7"/>
      <c r="BI252" s="7"/>
      <c r="BJ252" s="7"/>
      <c r="BK252" s="7"/>
      <c r="BL252" s="7"/>
      <c r="BM252" s="55"/>
    </row>
    <row r="253" spans="1:65">
      <c r="A253" s="5"/>
      <c r="B253" s="5"/>
      <c r="C253" s="5"/>
      <c r="D253" s="6"/>
      <c r="E253" s="5"/>
      <c r="F253" s="5"/>
      <c r="G253" s="5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8"/>
      <c r="AG253" s="8"/>
      <c r="AH253" s="7"/>
      <c r="AI253" s="7"/>
      <c r="AJ253" s="7"/>
      <c r="AK253" s="7"/>
      <c r="AL253" s="7"/>
      <c r="AM253" s="7"/>
      <c r="AN253" s="7"/>
      <c r="AO253" s="7"/>
      <c r="AP253" s="7"/>
      <c r="AQ253" s="7"/>
      <c r="AR253" s="7"/>
      <c r="AS253" s="7"/>
      <c r="AT253" s="7"/>
      <c r="AU253" s="7"/>
      <c r="AV253" s="7"/>
      <c r="AW253" s="7"/>
      <c r="AX253" s="7"/>
      <c r="AY253" s="7"/>
      <c r="AZ253" s="7"/>
      <c r="BA253" s="7"/>
      <c r="BB253" s="7"/>
      <c r="BC253" s="7"/>
      <c r="BD253" s="7"/>
      <c r="BE253" s="7"/>
      <c r="BF253" s="7"/>
      <c r="BG253" s="7"/>
      <c r="BH253" s="7"/>
      <c r="BI253" s="7"/>
      <c r="BJ253" s="7"/>
      <c r="BK253" s="7"/>
      <c r="BL253" s="7"/>
      <c r="BM253" s="55"/>
    </row>
    <row r="254" spans="1:65">
      <c r="A254" s="5"/>
      <c r="B254" s="5"/>
      <c r="C254" s="5"/>
      <c r="D254" s="6"/>
      <c r="E254" s="5"/>
      <c r="F254" s="5"/>
      <c r="G254" s="5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8"/>
      <c r="AG254" s="7"/>
      <c r="AH254" s="7"/>
      <c r="AI254" s="7"/>
      <c r="AJ254" s="7"/>
      <c r="AK254" s="7"/>
      <c r="AL254" s="7"/>
      <c r="AM254" s="7"/>
      <c r="AN254" s="7"/>
      <c r="AO254" s="7"/>
      <c r="AP254" s="7"/>
      <c r="AQ254" s="7"/>
      <c r="AR254" s="7"/>
      <c r="AS254" s="7"/>
      <c r="AT254" s="7"/>
      <c r="AU254" s="7"/>
      <c r="AV254" s="7"/>
      <c r="AW254" s="7"/>
      <c r="AX254" s="7"/>
      <c r="AY254" s="7"/>
      <c r="AZ254" s="7"/>
      <c r="BA254" s="7"/>
      <c r="BB254" s="7"/>
      <c r="BC254" s="7"/>
      <c r="BD254" s="7"/>
      <c r="BE254" s="7"/>
      <c r="BF254" s="7"/>
      <c r="BG254" s="7"/>
      <c r="BH254" s="7"/>
      <c r="BI254" s="7"/>
      <c r="BJ254" s="7"/>
      <c r="BK254" s="7"/>
      <c r="BL254" s="7"/>
      <c r="BM254" s="55"/>
    </row>
    <row r="255" spans="1:65">
      <c r="A255" s="5"/>
      <c r="B255" s="5"/>
      <c r="C255" s="5"/>
      <c r="D255" s="6"/>
      <c r="E255" s="5"/>
      <c r="F255" s="5"/>
      <c r="G255" s="5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8"/>
      <c r="AG255" s="7"/>
      <c r="AH255" s="7"/>
      <c r="AI255" s="7"/>
      <c r="AJ255" s="7"/>
      <c r="AK255" s="7"/>
      <c r="AL255" s="7"/>
      <c r="AM255" s="7"/>
      <c r="AN255" s="7"/>
      <c r="AO255" s="7"/>
      <c r="AP255" s="7"/>
      <c r="AQ255" s="7"/>
      <c r="AR255" s="7"/>
      <c r="AS255" s="7"/>
      <c r="AT255" s="7"/>
      <c r="AU255" s="7"/>
      <c r="AV255" s="7"/>
      <c r="AW255" s="7"/>
      <c r="AX255" s="7"/>
      <c r="AY255" s="7"/>
      <c r="AZ255" s="7"/>
      <c r="BA255" s="7"/>
      <c r="BB255" s="7"/>
      <c r="BC255" s="7"/>
      <c r="BD255" s="7"/>
      <c r="BE255" s="7"/>
      <c r="BF255" s="7"/>
      <c r="BG255" s="7"/>
      <c r="BH255" s="7"/>
      <c r="BI255" s="7"/>
      <c r="BJ255" s="7"/>
      <c r="BK255" s="7"/>
      <c r="BL255" s="7"/>
      <c r="BM255" s="55"/>
    </row>
    <row r="256" spans="1:65">
      <c r="A256" s="5"/>
      <c r="B256" s="5"/>
      <c r="C256" s="5"/>
      <c r="D256" s="6"/>
      <c r="E256" s="5"/>
      <c r="F256" s="5"/>
      <c r="G256" s="5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8"/>
      <c r="AH256" s="7"/>
      <c r="AI256" s="7"/>
      <c r="AJ256" s="7"/>
      <c r="AK256" s="7"/>
      <c r="AL256" s="7"/>
      <c r="AM256" s="7"/>
      <c r="AN256" s="7"/>
      <c r="AO256" s="7"/>
      <c r="AP256" s="7"/>
      <c r="AQ256" s="7"/>
      <c r="AR256" s="8"/>
      <c r="AS256" s="7"/>
      <c r="AT256" s="7"/>
      <c r="AU256" s="7"/>
      <c r="AV256" s="7"/>
      <c r="AW256" s="7"/>
      <c r="AX256" s="7"/>
      <c r="AY256" s="7"/>
      <c r="AZ256" s="7"/>
      <c r="BA256" s="7"/>
      <c r="BB256" s="7"/>
      <c r="BC256" s="7"/>
      <c r="BD256" s="7"/>
      <c r="BE256" s="7"/>
      <c r="BF256" s="7"/>
      <c r="BG256" s="7"/>
      <c r="BH256" s="7"/>
      <c r="BI256" s="7"/>
      <c r="BJ256" s="7"/>
      <c r="BK256" s="7"/>
      <c r="BL256" s="7"/>
      <c r="BM256" s="55"/>
    </row>
    <row r="257" spans="1:65">
      <c r="A257" s="5"/>
      <c r="B257" s="5"/>
      <c r="C257" s="5"/>
      <c r="D257" s="6"/>
      <c r="E257" s="5"/>
      <c r="F257" s="5"/>
      <c r="G257" s="5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8"/>
      <c r="AG257" s="7"/>
      <c r="AH257" s="7"/>
      <c r="AI257" s="7"/>
      <c r="AJ257" s="7"/>
      <c r="AK257" s="7"/>
      <c r="AL257" s="7"/>
      <c r="AM257" s="7"/>
      <c r="AN257" s="7"/>
      <c r="AO257" s="7"/>
      <c r="AP257" s="7"/>
      <c r="AQ257" s="7"/>
      <c r="AR257" s="7"/>
      <c r="AS257" s="7"/>
      <c r="AT257" s="7"/>
      <c r="AU257" s="7"/>
      <c r="AV257" s="7"/>
      <c r="AW257" s="7"/>
      <c r="AX257" s="7"/>
      <c r="AY257" s="7"/>
      <c r="AZ257" s="7"/>
      <c r="BA257" s="7"/>
      <c r="BB257" s="7"/>
      <c r="BC257" s="7"/>
      <c r="BD257" s="7"/>
      <c r="BE257" s="7"/>
      <c r="BF257" s="7"/>
      <c r="BG257" s="7"/>
      <c r="BH257" s="7"/>
      <c r="BI257" s="7"/>
      <c r="BJ257" s="7"/>
      <c r="BK257" s="7"/>
      <c r="BL257" s="7"/>
      <c r="BM257" s="55"/>
    </row>
    <row r="258" spans="1:65">
      <c r="A258" s="5"/>
      <c r="B258" s="5"/>
      <c r="C258" s="5"/>
      <c r="D258" s="6"/>
      <c r="E258" s="5"/>
      <c r="F258" s="5"/>
      <c r="G258" s="5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8"/>
      <c r="AG258" s="7"/>
      <c r="AH258" s="7"/>
      <c r="AI258" s="7"/>
      <c r="AJ258" s="7"/>
      <c r="AK258" s="7"/>
      <c r="AL258" s="7"/>
      <c r="AM258" s="7"/>
      <c r="AN258" s="7"/>
      <c r="AO258" s="7"/>
      <c r="AP258" s="7"/>
      <c r="AQ258" s="7"/>
      <c r="AR258" s="7"/>
      <c r="AS258" s="7"/>
      <c r="AT258" s="7"/>
      <c r="AU258" s="7"/>
      <c r="AV258" s="7"/>
      <c r="AW258" s="7"/>
      <c r="AX258" s="7"/>
      <c r="AY258" s="7"/>
      <c r="AZ258" s="7"/>
      <c r="BA258" s="7"/>
      <c r="BB258" s="7"/>
      <c r="BC258" s="7"/>
      <c r="BD258" s="7"/>
      <c r="BE258" s="7"/>
      <c r="BF258" s="7"/>
      <c r="BG258" s="7"/>
      <c r="BH258" s="7"/>
      <c r="BI258" s="7"/>
      <c r="BJ258" s="7"/>
      <c r="BK258" s="7"/>
      <c r="BL258" s="7"/>
      <c r="BM258" s="55"/>
    </row>
    <row r="259" spans="1:65">
      <c r="A259" s="5"/>
      <c r="B259" s="5"/>
      <c r="C259" s="5"/>
      <c r="D259" s="6"/>
      <c r="E259" s="5"/>
      <c r="F259" s="5"/>
      <c r="G259" s="5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8"/>
      <c r="AH259" s="7"/>
      <c r="AI259" s="7"/>
      <c r="AJ259" s="7"/>
      <c r="AK259" s="7"/>
      <c r="AL259" s="7"/>
      <c r="AM259" s="7"/>
      <c r="AN259" s="7"/>
      <c r="AO259" s="7"/>
      <c r="AP259" s="7"/>
      <c r="AQ259" s="7"/>
      <c r="AR259" s="7"/>
      <c r="AS259" s="7"/>
      <c r="AT259" s="7"/>
      <c r="AU259" s="7"/>
      <c r="AV259" s="7"/>
      <c r="AW259" s="7"/>
      <c r="AX259" s="7"/>
      <c r="AY259" s="7"/>
      <c r="AZ259" s="7"/>
      <c r="BA259" s="7"/>
      <c r="BB259" s="7"/>
      <c r="BC259" s="7"/>
      <c r="BD259" s="7"/>
      <c r="BE259" s="7"/>
      <c r="BF259" s="7"/>
      <c r="BG259" s="7"/>
      <c r="BH259" s="7"/>
      <c r="BI259" s="7"/>
      <c r="BJ259" s="7"/>
      <c r="BK259" s="7"/>
      <c r="BL259" s="7"/>
      <c r="BM259" s="55"/>
    </row>
    <row r="260" spans="1:65">
      <c r="A260" s="5"/>
      <c r="B260" s="5"/>
      <c r="C260" s="5"/>
      <c r="D260" s="6"/>
      <c r="E260" s="5"/>
      <c r="F260" s="5"/>
      <c r="G260" s="5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8"/>
      <c r="AG260" s="7"/>
      <c r="AH260" s="7"/>
      <c r="AI260" s="7"/>
      <c r="AJ260" s="7"/>
      <c r="AK260" s="7"/>
      <c r="AL260" s="7"/>
      <c r="AM260" s="7"/>
      <c r="AN260" s="7"/>
      <c r="AO260" s="7"/>
      <c r="AP260" s="7"/>
      <c r="AQ260" s="7"/>
      <c r="AR260" s="7"/>
      <c r="AS260" s="7"/>
      <c r="AT260" s="7"/>
      <c r="AU260" s="7"/>
      <c r="AV260" s="7"/>
      <c r="AW260" s="7"/>
      <c r="AX260" s="7"/>
      <c r="AY260" s="7"/>
      <c r="AZ260" s="7"/>
      <c r="BA260" s="7"/>
      <c r="BB260" s="7"/>
      <c r="BC260" s="7"/>
      <c r="BD260" s="7"/>
      <c r="BE260" s="7"/>
      <c r="BF260" s="7"/>
      <c r="BG260" s="7"/>
      <c r="BH260" s="7"/>
      <c r="BI260" s="7"/>
      <c r="BJ260" s="7"/>
      <c r="BK260" s="7"/>
      <c r="BL260" s="7"/>
      <c r="BM260" s="55"/>
    </row>
    <row r="261" spans="1:65">
      <c r="A261" s="5"/>
      <c r="B261" s="5"/>
      <c r="C261" s="5"/>
      <c r="D261" s="6"/>
      <c r="E261" s="5"/>
      <c r="F261" s="5"/>
      <c r="G261" s="5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8"/>
      <c r="AG261" s="8"/>
      <c r="AH261" s="7"/>
      <c r="AI261" s="7"/>
      <c r="AJ261" s="7"/>
      <c r="AK261" s="7"/>
      <c r="AL261" s="7"/>
      <c r="AM261" s="7"/>
      <c r="AN261" s="7"/>
      <c r="AO261" s="7"/>
      <c r="AP261" s="7"/>
      <c r="AQ261" s="7"/>
      <c r="AR261" s="7"/>
      <c r="AS261" s="7"/>
      <c r="AT261" s="7"/>
      <c r="AU261" s="7"/>
      <c r="AV261" s="7"/>
      <c r="AW261" s="7"/>
      <c r="AX261" s="7"/>
      <c r="AY261" s="7"/>
      <c r="AZ261" s="7"/>
      <c r="BA261" s="7"/>
      <c r="BB261" s="7"/>
      <c r="BC261" s="7"/>
      <c r="BD261" s="7"/>
      <c r="BE261" s="7"/>
      <c r="BF261" s="7"/>
      <c r="BG261" s="7"/>
      <c r="BH261" s="7"/>
      <c r="BI261" s="7"/>
      <c r="BJ261" s="7"/>
      <c r="BK261" s="7"/>
      <c r="BL261" s="7"/>
      <c r="BM261" s="55"/>
    </row>
    <row r="262" spans="1:65">
      <c r="A262" s="5"/>
      <c r="B262" s="5"/>
      <c r="C262" s="5"/>
      <c r="D262" s="6"/>
      <c r="E262" s="5"/>
      <c r="F262" s="5"/>
      <c r="G262" s="5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8"/>
      <c r="AG262" s="7"/>
      <c r="AH262" s="7"/>
      <c r="AI262" s="7"/>
      <c r="AJ262" s="7"/>
      <c r="AK262" s="7"/>
      <c r="AL262" s="7"/>
      <c r="AM262" s="7"/>
      <c r="AN262" s="7"/>
      <c r="AO262" s="7"/>
      <c r="AP262" s="7"/>
      <c r="AQ262" s="7"/>
      <c r="AR262" s="7"/>
      <c r="AS262" s="7"/>
      <c r="AT262" s="7"/>
      <c r="AU262" s="7"/>
      <c r="AV262" s="7"/>
      <c r="AW262" s="7"/>
      <c r="AX262" s="7"/>
      <c r="AY262" s="7"/>
      <c r="AZ262" s="7"/>
      <c r="BA262" s="7"/>
      <c r="BB262" s="7"/>
      <c r="BC262" s="7"/>
      <c r="BD262" s="7"/>
      <c r="BE262" s="7"/>
      <c r="BF262" s="7"/>
      <c r="BG262" s="7"/>
      <c r="BH262" s="7"/>
      <c r="BI262" s="7"/>
      <c r="BJ262" s="7"/>
      <c r="BK262" s="7"/>
      <c r="BL262" s="7"/>
      <c r="BM262" s="55"/>
    </row>
    <row r="263" spans="1:65">
      <c r="A263" s="5"/>
      <c r="B263" s="5"/>
      <c r="C263" s="5"/>
      <c r="D263" s="6"/>
      <c r="E263" s="5"/>
      <c r="F263" s="5"/>
      <c r="G263" s="5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8"/>
      <c r="AG263" s="7"/>
      <c r="AH263" s="7"/>
      <c r="AI263" s="7"/>
      <c r="AJ263" s="7"/>
      <c r="AK263" s="7"/>
      <c r="AL263" s="7"/>
      <c r="AM263" s="7"/>
      <c r="AN263" s="7"/>
      <c r="AO263" s="7"/>
      <c r="AP263" s="7"/>
      <c r="AQ263" s="7"/>
      <c r="AR263" s="7"/>
      <c r="AS263" s="7"/>
      <c r="AT263" s="7"/>
      <c r="AU263" s="7"/>
      <c r="AV263" s="7"/>
      <c r="AW263" s="7"/>
      <c r="AX263" s="7"/>
      <c r="AY263" s="7"/>
      <c r="AZ263" s="7"/>
      <c r="BA263" s="7"/>
      <c r="BB263" s="7"/>
      <c r="BC263" s="7"/>
      <c r="BD263" s="7"/>
      <c r="BE263" s="7"/>
      <c r="BF263" s="7"/>
      <c r="BG263" s="7"/>
      <c r="BH263" s="7"/>
      <c r="BI263" s="7"/>
      <c r="BJ263" s="7"/>
      <c r="BK263" s="7"/>
      <c r="BL263" s="7"/>
      <c r="BM263" s="55"/>
    </row>
    <row r="264" spans="1:65">
      <c r="A264" s="5"/>
      <c r="B264" s="5"/>
      <c r="C264" s="5"/>
      <c r="D264" s="6"/>
      <c r="E264" s="5"/>
      <c r="F264" s="5"/>
      <c r="G264" s="5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8"/>
      <c r="AG264" s="8"/>
      <c r="AH264" s="7"/>
      <c r="AI264" s="7"/>
      <c r="AJ264" s="7"/>
      <c r="AK264" s="7"/>
      <c r="AL264" s="7"/>
      <c r="AM264" s="7"/>
      <c r="AN264" s="7"/>
      <c r="AO264" s="7"/>
      <c r="AP264" s="7"/>
      <c r="AQ264" s="7"/>
      <c r="AR264" s="7"/>
      <c r="AS264" s="7"/>
      <c r="AT264" s="7"/>
      <c r="AU264" s="7"/>
      <c r="AV264" s="7"/>
      <c r="AW264" s="7"/>
      <c r="AX264" s="7"/>
      <c r="AY264" s="7"/>
      <c r="AZ264" s="7"/>
      <c r="BA264" s="7"/>
      <c r="BB264" s="7"/>
      <c r="BC264" s="7"/>
      <c r="BD264" s="7"/>
      <c r="BE264" s="7"/>
      <c r="BF264" s="7"/>
      <c r="BG264" s="7"/>
      <c r="BH264" s="7"/>
      <c r="BI264" s="7"/>
      <c r="BJ264" s="7"/>
      <c r="BK264" s="7"/>
      <c r="BL264" s="7"/>
      <c r="BM264" s="55"/>
    </row>
    <row r="265" spans="1:65">
      <c r="A265" s="5"/>
      <c r="B265" s="5"/>
      <c r="C265" s="5"/>
      <c r="D265" s="6"/>
      <c r="E265" s="5"/>
      <c r="F265" s="5"/>
      <c r="G265" s="5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8"/>
      <c r="AG265" s="7"/>
      <c r="AH265" s="7"/>
      <c r="AI265" s="7"/>
      <c r="AJ265" s="7"/>
      <c r="AK265" s="7"/>
      <c r="AL265" s="7"/>
      <c r="AM265" s="7"/>
      <c r="AN265" s="7"/>
      <c r="AO265" s="7"/>
      <c r="AP265" s="7"/>
      <c r="AQ265" s="7"/>
      <c r="AR265" s="7"/>
      <c r="AS265" s="7"/>
      <c r="AT265" s="7"/>
      <c r="AU265" s="7"/>
      <c r="AV265" s="7"/>
      <c r="AW265" s="7"/>
      <c r="AX265" s="7"/>
      <c r="AY265" s="7"/>
      <c r="AZ265" s="7"/>
      <c r="BA265" s="7"/>
      <c r="BB265" s="7"/>
      <c r="BC265" s="7"/>
      <c r="BD265" s="7"/>
      <c r="BE265" s="7"/>
      <c r="BF265" s="7"/>
      <c r="BG265" s="7"/>
      <c r="BH265" s="7"/>
      <c r="BI265" s="7"/>
      <c r="BJ265" s="7"/>
      <c r="BK265" s="7"/>
      <c r="BL265" s="7"/>
      <c r="BM265" s="55"/>
    </row>
    <row r="266" spans="1:65">
      <c r="A266" s="5"/>
      <c r="B266" s="5"/>
      <c r="C266" s="5"/>
      <c r="D266" s="6"/>
      <c r="E266" s="5"/>
      <c r="F266" s="5"/>
      <c r="G266" s="5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8"/>
      <c r="AG266" s="7"/>
      <c r="AH266" s="7"/>
      <c r="AI266" s="7"/>
      <c r="AJ266" s="7"/>
      <c r="AK266" s="7"/>
      <c r="AL266" s="7"/>
      <c r="AM266" s="7"/>
      <c r="AN266" s="7"/>
      <c r="AO266" s="7"/>
      <c r="AP266" s="7"/>
      <c r="AQ266" s="7"/>
      <c r="AR266" s="8"/>
      <c r="AS266" s="7"/>
      <c r="AT266" s="7"/>
      <c r="AU266" s="7"/>
      <c r="AV266" s="7"/>
      <c r="AW266" s="7"/>
      <c r="AX266" s="7"/>
      <c r="AY266" s="7"/>
      <c r="AZ266" s="7"/>
      <c r="BA266" s="7"/>
      <c r="BB266" s="7"/>
      <c r="BC266" s="7"/>
      <c r="BD266" s="7"/>
      <c r="BE266" s="7"/>
      <c r="BF266" s="7"/>
      <c r="BG266" s="7"/>
      <c r="BH266" s="7"/>
      <c r="BI266" s="7"/>
      <c r="BJ266" s="7"/>
      <c r="BK266" s="7"/>
      <c r="BL266" s="7"/>
      <c r="BM266" s="55"/>
    </row>
    <row r="267" spans="1:65">
      <c r="A267" s="5"/>
      <c r="B267" s="5"/>
      <c r="C267" s="5"/>
      <c r="D267" s="6"/>
      <c r="E267" s="5"/>
      <c r="F267" s="5"/>
      <c r="G267" s="5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8"/>
      <c r="AG267" s="7"/>
      <c r="AH267" s="7"/>
      <c r="AI267" s="7"/>
      <c r="AJ267" s="7"/>
      <c r="AK267" s="7"/>
      <c r="AL267" s="7"/>
      <c r="AM267" s="7"/>
      <c r="AN267" s="7"/>
      <c r="AO267" s="7"/>
      <c r="AP267" s="7"/>
      <c r="AQ267" s="7"/>
      <c r="AR267" s="7"/>
      <c r="AS267" s="7"/>
      <c r="AT267" s="7"/>
      <c r="AU267" s="7"/>
      <c r="AV267" s="7"/>
      <c r="AW267" s="7"/>
      <c r="AX267" s="7"/>
      <c r="AY267" s="7"/>
      <c r="AZ267" s="7"/>
      <c r="BA267" s="7"/>
      <c r="BB267" s="7"/>
      <c r="BC267" s="7"/>
      <c r="BD267" s="7"/>
      <c r="BE267" s="7"/>
      <c r="BF267" s="7"/>
      <c r="BG267" s="7"/>
      <c r="BH267" s="7"/>
      <c r="BI267" s="7"/>
      <c r="BJ267" s="7"/>
      <c r="BK267" s="7"/>
      <c r="BL267" s="7"/>
      <c r="BM267" s="55"/>
    </row>
    <row r="268" spans="1:65">
      <c r="A268" s="5"/>
      <c r="B268" s="5"/>
      <c r="C268" s="5"/>
      <c r="D268" s="6"/>
      <c r="E268" s="5"/>
      <c r="F268" s="5"/>
      <c r="G268" s="5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8"/>
      <c r="AH268" s="7"/>
      <c r="AI268" s="7"/>
      <c r="AJ268" s="7"/>
      <c r="AK268" s="7"/>
      <c r="AL268" s="7"/>
      <c r="AM268" s="7"/>
      <c r="AN268" s="7"/>
      <c r="AO268" s="7"/>
      <c r="AP268" s="7"/>
      <c r="AQ268" s="7"/>
      <c r="AR268" s="7"/>
      <c r="AS268" s="7"/>
      <c r="AT268" s="7"/>
      <c r="AU268" s="7"/>
      <c r="AV268" s="7"/>
      <c r="AW268" s="7"/>
      <c r="AX268" s="7"/>
      <c r="AY268" s="7"/>
      <c r="AZ268" s="7"/>
      <c r="BA268" s="7"/>
      <c r="BB268" s="7"/>
      <c r="BC268" s="7"/>
      <c r="BD268" s="7"/>
      <c r="BE268" s="7"/>
      <c r="BF268" s="7"/>
      <c r="BG268" s="7"/>
      <c r="BH268" s="7"/>
      <c r="BI268" s="7"/>
      <c r="BJ268" s="7"/>
      <c r="BK268" s="7"/>
      <c r="BL268" s="7"/>
      <c r="BM268" s="55"/>
    </row>
    <row r="269" spans="1:65">
      <c r="A269" s="5"/>
      <c r="B269" s="5"/>
      <c r="C269" s="5"/>
      <c r="D269" s="6"/>
      <c r="E269" s="5"/>
      <c r="F269" s="5"/>
      <c r="G269" s="5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8"/>
      <c r="AG269" s="7"/>
      <c r="AH269" s="7"/>
      <c r="AI269" s="7"/>
      <c r="AJ269" s="7"/>
      <c r="AK269" s="7"/>
      <c r="AL269" s="7"/>
      <c r="AM269" s="7"/>
      <c r="AN269" s="7"/>
      <c r="AO269" s="7"/>
      <c r="AP269" s="7"/>
      <c r="AQ269" s="7"/>
      <c r="AR269" s="7"/>
      <c r="AS269" s="7"/>
      <c r="AT269" s="7"/>
      <c r="AU269" s="7"/>
      <c r="AV269" s="7"/>
      <c r="AW269" s="7"/>
      <c r="AX269" s="7"/>
      <c r="AY269" s="7"/>
      <c r="AZ269" s="7"/>
      <c r="BA269" s="7"/>
      <c r="BB269" s="7"/>
      <c r="BC269" s="7"/>
      <c r="BD269" s="7"/>
      <c r="BE269" s="7"/>
      <c r="BF269" s="7"/>
      <c r="BG269" s="7"/>
      <c r="BH269" s="7"/>
      <c r="BI269" s="7"/>
      <c r="BJ269" s="7"/>
      <c r="BK269" s="7"/>
      <c r="BL269" s="7"/>
      <c r="BM269" s="55"/>
    </row>
    <row r="270" spans="1:65">
      <c r="A270" s="5"/>
      <c r="B270" s="5"/>
      <c r="C270" s="5"/>
      <c r="D270" s="6"/>
      <c r="E270" s="5"/>
      <c r="F270" s="5"/>
      <c r="G270" s="5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8"/>
      <c r="AG270" s="8"/>
      <c r="AH270" s="7"/>
      <c r="AI270" s="7"/>
      <c r="AJ270" s="7"/>
      <c r="AK270" s="7"/>
      <c r="AL270" s="7"/>
      <c r="AM270" s="7"/>
      <c r="AN270" s="7"/>
      <c r="AO270" s="7"/>
      <c r="AP270" s="7"/>
      <c r="AQ270" s="7"/>
      <c r="AR270" s="8"/>
      <c r="AS270" s="7"/>
      <c r="AT270" s="7"/>
      <c r="AU270" s="7"/>
      <c r="AV270" s="7"/>
      <c r="AW270" s="7"/>
      <c r="AX270" s="7"/>
      <c r="AY270" s="7"/>
      <c r="AZ270" s="7"/>
      <c r="BA270" s="7"/>
      <c r="BB270" s="7"/>
      <c r="BC270" s="7"/>
      <c r="BD270" s="7"/>
      <c r="BE270" s="7"/>
      <c r="BF270" s="7"/>
      <c r="BG270" s="7"/>
      <c r="BH270" s="7"/>
      <c r="BI270" s="7"/>
      <c r="BJ270" s="7"/>
      <c r="BK270" s="7"/>
      <c r="BL270" s="7"/>
      <c r="BM270" s="55"/>
    </row>
    <row r="271" spans="1:65">
      <c r="A271" s="5"/>
      <c r="B271" s="5"/>
      <c r="C271" s="5"/>
      <c r="D271" s="6"/>
      <c r="E271" s="5"/>
      <c r="F271" s="5"/>
      <c r="G271" s="5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8"/>
      <c r="AG271" s="7"/>
      <c r="AH271" s="7"/>
      <c r="AI271" s="7"/>
      <c r="AJ271" s="7"/>
      <c r="AK271" s="7"/>
      <c r="AL271" s="7"/>
      <c r="AM271" s="7"/>
      <c r="AN271" s="7"/>
      <c r="AO271" s="7"/>
      <c r="AP271" s="7"/>
      <c r="AQ271" s="7"/>
      <c r="AR271" s="7"/>
      <c r="AS271" s="7"/>
      <c r="AT271" s="7"/>
      <c r="AU271" s="7"/>
      <c r="AV271" s="7"/>
      <c r="AW271" s="7"/>
      <c r="AX271" s="7"/>
      <c r="AY271" s="7"/>
      <c r="AZ271" s="7"/>
      <c r="BA271" s="7"/>
      <c r="BB271" s="7"/>
      <c r="BC271" s="7"/>
      <c r="BD271" s="7"/>
      <c r="BE271" s="7"/>
      <c r="BF271" s="7"/>
      <c r="BG271" s="7"/>
      <c r="BH271" s="7"/>
      <c r="BI271" s="7"/>
      <c r="BJ271" s="7"/>
      <c r="BK271" s="7"/>
      <c r="BL271" s="7"/>
      <c r="BM271" s="55"/>
    </row>
    <row r="272" spans="1:65">
      <c r="A272" s="5"/>
      <c r="B272" s="5"/>
      <c r="C272" s="5"/>
      <c r="D272" s="6"/>
      <c r="E272" s="5"/>
      <c r="F272" s="5"/>
      <c r="G272" s="5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7"/>
      <c r="AL272" s="7"/>
      <c r="AM272" s="7"/>
      <c r="AN272" s="7"/>
      <c r="AO272" s="7"/>
      <c r="AP272" s="7"/>
      <c r="AQ272" s="7"/>
      <c r="AR272" s="8"/>
      <c r="AS272" s="7"/>
      <c r="AT272" s="7"/>
      <c r="AU272" s="7"/>
      <c r="AV272" s="7"/>
      <c r="AW272" s="7"/>
      <c r="AX272" s="7"/>
      <c r="AY272" s="7"/>
      <c r="AZ272" s="7"/>
      <c r="BA272" s="7"/>
      <c r="BB272" s="7"/>
      <c r="BC272" s="7"/>
      <c r="BD272" s="7"/>
      <c r="BE272" s="7"/>
      <c r="BF272" s="7"/>
      <c r="BG272" s="7"/>
      <c r="BH272" s="7"/>
      <c r="BI272" s="7"/>
      <c r="BJ272" s="7"/>
      <c r="BK272" s="7"/>
      <c r="BL272" s="7"/>
      <c r="BM272" s="55"/>
    </row>
    <row r="273" spans="1:65">
      <c r="A273" s="5"/>
      <c r="B273" s="5"/>
      <c r="C273" s="5"/>
      <c r="D273" s="6"/>
      <c r="E273" s="5"/>
      <c r="F273" s="5"/>
      <c r="G273" s="5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8"/>
      <c r="AG273" s="7"/>
      <c r="AH273" s="7"/>
      <c r="AI273" s="7"/>
      <c r="AJ273" s="7"/>
      <c r="AK273" s="7"/>
      <c r="AL273" s="7"/>
      <c r="AM273" s="7"/>
      <c r="AN273" s="7"/>
      <c r="AO273" s="7"/>
      <c r="AP273" s="7"/>
      <c r="AQ273" s="7"/>
      <c r="AR273" s="7"/>
      <c r="AS273" s="7"/>
      <c r="AT273" s="7"/>
      <c r="AU273" s="7"/>
      <c r="AV273" s="7"/>
      <c r="AW273" s="7"/>
      <c r="AX273" s="7"/>
      <c r="AY273" s="7"/>
      <c r="AZ273" s="7"/>
      <c r="BA273" s="7"/>
      <c r="BB273" s="7"/>
      <c r="BC273" s="7"/>
      <c r="BD273" s="7"/>
      <c r="BE273" s="7"/>
      <c r="BF273" s="7"/>
      <c r="BG273" s="7"/>
      <c r="BH273" s="7"/>
      <c r="BI273" s="7"/>
      <c r="BJ273" s="7"/>
      <c r="BK273" s="7"/>
      <c r="BL273" s="7"/>
      <c r="BM273" s="55"/>
    </row>
    <row r="274" spans="1:65">
      <c r="A274" s="5"/>
      <c r="B274" s="5"/>
      <c r="C274" s="5"/>
      <c r="D274" s="6"/>
      <c r="E274" s="5"/>
      <c r="F274" s="5"/>
      <c r="G274" s="5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8"/>
      <c r="AG274" s="7"/>
      <c r="AH274" s="7"/>
      <c r="AI274" s="7"/>
      <c r="AJ274" s="7"/>
      <c r="AK274" s="7"/>
      <c r="AL274" s="7"/>
      <c r="AM274" s="7"/>
      <c r="AN274" s="7"/>
      <c r="AO274" s="7"/>
      <c r="AP274" s="7"/>
      <c r="AQ274" s="7"/>
      <c r="AR274" s="7"/>
      <c r="AS274" s="7"/>
      <c r="AT274" s="7"/>
      <c r="AU274" s="7"/>
      <c r="AV274" s="7"/>
      <c r="AW274" s="7"/>
      <c r="AX274" s="7"/>
      <c r="AY274" s="7"/>
      <c r="AZ274" s="7"/>
      <c r="BA274" s="7"/>
      <c r="BB274" s="7"/>
      <c r="BC274" s="7"/>
      <c r="BD274" s="7"/>
      <c r="BE274" s="7"/>
      <c r="BF274" s="7"/>
      <c r="BG274" s="7"/>
      <c r="BH274" s="7"/>
      <c r="BI274" s="7"/>
      <c r="BJ274" s="7"/>
      <c r="BK274" s="7"/>
      <c r="BL274" s="7"/>
      <c r="BM274" s="55"/>
    </row>
    <row r="275" spans="1:65">
      <c r="A275" s="5"/>
      <c r="B275" s="5"/>
      <c r="C275" s="5"/>
      <c r="D275" s="6"/>
      <c r="E275" s="5"/>
      <c r="F275" s="5"/>
      <c r="G275" s="5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8"/>
      <c r="AH275" s="7"/>
      <c r="AI275" s="7"/>
      <c r="AJ275" s="7"/>
      <c r="AK275" s="7"/>
      <c r="AL275" s="7"/>
      <c r="AM275" s="7"/>
      <c r="AN275" s="7"/>
      <c r="AO275" s="7"/>
      <c r="AP275" s="7"/>
      <c r="AQ275" s="7"/>
      <c r="AR275" s="7"/>
      <c r="AS275" s="7"/>
      <c r="AT275" s="7"/>
      <c r="AU275" s="7"/>
      <c r="AV275" s="7"/>
      <c r="AW275" s="7"/>
      <c r="AX275" s="7"/>
      <c r="AY275" s="7"/>
      <c r="AZ275" s="7"/>
      <c r="BA275" s="7"/>
      <c r="BB275" s="7"/>
      <c r="BC275" s="7"/>
      <c r="BD275" s="7"/>
      <c r="BE275" s="7"/>
      <c r="BF275" s="7"/>
      <c r="BG275" s="7"/>
      <c r="BH275" s="7"/>
      <c r="BI275" s="7"/>
      <c r="BJ275" s="7"/>
      <c r="BK275" s="7"/>
      <c r="BL275" s="7"/>
      <c r="BM275" s="55"/>
    </row>
    <row r="276" spans="1:65">
      <c r="A276" s="5"/>
      <c r="B276" s="5"/>
      <c r="C276" s="5"/>
      <c r="D276" s="6"/>
      <c r="E276" s="5"/>
      <c r="F276" s="5"/>
      <c r="G276" s="5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8"/>
      <c r="AG276" s="7"/>
      <c r="AH276" s="7"/>
      <c r="AI276" s="7"/>
      <c r="AJ276" s="7"/>
      <c r="AK276" s="7"/>
      <c r="AL276" s="7"/>
      <c r="AM276" s="7"/>
      <c r="AN276" s="7"/>
      <c r="AO276" s="7"/>
      <c r="AP276" s="7"/>
      <c r="AQ276" s="7"/>
      <c r="AR276" s="7"/>
      <c r="AS276" s="7"/>
      <c r="AT276" s="7"/>
      <c r="AU276" s="7"/>
      <c r="AV276" s="7"/>
      <c r="AW276" s="7"/>
      <c r="AX276" s="7"/>
      <c r="AY276" s="7"/>
      <c r="AZ276" s="7"/>
      <c r="BA276" s="7"/>
      <c r="BB276" s="7"/>
      <c r="BC276" s="7"/>
      <c r="BD276" s="7"/>
      <c r="BE276" s="7"/>
      <c r="BF276" s="7"/>
      <c r="BG276" s="7"/>
      <c r="BH276" s="7"/>
      <c r="BI276" s="7"/>
      <c r="BJ276" s="7"/>
      <c r="BK276" s="7"/>
      <c r="BL276" s="7"/>
      <c r="BM276" s="55"/>
    </row>
    <row r="277" spans="1:65">
      <c r="A277" s="5"/>
      <c r="B277" s="5"/>
      <c r="C277" s="5"/>
      <c r="D277" s="6"/>
      <c r="E277" s="5"/>
      <c r="F277" s="5"/>
      <c r="G277" s="5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  <c r="AK277" s="7"/>
      <c r="AL277" s="7"/>
      <c r="AM277" s="7"/>
      <c r="AN277" s="7"/>
      <c r="AO277" s="7"/>
      <c r="AP277" s="7"/>
      <c r="AQ277" s="7"/>
      <c r="AR277" s="8"/>
      <c r="AS277" s="7"/>
      <c r="AT277" s="7"/>
      <c r="AU277" s="7"/>
      <c r="AV277" s="7"/>
      <c r="AW277" s="7"/>
      <c r="AX277" s="7"/>
      <c r="AY277" s="7"/>
      <c r="AZ277" s="7"/>
      <c r="BA277" s="7"/>
      <c r="BB277" s="7"/>
      <c r="BC277" s="7"/>
      <c r="BD277" s="7"/>
      <c r="BE277" s="7"/>
      <c r="BF277" s="7"/>
      <c r="BG277" s="7"/>
      <c r="BH277" s="7"/>
      <c r="BI277" s="7"/>
      <c r="BJ277" s="7"/>
      <c r="BK277" s="7"/>
      <c r="BL277" s="7"/>
      <c r="BM277" s="55"/>
    </row>
    <row r="278" spans="1:65">
      <c r="A278" s="5"/>
      <c r="B278" s="5"/>
      <c r="C278" s="5"/>
      <c r="D278" s="6"/>
      <c r="E278" s="5"/>
      <c r="F278" s="5"/>
      <c r="G278" s="5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7"/>
      <c r="AK278" s="7"/>
      <c r="AL278" s="7"/>
      <c r="AM278" s="7"/>
      <c r="AN278" s="7"/>
      <c r="AO278" s="7"/>
      <c r="AP278" s="7"/>
      <c r="AQ278" s="7"/>
      <c r="AR278" s="8"/>
      <c r="AS278" s="7"/>
      <c r="AT278" s="7"/>
      <c r="AU278" s="7"/>
      <c r="AV278" s="7"/>
      <c r="AW278" s="7"/>
      <c r="AX278" s="7"/>
      <c r="AY278" s="7"/>
      <c r="AZ278" s="7"/>
      <c r="BA278" s="7"/>
      <c r="BB278" s="7"/>
      <c r="BC278" s="7"/>
      <c r="BD278" s="7"/>
      <c r="BE278" s="7"/>
      <c r="BF278" s="7"/>
      <c r="BG278" s="7"/>
      <c r="BH278" s="7"/>
      <c r="BI278" s="7"/>
      <c r="BJ278" s="7"/>
      <c r="BK278" s="7"/>
      <c r="BL278" s="7"/>
      <c r="BM278" s="55"/>
    </row>
    <row r="279" spans="1:65">
      <c r="A279" s="5"/>
      <c r="B279" s="5"/>
      <c r="C279" s="5"/>
      <c r="D279" s="6"/>
      <c r="E279" s="5"/>
      <c r="F279" s="5"/>
      <c r="G279" s="5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8"/>
      <c r="AG279" s="8"/>
      <c r="AH279" s="7"/>
      <c r="AI279" s="7"/>
      <c r="AJ279" s="7"/>
      <c r="AK279" s="7"/>
      <c r="AL279" s="7"/>
      <c r="AM279" s="7"/>
      <c r="AN279" s="7"/>
      <c r="AO279" s="7"/>
      <c r="AP279" s="7"/>
      <c r="AQ279" s="7"/>
      <c r="AR279" s="7"/>
      <c r="AS279" s="7"/>
      <c r="AT279" s="7"/>
      <c r="AU279" s="7"/>
      <c r="AV279" s="7"/>
      <c r="AW279" s="7"/>
      <c r="AX279" s="7"/>
      <c r="AY279" s="7"/>
      <c r="AZ279" s="7"/>
      <c r="BA279" s="7"/>
      <c r="BB279" s="7"/>
      <c r="BC279" s="7"/>
      <c r="BD279" s="7"/>
      <c r="BE279" s="7"/>
      <c r="BF279" s="7"/>
      <c r="BG279" s="7"/>
      <c r="BH279" s="7"/>
      <c r="BI279" s="7"/>
      <c r="BJ279" s="7"/>
      <c r="BK279" s="7"/>
      <c r="BL279" s="7"/>
      <c r="BM279" s="55"/>
    </row>
    <row r="280" spans="1:65">
      <c r="A280" s="5"/>
      <c r="B280" s="5"/>
      <c r="C280" s="5"/>
      <c r="D280" s="6"/>
      <c r="E280" s="5"/>
      <c r="F280" s="5"/>
      <c r="G280" s="5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8"/>
      <c r="AG280" s="7"/>
      <c r="AH280" s="7"/>
      <c r="AI280" s="7"/>
      <c r="AJ280" s="7"/>
      <c r="AK280" s="7"/>
      <c r="AL280" s="7"/>
      <c r="AM280" s="7"/>
      <c r="AN280" s="7"/>
      <c r="AO280" s="7"/>
      <c r="AP280" s="7"/>
      <c r="AQ280" s="7"/>
      <c r="AR280" s="7"/>
      <c r="AS280" s="7"/>
      <c r="AT280" s="7"/>
      <c r="AU280" s="7"/>
      <c r="AV280" s="7"/>
      <c r="AW280" s="7"/>
      <c r="AX280" s="7"/>
      <c r="AY280" s="7"/>
      <c r="AZ280" s="7"/>
      <c r="BA280" s="7"/>
      <c r="BB280" s="7"/>
      <c r="BC280" s="7"/>
      <c r="BD280" s="7"/>
      <c r="BE280" s="7"/>
      <c r="BF280" s="7"/>
      <c r="BG280" s="7"/>
      <c r="BH280" s="7"/>
      <c r="BI280" s="7"/>
      <c r="BJ280" s="7"/>
      <c r="BK280" s="7"/>
      <c r="BL280" s="7"/>
      <c r="BM280" s="55"/>
    </row>
    <row r="281" spans="1:65">
      <c r="A281" s="5"/>
      <c r="B281" s="5"/>
      <c r="C281" s="5"/>
      <c r="D281" s="6"/>
      <c r="E281" s="5"/>
      <c r="F281" s="5"/>
      <c r="G281" s="5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8"/>
      <c r="AH281" s="7"/>
      <c r="AI281" s="7"/>
      <c r="AJ281" s="7"/>
      <c r="AK281" s="7"/>
      <c r="AL281" s="7"/>
      <c r="AM281" s="7"/>
      <c r="AN281" s="7"/>
      <c r="AO281" s="7"/>
      <c r="AP281" s="7"/>
      <c r="AQ281" s="7"/>
      <c r="AR281" s="7"/>
      <c r="AS281" s="7"/>
      <c r="AT281" s="7"/>
      <c r="AU281" s="7"/>
      <c r="AV281" s="7"/>
      <c r="AW281" s="7"/>
      <c r="AX281" s="7"/>
      <c r="AY281" s="7"/>
      <c r="AZ281" s="7"/>
      <c r="BA281" s="7"/>
      <c r="BB281" s="7"/>
      <c r="BC281" s="7"/>
      <c r="BD281" s="7"/>
      <c r="BE281" s="7"/>
      <c r="BF281" s="7"/>
      <c r="BG281" s="7"/>
      <c r="BH281" s="7"/>
      <c r="BI281" s="7"/>
      <c r="BJ281" s="7"/>
      <c r="BK281" s="7"/>
      <c r="BL281" s="7"/>
      <c r="BM281" s="55"/>
    </row>
    <row r="282" spans="1:65">
      <c r="A282" s="5"/>
      <c r="B282" s="5"/>
      <c r="C282" s="5"/>
      <c r="D282" s="6"/>
      <c r="E282" s="5"/>
      <c r="F282" s="5"/>
      <c r="G282" s="5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8"/>
      <c r="AG282" s="7"/>
      <c r="AH282" s="7"/>
      <c r="AI282" s="7"/>
      <c r="AJ282" s="7"/>
      <c r="AK282" s="7"/>
      <c r="AL282" s="7"/>
      <c r="AM282" s="7"/>
      <c r="AN282" s="7"/>
      <c r="AO282" s="7"/>
      <c r="AP282" s="7"/>
      <c r="AQ282" s="7"/>
      <c r="AR282" s="7"/>
      <c r="AS282" s="7"/>
      <c r="AT282" s="7"/>
      <c r="AU282" s="7"/>
      <c r="AV282" s="7"/>
      <c r="AW282" s="7"/>
      <c r="AX282" s="7"/>
      <c r="AY282" s="7"/>
      <c r="AZ282" s="7"/>
      <c r="BA282" s="7"/>
      <c r="BB282" s="7"/>
      <c r="BC282" s="7"/>
      <c r="BD282" s="7"/>
      <c r="BE282" s="7"/>
      <c r="BF282" s="7"/>
      <c r="BG282" s="7"/>
      <c r="BH282" s="7"/>
      <c r="BI282" s="7"/>
      <c r="BJ282" s="7"/>
      <c r="BK282" s="7"/>
      <c r="BL282" s="7"/>
      <c r="BM282" s="55"/>
    </row>
    <row r="283" spans="1:65">
      <c r="A283" s="5"/>
      <c r="B283" s="5"/>
      <c r="C283" s="5"/>
      <c r="D283" s="6"/>
      <c r="E283" s="5"/>
      <c r="F283" s="5"/>
      <c r="G283" s="5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8"/>
      <c r="AH283" s="7"/>
      <c r="AI283" s="7"/>
      <c r="AJ283" s="7"/>
      <c r="AK283" s="7"/>
      <c r="AL283" s="7"/>
      <c r="AM283" s="7"/>
      <c r="AN283" s="7"/>
      <c r="AO283" s="7"/>
      <c r="AP283" s="7"/>
      <c r="AQ283" s="7"/>
      <c r="AR283" s="8"/>
      <c r="AS283" s="7"/>
      <c r="AT283" s="7"/>
      <c r="AU283" s="7"/>
      <c r="AV283" s="7"/>
      <c r="AW283" s="7"/>
      <c r="AX283" s="7"/>
      <c r="AY283" s="7"/>
      <c r="AZ283" s="7"/>
      <c r="BA283" s="7"/>
      <c r="BB283" s="7"/>
      <c r="BC283" s="7"/>
      <c r="BD283" s="7"/>
      <c r="BE283" s="7"/>
      <c r="BF283" s="7"/>
      <c r="BG283" s="7"/>
      <c r="BH283" s="7"/>
      <c r="BI283" s="7"/>
      <c r="BJ283" s="7"/>
      <c r="BK283" s="7"/>
      <c r="BL283" s="7"/>
      <c r="BM283" s="55"/>
    </row>
    <row r="284" spans="1:65">
      <c r="A284" s="5"/>
      <c r="B284" s="5"/>
      <c r="C284" s="5"/>
      <c r="D284" s="6"/>
      <c r="E284" s="5"/>
      <c r="F284" s="5"/>
      <c r="G284" s="5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8"/>
      <c r="AH284" s="7"/>
      <c r="AI284" s="7"/>
      <c r="AJ284" s="7"/>
      <c r="AK284" s="7"/>
      <c r="AL284" s="7"/>
      <c r="AM284" s="7"/>
      <c r="AN284" s="7"/>
      <c r="AO284" s="7"/>
      <c r="AP284" s="7"/>
      <c r="AQ284" s="7"/>
      <c r="AR284" s="7"/>
      <c r="AS284" s="7"/>
      <c r="AT284" s="7"/>
      <c r="AU284" s="7"/>
      <c r="AV284" s="7"/>
      <c r="AW284" s="7"/>
      <c r="AX284" s="7"/>
      <c r="AY284" s="7"/>
      <c r="AZ284" s="7"/>
      <c r="BA284" s="7"/>
      <c r="BB284" s="7"/>
      <c r="BC284" s="7"/>
      <c r="BD284" s="7"/>
      <c r="BE284" s="7"/>
      <c r="BF284" s="7"/>
      <c r="BG284" s="7"/>
      <c r="BH284" s="7"/>
      <c r="BI284" s="7"/>
      <c r="BJ284" s="7"/>
      <c r="BK284" s="7"/>
      <c r="BL284" s="7"/>
      <c r="BM284" s="55"/>
    </row>
    <row r="285" spans="1:65">
      <c r="A285" s="5"/>
      <c r="B285" s="5"/>
      <c r="C285" s="5"/>
      <c r="D285" s="6"/>
      <c r="E285" s="5"/>
      <c r="F285" s="5"/>
      <c r="G285" s="5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8"/>
      <c r="AH285" s="7"/>
      <c r="AI285" s="7"/>
      <c r="AJ285" s="7"/>
      <c r="AK285" s="7"/>
      <c r="AL285" s="7"/>
      <c r="AM285" s="7"/>
      <c r="AN285" s="7"/>
      <c r="AO285" s="7"/>
      <c r="AP285" s="7"/>
      <c r="AQ285" s="7"/>
      <c r="AR285" s="7"/>
      <c r="AS285" s="7"/>
      <c r="AT285" s="7"/>
      <c r="AU285" s="7"/>
      <c r="AV285" s="7"/>
      <c r="AW285" s="7"/>
      <c r="AX285" s="7"/>
      <c r="AY285" s="7"/>
      <c r="AZ285" s="7"/>
      <c r="BA285" s="7"/>
      <c r="BB285" s="7"/>
      <c r="BC285" s="7"/>
      <c r="BD285" s="7"/>
      <c r="BE285" s="7"/>
      <c r="BF285" s="7"/>
      <c r="BG285" s="7"/>
      <c r="BH285" s="7"/>
      <c r="BI285" s="7"/>
      <c r="BJ285" s="7"/>
      <c r="BK285" s="7"/>
      <c r="BL285" s="7"/>
      <c r="BM285" s="55"/>
    </row>
    <row r="286" spans="1:65">
      <c r="A286" s="5"/>
      <c r="B286" s="5"/>
      <c r="C286" s="5"/>
      <c r="D286" s="6"/>
      <c r="E286" s="5"/>
      <c r="F286" s="5"/>
      <c r="G286" s="5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8"/>
      <c r="AH286" s="7"/>
      <c r="AI286" s="7"/>
      <c r="AJ286" s="7"/>
      <c r="AK286" s="7"/>
      <c r="AL286" s="7"/>
      <c r="AM286" s="7"/>
      <c r="AN286" s="7"/>
      <c r="AO286" s="7"/>
      <c r="AP286" s="7"/>
      <c r="AQ286" s="7"/>
      <c r="AR286" s="7"/>
      <c r="AS286" s="7"/>
      <c r="AT286" s="7"/>
      <c r="AU286" s="7"/>
      <c r="AV286" s="7"/>
      <c r="AW286" s="7"/>
      <c r="AX286" s="7"/>
      <c r="AY286" s="7"/>
      <c r="AZ286" s="7"/>
      <c r="BA286" s="7"/>
      <c r="BB286" s="7"/>
      <c r="BC286" s="7"/>
      <c r="BD286" s="7"/>
      <c r="BE286" s="7"/>
      <c r="BF286" s="7"/>
      <c r="BG286" s="7"/>
      <c r="BH286" s="7"/>
      <c r="BI286" s="7"/>
      <c r="BJ286" s="7"/>
      <c r="BK286" s="7"/>
      <c r="BL286" s="7"/>
      <c r="BM286" s="55"/>
    </row>
    <row r="287" spans="1:65">
      <c r="A287" s="5"/>
      <c r="B287" s="5"/>
      <c r="C287" s="5"/>
      <c r="D287" s="6"/>
      <c r="E287" s="5"/>
      <c r="F287" s="5"/>
      <c r="G287" s="5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  <c r="AJ287" s="7"/>
      <c r="AK287" s="7"/>
      <c r="AL287" s="7"/>
      <c r="AM287" s="7"/>
      <c r="AN287" s="7"/>
      <c r="AO287" s="7"/>
      <c r="AP287" s="7"/>
      <c r="AQ287" s="7"/>
      <c r="AR287" s="7"/>
      <c r="AS287" s="7"/>
      <c r="AT287" s="7"/>
      <c r="AU287" s="7"/>
      <c r="AV287" s="7"/>
      <c r="AW287" s="7"/>
      <c r="AX287" s="7"/>
      <c r="AY287" s="7"/>
      <c r="AZ287" s="7"/>
      <c r="BA287" s="7"/>
      <c r="BB287" s="7"/>
      <c r="BC287" s="7"/>
      <c r="BD287" s="7"/>
      <c r="BE287" s="7"/>
      <c r="BF287" s="7"/>
      <c r="BG287" s="7"/>
      <c r="BH287" s="7"/>
      <c r="BI287" s="7"/>
      <c r="BJ287" s="7"/>
      <c r="BK287" s="7"/>
      <c r="BL287" s="7"/>
      <c r="BM287" s="55"/>
    </row>
    <row r="288" spans="1:65">
      <c r="A288" s="5"/>
      <c r="B288" s="5"/>
      <c r="C288" s="5"/>
      <c r="D288" s="6"/>
      <c r="E288" s="5"/>
      <c r="F288" s="5"/>
      <c r="G288" s="5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8"/>
      <c r="AG288" s="7"/>
      <c r="AH288" s="7"/>
      <c r="AI288" s="7"/>
      <c r="AJ288" s="7"/>
      <c r="AK288" s="7"/>
      <c r="AL288" s="7"/>
      <c r="AM288" s="7"/>
      <c r="AN288" s="7"/>
      <c r="AO288" s="7"/>
      <c r="AP288" s="7"/>
      <c r="AQ288" s="7"/>
      <c r="AR288" s="7"/>
      <c r="AS288" s="7"/>
      <c r="AT288" s="7"/>
      <c r="AU288" s="7"/>
      <c r="AV288" s="7"/>
      <c r="AW288" s="7"/>
      <c r="AX288" s="7"/>
      <c r="AY288" s="7"/>
      <c r="AZ288" s="7"/>
      <c r="BA288" s="7"/>
      <c r="BB288" s="7"/>
      <c r="BC288" s="7"/>
      <c r="BD288" s="7"/>
      <c r="BE288" s="7"/>
      <c r="BF288" s="7"/>
      <c r="BG288" s="7"/>
      <c r="BH288" s="7"/>
      <c r="BI288" s="7"/>
      <c r="BJ288" s="7"/>
      <c r="BK288" s="7"/>
      <c r="BL288" s="7"/>
      <c r="BM288" s="55"/>
    </row>
    <row r="289" spans="1:65">
      <c r="A289" s="5"/>
      <c r="B289" s="5"/>
      <c r="C289" s="5"/>
      <c r="D289" s="6"/>
      <c r="E289" s="5"/>
      <c r="F289" s="5"/>
      <c r="G289" s="5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8"/>
      <c r="AH289" s="7"/>
      <c r="AI289" s="7"/>
      <c r="AJ289" s="7"/>
      <c r="AK289" s="7"/>
      <c r="AL289" s="7"/>
      <c r="AM289" s="7"/>
      <c r="AN289" s="7"/>
      <c r="AO289" s="7"/>
      <c r="AP289" s="7"/>
      <c r="AQ289" s="7"/>
      <c r="AR289" s="7"/>
      <c r="AS289" s="7"/>
      <c r="AT289" s="7"/>
      <c r="AU289" s="7"/>
      <c r="AV289" s="7"/>
      <c r="AW289" s="7"/>
      <c r="AX289" s="7"/>
      <c r="AY289" s="7"/>
      <c r="AZ289" s="7"/>
      <c r="BA289" s="7"/>
      <c r="BB289" s="7"/>
      <c r="BC289" s="7"/>
      <c r="BD289" s="7"/>
      <c r="BE289" s="7"/>
      <c r="BF289" s="7"/>
      <c r="BG289" s="7"/>
      <c r="BH289" s="7"/>
      <c r="BI289" s="7"/>
      <c r="BJ289" s="7"/>
      <c r="BK289" s="7"/>
      <c r="BL289" s="7"/>
      <c r="BM289" s="55"/>
    </row>
    <row r="290" spans="1:65">
      <c r="A290" s="5"/>
      <c r="B290" s="5"/>
      <c r="C290" s="5"/>
      <c r="D290" s="6"/>
      <c r="E290" s="5"/>
      <c r="F290" s="5"/>
      <c r="G290" s="5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  <c r="AJ290" s="7"/>
      <c r="AK290" s="7"/>
      <c r="AL290" s="7"/>
      <c r="AM290" s="7"/>
      <c r="AN290" s="7"/>
      <c r="AO290" s="7"/>
      <c r="AP290" s="7"/>
      <c r="AQ290" s="7"/>
      <c r="AR290" s="7"/>
      <c r="AS290" s="7"/>
      <c r="AT290" s="7"/>
      <c r="AU290" s="7"/>
      <c r="AV290" s="7"/>
      <c r="AW290" s="7"/>
      <c r="AX290" s="7"/>
      <c r="AY290" s="7"/>
      <c r="AZ290" s="7"/>
      <c r="BA290" s="7"/>
      <c r="BB290" s="7"/>
      <c r="BC290" s="7"/>
      <c r="BD290" s="7"/>
      <c r="BE290" s="7"/>
      <c r="BF290" s="7"/>
      <c r="BG290" s="7"/>
      <c r="BH290" s="7"/>
      <c r="BI290" s="7"/>
      <c r="BJ290" s="7"/>
      <c r="BK290" s="7"/>
      <c r="BL290" s="7"/>
      <c r="BM290" s="55"/>
    </row>
    <row r="291" spans="1:65">
      <c r="A291" s="5"/>
      <c r="B291" s="5"/>
      <c r="C291" s="5"/>
      <c r="D291" s="6"/>
      <c r="E291" s="5"/>
      <c r="F291" s="5"/>
      <c r="G291" s="5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8"/>
      <c r="AG291" s="7"/>
      <c r="AH291" s="7"/>
      <c r="AI291" s="7"/>
      <c r="AJ291" s="7"/>
      <c r="AK291" s="7"/>
      <c r="AL291" s="7"/>
      <c r="AM291" s="7"/>
      <c r="AN291" s="7"/>
      <c r="AO291" s="7"/>
      <c r="AP291" s="7"/>
      <c r="AQ291" s="7"/>
      <c r="AR291" s="7"/>
      <c r="AS291" s="7"/>
      <c r="AT291" s="7"/>
      <c r="AU291" s="7"/>
      <c r="AV291" s="7"/>
      <c r="AW291" s="7"/>
      <c r="AX291" s="7"/>
      <c r="AY291" s="7"/>
      <c r="AZ291" s="7"/>
      <c r="BA291" s="7"/>
      <c r="BB291" s="7"/>
      <c r="BC291" s="7"/>
      <c r="BD291" s="7"/>
      <c r="BE291" s="7"/>
      <c r="BF291" s="7"/>
      <c r="BG291" s="7"/>
      <c r="BH291" s="7"/>
      <c r="BI291" s="7"/>
      <c r="BJ291" s="7"/>
      <c r="BK291" s="7"/>
      <c r="BL291" s="7"/>
      <c r="BM291" s="55"/>
    </row>
    <row r="292" spans="1:65">
      <c r="A292" s="5"/>
      <c r="B292" s="5"/>
      <c r="C292" s="5"/>
      <c r="D292" s="6"/>
      <c r="E292" s="5"/>
      <c r="F292" s="5"/>
      <c r="G292" s="5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8"/>
      <c r="AG292" s="7"/>
      <c r="AH292" s="7"/>
      <c r="AI292" s="7"/>
      <c r="AJ292" s="7"/>
      <c r="AK292" s="7"/>
      <c r="AL292" s="7"/>
      <c r="AM292" s="7"/>
      <c r="AN292" s="7"/>
      <c r="AO292" s="7"/>
      <c r="AP292" s="7"/>
      <c r="AQ292" s="7"/>
      <c r="AR292" s="7"/>
      <c r="AS292" s="7"/>
      <c r="AT292" s="7"/>
      <c r="AU292" s="7"/>
      <c r="AV292" s="7"/>
      <c r="AW292" s="7"/>
      <c r="AX292" s="7"/>
      <c r="AY292" s="7"/>
      <c r="AZ292" s="7"/>
      <c r="BA292" s="7"/>
      <c r="BB292" s="7"/>
      <c r="BC292" s="7"/>
      <c r="BD292" s="7"/>
      <c r="BE292" s="7"/>
      <c r="BF292" s="7"/>
      <c r="BG292" s="7"/>
      <c r="BH292" s="7"/>
      <c r="BI292" s="7"/>
      <c r="BJ292" s="7"/>
      <c r="BK292" s="7"/>
      <c r="BL292" s="7"/>
      <c r="BM292" s="55"/>
    </row>
    <row r="293" spans="1:65">
      <c r="A293" s="5"/>
      <c r="B293" s="5"/>
      <c r="C293" s="5"/>
      <c r="D293" s="6"/>
      <c r="E293" s="5"/>
      <c r="F293" s="5"/>
      <c r="G293" s="5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8"/>
      <c r="AG293" s="7"/>
      <c r="AH293" s="7"/>
      <c r="AI293" s="7"/>
      <c r="AJ293" s="7"/>
      <c r="AK293" s="7"/>
      <c r="AL293" s="7"/>
      <c r="AM293" s="7"/>
      <c r="AN293" s="7"/>
      <c r="AO293" s="7"/>
      <c r="AP293" s="7"/>
      <c r="AQ293" s="7"/>
      <c r="AR293" s="7"/>
      <c r="AS293" s="7"/>
      <c r="AT293" s="7"/>
      <c r="AU293" s="7"/>
      <c r="AV293" s="7"/>
      <c r="AW293" s="7"/>
      <c r="AX293" s="7"/>
      <c r="AY293" s="7"/>
      <c r="AZ293" s="7"/>
      <c r="BA293" s="7"/>
      <c r="BB293" s="7"/>
      <c r="BC293" s="7"/>
      <c r="BD293" s="7"/>
      <c r="BE293" s="7"/>
      <c r="BF293" s="7"/>
      <c r="BG293" s="7"/>
      <c r="BH293" s="7"/>
      <c r="BI293" s="7"/>
      <c r="BJ293" s="7"/>
      <c r="BK293" s="7"/>
      <c r="BL293" s="7"/>
      <c r="BM293" s="55"/>
    </row>
    <row r="294" spans="1:65">
      <c r="A294" s="5"/>
      <c r="B294" s="5"/>
      <c r="C294" s="5"/>
      <c r="D294" s="6"/>
      <c r="E294" s="5"/>
      <c r="F294" s="5"/>
      <c r="G294" s="5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8"/>
      <c r="AG294" s="7"/>
      <c r="AH294" s="7"/>
      <c r="AI294" s="7"/>
      <c r="AJ294" s="7"/>
      <c r="AK294" s="7"/>
      <c r="AL294" s="7"/>
      <c r="AM294" s="7"/>
      <c r="AN294" s="7"/>
      <c r="AO294" s="7"/>
      <c r="AP294" s="7"/>
      <c r="AQ294" s="7"/>
      <c r="AR294" s="7"/>
      <c r="AS294" s="7"/>
      <c r="AT294" s="7"/>
      <c r="AU294" s="7"/>
      <c r="AV294" s="7"/>
      <c r="AW294" s="7"/>
      <c r="AX294" s="7"/>
      <c r="AY294" s="7"/>
      <c r="AZ294" s="7"/>
      <c r="BA294" s="7"/>
      <c r="BB294" s="7"/>
      <c r="BC294" s="7"/>
      <c r="BD294" s="7"/>
      <c r="BE294" s="7"/>
      <c r="BF294" s="7"/>
      <c r="BG294" s="7"/>
      <c r="BH294" s="7"/>
      <c r="BI294" s="7"/>
      <c r="BJ294" s="7"/>
      <c r="BK294" s="7"/>
      <c r="BL294" s="7"/>
      <c r="BM294" s="55"/>
    </row>
    <row r="295" spans="1:65">
      <c r="A295" s="5"/>
      <c r="B295" s="5"/>
      <c r="C295" s="5"/>
      <c r="D295" s="6"/>
      <c r="E295" s="5"/>
      <c r="F295" s="5"/>
      <c r="G295" s="5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8"/>
      <c r="AG295" s="7"/>
      <c r="AH295" s="7"/>
      <c r="AI295" s="7"/>
      <c r="AJ295" s="7"/>
      <c r="AK295" s="7"/>
      <c r="AL295" s="7"/>
      <c r="AM295" s="7"/>
      <c r="AN295" s="7"/>
      <c r="AO295" s="7"/>
      <c r="AP295" s="7"/>
      <c r="AQ295" s="7"/>
      <c r="AR295" s="7"/>
      <c r="AS295" s="7"/>
      <c r="AT295" s="7"/>
      <c r="AU295" s="7"/>
      <c r="AV295" s="7"/>
      <c r="AW295" s="7"/>
      <c r="AX295" s="7"/>
      <c r="AY295" s="7"/>
      <c r="AZ295" s="7"/>
      <c r="BA295" s="7"/>
      <c r="BB295" s="7"/>
      <c r="BC295" s="7"/>
      <c r="BD295" s="7"/>
      <c r="BE295" s="7"/>
      <c r="BF295" s="7"/>
      <c r="BG295" s="7"/>
      <c r="BH295" s="7"/>
      <c r="BI295" s="7"/>
      <c r="BJ295" s="7"/>
      <c r="BK295" s="7"/>
      <c r="BL295" s="7"/>
      <c r="BM295" s="55"/>
    </row>
    <row r="296" spans="1:65">
      <c r="A296" s="5"/>
      <c r="B296" s="5"/>
      <c r="C296" s="5"/>
      <c r="D296" s="6"/>
      <c r="E296" s="5"/>
      <c r="F296" s="5"/>
      <c r="G296" s="5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  <c r="AK296" s="7"/>
      <c r="AL296" s="7"/>
      <c r="AM296" s="7"/>
      <c r="AN296" s="7"/>
      <c r="AO296" s="7"/>
      <c r="AP296" s="7"/>
      <c r="AQ296" s="7"/>
      <c r="AR296" s="7"/>
      <c r="AS296" s="7"/>
      <c r="AT296" s="7"/>
      <c r="AU296" s="7"/>
      <c r="AV296" s="7"/>
      <c r="AW296" s="7"/>
      <c r="AX296" s="7"/>
      <c r="AY296" s="7"/>
      <c r="AZ296" s="7"/>
      <c r="BA296" s="7"/>
      <c r="BB296" s="7"/>
      <c r="BC296" s="7"/>
      <c r="BD296" s="7"/>
      <c r="BE296" s="7"/>
      <c r="BF296" s="7"/>
      <c r="BG296" s="7"/>
      <c r="BH296" s="7"/>
      <c r="BI296" s="7"/>
      <c r="BJ296" s="7"/>
      <c r="BK296" s="7"/>
      <c r="BL296" s="7"/>
      <c r="BM296" s="58"/>
    </row>
    <row r="297" spans="1:65">
      <c r="A297" s="5"/>
      <c r="B297" s="5"/>
      <c r="C297" s="5"/>
      <c r="D297" s="6"/>
      <c r="E297" s="5"/>
      <c r="F297" s="5"/>
      <c r="G297" s="5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  <c r="AJ297" s="7"/>
      <c r="AK297" s="7"/>
      <c r="AL297" s="7"/>
      <c r="AM297" s="7"/>
      <c r="AN297" s="7"/>
      <c r="AO297" s="7"/>
      <c r="AP297" s="7"/>
      <c r="AQ297" s="7"/>
      <c r="AR297" s="7"/>
      <c r="AS297" s="7"/>
      <c r="AT297" s="7"/>
      <c r="AU297" s="7"/>
      <c r="AV297" s="7"/>
      <c r="AW297" s="7"/>
      <c r="AX297" s="7"/>
      <c r="AY297" s="7"/>
      <c r="AZ297" s="7"/>
      <c r="BA297" s="7"/>
      <c r="BB297" s="7"/>
      <c r="BC297" s="7"/>
      <c r="BD297" s="7"/>
      <c r="BE297" s="7"/>
      <c r="BF297" s="7"/>
      <c r="BG297" s="7"/>
      <c r="BH297" s="7"/>
      <c r="BI297" s="7"/>
      <c r="BJ297" s="7"/>
      <c r="BK297" s="7"/>
      <c r="BL297" s="7"/>
      <c r="BM297" s="58"/>
    </row>
    <row r="298" spans="1:65">
      <c r="A298" s="5"/>
      <c r="B298" s="5"/>
      <c r="C298" s="5"/>
      <c r="D298" s="6"/>
      <c r="E298" s="5"/>
      <c r="F298" s="5"/>
      <c r="G298" s="5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  <c r="AK298" s="7"/>
      <c r="AL298" s="7"/>
      <c r="AM298" s="7"/>
      <c r="AN298" s="7"/>
      <c r="AO298" s="7"/>
      <c r="AP298" s="7"/>
      <c r="AQ298" s="7"/>
      <c r="AR298" s="7"/>
      <c r="AS298" s="7"/>
      <c r="AT298" s="7"/>
      <c r="AU298" s="7"/>
      <c r="AV298" s="7"/>
      <c r="AW298" s="7"/>
      <c r="AX298" s="7"/>
      <c r="AY298" s="7"/>
      <c r="AZ298" s="7"/>
      <c r="BA298" s="7"/>
      <c r="BB298" s="7"/>
      <c r="BC298" s="7"/>
      <c r="BD298" s="7"/>
      <c r="BE298" s="7"/>
      <c r="BF298" s="7"/>
      <c r="BG298" s="7"/>
      <c r="BH298" s="7"/>
      <c r="BI298" s="7"/>
      <c r="BJ298" s="7"/>
      <c r="BK298" s="7"/>
      <c r="BL298" s="7"/>
      <c r="BM298" s="58"/>
    </row>
    <row r="299" spans="1:65">
      <c r="A299" s="5"/>
      <c r="B299" s="5"/>
      <c r="C299" s="5"/>
      <c r="D299" s="6"/>
      <c r="E299" s="5"/>
      <c r="F299" s="5"/>
      <c r="G299" s="5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  <c r="AJ299" s="7"/>
      <c r="AK299" s="7"/>
      <c r="AL299" s="7"/>
      <c r="AM299" s="7"/>
      <c r="AN299" s="7"/>
      <c r="AO299" s="7"/>
      <c r="AP299" s="7"/>
      <c r="AQ299" s="7"/>
      <c r="AR299" s="7"/>
      <c r="AS299" s="7"/>
      <c r="AT299" s="7"/>
      <c r="AU299" s="7"/>
      <c r="AV299" s="7"/>
      <c r="AW299" s="7"/>
      <c r="AX299" s="7"/>
      <c r="AY299" s="7"/>
      <c r="AZ299" s="7"/>
      <c r="BA299" s="7"/>
      <c r="BB299" s="7"/>
      <c r="BC299" s="7"/>
      <c r="BD299" s="7"/>
      <c r="BE299" s="7"/>
      <c r="BF299" s="7"/>
      <c r="BG299" s="7"/>
      <c r="BH299" s="7"/>
      <c r="BI299" s="7"/>
      <c r="BJ299" s="7"/>
      <c r="BK299" s="7"/>
      <c r="BL299" s="7"/>
      <c r="BM299" s="58"/>
    </row>
    <row r="300" spans="1:65">
      <c r="A300" s="5"/>
      <c r="B300" s="5"/>
      <c r="C300" s="5"/>
      <c r="D300" s="6"/>
      <c r="E300" s="5"/>
      <c r="F300" s="5"/>
      <c r="G300" s="5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7"/>
      <c r="AK300" s="7"/>
      <c r="AL300" s="7"/>
      <c r="AM300" s="7"/>
      <c r="AN300" s="7"/>
      <c r="AO300" s="7"/>
      <c r="AP300" s="7"/>
      <c r="AQ300" s="7"/>
      <c r="AR300" s="7"/>
      <c r="AS300" s="7"/>
      <c r="AT300" s="7"/>
      <c r="AU300" s="7"/>
      <c r="AV300" s="7"/>
      <c r="AW300" s="7"/>
      <c r="AX300" s="7"/>
      <c r="AY300" s="7"/>
      <c r="AZ300" s="7"/>
      <c r="BA300" s="7"/>
      <c r="BB300" s="7"/>
      <c r="BC300" s="7"/>
      <c r="BD300" s="7"/>
      <c r="BE300" s="7"/>
      <c r="BF300" s="7"/>
      <c r="BG300" s="7"/>
      <c r="BH300" s="7"/>
      <c r="BI300" s="7"/>
      <c r="BJ300" s="7"/>
      <c r="BK300" s="7"/>
      <c r="BL300" s="7"/>
      <c r="BM300" s="58"/>
    </row>
    <row r="301" spans="1:65">
      <c r="A301" s="5"/>
      <c r="B301" s="5"/>
      <c r="C301" s="5"/>
      <c r="D301" s="6"/>
      <c r="E301" s="5"/>
      <c r="F301" s="5"/>
      <c r="G301" s="5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  <c r="AJ301" s="7"/>
      <c r="AK301" s="7"/>
      <c r="AL301" s="7"/>
      <c r="AM301" s="7"/>
      <c r="AN301" s="7"/>
      <c r="AO301" s="7"/>
      <c r="AP301" s="7"/>
      <c r="AQ301" s="7"/>
      <c r="AR301" s="7"/>
      <c r="AS301" s="7"/>
      <c r="AT301" s="7"/>
      <c r="AU301" s="7"/>
      <c r="AV301" s="7"/>
      <c r="AW301" s="7"/>
      <c r="AX301" s="7"/>
      <c r="AY301" s="7"/>
      <c r="AZ301" s="7"/>
      <c r="BA301" s="7"/>
      <c r="BB301" s="7"/>
      <c r="BC301" s="7"/>
      <c r="BD301" s="7"/>
      <c r="BE301" s="7"/>
      <c r="BF301" s="7"/>
      <c r="BG301" s="7"/>
      <c r="BH301" s="7"/>
      <c r="BI301" s="7"/>
      <c r="BJ301" s="7"/>
      <c r="BK301" s="7"/>
      <c r="BL301" s="7"/>
      <c r="BM301" s="58"/>
    </row>
    <row r="302" spans="1:65">
      <c r="A302" s="5"/>
      <c r="B302" s="5"/>
      <c r="C302" s="5"/>
      <c r="D302" s="6"/>
      <c r="E302" s="5"/>
      <c r="F302" s="5"/>
      <c r="G302" s="5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  <c r="AJ302" s="7"/>
      <c r="AK302" s="7"/>
      <c r="AL302" s="7"/>
      <c r="AM302" s="7"/>
      <c r="AN302" s="7"/>
      <c r="AO302" s="7"/>
      <c r="AP302" s="7"/>
      <c r="AQ302" s="7"/>
      <c r="AR302" s="7"/>
      <c r="AS302" s="7"/>
      <c r="AT302" s="7"/>
      <c r="AU302" s="7"/>
      <c r="AV302" s="7"/>
      <c r="AW302" s="7"/>
      <c r="AX302" s="7"/>
      <c r="AY302" s="7"/>
      <c r="AZ302" s="7"/>
      <c r="BA302" s="7"/>
      <c r="BB302" s="7"/>
      <c r="BC302" s="7"/>
      <c r="BD302" s="7"/>
      <c r="BE302" s="7"/>
      <c r="BF302" s="7"/>
      <c r="BG302" s="7"/>
      <c r="BH302" s="7"/>
      <c r="BI302" s="7"/>
      <c r="BJ302" s="7"/>
      <c r="BK302" s="7"/>
      <c r="BL302" s="7"/>
      <c r="BM302" s="58"/>
    </row>
    <row r="303" spans="1:65">
      <c r="A303" s="5"/>
      <c r="B303" s="5"/>
      <c r="C303" s="5"/>
      <c r="D303" s="6"/>
      <c r="E303" s="5"/>
      <c r="F303" s="5"/>
      <c r="G303" s="5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  <c r="AJ303" s="7"/>
      <c r="AK303" s="7"/>
      <c r="AL303" s="7"/>
      <c r="AM303" s="7"/>
      <c r="AN303" s="7"/>
      <c r="AO303" s="7"/>
      <c r="AP303" s="7"/>
      <c r="AQ303" s="7"/>
      <c r="AR303" s="7"/>
      <c r="AS303" s="7"/>
      <c r="AT303" s="7"/>
      <c r="AU303" s="7"/>
      <c r="AV303" s="7"/>
      <c r="AW303" s="7"/>
      <c r="AX303" s="7"/>
      <c r="AY303" s="7"/>
      <c r="AZ303" s="7"/>
      <c r="BA303" s="7"/>
      <c r="BB303" s="7"/>
      <c r="BC303" s="7"/>
      <c r="BD303" s="7"/>
      <c r="BE303" s="7"/>
      <c r="BF303" s="7"/>
      <c r="BG303" s="7"/>
      <c r="BH303" s="7"/>
      <c r="BI303" s="7"/>
      <c r="BJ303" s="7"/>
      <c r="BK303" s="7"/>
      <c r="BL303" s="7"/>
      <c r="BM303" s="58"/>
    </row>
    <row r="304" spans="1:65">
      <c r="A304" s="5"/>
      <c r="B304" s="5"/>
      <c r="C304" s="5"/>
      <c r="D304" s="6"/>
      <c r="E304" s="5"/>
      <c r="F304" s="5"/>
      <c r="G304" s="5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  <c r="AJ304" s="7"/>
      <c r="AK304" s="7"/>
      <c r="AL304" s="7"/>
      <c r="AM304" s="7"/>
      <c r="AN304" s="7"/>
      <c r="AO304" s="7"/>
      <c r="AP304" s="7"/>
      <c r="AQ304" s="7"/>
      <c r="AR304" s="7"/>
      <c r="AS304" s="7"/>
      <c r="AT304" s="7"/>
      <c r="AU304" s="7"/>
      <c r="AV304" s="7"/>
      <c r="AW304" s="7"/>
      <c r="AX304" s="7"/>
      <c r="AY304" s="7"/>
      <c r="AZ304" s="7"/>
      <c r="BA304" s="7"/>
      <c r="BB304" s="7"/>
      <c r="BC304" s="7"/>
      <c r="BD304" s="7"/>
      <c r="BE304" s="7"/>
      <c r="BF304" s="7"/>
      <c r="BG304" s="7"/>
      <c r="BH304" s="7"/>
      <c r="BI304" s="7"/>
      <c r="BJ304" s="7"/>
      <c r="BK304" s="7"/>
      <c r="BL304" s="7"/>
      <c r="BM304" s="58"/>
    </row>
    <row r="305" spans="1:65">
      <c r="A305" s="5"/>
      <c r="B305" s="5"/>
      <c r="C305" s="5"/>
      <c r="D305" s="6"/>
      <c r="E305" s="5"/>
      <c r="F305" s="5"/>
      <c r="G305" s="5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  <c r="AJ305" s="7"/>
      <c r="AK305" s="7"/>
      <c r="AL305" s="7"/>
      <c r="AM305" s="7"/>
      <c r="AN305" s="7"/>
      <c r="AO305" s="7"/>
      <c r="AP305" s="7"/>
      <c r="AQ305" s="7"/>
      <c r="AR305" s="7"/>
      <c r="AS305" s="7"/>
      <c r="AT305" s="7"/>
      <c r="AU305" s="7"/>
      <c r="AV305" s="7"/>
      <c r="AW305" s="7"/>
      <c r="AX305" s="7"/>
      <c r="AY305" s="7"/>
      <c r="AZ305" s="7"/>
      <c r="BA305" s="7"/>
      <c r="BB305" s="7"/>
      <c r="BC305" s="7"/>
      <c r="BD305" s="7"/>
      <c r="BE305" s="7"/>
      <c r="BF305" s="7"/>
      <c r="BG305" s="7"/>
      <c r="BH305" s="7"/>
      <c r="BI305" s="7"/>
      <c r="BJ305" s="7"/>
      <c r="BK305" s="7"/>
      <c r="BL305" s="7"/>
      <c r="BM305" s="58"/>
    </row>
    <row r="306" spans="1:65">
      <c r="A306" s="5"/>
      <c r="B306" s="5"/>
      <c r="C306" s="5"/>
      <c r="D306" s="6"/>
      <c r="E306" s="5"/>
      <c r="F306" s="5"/>
      <c r="G306" s="5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  <c r="AJ306" s="7"/>
      <c r="AK306" s="7"/>
      <c r="AL306" s="7"/>
      <c r="AM306" s="7"/>
      <c r="AN306" s="7"/>
      <c r="AO306" s="7"/>
      <c r="AP306" s="7"/>
      <c r="AQ306" s="7"/>
      <c r="AR306" s="7"/>
      <c r="AS306" s="7"/>
      <c r="AT306" s="7"/>
      <c r="AU306" s="7"/>
      <c r="AV306" s="7"/>
      <c r="AW306" s="7"/>
      <c r="AX306" s="7"/>
      <c r="AY306" s="7"/>
      <c r="AZ306" s="7"/>
      <c r="BA306" s="7"/>
      <c r="BB306" s="7"/>
      <c r="BC306" s="7"/>
      <c r="BD306" s="7"/>
      <c r="BE306" s="7"/>
      <c r="BF306" s="7"/>
      <c r="BG306" s="7"/>
      <c r="BH306" s="7"/>
      <c r="BI306" s="7"/>
      <c r="BJ306" s="7"/>
      <c r="BK306" s="7"/>
      <c r="BL306" s="7"/>
      <c r="BM306" s="58"/>
    </row>
    <row r="307" spans="1:65">
      <c r="A307" s="5"/>
      <c r="B307" s="5"/>
      <c r="C307" s="5"/>
      <c r="D307" s="6"/>
      <c r="E307" s="5"/>
      <c r="F307" s="5"/>
      <c r="G307" s="5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  <c r="AJ307" s="7"/>
      <c r="AK307" s="7"/>
      <c r="AL307" s="7"/>
      <c r="AM307" s="7"/>
      <c r="AN307" s="7"/>
      <c r="AO307" s="7"/>
      <c r="AP307" s="7"/>
      <c r="AQ307" s="7"/>
      <c r="AR307" s="7"/>
      <c r="AS307" s="7"/>
      <c r="AT307" s="7"/>
      <c r="AU307" s="7"/>
      <c r="AV307" s="7"/>
      <c r="AW307" s="7"/>
      <c r="AX307" s="7"/>
      <c r="AY307" s="7"/>
      <c r="AZ307" s="7"/>
      <c r="BA307" s="7"/>
      <c r="BB307" s="7"/>
      <c r="BC307" s="7"/>
      <c r="BD307" s="7"/>
      <c r="BE307" s="7"/>
      <c r="BF307" s="7"/>
      <c r="BG307" s="7"/>
      <c r="BH307" s="7"/>
      <c r="BI307" s="7"/>
      <c r="BJ307" s="7"/>
      <c r="BK307" s="7"/>
      <c r="BL307" s="7"/>
      <c r="BM307" s="58"/>
    </row>
    <row r="308" spans="1:65">
      <c r="A308" s="5"/>
      <c r="B308" s="5"/>
      <c r="C308" s="5"/>
      <c r="D308" s="6"/>
      <c r="E308" s="5"/>
      <c r="F308" s="5"/>
      <c r="G308" s="5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  <c r="AK308" s="7"/>
      <c r="AL308" s="7"/>
      <c r="AM308" s="7"/>
      <c r="AN308" s="7"/>
      <c r="AO308" s="7"/>
      <c r="AP308" s="7"/>
      <c r="AQ308" s="7"/>
      <c r="AR308" s="7"/>
      <c r="AS308" s="7"/>
      <c r="AT308" s="7"/>
      <c r="AU308" s="7"/>
      <c r="AV308" s="7"/>
      <c r="AW308" s="7"/>
      <c r="AX308" s="7"/>
      <c r="AY308" s="7"/>
      <c r="AZ308" s="7"/>
      <c r="BA308" s="7"/>
      <c r="BB308" s="7"/>
      <c r="BC308" s="7"/>
      <c r="BD308" s="7"/>
      <c r="BE308" s="7"/>
      <c r="BF308" s="7"/>
      <c r="BG308" s="7"/>
      <c r="BH308" s="7"/>
      <c r="BI308" s="7"/>
      <c r="BJ308" s="7"/>
      <c r="BK308" s="7"/>
      <c r="BL308" s="7"/>
      <c r="BM308" s="58"/>
    </row>
    <row r="309" spans="1:65">
      <c r="A309" s="5"/>
      <c r="B309" s="5"/>
      <c r="C309" s="5"/>
      <c r="D309" s="6"/>
      <c r="E309" s="5"/>
      <c r="F309" s="5"/>
      <c r="G309" s="5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  <c r="AK309" s="7"/>
      <c r="AL309" s="7"/>
      <c r="AM309" s="7"/>
      <c r="AN309" s="7"/>
      <c r="AO309" s="7"/>
      <c r="AP309" s="7"/>
      <c r="AQ309" s="7"/>
      <c r="AR309" s="7"/>
      <c r="AS309" s="7"/>
      <c r="AT309" s="7"/>
      <c r="AU309" s="7"/>
      <c r="AV309" s="7"/>
      <c r="AW309" s="7"/>
      <c r="AX309" s="7"/>
      <c r="AY309" s="7"/>
      <c r="AZ309" s="7"/>
      <c r="BA309" s="7"/>
      <c r="BB309" s="7"/>
      <c r="BC309" s="7"/>
      <c r="BD309" s="7"/>
      <c r="BE309" s="7"/>
      <c r="BF309" s="7"/>
      <c r="BG309" s="7"/>
      <c r="BH309" s="7"/>
      <c r="BI309" s="7"/>
      <c r="BJ309" s="7"/>
      <c r="BK309" s="7"/>
      <c r="BL309" s="7"/>
      <c r="BM309" s="58"/>
    </row>
    <row r="310" spans="1:65">
      <c r="A310" s="5"/>
      <c r="B310" s="5"/>
      <c r="C310" s="5"/>
      <c r="D310" s="6"/>
      <c r="E310" s="5"/>
      <c r="F310" s="5"/>
      <c r="G310" s="5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/>
      <c r="AJ310" s="7"/>
      <c r="AK310" s="7"/>
      <c r="AL310" s="7"/>
      <c r="AM310" s="7"/>
      <c r="AN310" s="7"/>
      <c r="AO310" s="7"/>
      <c r="AP310" s="7"/>
      <c r="AQ310" s="7"/>
      <c r="AR310" s="7"/>
      <c r="AS310" s="7"/>
      <c r="AT310" s="7"/>
      <c r="AU310" s="7"/>
      <c r="AV310" s="7"/>
      <c r="AW310" s="7"/>
      <c r="AX310" s="7"/>
      <c r="AY310" s="7"/>
      <c r="AZ310" s="7"/>
      <c r="BA310" s="7"/>
      <c r="BB310" s="7"/>
      <c r="BC310" s="7"/>
      <c r="BD310" s="7"/>
      <c r="BE310" s="7"/>
      <c r="BF310" s="7"/>
      <c r="BG310" s="7"/>
      <c r="BH310" s="7"/>
      <c r="BI310" s="7"/>
      <c r="BJ310" s="7"/>
      <c r="BK310" s="7"/>
      <c r="BL310" s="7"/>
      <c r="BM310" s="58"/>
    </row>
    <row r="311" spans="1:65">
      <c r="A311" s="5"/>
      <c r="B311" s="5"/>
      <c r="C311" s="5"/>
      <c r="D311" s="6"/>
      <c r="E311" s="5"/>
      <c r="F311" s="5"/>
      <c r="G311" s="5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  <c r="AI311" s="7"/>
      <c r="AJ311" s="7"/>
      <c r="AK311" s="7"/>
      <c r="AL311" s="7"/>
      <c r="AM311" s="7"/>
      <c r="AN311" s="7"/>
      <c r="AO311" s="7"/>
      <c r="AP311" s="7"/>
      <c r="AQ311" s="7"/>
      <c r="AR311" s="7"/>
      <c r="AS311" s="7"/>
      <c r="AT311" s="7"/>
      <c r="AU311" s="7"/>
      <c r="AV311" s="7"/>
      <c r="AW311" s="7"/>
      <c r="AX311" s="7"/>
      <c r="AY311" s="7"/>
      <c r="AZ311" s="7"/>
      <c r="BA311" s="7"/>
      <c r="BB311" s="7"/>
      <c r="BC311" s="7"/>
      <c r="BD311" s="7"/>
      <c r="BE311" s="7"/>
      <c r="BF311" s="7"/>
      <c r="BG311" s="7"/>
      <c r="BH311" s="7"/>
      <c r="BI311" s="7"/>
      <c r="BJ311" s="7"/>
      <c r="BK311" s="7"/>
      <c r="BL311" s="7"/>
      <c r="BM311" s="58"/>
    </row>
    <row r="312" spans="1:65">
      <c r="A312" s="5"/>
      <c r="B312" s="5"/>
      <c r="C312" s="5"/>
      <c r="D312" s="6"/>
      <c r="E312" s="5"/>
      <c r="F312" s="5"/>
      <c r="G312" s="5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  <c r="AI312" s="7"/>
      <c r="AJ312" s="7"/>
      <c r="AK312" s="7"/>
      <c r="AL312" s="7"/>
      <c r="AM312" s="7"/>
      <c r="AN312" s="7"/>
      <c r="AO312" s="7"/>
      <c r="AP312" s="7"/>
      <c r="AQ312" s="7"/>
      <c r="AR312" s="7"/>
      <c r="AS312" s="7"/>
      <c r="AT312" s="7"/>
      <c r="AU312" s="7"/>
      <c r="AV312" s="7"/>
      <c r="AW312" s="7"/>
      <c r="AX312" s="7"/>
      <c r="AY312" s="7"/>
      <c r="AZ312" s="7"/>
      <c r="BA312" s="7"/>
      <c r="BB312" s="7"/>
      <c r="BC312" s="7"/>
      <c r="BD312" s="7"/>
      <c r="BE312" s="7"/>
      <c r="BF312" s="7"/>
      <c r="BG312" s="7"/>
      <c r="BH312" s="7"/>
      <c r="BI312" s="7"/>
      <c r="BJ312" s="7"/>
      <c r="BK312" s="7"/>
      <c r="BL312" s="7"/>
      <c r="BM312" s="58"/>
    </row>
    <row r="313" spans="1:65">
      <c r="A313" s="5"/>
      <c r="B313" s="5"/>
      <c r="C313" s="5"/>
      <c r="D313" s="6"/>
      <c r="E313" s="5"/>
      <c r="F313" s="5"/>
      <c r="G313" s="5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  <c r="AJ313" s="7"/>
      <c r="AK313" s="7"/>
      <c r="AL313" s="7"/>
      <c r="AM313" s="7"/>
      <c r="AN313" s="7"/>
      <c r="AO313" s="7"/>
      <c r="AP313" s="7"/>
      <c r="AQ313" s="7"/>
      <c r="AR313" s="7"/>
      <c r="AS313" s="7"/>
      <c r="AT313" s="7"/>
      <c r="AU313" s="7"/>
      <c r="AV313" s="7"/>
      <c r="AW313" s="7"/>
      <c r="AX313" s="7"/>
      <c r="AY313" s="7"/>
      <c r="AZ313" s="7"/>
      <c r="BA313" s="7"/>
      <c r="BB313" s="7"/>
      <c r="BC313" s="7"/>
      <c r="BD313" s="7"/>
      <c r="BE313" s="7"/>
      <c r="BF313" s="7"/>
      <c r="BG313" s="7"/>
      <c r="BH313" s="7"/>
      <c r="BI313" s="7"/>
      <c r="BJ313" s="7"/>
      <c r="BK313" s="7"/>
      <c r="BL313" s="7"/>
      <c r="BM313" s="58"/>
    </row>
    <row r="314" spans="1:65">
      <c r="A314" s="5"/>
      <c r="B314" s="5"/>
      <c r="C314" s="5"/>
      <c r="D314" s="6"/>
      <c r="E314" s="5"/>
      <c r="F314" s="5"/>
      <c r="G314" s="5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  <c r="AJ314" s="7"/>
      <c r="AK314" s="7"/>
      <c r="AL314" s="7"/>
      <c r="AM314" s="7"/>
      <c r="AN314" s="7"/>
      <c r="AO314" s="7"/>
      <c r="AP314" s="7"/>
      <c r="AQ314" s="7"/>
      <c r="AR314" s="7"/>
      <c r="AS314" s="7"/>
      <c r="AT314" s="7"/>
      <c r="AU314" s="7"/>
      <c r="AV314" s="7"/>
      <c r="AW314" s="7"/>
      <c r="AX314" s="7"/>
      <c r="AY314" s="7"/>
      <c r="AZ314" s="7"/>
      <c r="BA314" s="7"/>
      <c r="BB314" s="7"/>
      <c r="BC314" s="7"/>
      <c r="BD314" s="7"/>
      <c r="BE314" s="7"/>
      <c r="BF314" s="7"/>
      <c r="BG314" s="7"/>
      <c r="BH314" s="7"/>
      <c r="BI314" s="7"/>
      <c r="BJ314" s="7"/>
      <c r="BK314" s="7"/>
      <c r="BL314" s="7"/>
      <c r="BM314" s="58"/>
    </row>
    <row r="315" spans="1:65">
      <c r="A315" s="5"/>
      <c r="B315" s="5"/>
      <c r="C315" s="5"/>
      <c r="D315" s="6"/>
      <c r="E315" s="5"/>
      <c r="F315" s="5"/>
      <c r="G315" s="5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7"/>
      <c r="AJ315" s="7"/>
      <c r="AK315" s="7"/>
      <c r="AL315" s="7"/>
      <c r="AM315" s="7"/>
      <c r="AN315" s="7"/>
      <c r="AO315" s="7"/>
      <c r="AP315" s="7"/>
      <c r="AQ315" s="7"/>
      <c r="AR315" s="7"/>
      <c r="AS315" s="7"/>
      <c r="AT315" s="7"/>
      <c r="AU315" s="7"/>
      <c r="AV315" s="7"/>
      <c r="AW315" s="7"/>
      <c r="AX315" s="7"/>
      <c r="AY315" s="7"/>
      <c r="AZ315" s="7"/>
      <c r="BA315" s="7"/>
      <c r="BB315" s="7"/>
      <c r="BC315" s="7"/>
      <c r="BD315" s="7"/>
      <c r="BE315" s="7"/>
      <c r="BF315" s="7"/>
      <c r="BG315" s="7"/>
      <c r="BH315" s="7"/>
      <c r="BI315" s="7"/>
      <c r="BJ315" s="7"/>
      <c r="BK315" s="7"/>
      <c r="BL315" s="7"/>
      <c r="BM315" s="58"/>
    </row>
    <row r="316" spans="1:65">
      <c r="A316" s="5"/>
      <c r="B316" s="5"/>
      <c r="C316" s="5"/>
      <c r="D316" s="6"/>
      <c r="E316" s="5"/>
      <c r="F316" s="5"/>
      <c r="G316" s="5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  <c r="AJ316" s="7"/>
      <c r="AK316" s="7"/>
      <c r="AL316" s="7"/>
      <c r="AM316" s="7"/>
      <c r="AN316" s="7"/>
      <c r="AO316" s="7"/>
      <c r="AP316" s="7"/>
      <c r="AQ316" s="7"/>
      <c r="AR316" s="7"/>
      <c r="AS316" s="7"/>
      <c r="AT316" s="7"/>
      <c r="AU316" s="7"/>
      <c r="AV316" s="7"/>
      <c r="AW316" s="7"/>
      <c r="AX316" s="7"/>
      <c r="AY316" s="7"/>
      <c r="AZ316" s="7"/>
      <c r="BA316" s="7"/>
      <c r="BB316" s="7"/>
      <c r="BC316" s="7"/>
      <c r="BD316" s="7"/>
      <c r="BE316" s="7"/>
      <c r="BF316" s="7"/>
      <c r="BG316" s="7"/>
      <c r="BH316" s="7"/>
      <c r="BI316" s="7"/>
      <c r="BJ316" s="7"/>
      <c r="BK316" s="7"/>
      <c r="BL316" s="7"/>
      <c r="BM316" s="58"/>
    </row>
    <row r="317" spans="1:65">
      <c r="A317" s="5"/>
      <c r="B317" s="5"/>
      <c r="C317" s="5"/>
      <c r="D317" s="6"/>
      <c r="E317" s="5"/>
      <c r="F317" s="5"/>
      <c r="G317" s="5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  <c r="AJ317" s="7"/>
      <c r="AK317" s="7"/>
      <c r="AL317" s="7"/>
      <c r="AM317" s="7"/>
      <c r="AN317" s="7"/>
      <c r="AO317" s="7"/>
      <c r="AP317" s="7"/>
      <c r="AQ317" s="7"/>
      <c r="AR317" s="7"/>
      <c r="AS317" s="7"/>
      <c r="AT317" s="7"/>
      <c r="AU317" s="7"/>
      <c r="AV317" s="7"/>
      <c r="AW317" s="7"/>
      <c r="AX317" s="7"/>
      <c r="AY317" s="7"/>
      <c r="AZ317" s="7"/>
      <c r="BA317" s="7"/>
      <c r="BB317" s="7"/>
      <c r="BC317" s="7"/>
      <c r="BD317" s="7"/>
      <c r="BE317" s="7"/>
      <c r="BF317" s="7"/>
      <c r="BG317" s="7"/>
      <c r="BH317" s="7"/>
      <c r="BI317" s="7"/>
      <c r="BJ317" s="7"/>
      <c r="BK317" s="7"/>
      <c r="BL317" s="7"/>
      <c r="BM317" s="58"/>
    </row>
    <row r="318" spans="1:65">
      <c r="A318" s="5"/>
      <c r="B318" s="5"/>
      <c r="C318" s="5"/>
      <c r="D318" s="6"/>
      <c r="E318" s="5"/>
      <c r="F318" s="5"/>
      <c r="G318" s="5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  <c r="AJ318" s="7"/>
      <c r="AK318" s="7"/>
      <c r="AL318" s="7"/>
      <c r="AM318" s="7"/>
      <c r="AN318" s="7"/>
      <c r="AO318" s="7"/>
      <c r="AP318" s="7"/>
      <c r="AQ318" s="7"/>
      <c r="AR318" s="7"/>
      <c r="AS318" s="7"/>
      <c r="AT318" s="7"/>
      <c r="AU318" s="7"/>
      <c r="AV318" s="7"/>
      <c r="AW318" s="7"/>
      <c r="AX318" s="7"/>
      <c r="AY318" s="7"/>
      <c r="AZ318" s="7"/>
      <c r="BA318" s="7"/>
      <c r="BB318" s="7"/>
      <c r="BC318" s="7"/>
      <c r="BD318" s="7"/>
      <c r="BE318" s="7"/>
      <c r="BF318" s="7"/>
      <c r="BG318" s="7"/>
      <c r="BH318" s="7"/>
      <c r="BI318" s="7"/>
      <c r="BJ318" s="7"/>
      <c r="BK318" s="7"/>
      <c r="BL318" s="7"/>
      <c r="BM318" s="58"/>
    </row>
    <row r="319" spans="1:65">
      <c r="A319" s="5"/>
      <c r="B319" s="5"/>
      <c r="C319" s="5"/>
      <c r="D319" s="6"/>
      <c r="E319" s="5"/>
      <c r="F319" s="5"/>
      <c r="G319" s="5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  <c r="AJ319" s="7"/>
      <c r="AK319" s="7"/>
      <c r="AL319" s="7"/>
      <c r="AM319" s="7"/>
      <c r="AN319" s="7"/>
      <c r="AO319" s="7"/>
      <c r="AP319" s="7"/>
      <c r="AQ319" s="7"/>
      <c r="AR319" s="7"/>
      <c r="AS319" s="7"/>
      <c r="AT319" s="7"/>
      <c r="AU319" s="7"/>
      <c r="AV319" s="7"/>
      <c r="AW319" s="7"/>
      <c r="AX319" s="7"/>
      <c r="AY319" s="7"/>
      <c r="AZ319" s="7"/>
      <c r="BA319" s="7"/>
      <c r="BB319" s="7"/>
      <c r="BC319" s="7"/>
      <c r="BD319" s="7"/>
      <c r="BE319" s="7"/>
      <c r="BF319" s="7"/>
      <c r="BG319" s="7"/>
      <c r="BH319" s="7"/>
      <c r="BI319" s="7"/>
      <c r="BJ319" s="7"/>
      <c r="BK319" s="7"/>
      <c r="BL319" s="7"/>
      <c r="BM319" s="58"/>
    </row>
    <row r="320" spans="1:65">
      <c r="A320" s="5"/>
      <c r="B320" s="5"/>
      <c r="C320" s="5"/>
      <c r="D320" s="6"/>
      <c r="E320" s="5"/>
      <c r="F320" s="5"/>
      <c r="G320" s="5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7"/>
      <c r="AJ320" s="7"/>
      <c r="AK320" s="7"/>
      <c r="AL320" s="7"/>
      <c r="AM320" s="7"/>
      <c r="AN320" s="7"/>
      <c r="AO320" s="7"/>
      <c r="AP320" s="7"/>
      <c r="AQ320" s="7"/>
      <c r="AR320" s="7"/>
      <c r="AS320" s="7"/>
      <c r="AT320" s="7"/>
      <c r="AU320" s="7"/>
      <c r="AV320" s="7"/>
      <c r="AW320" s="7"/>
      <c r="AX320" s="7"/>
      <c r="AY320" s="7"/>
      <c r="AZ320" s="7"/>
      <c r="BA320" s="7"/>
      <c r="BB320" s="7"/>
      <c r="BC320" s="7"/>
      <c r="BD320" s="7"/>
      <c r="BE320" s="7"/>
      <c r="BF320" s="7"/>
      <c r="BG320" s="7"/>
      <c r="BH320" s="7"/>
      <c r="BI320" s="7"/>
      <c r="BJ320" s="7"/>
      <c r="BK320" s="7"/>
      <c r="BL320" s="7"/>
      <c r="BM320" s="58"/>
    </row>
    <row r="321" spans="1:65">
      <c r="A321" s="5"/>
      <c r="B321" s="5"/>
      <c r="C321" s="5"/>
      <c r="D321" s="6"/>
      <c r="E321" s="5"/>
      <c r="F321" s="5"/>
      <c r="G321" s="5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  <c r="AJ321" s="7"/>
      <c r="AK321" s="7"/>
      <c r="AL321" s="7"/>
      <c r="AM321" s="7"/>
      <c r="AN321" s="7"/>
      <c r="AO321" s="7"/>
      <c r="AP321" s="7"/>
      <c r="AQ321" s="7"/>
      <c r="AR321" s="7"/>
      <c r="AS321" s="7"/>
      <c r="AT321" s="7"/>
      <c r="AU321" s="7"/>
      <c r="AV321" s="7"/>
      <c r="AW321" s="7"/>
      <c r="AX321" s="7"/>
      <c r="AY321" s="7"/>
      <c r="AZ321" s="7"/>
      <c r="BA321" s="7"/>
      <c r="BB321" s="7"/>
      <c r="BC321" s="7"/>
      <c r="BD321" s="7"/>
      <c r="BE321" s="7"/>
      <c r="BF321" s="7"/>
      <c r="BG321" s="7"/>
      <c r="BH321" s="7"/>
      <c r="BI321" s="7"/>
      <c r="BJ321" s="7"/>
      <c r="BK321" s="7"/>
      <c r="BL321" s="7"/>
      <c r="BM321" s="58"/>
    </row>
    <row r="322" spans="1:65">
      <c r="A322" s="5"/>
      <c r="B322" s="5"/>
      <c r="C322" s="5"/>
      <c r="D322" s="6"/>
      <c r="E322" s="5"/>
      <c r="F322" s="5"/>
      <c r="G322" s="5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  <c r="AI322" s="7"/>
      <c r="AJ322" s="7"/>
      <c r="AK322" s="7"/>
      <c r="AL322" s="7"/>
      <c r="AM322" s="7"/>
      <c r="AN322" s="7"/>
      <c r="AO322" s="7"/>
      <c r="AP322" s="7"/>
      <c r="AQ322" s="7"/>
      <c r="AR322" s="7"/>
      <c r="AS322" s="7"/>
      <c r="AT322" s="7"/>
      <c r="AU322" s="7"/>
      <c r="AV322" s="7"/>
      <c r="AW322" s="7"/>
      <c r="AX322" s="7"/>
      <c r="AY322" s="7"/>
      <c r="AZ322" s="7"/>
      <c r="BA322" s="7"/>
      <c r="BB322" s="7"/>
      <c r="BC322" s="7"/>
      <c r="BD322" s="7"/>
      <c r="BE322" s="7"/>
      <c r="BF322" s="7"/>
      <c r="BG322" s="7"/>
      <c r="BH322" s="7"/>
      <c r="BI322" s="7"/>
      <c r="BJ322" s="7"/>
      <c r="BK322" s="7"/>
      <c r="BL322" s="7"/>
      <c r="BM322" s="58"/>
    </row>
    <row r="323" spans="1:65">
      <c r="A323" s="5"/>
      <c r="B323" s="5"/>
      <c r="C323" s="5"/>
      <c r="D323" s="6"/>
      <c r="E323" s="5"/>
      <c r="F323" s="5"/>
      <c r="G323" s="5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  <c r="AI323" s="7"/>
      <c r="AJ323" s="7"/>
      <c r="AK323" s="7"/>
      <c r="AL323" s="7"/>
      <c r="AM323" s="7"/>
      <c r="AN323" s="7"/>
      <c r="AO323" s="7"/>
      <c r="AP323" s="7"/>
      <c r="AQ323" s="7"/>
      <c r="AR323" s="7"/>
      <c r="AS323" s="7"/>
      <c r="AT323" s="7"/>
      <c r="AU323" s="7"/>
      <c r="AV323" s="7"/>
      <c r="AW323" s="7"/>
      <c r="AX323" s="7"/>
      <c r="AY323" s="7"/>
      <c r="AZ323" s="7"/>
      <c r="BA323" s="7"/>
      <c r="BB323" s="7"/>
      <c r="BC323" s="7"/>
      <c r="BD323" s="7"/>
      <c r="BE323" s="7"/>
      <c r="BF323" s="7"/>
      <c r="BG323" s="7"/>
      <c r="BH323" s="7"/>
      <c r="BI323" s="7"/>
      <c r="BJ323" s="7"/>
      <c r="BK323" s="7"/>
      <c r="BL323" s="7"/>
      <c r="BM323" s="58"/>
    </row>
    <row r="324" spans="1:65">
      <c r="A324" s="5"/>
      <c r="B324" s="5"/>
      <c r="C324" s="5"/>
      <c r="D324" s="6"/>
      <c r="E324" s="5"/>
      <c r="F324" s="5"/>
      <c r="G324" s="5"/>
      <c r="H324" s="7"/>
      <c r="I324" s="7"/>
      <c r="J324" s="7"/>
      <c r="K324" s="8"/>
      <c r="L324" s="8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8"/>
      <c r="AF324" s="8"/>
      <c r="AG324" s="8"/>
      <c r="AH324" s="7"/>
      <c r="AI324" s="7"/>
      <c r="AJ324" s="7"/>
      <c r="AK324" s="8"/>
      <c r="AL324" s="8"/>
      <c r="AM324" s="8"/>
      <c r="AN324" s="7"/>
      <c r="AO324" s="7"/>
      <c r="AP324" s="7"/>
      <c r="AQ324" s="8"/>
      <c r="AR324" s="8"/>
      <c r="AS324" s="8"/>
      <c r="AT324" s="7"/>
      <c r="AU324" s="7"/>
      <c r="AV324" s="7"/>
      <c r="AW324" s="7"/>
      <c r="AX324" s="7"/>
      <c r="AY324" s="7"/>
      <c r="AZ324" s="7"/>
      <c r="BA324" s="7"/>
      <c r="BB324" s="7"/>
      <c r="BC324" s="7"/>
      <c r="BD324" s="7"/>
      <c r="BE324" s="7"/>
      <c r="BF324" s="7"/>
      <c r="BG324" s="7"/>
      <c r="BH324" s="7"/>
      <c r="BI324" s="7"/>
      <c r="BJ324" s="7"/>
      <c r="BK324" s="7"/>
      <c r="BL324" s="9"/>
      <c r="BM324" s="55"/>
    </row>
    <row r="325" spans="1:65">
      <c r="A325" s="5"/>
      <c r="B325" s="5"/>
      <c r="C325" s="5"/>
      <c r="D325" s="6"/>
      <c r="E325" s="5"/>
      <c r="F325" s="5"/>
      <c r="G325" s="5"/>
      <c r="H325" s="7"/>
      <c r="I325" s="7"/>
      <c r="J325" s="7"/>
      <c r="K325" s="8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8"/>
      <c r="AF325" s="8"/>
      <c r="AG325" s="8"/>
      <c r="AH325" s="7"/>
      <c r="AI325" s="7"/>
      <c r="AJ325" s="7"/>
      <c r="AK325" s="8"/>
      <c r="AL325" s="8"/>
      <c r="AM325" s="8"/>
      <c r="AN325" s="7"/>
      <c r="AO325" s="7"/>
      <c r="AP325" s="7"/>
      <c r="AQ325" s="7"/>
      <c r="AR325" s="8"/>
      <c r="AS325" s="8"/>
      <c r="AT325" s="7"/>
      <c r="AU325" s="7"/>
      <c r="AV325" s="7"/>
      <c r="AW325" s="7"/>
      <c r="AX325" s="7"/>
      <c r="AY325" s="7"/>
      <c r="AZ325" s="7"/>
      <c r="BA325" s="7"/>
      <c r="BB325" s="7"/>
      <c r="BC325" s="7"/>
      <c r="BD325" s="7"/>
      <c r="BE325" s="7"/>
      <c r="BF325" s="7"/>
      <c r="BG325" s="7"/>
      <c r="BH325" s="7"/>
      <c r="BI325" s="7"/>
      <c r="BJ325" s="7"/>
      <c r="BK325" s="7"/>
      <c r="BL325" s="9"/>
      <c r="BM325" s="55"/>
    </row>
    <row r="326" spans="1:65">
      <c r="A326" s="5"/>
      <c r="B326" s="5"/>
      <c r="C326" s="5"/>
      <c r="D326" s="6"/>
      <c r="E326" s="5"/>
      <c r="F326" s="5"/>
      <c r="G326" s="5"/>
      <c r="H326" s="7"/>
      <c r="I326" s="7"/>
      <c r="J326" s="7"/>
      <c r="K326" s="8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8"/>
      <c r="AF326" s="8"/>
      <c r="AG326" s="8"/>
      <c r="AH326" s="7"/>
      <c r="AI326" s="7"/>
      <c r="AJ326" s="7"/>
      <c r="AK326" s="8"/>
      <c r="AL326" s="8"/>
      <c r="AM326" s="8"/>
      <c r="AN326" s="7"/>
      <c r="AO326" s="7"/>
      <c r="AP326" s="7"/>
      <c r="AQ326" s="8"/>
      <c r="AR326" s="8"/>
      <c r="AS326" s="8"/>
      <c r="AT326" s="7"/>
      <c r="AU326" s="7"/>
      <c r="AV326" s="7"/>
      <c r="AW326" s="7"/>
      <c r="AX326" s="7"/>
      <c r="AY326" s="7"/>
      <c r="AZ326" s="7"/>
      <c r="BA326" s="7"/>
      <c r="BB326" s="7"/>
      <c r="BC326" s="7"/>
      <c r="BD326" s="7"/>
      <c r="BE326" s="7"/>
      <c r="BF326" s="7"/>
      <c r="BG326" s="7"/>
      <c r="BH326" s="7"/>
      <c r="BI326" s="7"/>
      <c r="BJ326" s="7"/>
      <c r="BK326" s="7"/>
      <c r="BL326" s="9"/>
      <c r="BM326" s="55"/>
    </row>
    <row r="327" spans="1:65">
      <c r="A327" s="5"/>
      <c r="B327" s="5"/>
      <c r="C327" s="5"/>
      <c r="D327" s="6"/>
      <c r="E327" s="5"/>
      <c r="F327" s="5"/>
      <c r="G327" s="5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8"/>
      <c r="AF327" s="8"/>
      <c r="AG327" s="8"/>
      <c r="AH327" s="7"/>
      <c r="AI327" s="7"/>
      <c r="AJ327" s="7"/>
      <c r="AK327" s="8"/>
      <c r="AL327" s="8"/>
      <c r="AM327" s="8"/>
      <c r="AN327" s="7"/>
      <c r="AO327" s="7"/>
      <c r="AP327" s="7"/>
      <c r="AQ327" s="8"/>
      <c r="AR327" s="8"/>
      <c r="AS327" s="8"/>
      <c r="AT327" s="7"/>
      <c r="AU327" s="7"/>
      <c r="AV327" s="7"/>
      <c r="AW327" s="7"/>
      <c r="AX327" s="7"/>
      <c r="AY327" s="7"/>
      <c r="AZ327" s="7"/>
      <c r="BA327" s="7"/>
      <c r="BB327" s="7"/>
      <c r="BC327" s="7"/>
      <c r="BD327" s="7"/>
      <c r="BE327" s="7"/>
      <c r="BF327" s="7"/>
      <c r="BG327" s="7"/>
      <c r="BH327" s="7"/>
      <c r="BI327" s="7"/>
      <c r="BJ327" s="7"/>
      <c r="BK327" s="7"/>
      <c r="BL327" s="9"/>
      <c r="BM327" s="55"/>
    </row>
    <row r="328" spans="1:65">
      <c r="A328" s="5"/>
      <c r="B328" s="5"/>
      <c r="C328" s="5"/>
      <c r="D328" s="6"/>
      <c r="E328" s="5"/>
      <c r="F328" s="5"/>
      <c r="G328" s="5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  <c r="AE328" s="7"/>
      <c r="AF328" s="8"/>
      <c r="AG328" s="8"/>
      <c r="AH328" s="7"/>
      <c r="AI328" s="7"/>
      <c r="AJ328" s="7"/>
      <c r="AK328" s="7"/>
      <c r="AL328" s="8"/>
      <c r="AM328" s="8"/>
      <c r="AN328" s="7"/>
      <c r="AO328" s="7"/>
      <c r="AP328" s="7"/>
      <c r="AQ328" s="7"/>
      <c r="AR328" s="8"/>
      <c r="AS328" s="8"/>
      <c r="AT328" s="7"/>
      <c r="AU328" s="7"/>
      <c r="AV328" s="7"/>
      <c r="AW328" s="7"/>
      <c r="AX328" s="7"/>
      <c r="AY328" s="7"/>
      <c r="AZ328" s="7"/>
      <c r="BA328" s="7"/>
      <c r="BB328" s="7"/>
      <c r="BC328" s="7"/>
      <c r="BD328" s="7"/>
      <c r="BE328" s="7"/>
      <c r="BF328" s="7"/>
      <c r="BG328" s="7"/>
      <c r="BH328" s="7"/>
      <c r="BI328" s="7"/>
      <c r="BJ328" s="7"/>
      <c r="BK328" s="7"/>
      <c r="BL328" s="9"/>
      <c r="BM328" s="55"/>
    </row>
    <row r="329" spans="1:65">
      <c r="A329" s="5"/>
      <c r="B329" s="5"/>
      <c r="C329" s="5"/>
      <c r="D329" s="6"/>
      <c r="E329" s="5"/>
      <c r="F329" s="5"/>
      <c r="G329" s="5"/>
      <c r="H329" s="7"/>
      <c r="I329" s="7"/>
      <c r="J329" s="7"/>
      <c r="K329" s="8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  <c r="AE329" s="8"/>
      <c r="AF329" s="8"/>
      <c r="AG329" s="8"/>
      <c r="AH329" s="7"/>
      <c r="AI329" s="7"/>
      <c r="AJ329" s="7"/>
      <c r="AK329" s="8"/>
      <c r="AL329" s="8"/>
      <c r="AM329" s="8"/>
      <c r="AN329" s="7"/>
      <c r="AO329" s="7"/>
      <c r="AP329" s="7"/>
      <c r="AQ329" s="7"/>
      <c r="AR329" s="8"/>
      <c r="AS329" s="7"/>
      <c r="AT329" s="7"/>
      <c r="AU329" s="7"/>
      <c r="AV329" s="7"/>
      <c r="AW329" s="7"/>
      <c r="AX329" s="7"/>
      <c r="AY329" s="7"/>
      <c r="AZ329" s="7"/>
      <c r="BA329" s="7"/>
      <c r="BB329" s="7"/>
      <c r="BC329" s="7"/>
      <c r="BD329" s="7"/>
      <c r="BE329" s="7"/>
      <c r="BF329" s="7"/>
      <c r="BG329" s="7"/>
      <c r="BH329" s="7"/>
      <c r="BI329" s="7"/>
      <c r="BJ329" s="7"/>
      <c r="BK329" s="7"/>
      <c r="BL329" s="9"/>
      <c r="BM329" s="55"/>
    </row>
    <row r="330" spans="1:65">
      <c r="A330" s="5"/>
      <c r="B330" s="5"/>
      <c r="C330" s="5"/>
      <c r="D330" s="6"/>
      <c r="E330" s="5"/>
      <c r="F330" s="5"/>
      <c r="G330" s="5"/>
      <c r="H330" s="7"/>
      <c r="I330" s="7"/>
      <c r="J330" s="7"/>
      <c r="K330" s="8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8"/>
      <c r="AF330" s="8"/>
      <c r="AG330" s="8"/>
      <c r="AH330" s="7"/>
      <c r="AI330" s="7"/>
      <c r="AJ330" s="7"/>
      <c r="AK330" s="8"/>
      <c r="AL330" s="8"/>
      <c r="AM330" s="8"/>
      <c r="AN330" s="7"/>
      <c r="AO330" s="7"/>
      <c r="AP330" s="7"/>
      <c r="AQ330" s="7"/>
      <c r="AR330" s="8"/>
      <c r="AS330" s="7"/>
      <c r="AT330" s="7"/>
      <c r="AU330" s="7"/>
      <c r="AV330" s="7"/>
      <c r="AW330" s="7"/>
      <c r="AX330" s="7"/>
      <c r="AY330" s="7"/>
      <c r="AZ330" s="7"/>
      <c r="BA330" s="7"/>
      <c r="BB330" s="7"/>
      <c r="BC330" s="7"/>
      <c r="BD330" s="7"/>
      <c r="BE330" s="7"/>
      <c r="BF330" s="7"/>
      <c r="BG330" s="7"/>
      <c r="BH330" s="7"/>
      <c r="BI330" s="7"/>
      <c r="BJ330" s="7"/>
      <c r="BK330" s="7"/>
      <c r="BL330" s="9"/>
      <c r="BM330" s="55"/>
    </row>
    <row r="331" spans="1:65">
      <c r="A331" s="5"/>
      <c r="B331" s="5"/>
      <c r="C331" s="5"/>
      <c r="D331" s="6"/>
      <c r="E331" s="5"/>
      <c r="F331" s="5"/>
      <c r="G331" s="5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8"/>
      <c r="AF331" s="8"/>
      <c r="AG331" s="8"/>
      <c r="AH331" s="7"/>
      <c r="AI331" s="7"/>
      <c r="AJ331" s="7"/>
      <c r="AK331" s="8"/>
      <c r="AL331" s="8"/>
      <c r="AM331" s="8"/>
      <c r="AN331" s="7"/>
      <c r="AO331" s="7"/>
      <c r="AP331" s="7"/>
      <c r="AQ331" s="7"/>
      <c r="AR331" s="8"/>
      <c r="AS331" s="8"/>
      <c r="AT331" s="7"/>
      <c r="AU331" s="7"/>
      <c r="AV331" s="7"/>
      <c r="AW331" s="7"/>
      <c r="AX331" s="7"/>
      <c r="AY331" s="7"/>
      <c r="AZ331" s="7"/>
      <c r="BA331" s="7"/>
      <c r="BB331" s="7"/>
      <c r="BC331" s="7"/>
      <c r="BD331" s="7"/>
      <c r="BE331" s="7"/>
      <c r="BF331" s="7"/>
      <c r="BG331" s="7"/>
      <c r="BH331" s="7"/>
      <c r="BI331" s="7"/>
      <c r="BJ331" s="7"/>
      <c r="BK331" s="7"/>
      <c r="BL331" s="9"/>
      <c r="BM331" s="55"/>
    </row>
    <row r="332" spans="1:65">
      <c r="A332" s="5"/>
      <c r="B332" s="5"/>
      <c r="C332" s="5"/>
      <c r="D332" s="6"/>
      <c r="E332" s="5"/>
      <c r="F332" s="5"/>
      <c r="G332" s="5"/>
      <c r="H332" s="7"/>
      <c r="I332" s="7"/>
      <c r="J332" s="7"/>
      <c r="K332" s="8"/>
      <c r="L332" s="8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8"/>
      <c r="AF332" s="8"/>
      <c r="AG332" s="8"/>
      <c r="AH332" s="7"/>
      <c r="AI332" s="7"/>
      <c r="AJ332" s="7"/>
      <c r="AK332" s="8"/>
      <c r="AL332" s="8"/>
      <c r="AM332" s="8"/>
      <c r="AN332" s="7"/>
      <c r="AO332" s="7"/>
      <c r="AP332" s="7"/>
      <c r="AQ332" s="7"/>
      <c r="AR332" s="8"/>
      <c r="AS332" s="8"/>
      <c r="AT332" s="7"/>
      <c r="AU332" s="7"/>
      <c r="AV332" s="7"/>
      <c r="AW332" s="7"/>
      <c r="AX332" s="7"/>
      <c r="AY332" s="7"/>
      <c r="AZ332" s="7"/>
      <c r="BA332" s="7"/>
      <c r="BB332" s="7"/>
      <c r="BC332" s="7"/>
      <c r="BD332" s="7"/>
      <c r="BE332" s="7"/>
      <c r="BF332" s="7"/>
      <c r="BG332" s="7"/>
      <c r="BH332" s="7"/>
      <c r="BI332" s="7"/>
      <c r="BJ332" s="7"/>
      <c r="BK332" s="7"/>
      <c r="BL332" s="9"/>
      <c r="BM332" s="55"/>
    </row>
    <row r="333" spans="1:65">
      <c r="A333" s="5"/>
      <c r="B333" s="5"/>
      <c r="C333" s="5"/>
      <c r="D333" s="6"/>
      <c r="E333" s="5"/>
      <c r="F333" s="5"/>
      <c r="G333" s="5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8"/>
      <c r="AF333" s="8"/>
      <c r="AG333" s="8"/>
      <c r="AH333" s="7"/>
      <c r="AI333" s="7"/>
      <c r="AJ333" s="7"/>
      <c r="AK333" s="8"/>
      <c r="AL333" s="8"/>
      <c r="AM333" s="8"/>
      <c r="AN333" s="7"/>
      <c r="AO333" s="7"/>
      <c r="AP333" s="7"/>
      <c r="AQ333" s="7"/>
      <c r="AR333" s="8"/>
      <c r="AS333" s="8"/>
      <c r="AT333" s="7"/>
      <c r="AU333" s="7"/>
      <c r="AV333" s="7"/>
      <c r="AW333" s="7"/>
      <c r="AX333" s="7"/>
      <c r="AY333" s="7"/>
      <c r="AZ333" s="7"/>
      <c r="BA333" s="7"/>
      <c r="BB333" s="7"/>
      <c r="BC333" s="7"/>
      <c r="BD333" s="7"/>
      <c r="BE333" s="7"/>
      <c r="BF333" s="7"/>
      <c r="BG333" s="7"/>
      <c r="BH333" s="7"/>
      <c r="BI333" s="7"/>
      <c r="BJ333" s="7"/>
      <c r="BK333" s="7"/>
      <c r="BL333" s="9"/>
      <c r="BM333" s="55"/>
    </row>
    <row r="334" spans="1:65">
      <c r="A334" s="5"/>
      <c r="B334" s="5"/>
      <c r="C334" s="5"/>
      <c r="D334" s="6"/>
      <c r="E334" s="5"/>
      <c r="F334" s="5"/>
      <c r="G334" s="5"/>
      <c r="H334" s="7"/>
      <c r="I334" s="7"/>
      <c r="J334" s="7"/>
      <c r="K334" s="8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8"/>
      <c r="AF334" s="8"/>
      <c r="AG334" s="8"/>
      <c r="AH334" s="7"/>
      <c r="AI334" s="7"/>
      <c r="AJ334" s="7"/>
      <c r="AK334" s="8"/>
      <c r="AL334" s="8"/>
      <c r="AM334" s="8"/>
      <c r="AN334" s="7"/>
      <c r="AO334" s="7"/>
      <c r="AP334" s="7"/>
      <c r="AQ334" s="7"/>
      <c r="AR334" s="8"/>
      <c r="AS334" s="8"/>
      <c r="AT334" s="7"/>
      <c r="AU334" s="7"/>
      <c r="AV334" s="7"/>
      <c r="AW334" s="7"/>
      <c r="AX334" s="7"/>
      <c r="AY334" s="7"/>
      <c r="AZ334" s="7"/>
      <c r="BA334" s="7"/>
      <c r="BB334" s="7"/>
      <c r="BC334" s="7"/>
      <c r="BD334" s="7"/>
      <c r="BE334" s="7"/>
      <c r="BF334" s="7"/>
      <c r="BG334" s="7"/>
      <c r="BH334" s="7"/>
      <c r="BI334" s="7"/>
      <c r="BJ334" s="7"/>
      <c r="BK334" s="7"/>
      <c r="BL334" s="9"/>
      <c r="BM334" s="55"/>
    </row>
    <row r="335" spans="1:65">
      <c r="A335" s="5"/>
      <c r="B335" s="5"/>
      <c r="C335" s="5"/>
      <c r="D335" s="6"/>
      <c r="E335" s="5"/>
      <c r="F335" s="5"/>
      <c r="G335" s="5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8"/>
      <c r="AG335" s="8"/>
      <c r="AH335" s="7"/>
      <c r="AI335" s="7"/>
      <c r="AJ335" s="7"/>
      <c r="AK335" s="8"/>
      <c r="AL335" s="8"/>
      <c r="AM335" s="8"/>
      <c r="AN335" s="7"/>
      <c r="AO335" s="7"/>
      <c r="AP335" s="7"/>
      <c r="AQ335" s="7"/>
      <c r="AR335" s="8"/>
      <c r="AS335" s="7"/>
      <c r="AT335" s="7"/>
      <c r="AU335" s="7"/>
      <c r="AV335" s="7"/>
      <c r="AW335" s="7"/>
      <c r="AX335" s="7"/>
      <c r="AY335" s="7"/>
      <c r="AZ335" s="7"/>
      <c r="BA335" s="7"/>
      <c r="BB335" s="7"/>
      <c r="BC335" s="7"/>
      <c r="BD335" s="7"/>
      <c r="BE335" s="7"/>
      <c r="BF335" s="7"/>
      <c r="BG335" s="7"/>
      <c r="BH335" s="7"/>
      <c r="BI335" s="7"/>
      <c r="BJ335" s="7"/>
      <c r="BK335" s="7"/>
      <c r="BL335" s="9"/>
      <c r="BM335" s="55"/>
    </row>
    <row r="336" spans="1:65">
      <c r="A336" s="5"/>
      <c r="B336" s="5"/>
      <c r="C336" s="5"/>
      <c r="D336" s="6"/>
      <c r="E336" s="5"/>
      <c r="F336" s="5"/>
      <c r="G336" s="5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8"/>
      <c r="AG336" s="8"/>
      <c r="AH336" s="7"/>
      <c r="AI336" s="7"/>
      <c r="AJ336" s="7"/>
      <c r="AK336" s="7"/>
      <c r="AL336" s="8"/>
      <c r="AM336" s="7"/>
      <c r="AN336" s="7"/>
      <c r="AO336" s="7"/>
      <c r="AP336" s="7"/>
      <c r="AQ336" s="7"/>
      <c r="AR336" s="7"/>
      <c r="AS336" s="7"/>
      <c r="AT336" s="7"/>
      <c r="AU336" s="7"/>
      <c r="AV336" s="7"/>
      <c r="AW336" s="7"/>
      <c r="AX336" s="7"/>
      <c r="AY336" s="7"/>
      <c r="AZ336" s="7"/>
      <c r="BA336" s="7"/>
      <c r="BB336" s="7"/>
      <c r="BC336" s="7"/>
      <c r="BD336" s="7"/>
      <c r="BE336" s="7"/>
      <c r="BF336" s="7"/>
      <c r="BG336" s="7"/>
      <c r="BH336" s="7"/>
      <c r="BI336" s="7"/>
      <c r="BJ336" s="7"/>
      <c r="BK336" s="7"/>
      <c r="BL336" s="9"/>
      <c r="BM336" s="55"/>
    </row>
    <row r="337" spans="1:65">
      <c r="A337" s="5"/>
      <c r="B337" s="5"/>
      <c r="C337" s="5"/>
      <c r="D337" s="6"/>
      <c r="E337" s="5"/>
      <c r="F337" s="5"/>
      <c r="G337" s="5"/>
      <c r="H337" s="7"/>
      <c r="I337" s="7"/>
      <c r="J337" s="8"/>
      <c r="K337" s="7"/>
      <c r="L337" s="8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8"/>
      <c r="AG337" s="8"/>
      <c r="AH337" s="7"/>
      <c r="AI337" s="7"/>
      <c r="AJ337" s="7"/>
      <c r="AK337" s="7"/>
      <c r="AL337" s="8"/>
      <c r="AM337" s="8"/>
      <c r="AN337" s="7"/>
      <c r="AO337" s="7"/>
      <c r="AP337" s="7"/>
      <c r="AQ337" s="7"/>
      <c r="AR337" s="8"/>
      <c r="AS337" s="7"/>
      <c r="AT337" s="7"/>
      <c r="AU337" s="7"/>
      <c r="AV337" s="7"/>
      <c r="AW337" s="7"/>
      <c r="AX337" s="7"/>
      <c r="AY337" s="7"/>
      <c r="AZ337" s="7"/>
      <c r="BA337" s="7"/>
      <c r="BB337" s="7"/>
      <c r="BC337" s="7"/>
      <c r="BD337" s="7"/>
      <c r="BE337" s="7"/>
      <c r="BF337" s="7"/>
      <c r="BG337" s="7"/>
      <c r="BH337" s="7"/>
      <c r="BI337" s="7"/>
      <c r="BJ337" s="7"/>
      <c r="BK337" s="7"/>
      <c r="BL337" s="9"/>
      <c r="BM337" s="55"/>
    </row>
    <row r="338" spans="1:65">
      <c r="A338" s="5"/>
      <c r="B338" s="5"/>
      <c r="C338" s="5"/>
      <c r="D338" s="6"/>
      <c r="E338" s="5"/>
      <c r="F338" s="5"/>
      <c r="G338" s="5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  <c r="AF338" s="8"/>
      <c r="AG338" s="7"/>
      <c r="AH338" s="7"/>
      <c r="AI338" s="7"/>
      <c r="AJ338" s="7"/>
      <c r="AK338" s="7"/>
      <c r="AL338" s="8"/>
      <c r="AM338" s="8"/>
      <c r="AN338" s="7"/>
      <c r="AO338" s="7"/>
      <c r="AP338" s="7"/>
      <c r="AQ338" s="7"/>
      <c r="AR338" s="8"/>
      <c r="AS338" s="7"/>
      <c r="AT338" s="7"/>
      <c r="AU338" s="7"/>
      <c r="AV338" s="7"/>
      <c r="AW338" s="7"/>
      <c r="AX338" s="7"/>
      <c r="AY338" s="7"/>
      <c r="AZ338" s="7"/>
      <c r="BA338" s="7"/>
      <c r="BB338" s="7"/>
      <c r="BC338" s="7"/>
      <c r="BD338" s="7"/>
      <c r="BE338" s="7"/>
      <c r="BF338" s="7"/>
      <c r="BG338" s="7"/>
      <c r="BH338" s="7"/>
      <c r="BI338" s="7"/>
      <c r="BJ338" s="7"/>
      <c r="BK338" s="7"/>
      <c r="BL338" s="9"/>
      <c r="BM338" s="55"/>
    </row>
    <row r="339" spans="1:65">
      <c r="A339" s="5"/>
      <c r="B339" s="5"/>
      <c r="C339" s="5"/>
      <c r="D339" s="6"/>
      <c r="E339" s="5"/>
      <c r="F339" s="5"/>
      <c r="G339" s="5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  <c r="AF339" s="8"/>
      <c r="AG339" s="7"/>
      <c r="AH339" s="7"/>
      <c r="AI339" s="7"/>
      <c r="AJ339" s="7"/>
      <c r="AK339" s="7"/>
      <c r="AL339" s="8"/>
      <c r="AM339" s="8"/>
      <c r="AN339" s="7"/>
      <c r="AO339" s="7"/>
      <c r="AP339" s="7"/>
      <c r="AQ339" s="7"/>
      <c r="AR339" s="8"/>
      <c r="AS339" s="8"/>
      <c r="AT339" s="7"/>
      <c r="AU339" s="7"/>
      <c r="AV339" s="7"/>
      <c r="AW339" s="7"/>
      <c r="AX339" s="7"/>
      <c r="AY339" s="7"/>
      <c r="AZ339" s="7"/>
      <c r="BA339" s="7"/>
      <c r="BB339" s="7"/>
      <c r="BC339" s="7"/>
      <c r="BD339" s="7"/>
      <c r="BE339" s="7"/>
      <c r="BF339" s="7"/>
      <c r="BG339" s="7"/>
      <c r="BH339" s="7"/>
      <c r="BI339" s="7"/>
      <c r="BJ339" s="7"/>
      <c r="BK339" s="7"/>
      <c r="BL339" s="9"/>
      <c r="BM339" s="55"/>
    </row>
    <row r="340" spans="1:65">
      <c r="A340" s="5"/>
      <c r="B340" s="5"/>
      <c r="C340" s="5"/>
      <c r="D340" s="6"/>
      <c r="E340" s="5"/>
      <c r="F340" s="5"/>
      <c r="G340" s="5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8"/>
      <c r="AG340" s="8"/>
      <c r="AH340" s="7"/>
      <c r="AI340" s="7"/>
      <c r="AJ340" s="7"/>
      <c r="AK340" s="7"/>
      <c r="AL340" s="8"/>
      <c r="AM340" s="8"/>
      <c r="AN340" s="7"/>
      <c r="AO340" s="7"/>
      <c r="AP340" s="7"/>
      <c r="AQ340" s="7"/>
      <c r="AR340" s="8"/>
      <c r="AS340" s="8"/>
      <c r="AT340" s="7"/>
      <c r="AU340" s="7"/>
      <c r="AV340" s="7"/>
      <c r="AW340" s="7"/>
      <c r="AX340" s="7"/>
      <c r="AY340" s="7"/>
      <c r="AZ340" s="7"/>
      <c r="BA340" s="7"/>
      <c r="BB340" s="7"/>
      <c r="BC340" s="7"/>
      <c r="BD340" s="7"/>
      <c r="BE340" s="7"/>
      <c r="BF340" s="7"/>
      <c r="BG340" s="7"/>
      <c r="BH340" s="7"/>
      <c r="BI340" s="7"/>
      <c r="BJ340" s="7"/>
      <c r="BK340" s="7"/>
      <c r="BL340" s="9"/>
      <c r="BM340" s="55"/>
    </row>
    <row r="341" spans="1:65">
      <c r="A341" s="5"/>
      <c r="B341" s="5"/>
      <c r="C341" s="5"/>
      <c r="D341" s="6"/>
      <c r="E341" s="5"/>
      <c r="F341" s="5"/>
      <c r="G341" s="5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  <c r="AF341" s="8"/>
      <c r="AG341" s="7"/>
      <c r="AH341" s="7"/>
      <c r="AI341" s="8"/>
      <c r="AJ341" s="8"/>
      <c r="AK341" s="7"/>
      <c r="AL341" s="7"/>
      <c r="AM341" s="7"/>
      <c r="AN341" s="7"/>
      <c r="AO341" s="7"/>
      <c r="AP341" s="7"/>
      <c r="AQ341" s="7"/>
      <c r="AR341" s="8"/>
      <c r="AS341" s="8"/>
      <c r="AT341" s="7"/>
      <c r="AU341" s="7"/>
      <c r="AV341" s="7"/>
      <c r="AW341" s="7"/>
      <c r="AX341" s="7"/>
      <c r="AY341" s="7"/>
      <c r="AZ341" s="7"/>
      <c r="BA341" s="7"/>
      <c r="BB341" s="7"/>
      <c r="BC341" s="7"/>
      <c r="BD341" s="7"/>
      <c r="BE341" s="7"/>
      <c r="BF341" s="7"/>
      <c r="BG341" s="7"/>
      <c r="BH341" s="7"/>
      <c r="BI341" s="7"/>
      <c r="BJ341" s="7"/>
      <c r="BK341" s="7"/>
      <c r="BL341" s="9"/>
      <c r="BM341" s="55"/>
    </row>
    <row r="342" spans="1:65">
      <c r="A342" s="5"/>
      <c r="B342" s="5"/>
      <c r="C342" s="5"/>
      <c r="D342" s="6"/>
      <c r="E342" s="5"/>
      <c r="F342" s="5"/>
      <c r="G342" s="5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  <c r="AF342" s="8"/>
      <c r="AG342" s="7"/>
      <c r="AH342" s="7"/>
      <c r="AI342" s="7"/>
      <c r="AJ342" s="7"/>
      <c r="AK342" s="7"/>
      <c r="AL342" s="8"/>
      <c r="AM342" s="8"/>
      <c r="AN342" s="7"/>
      <c r="AO342" s="7"/>
      <c r="AP342" s="7"/>
      <c r="AQ342" s="7"/>
      <c r="AR342" s="8"/>
      <c r="AS342" s="7"/>
      <c r="AT342" s="7"/>
      <c r="AU342" s="7"/>
      <c r="AV342" s="7"/>
      <c r="AW342" s="7"/>
      <c r="AX342" s="7"/>
      <c r="AY342" s="7"/>
      <c r="AZ342" s="7"/>
      <c r="BA342" s="7"/>
      <c r="BB342" s="7"/>
      <c r="BC342" s="7"/>
      <c r="BD342" s="7"/>
      <c r="BE342" s="7"/>
      <c r="BF342" s="7"/>
      <c r="BG342" s="7"/>
      <c r="BH342" s="7"/>
      <c r="BI342" s="7"/>
      <c r="BJ342" s="7"/>
      <c r="BK342" s="7"/>
      <c r="BL342" s="9"/>
      <c r="BM342" s="55"/>
    </row>
    <row r="343" spans="1:65">
      <c r="A343" s="5"/>
      <c r="B343" s="5"/>
      <c r="C343" s="5"/>
      <c r="D343" s="6"/>
      <c r="E343" s="5"/>
      <c r="F343" s="5"/>
      <c r="G343" s="5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  <c r="AF343" s="8"/>
      <c r="AG343" s="8"/>
      <c r="AH343" s="7"/>
      <c r="AI343" s="7"/>
      <c r="AJ343" s="7"/>
      <c r="AK343" s="7"/>
      <c r="AL343" s="7"/>
      <c r="AM343" s="7"/>
      <c r="AN343" s="7"/>
      <c r="AO343" s="7"/>
      <c r="AP343" s="7"/>
      <c r="AQ343" s="7"/>
      <c r="AR343" s="8"/>
      <c r="AS343" s="7"/>
      <c r="AT343" s="7"/>
      <c r="AU343" s="7"/>
      <c r="AV343" s="7"/>
      <c r="AW343" s="7"/>
      <c r="AX343" s="7"/>
      <c r="AY343" s="7"/>
      <c r="AZ343" s="7"/>
      <c r="BA343" s="7"/>
      <c r="BB343" s="7"/>
      <c r="BC343" s="7"/>
      <c r="BD343" s="7"/>
      <c r="BE343" s="7"/>
      <c r="BF343" s="7"/>
      <c r="BG343" s="7"/>
      <c r="BH343" s="7"/>
      <c r="BI343" s="7"/>
      <c r="BJ343" s="7"/>
      <c r="BK343" s="7"/>
      <c r="BL343" s="7"/>
      <c r="BM343" s="55"/>
    </row>
    <row r="344" spans="1:65">
      <c r="A344" s="5"/>
      <c r="B344" s="5"/>
      <c r="C344" s="5"/>
      <c r="D344" s="6"/>
      <c r="E344" s="5"/>
      <c r="F344" s="5"/>
      <c r="G344" s="5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8"/>
      <c r="AG344" s="7"/>
      <c r="AH344" s="7"/>
      <c r="AI344" s="7"/>
      <c r="AJ344" s="7"/>
      <c r="AK344" s="7"/>
      <c r="AL344" s="8"/>
      <c r="AM344" s="7"/>
      <c r="AN344" s="7"/>
      <c r="AO344" s="7"/>
      <c r="AP344" s="7"/>
      <c r="AQ344" s="7"/>
      <c r="AR344" s="8"/>
      <c r="AS344" s="8"/>
      <c r="AT344" s="7"/>
      <c r="AU344" s="7"/>
      <c r="AV344" s="7"/>
      <c r="AW344" s="7"/>
      <c r="AX344" s="7"/>
      <c r="AY344" s="7"/>
      <c r="AZ344" s="7"/>
      <c r="BA344" s="7"/>
      <c r="BB344" s="7"/>
      <c r="BC344" s="7"/>
      <c r="BD344" s="7"/>
      <c r="BE344" s="7"/>
      <c r="BF344" s="7"/>
      <c r="BG344" s="7"/>
      <c r="BH344" s="7"/>
      <c r="BI344" s="7"/>
      <c r="BJ344" s="7"/>
      <c r="BK344" s="7"/>
      <c r="BL344" s="9"/>
      <c r="BM344" s="55"/>
    </row>
    <row r="345" spans="1:65">
      <c r="A345" s="5"/>
      <c r="B345" s="5"/>
      <c r="C345" s="5"/>
      <c r="D345" s="6"/>
      <c r="E345" s="5"/>
      <c r="F345" s="5"/>
      <c r="G345" s="5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8"/>
      <c r="AG345" s="7"/>
      <c r="AH345" s="7"/>
      <c r="AI345" s="7"/>
      <c r="AJ345" s="7"/>
      <c r="AK345" s="7"/>
      <c r="AL345" s="8"/>
      <c r="AM345" s="7"/>
      <c r="AN345" s="7"/>
      <c r="AO345" s="7"/>
      <c r="AP345" s="7"/>
      <c r="AQ345" s="7"/>
      <c r="AR345" s="7"/>
      <c r="AS345" s="7"/>
      <c r="AT345" s="7"/>
      <c r="AU345" s="7"/>
      <c r="AV345" s="7"/>
      <c r="AW345" s="7"/>
      <c r="AX345" s="7"/>
      <c r="AY345" s="7"/>
      <c r="AZ345" s="7"/>
      <c r="BA345" s="7"/>
      <c r="BB345" s="7"/>
      <c r="BC345" s="7"/>
      <c r="BD345" s="7"/>
      <c r="BE345" s="7"/>
      <c r="BF345" s="7"/>
      <c r="BG345" s="7"/>
      <c r="BH345" s="7"/>
      <c r="BI345" s="7"/>
      <c r="BJ345" s="7"/>
      <c r="BK345" s="7"/>
      <c r="BL345" s="7"/>
      <c r="BM345" s="55"/>
    </row>
    <row r="346" spans="1:65">
      <c r="A346" s="5"/>
      <c r="B346" s="5"/>
      <c r="C346" s="5"/>
      <c r="D346" s="6"/>
      <c r="E346" s="5"/>
      <c r="F346" s="5"/>
      <c r="G346" s="5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8"/>
      <c r="AG346" s="7"/>
      <c r="AH346" s="7"/>
      <c r="AI346" s="7"/>
      <c r="AJ346" s="7"/>
      <c r="AK346" s="7"/>
      <c r="AL346" s="8"/>
      <c r="AM346" s="7"/>
      <c r="AN346" s="7"/>
      <c r="AO346" s="7"/>
      <c r="AP346" s="7"/>
      <c r="AQ346" s="7"/>
      <c r="AR346" s="8"/>
      <c r="AS346" s="7"/>
      <c r="AT346" s="7"/>
      <c r="AU346" s="7"/>
      <c r="AV346" s="7"/>
      <c r="AW346" s="7"/>
      <c r="AX346" s="7"/>
      <c r="AY346" s="7"/>
      <c r="AZ346" s="7"/>
      <c r="BA346" s="7"/>
      <c r="BB346" s="7"/>
      <c r="BC346" s="7"/>
      <c r="BD346" s="7"/>
      <c r="BE346" s="7"/>
      <c r="BF346" s="7"/>
      <c r="BG346" s="7"/>
      <c r="BH346" s="7"/>
      <c r="BI346" s="7"/>
      <c r="BJ346" s="7"/>
      <c r="BK346" s="7"/>
      <c r="BL346" s="9"/>
      <c r="BM346" s="55"/>
    </row>
    <row r="347" spans="1:65">
      <c r="A347" s="5"/>
      <c r="B347" s="5"/>
      <c r="C347" s="5"/>
      <c r="D347" s="6"/>
      <c r="E347" s="5"/>
      <c r="F347" s="5"/>
      <c r="G347" s="5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8"/>
      <c r="AG347" s="7"/>
      <c r="AH347" s="7"/>
      <c r="AI347" s="7"/>
      <c r="AJ347" s="7"/>
      <c r="AK347" s="7"/>
      <c r="AL347" s="8"/>
      <c r="AM347" s="7"/>
      <c r="AN347" s="7"/>
      <c r="AO347" s="7"/>
      <c r="AP347" s="7"/>
      <c r="AQ347" s="7"/>
      <c r="AR347" s="8"/>
      <c r="AS347" s="7"/>
      <c r="AT347" s="7"/>
      <c r="AU347" s="7"/>
      <c r="AV347" s="7"/>
      <c r="AW347" s="7"/>
      <c r="AX347" s="7"/>
      <c r="AY347" s="7"/>
      <c r="AZ347" s="7"/>
      <c r="BA347" s="7"/>
      <c r="BB347" s="7"/>
      <c r="BC347" s="7"/>
      <c r="BD347" s="7"/>
      <c r="BE347" s="7"/>
      <c r="BF347" s="7"/>
      <c r="BG347" s="7"/>
      <c r="BH347" s="7"/>
      <c r="BI347" s="7"/>
      <c r="BJ347" s="7"/>
      <c r="BK347" s="7"/>
      <c r="BL347" s="9"/>
      <c r="BM347" s="55"/>
    </row>
    <row r="348" spans="1:65">
      <c r="A348" s="5"/>
      <c r="B348" s="5"/>
      <c r="C348" s="5"/>
      <c r="D348" s="6"/>
      <c r="E348" s="5"/>
      <c r="F348" s="5"/>
      <c r="G348" s="5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  <c r="AF348" s="8"/>
      <c r="AG348" s="7"/>
      <c r="AH348" s="7"/>
      <c r="AI348" s="7"/>
      <c r="AJ348" s="7"/>
      <c r="AK348" s="7"/>
      <c r="AL348" s="7"/>
      <c r="AM348" s="7"/>
      <c r="AN348" s="7"/>
      <c r="AO348" s="7"/>
      <c r="AP348" s="7"/>
      <c r="AQ348" s="7"/>
      <c r="AR348" s="8"/>
      <c r="AS348" s="7"/>
      <c r="AT348" s="7"/>
      <c r="AU348" s="7"/>
      <c r="AV348" s="7"/>
      <c r="AW348" s="7"/>
      <c r="AX348" s="7"/>
      <c r="AY348" s="7"/>
      <c r="AZ348" s="7"/>
      <c r="BA348" s="7"/>
      <c r="BB348" s="7"/>
      <c r="BC348" s="7"/>
      <c r="BD348" s="7"/>
      <c r="BE348" s="7"/>
      <c r="BF348" s="7"/>
      <c r="BG348" s="7"/>
      <c r="BH348" s="7"/>
      <c r="BI348" s="7"/>
      <c r="BJ348" s="7"/>
      <c r="BK348" s="7"/>
      <c r="BL348" s="7"/>
      <c r="BM348" s="55"/>
    </row>
    <row r="349" spans="1:65">
      <c r="A349" s="5"/>
      <c r="B349" s="5"/>
      <c r="C349" s="5"/>
      <c r="D349" s="6"/>
      <c r="E349" s="5"/>
      <c r="F349" s="5"/>
      <c r="G349" s="5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8"/>
      <c r="AG349" s="7"/>
      <c r="AH349" s="7"/>
      <c r="AI349" s="7"/>
      <c r="AJ349" s="7"/>
      <c r="AK349" s="7"/>
      <c r="AL349" s="8"/>
      <c r="AM349" s="7"/>
      <c r="AN349" s="7"/>
      <c r="AO349" s="7"/>
      <c r="AP349" s="7"/>
      <c r="AQ349" s="7"/>
      <c r="AR349" s="7"/>
      <c r="AS349" s="7"/>
      <c r="AT349" s="7"/>
      <c r="AU349" s="7"/>
      <c r="AV349" s="7"/>
      <c r="AW349" s="7"/>
      <c r="AX349" s="7"/>
      <c r="AY349" s="7"/>
      <c r="AZ349" s="7"/>
      <c r="BA349" s="7"/>
      <c r="BB349" s="7"/>
      <c r="BC349" s="7"/>
      <c r="BD349" s="7"/>
      <c r="BE349" s="7"/>
      <c r="BF349" s="7"/>
      <c r="BG349" s="7"/>
      <c r="BH349" s="7"/>
      <c r="BI349" s="7"/>
      <c r="BJ349" s="7"/>
      <c r="BK349" s="7"/>
      <c r="BL349" s="9"/>
      <c r="BM349" s="55"/>
    </row>
    <row r="350" spans="1:65">
      <c r="A350" s="5"/>
      <c r="B350" s="5"/>
      <c r="C350" s="5"/>
      <c r="D350" s="6"/>
      <c r="E350" s="5"/>
      <c r="F350" s="5"/>
      <c r="G350" s="5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  <c r="AI350" s="7"/>
      <c r="AJ350" s="7"/>
      <c r="AK350" s="7"/>
      <c r="AL350" s="8"/>
      <c r="AM350" s="8"/>
      <c r="AN350" s="7"/>
      <c r="AO350" s="7"/>
      <c r="AP350" s="7"/>
      <c r="AQ350" s="7"/>
      <c r="AR350" s="8"/>
      <c r="AS350" s="7"/>
      <c r="AT350" s="7"/>
      <c r="AU350" s="7"/>
      <c r="AV350" s="7"/>
      <c r="AW350" s="7"/>
      <c r="AX350" s="7"/>
      <c r="AY350" s="7"/>
      <c r="AZ350" s="7"/>
      <c r="BA350" s="7"/>
      <c r="BB350" s="7"/>
      <c r="BC350" s="7"/>
      <c r="BD350" s="7"/>
      <c r="BE350" s="7"/>
      <c r="BF350" s="7"/>
      <c r="BG350" s="7"/>
      <c r="BH350" s="7"/>
      <c r="BI350" s="7"/>
      <c r="BJ350" s="7"/>
      <c r="BK350" s="7"/>
      <c r="BL350" s="9"/>
      <c r="BM350" s="55"/>
    </row>
    <row r="351" spans="1:65">
      <c r="A351" s="5"/>
      <c r="B351" s="5"/>
      <c r="C351" s="5"/>
      <c r="D351" s="6"/>
      <c r="E351" s="5"/>
      <c r="F351" s="5"/>
      <c r="G351" s="5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8"/>
      <c r="AG351" s="8"/>
      <c r="AH351" s="7"/>
      <c r="AI351" s="7"/>
      <c r="AJ351" s="7"/>
      <c r="AK351" s="7"/>
      <c r="AL351" s="8"/>
      <c r="AM351" s="8"/>
      <c r="AN351" s="7"/>
      <c r="AO351" s="7"/>
      <c r="AP351" s="7"/>
      <c r="AQ351" s="7"/>
      <c r="AR351" s="8"/>
      <c r="AS351" s="7"/>
      <c r="AT351" s="7"/>
      <c r="AU351" s="7"/>
      <c r="AV351" s="7"/>
      <c r="AW351" s="7"/>
      <c r="AX351" s="7"/>
      <c r="AY351" s="7"/>
      <c r="AZ351" s="7"/>
      <c r="BA351" s="7"/>
      <c r="BB351" s="7"/>
      <c r="BC351" s="7"/>
      <c r="BD351" s="7"/>
      <c r="BE351" s="7"/>
      <c r="BF351" s="7"/>
      <c r="BG351" s="7"/>
      <c r="BH351" s="7"/>
      <c r="BI351" s="7"/>
      <c r="BJ351" s="7"/>
      <c r="BK351" s="7"/>
      <c r="BL351" s="9"/>
      <c r="BM351" s="55"/>
    </row>
    <row r="352" spans="1:65">
      <c r="A352" s="5"/>
      <c r="B352" s="5"/>
      <c r="C352" s="5"/>
      <c r="D352" s="6"/>
      <c r="E352" s="5"/>
      <c r="F352" s="5"/>
      <c r="G352" s="5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8"/>
      <c r="AG352" s="7"/>
      <c r="AH352" s="7"/>
      <c r="AI352" s="7"/>
      <c r="AJ352" s="7"/>
      <c r="AK352" s="7"/>
      <c r="AL352" s="8"/>
      <c r="AM352" s="7"/>
      <c r="AN352" s="7"/>
      <c r="AO352" s="7"/>
      <c r="AP352" s="7"/>
      <c r="AQ352" s="7"/>
      <c r="AR352" s="8"/>
      <c r="AS352" s="7"/>
      <c r="AT352" s="7"/>
      <c r="AU352" s="7"/>
      <c r="AV352" s="7"/>
      <c r="AW352" s="7"/>
      <c r="AX352" s="7"/>
      <c r="AY352" s="7"/>
      <c r="AZ352" s="7"/>
      <c r="BA352" s="7"/>
      <c r="BB352" s="7"/>
      <c r="BC352" s="7"/>
      <c r="BD352" s="7"/>
      <c r="BE352" s="7"/>
      <c r="BF352" s="7"/>
      <c r="BG352" s="7"/>
      <c r="BH352" s="7"/>
      <c r="BI352" s="7"/>
      <c r="BJ352" s="7"/>
      <c r="BK352" s="7"/>
      <c r="BL352" s="9"/>
      <c r="BM352" s="55"/>
    </row>
    <row r="353" spans="1:65">
      <c r="A353" s="5"/>
      <c r="B353" s="5"/>
      <c r="C353" s="5"/>
      <c r="D353" s="6"/>
      <c r="E353" s="5"/>
      <c r="F353" s="5"/>
      <c r="G353" s="5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8"/>
      <c r="AG353" s="7"/>
      <c r="AH353" s="7"/>
      <c r="AI353" s="7"/>
      <c r="AJ353" s="7"/>
      <c r="AK353" s="7"/>
      <c r="AL353" s="8"/>
      <c r="AM353" s="7"/>
      <c r="AN353" s="7"/>
      <c r="AO353" s="7"/>
      <c r="AP353" s="7"/>
      <c r="AQ353" s="7"/>
      <c r="AR353" s="8"/>
      <c r="AS353" s="7"/>
      <c r="AT353" s="7"/>
      <c r="AU353" s="7"/>
      <c r="AV353" s="7"/>
      <c r="AW353" s="7"/>
      <c r="AX353" s="7"/>
      <c r="AY353" s="7"/>
      <c r="AZ353" s="7"/>
      <c r="BA353" s="7"/>
      <c r="BB353" s="7"/>
      <c r="BC353" s="7"/>
      <c r="BD353" s="7"/>
      <c r="BE353" s="7"/>
      <c r="BF353" s="7"/>
      <c r="BG353" s="7"/>
      <c r="BH353" s="7"/>
      <c r="BI353" s="7"/>
      <c r="BJ353" s="7"/>
      <c r="BK353" s="7"/>
      <c r="BL353" s="9"/>
      <c r="BM353" s="55"/>
    </row>
    <row r="354" spans="1:65">
      <c r="A354" s="5"/>
      <c r="B354" s="5"/>
      <c r="C354" s="5"/>
      <c r="D354" s="6"/>
      <c r="E354" s="5"/>
      <c r="F354" s="5"/>
      <c r="G354" s="5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  <c r="AI354" s="7"/>
      <c r="AJ354" s="7"/>
      <c r="AK354" s="7"/>
      <c r="AL354" s="8"/>
      <c r="AM354" s="7"/>
      <c r="AN354" s="7"/>
      <c r="AO354" s="7"/>
      <c r="AP354" s="7"/>
      <c r="AQ354" s="7"/>
      <c r="AR354" s="7"/>
      <c r="AS354" s="7"/>
      <c r="AT354" s="7"/>
      <c r="AU354" s="7"/>
      <c r="AV354" s="7"/>
      <c r="AW354" s="7"/>
      <c r="AX354" s="7"/>
      <c r="AY354" s="7"/>
      <c r="AZ354" s="7"/>
      <c r="BA354" s="7"/>
      <c r="BB354" s="7"/>
      <c r="BC354" s="7"/>
      <c r="BD354" s="7"/>
      <c r="BE354" s="7"/>
      <c r="BF354" s="7"/>
      <c r="BG354" s="7"/>
      <c r="BH354" s="7"/>
      <c r="BI354" s="7"/>
      <c r="BJ354" s="7"/>
      <c r="BK354" s="7"/>
      <c r="BL354" s="9"/>
      <c r="BM354" s="55"/>
    </row>
    <row r="355" spans="1:65">
      <c r="A355" s="5"/>
      <c r="B355" s="5"/>
      <c r="C355" s="5"/>
      <c r="D355" s="6"/>
      <c r="E355" s="5"/>
      <c r="F355" s="5"/>
      <c r="G355" s="5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  <c r="AF355" s="8"/>
      <c r="AG355" s="8"/>
      <c r="AH355" s="7"/>
      <c r="AI355" s="7"/>
      <c r="AJ355" s="7"/>
      <c r="AK355" s="7"/>
      <c r="AL355" s="8"/>
      <c r="AM355" s="8"/>
      <c r="AN355" s="7"/>
      <c r="AO355" s="7"/>
      <c r="AP355" s="7"/>
      <c r="AQ355" s="7"/>
      <c r="AR355" s="7"/>
      <c r="AS355" s="7"/>
      <c r="AT355" s="7"/>
      <c r="AU355" s="7"/>
      <c r="AV355" s="7"/>
      <c r="AW355" s="7"/>
      <c r="AX355" s="7"/>
      <c r="AY355" s="7"/>
      <c r="AZ355" s="7"/>
      <c r="BA355" s="7"/>
      <c r="BB355" s="7"/>
      <c r="BC355" s="7"/>
      <c r="BD355" s="7"/>
      <c r="BE355" s="7"/>
      <c r="BF355" s="7"/>
      <c r="BG355" s="7"/>
      <c r="BH355" s="7"/>
      <c r="BI355" s="7"/>
      <c r="BJ355" s="7"/>
      <c r="BK355" s="7"/>
      <c r="BL355" s="9"/>
      <c r="BM355" s="55"/>
    </row>
    <row r="356" spans="1:65">
      <c r="A356" s="5"/>
      <c r="B356" s="5"/>
      <c r="C356" s="5"/>
      <c r="D356" s="6"/>
      <c r="E356" s="5"/>
      <c r="F356" s="5"/>
      <c r="G356" s="5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  <c r="AF356" s="8"/>
      <c r="AG356" s="8"/>
      <c r="AH356" s="7"/>
      <c r="AI356" s="7"/>
      <c r="AJ356" s="7"/>
      <c r="AK356" s="7"/>
      <c r="AL356" s="8"/>
      <c r="AM356" s="8"/>
      <c r="AN356" s="7"/>
      <c r="AO356" s="7"/>
      <c r="AP356" s="7"/>
      <c r="AQ356" s="7"/>
      <c r="AR356" s="7"/>
      <c r="AS356" s="7"/>
      <c r="AT356" s="7"/>
      <c r="AU356" s="7"/>
      <c r="AV356" s="7"/>
      <c r="AW356" s="7"/>
      <c r="AX356" s="7"/>
      <c r="AY356" s="7"/>
      <c r="AZ356" s="7"/>
      <c r="BA356" s="7"/>
      <c r="BB356" s="7"/>
      <c r="BC356" s="7"/>
      <c r="BD356" s="7"/>
      <c r="BE356" s="7"/>
      <c r="BF356" s="7"/>
      <c r="BG356" s="7"/>
      <c r="BH356" s="7"/>
      <c r="BI356" s="7"/>
      <c r="BJ356" s="7"/>
      <c r="BK356" s="7"/>
      <c r="BL356" s="7"/>
      <c r="BM356" s="55"/>
    </row>
    <row r="357" spans="1:65">
      <c r="A357" s="5"/>
      <c r="B357" s="5"/>
      <c r="C357" s="5"/>
      <c r="D357" s="6"/>
      <c r="E357" s="5"/>
      <c r="F357" s="5"/>
      <c r="G357" s="5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  <c r="AF357" s="8"/>
      <c r="AG357" s="7"/>
      <c r="AH357" s="7"/>
      <c r="AI357" s="7"/>
      <c r="AJ357" s="7"/>
      <c r="AK357" s="7"/>
      <c r="AL357" s="8"/>
      <c r="AM357" s="8"/>
      <c r="AN357" s="7"/>
      <c r="AO357" s="7"/>
      <c r="AP357" s="7"/>
      <c r="AQ357" s="7"/>
      <c r="AR357" s="8"/>
      <c r="AS357" s="8"/>
      <c r="AT357" s="7"/>
      <c r="AU357" s="7"/>
      <c r="AV357" s="7"/>
      <c r="AW357" s="7"/>
      <c r="AX357" s="7"/>
      <c r="AY357" s="7"/>
      <c r="AZ357" s="7"/>
      <c r="BA357" s="7"/>
      <c r="BB357" s="7"/>
      <c r="BC357" s="7"/>
      <c r="BD357" s="7"/>
      <c r="BE357" s="7"/>
      <c r="BF357" s="7"/>
      <c r="BG357" s="7"/>
      <c r="BH357" s="7"/>
      <c r="BI357" s="7"/>
      <c r="BJ357" s="7"/>
      <c r="BK357" s="7"/>
      <c r="BL357" s="9"/>
      <c r="BM357" s="55"/>
    </row>
    <row r="358" spans="1:65">
      <c r="A358" s="5"/>
      <c r="B358" s="5"/>
      <c r="C358" s="5"/>
      <c r="D358" s="6"/>
      <c r="E358" s="5"/>
      <c r="F358" s="5"/>
      <c r="G358" s="5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  <c r="AF358" s="8"/>
      <c r="AG358" s="8"/>
      <c r="AH358" s="7"/>
      <c r="AI358" s="7"/>
      <c r="AJ358" s="7"/>
      <c r="AK358" s="7"/>
      <c r="AL358" s="8"/>
      <c r="AM358" s="8"/>
      <c r="AN358" s="7"/>
      <c r="AO358" s="7"/>
      <c r="AP358" s="7"/>
      <c r="AQ358" s="7"/>
      <c r="AR358" s="7"/>
      <c r="AS358" s="7"/>
      <c r="AT358" s="7"/>
      <c r="AU358" s="7"/>
      <c r="AV358" s="7"/>
      <c r="AW358" s="7"/>
      <c r="AX358" s="7"/>
      <c r="AY358" s="7"/>
      <c r="AZ358" s="7"/>
      <c r="BA358" s="7"/>
      <c r="BB358" s="7"/>
      <c r="BC358" s="7"/>
      <c r="BD358" s="7"/>
      <c r="BE358" s="7"/>
      <c r="BF358" s="7"/>
      <c r="BG358" s="7"/>
      <c r="BH358" s="7"/>
      <c r="BI358" s="7"/>
      <c r="BJ358" s="7"/>
      <c r="BK358" s="7"/>
      <c r="BL358" s="9"/>
      <c r="BM358" s="55"/>
    </row>
    <row r="359" spans="1:65">
      <c r="A359" s="5"/>
      <c r="B359" s="5"/>
      <c r="C359" s="5"/>
      <c r="D359" s="6"/>
      <c r="E359" s="5"/>
      <c r="F359" s="5"/>
      <c r="G359" s="5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  <c r="AF359" s="8"/>
      <c r="AG359" s="7"/>
      <c r="AH359" s="7"/>
      <c r="AI359" s="7"/>
      <c r="AJ359" s="7"/>
      <c r="AK359" s="7"/>
      <c r="AL359" s="8"/>
      <c r="AM359" s="7"/>
      <c r="AN359" s="7"/>
      <c r="AO359" s="7"/>
      <c r="AP359" s="7"/>
      <c r="AQ359" s="7"/>
      <c r="AR359" s="7"/>
      <c r="AS359" s="7"/>
      <c r="AT359" s="7"/>
      <c r="AU359" s="7"/>
      <c r="AV359" s="7"/>
      <c r="AW359" s="7"/>
      <c r="AX359" s="7"/>
      <c r="AY359" s="7"/>
      <c r="AZ359" s="7"/>
      <c r="BA359" s="7"/>
      <c r="BB359" s="7"/>
      <c r="BC359" s="7"/>
      <c r="BD359" s="7"/>
      <c r="BE359" s="7"/>
      <c r="BF359" s="7"/>
      <c r="BG359" s="7"/>
      <c r="BH359" s="7"/>
      <c r="BI359" s="7"/>
      <c r="BJ359" s="7"/>
      <c r="BK359" s="7"/>
      <c r="BL359" s="9"/>
      <c r="BM359" s="55"/>
    </row>
    <row r="360" spans="1:65">
      <c r="A360" s="5"/>
      <c r="B360" s="5"/>
      <c r="C360" s="5"/>
      <c r="D360" s="6"/>
      <c r="E360" s="5"/>
      <c r="F360" s="5"/>
      <c r="G360" s="5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7"/>
      <c r="AF360" s="8"/>
      <c r="AG360" s="7"/>
      <c r="AH360" s="7"/>
      <c r="AI360" s="7"/>
      <c r="AJ360" s="7"/>
      <c r="AK360" s="7"/>
      <c r="AL360" s="7"/>
      <c r="AM360" s="7"/>
      <c r="AN360" s="7"/>
      <c r="AO360" s="7"/>
      <c r="AP360" s="7"/>
      <c r="AQ360" s="7"/>
      <c r="AR360" s="7"/>
      <c r="AS360" s="7"/>
      <c r="AT360" s="7"/>
      <c r="AU360" s="7"/>
      <c r="AV360" s="7"/>
      <c r="AW360" s="7"/>
      <c r="AX360" s="7"/>
      <c r="AY360" s="7"/>
      <c r="AZ360" s="7"/>
      <c r="BA360" s="7"/>
      <c r="BB360" s="7"/>
      <c r="BC360" s="7"/>
      <c r="BD360" s="7"/>
      <c r="BE360" s="7"/>
      <c r="BF360" s="7"/>
      <c r="BG360" s="7"/>
      <c r="BH360" s="7"/>
      <c r="BI360" s="7"/>
      <c r="BJ360" s="7"/>
      <c r="BK360" s="7"/>
      <c r="BL360" s="7"/>
      <c r="BM360" s="55"/>
    </row>
    <row r="361" spans="1:65">
      <c r="A361" s="5"/>
      <c r="B361" s="5"/>
      <c r="C361" s="5"/>
      <c r="D361" s="6"/>
      <c r="E361" s="5"/>
      <c r="F361" s="5"/>
      <c r="G361" s="5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  <c r="AF361" s="8"/>
      <c r="AG361" s="7"/>
      <c r="AH361" s="7"/>
      <c r="AI361" s="7"/>
      <c r="AJ361" s="7"/>
      <c r="AK361" s="7"/>
      <c r="AL361" s="8"/>
      <c r="AM361" s="7"/>
      <c r="AN361" s="7"/>
      <c r="AO361" s="7"/>
      <c r="AP361" s="7"/>
      <c r="AQ361" s="7"/>
      <c r="AR361" s="8"/>
      <c r="AS361" s="7"/>
      <c r="AT361" s="7"/>
      <c r="AU361" s="7"/>
      <c r="AV361" s="7"/>
      <c r="AW361" s="7"/>
      <c r="AX361" s="7"/>
      <c r="AY361" s="7"/>
      <c r="AZ361" s="7"/>
      <c r="BA361" s="7"/>
      <c r="BB361" s="7"/>
      <c r="BC361" s="7"/>
      <c r="BD361" s="7"/>
      <c r="BE361" s="7"/>
      <c r="BF361" s="7"/>
      <c r="BG361" s="7"/>
      <c r="BH361" s="7"/>
      <c r="BI361" s="7"/>
      <c r="BJ361" s="7"/>
      <c r="BK361" s="7"/>
      <c r="BL361" s="9"/>
      <c r="BM361" s="55"/>
    </row>
    <row r="362" spans="1:65">
      <c r="A362" s="5"/>
      <c r="B362" s="5"/>
      <c r="C362" s="5"/>
      <c r="D362" s="6"/>
      <c r="E362" s="5"/>
      <c r="F362" s="5"/>
      <c r="G362" s="5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  <c r="AF362" s="8"/>
      <c r="AG362" s="7"/>
      <c r="AH362" s="7"/>
      <c r="AI362" s="7"/>
      <c r="AJ362" s="7"/>
      <c r="AK362" s="7"/>
      <c r="AL362" s="8"/>
      <c r="AM362" s="8"/>
      <c r="AN362" s="7"/>
      <c r="AO362" s="7"/>
      <c r="AP362" s="7"/>
      <c r="AQ362" s="7"/>
      <c r="AR362" s="7"/>
      <c r="AS362" s="7"/>
      <c r="AT362" s="7"/>
      <c r="AU362" s="7"/>
      <c r="AV362" s="7"/>
      <c r="AW362" s="7"/>
      <c r="AX362" s="7"/>
      <c r="AY362" s="7"/>
      <c r="AZ362" s="7"/>
      <c r="BA362" s="7"/>
      <c r="BB362" s="7"/>
      <c r="BC362" s="7"/>
      <c r="BD362" s="7"/>
      <c r="BE362" s="7"/>
      <c r="BF362" s="7"/>
      <c r="BG362" s="7"/>
      <c r="BH362" s="7"/>
      <c r="BI362" s="7"/>
      <c r="BJ362" s="7"/>
      <c r="BK362" s="7"/>
      <c r="BL362" s="9"/>
      <c r="BM362" s="55"/>
    </row>
    <row r="363" spans="1:65">
      <c r="A363" s="5"/>
      <c r="B363" s="5"/>
      <c r="C363" s="5"/>
      <c r="D363" s="6"/>
      <c r="E363" s="5"/>
      <c r="F363" s="5"/>
      <c r="G363" s="5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  <c r="AF363" s="8"/>
      <c r="AG363" s="7"/>
      <c r="AH363" s="7"/>
      <c r="AI363" s="7"/>
      <c r="AJ363" s="7"/>
      <c r="AK363" s="7"/>
      <c r="AL363" s="8"/>
      <c r="AM363" s="7"/>
      <c r="AN363" s="7"/>
      <c r="AO363" s="7"/>
      <c r="AP363" s="7"/>
      <c r="AQ363" s="7"/>
      <c r="AR363" s="7"/>
      <c r="AS363" s="7"/>
      <c r="AT363" s="7"/>
      <c r="AU363" s="7"/>
      <c r="AV363" s="7"/>
      <c r="AW363" s="7"/>
      <c r="AX363" s="7"/>
      <c r="AY363" s="7"/>
      <c r="AZ363" s="7"/>
      <c r="BA363" s="7"/>
      <c r="BB363" s="7"/>
      <c r="BC363" s="7"/>
      <c r="BD363" s="7"/>
      <c r="BE363" s="7"/>
      <c r="BF363" s="7"/>
      <c r="BG363" s="7"/>
      <c r="BH363" s="7"/>
      <c r="BI363" s="7"/>
      <c r="BJ363" s="7"/>
      <c r="BK363" s="7"/>
      <c r="BL363" s="9"/>
      <c r="BM363" s="55"/>
    </row>
    <row r="364" spans="1:65">
      <c r="A364" s="5"/>
      <c r="B364" s="5"/>
      <c r="C364" s="5"/>
      <c r="D364" s="6"/>
      <c r="E364" s="5"/>
      <c r="F364" s="5"/>
      <c r="G364" s="5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  <c r="AF364" s="8"/>
      <c r="AG364" s="7"/>
      <c r="AH364" s="7"/>
      <c r="AI364" s="7"/>
      <c r="AJ364" s="7"/>
      <c r="AK364" s="7"/>
      <c r="AL364" s="8"/>
      <c r="AM364" s="7"/>
      <c r="AN364" s="7"/>
      <c r="AO364" s="7"/>
      <c r="AP364" s="7"/>
      <c r="AQ364" s="7"/>
      <c r="AR364" s="7"/>
      <c r="AS364" s="7"/>
      <c r="AT364" s="7"/>
      <c r="AU364" s="7"/>
      <c r="AV364" s="7"/>
      <c r="AW364" s="7"/>
      <c r="AX364" s="7"/>
      <c r="AY364" s="7"/>
      <c r="AZ364" s="7"/>
      <c r="BA364" s="7"/>
      <c r="BB364" s="7"/>
      <c r="BC364" s="7"/>
      <c r="BD364" s="7"/>
      <c r="BE364" s="7"/>
      <c r="BF364" s="7"/>
      <c r="BG364" s="7"/>
      <c r="BH364" s="7"/>
      <c r="BI364" s="7"/>
      <c r="BJ364" s="7"/>
      <c r="BK364" s="7"/>
      <c r="BL364" s="7"/>
      <c r="BM364" s="55"/>
    </row>
    <row r="365" spans="1:65">
      <c r="A365" s="5"/>
      <c r="B365" s="5"/>
      <c r="C365" s="5"/>
      <c r="D365" s="6"/>
      <c r="E365" s="5"/>
      <c r="F365" s="5"/>
      <c r="G365" s="5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  <c r="AF365" s="8"/>
      <c r="AG365" s="7"/>
      <c r="AH365" s="7"/>
      <c r="AI365" s="7"/>
      <c r="AJ365" s="7"/>
      <c r="AK365" s="7"/>
      <c r="AL365" s="7"/>
      <c r="AM365" s="7"/>
      <c r="AN365" s="7"/>
      <c r="AO365" s="7"/>
      <c r="AP365" s="7"/>
      <c r="AQ365" s="7"/>
      <c r="AR365" s="8"/>
      <c r="AS365" s="7"/>
      <c r="AT365" s="7"/>
      <c r="AU365" s="7"/>
      <c r="AV365" s="7"/>
      <c r="AW365" s="7"/>
      <c r="AX365" s="7"/>
      <c r="AY365" s="7"/>
      <c r="AZ365" s="7"/>
      <c r="BA365" s="7"/>
      <c r="BB365" s="7"/>
      <c r="BC365" s="7"/>
      <c r="BD365" s="7"/>
      <c r="BE365" s="7"/>
      <c r="BF365" s="7"/>
      <c r="BG365" s="7"/>
      <c r="BH365" s="7"/>
      <c r="BI365" s="7"/>
      <c r="BJ365" s="7"/>
      <c r="BK365" s="7"/>
      <c r="BL365" s="7"/>
      <c r="BM365" s="55"/>
    </row>
    <row r="366" spans="1:65">
      <c r="A366" s="5"/>
      <c r="B366" s="5"/>
      <c r="C366" s="5"/>
      <c r="D366" s="6"/>
      <c r="E366" s="5"/>
      <c r="F366" s="5"/>
      <c r="G366" s="5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  <c r="AI366" s="7"/>
      <c r="AJ366" s="7"/>
      <c r="AK366" s="7"/>
      <c r="AL366" s="8"/>
      <c r="AM366" s="7"/>
      <c r="AN366" s="7"/>
      <c r="AO366" s="7"/>
      <c r="AP366" s="7"/>
      <c r="AQ366" s="7"/>
      <c r="AR366" s="7"/>
      <c r="AS366" s="7"/>
      <c r="AT366" s="7"/>
      <c r="AU366" s="7"/>
      <c r="AV366" s="7"/>
      <c r="AW366" s="7"/>
      <c r="AX366" s="7"/>
      <c r="AY366" s="7"/>
      <c r="AZ366" s="7"/>
      <c r="BA366" s="7"/>
      <c r="BB366" s="7"/>
      <c r="BC366" s="7"/>
      <c r="BD366" s="7"/>
      <c r="BE366" s="7"/>
      <c r="BF366" s="7"/>
      <c r="BG366" s="7"/>
      <c r="BH366" s="7"/>
      <c r="BI366" s="7"/>
      <c r="BJ366" s="7"/>
      <c r="BK366" s="7"/>
      <c r="BL366" s="9"/>
      <c r="BM366" s="55"/>
    </row>
    <row r="367" spans="1:65">
      <c r="A367" s="5"/>
      <c r="B367" s="5"/>
      <c r="C367" s="5"/>
      <c r="D367" s="6"/>
      <c r="E367" s="5"/>
      <c r="F367" s="5"/>
      <c r="G367" s="5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  <c r="AE367" s="7"/>
      <c r="AF367" s="8"/>
      <c r="AG367" s="7"/>
      <c r="AH367" s="7"/>
      <c r="AI367" s="7"/>
      <c r="AJ367" s="7"/>
      <c r="AK367" s="7"/>
      <c r="AL367" s="7"/>
      <c r="AM367" s="7"/>
      <c r="AN367" s="7"/>
      <c r="AO367" s="7"/>
      <c r="AP367" s="7"/>
      <c r="AQ367" s="7"/>
      <c r="AR367" s="7"/>
      <c r="AS367" s="7"/>
      <c r="AT367" s="7"/>
      <c r="AU367" s="7"/>
      <c r="AV367" s="7"/>
      <c r="AW367" s="7"/>
      <c r="AX367" s="7"/>
      <c r="AY367" s="7"/>
      <c r="AZ367" s="7"/>
      <c r="BA367" s="7"/>
      <c r="BB367" s="7"/>
      <c r="BC367" s="7"/>
      <c r="BD367" s="7"/>
      <c r="BE367" s="7"/>
      <c r="BF367" s="7"/>
      <c r="BG367" s="7"/>
      <c r="BH367" s="7"/>
      <c r="BI367" s="7"/>
      <c r="BJ367" s="7"/>
      <c r="BK367" s="7"/>
      <c r="BL367" s="7"/>
      <c r="BM367" s="55"/>
    </row>
    <row r="368" spans="1:65">
      <c r="A368" s="5"/>
      <c r="B368" s="5"/>
      <c r="C368" s="5"/>
      <c r="D368" s="6"/>
      <c r="E368" s="5"/>
      <c r="F368" s="5"/>
      <c r="G368" s="5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7"/>
      <c r="AF368" s="8"/>
      <c r="AG368" s="7"/>
      <c r="AH368" s="7"/>
      <c r="AI368" s="7"/>
      <c r="AJ368" s="7"/>
      <c r="AK368" s="7"/>
      <c r="AL368" s="8"/>
      <c r="AM368" s="8"/>
      <c r="AN368" s="7"/>
      <c r="AO368" s="7"/>
      <c r="AP368" s="7"/>
      <c r="AQ368" s="7"/>
      <c r="AR368" s="7"/>
      <c r="AS368" s="7"/>
      <c r="AT368" s="7"/>
      <c r="AU368" s="7"/>
      <c r="AV368" s="7"/>
      <c r="AW368" s="7"/>
      <c r="AX368" s="7"/>
      <c r="AY368" s="7"/>
      <c r="AZ368" s="7"/>
      <c r="BA368" s="7"/>
      <c r="BB368" s="7"/>
      <c r="BC368" s="7"/>
      <c r="BD368" s="7"/>
      <c r="BE368" s="7"/>
      <c r="BF368" s="7"/>
      <c r="BG368" s="7"/>
      <c r="BH368" s="7"/>
      <c r="BI368" s="7"/>
      <c r="BJ368" s="7"/>
      <c r="BK368" s="7"/>
      <c r="BL368" s="9"/>
      <c r="BM368" s="55"/>
    </row>
    <row r="369" spans="1:65">
      <c r="A369" s="5"/>
      <c r="B369" s="5"/>
      <c r="C369" s="5"/>
      <c r="D369" s="6"/>
      <c r="E369" s="5"/>
      <c r="F369" s="5"/>
      <c r="G369" s="5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  <c r="AE369" s="7"/>
      <c r="AF369" s="8"/>
      <c r="AG369" s="7"/>
      <c r="AH369" s="7"/>
      <c r="AI369" s="7"/>
      <c r="AJ369" s="7"/>
      <c r="AK369" s="7"/>
      <c r="AL369" s="8"/>
      <c r="AM369" s="8"/>
      <c r="AN369" s="7"/>
      <c r="AO369" s="7"/>
      <c r="AP369" s="7"/>
      <c r="AQ369" s="7"/>
      <c r="AR369" s="8"/>
      <c r="AS369" s="7"/>
      <c r="AT369" s="7"/>
      <c r="AU369" s="7"/>
      <c r="AV369" s="7"/>
      <c r="AW369" s="7"/>
      <c r="AX369" s="7"/>
      <c r="AY369" s="7"/>
      <c r="AZ369" s="7"/>
      <c r="BA369" s="7"/>
      <c r="BB369" s="7"/>
      <c r="BC369" s="7"/>
      <c r="BD369" s="7"/>
      <c r="BE369" s="7"/>
      <c r="BF369" s="7"/>
      <c r="BG369" s="7"/>
      <c r="BH369" s="7"/>
      <c r="BI369" s="7"/>
      <c r="BJ369" s="7"/>
      <c r="BK369" s="7"/>
      <c r="BL369" s="7"/>
      <c r="BM369" s="55"/>
    </row>
    <row r="370" spans="1:65">
      <c r="A370" s="5"/>
      <c r="B370" s="5"/>
      <c r="C370" s="5"/>
      <c r="D370" s="6"/>
      <c r="E370" s="5"/>
      <c r="F370" s="5"/>
      <c r="G370" s="5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  <c r="AI370" s="8"/>
      <c r="AJ370" s="7"/>
      <c r="AK370" s="7"/>
      <c r="AL370" s="8"/>
      <c r="AM370" s="7"/>
      <c r="AN370" s="7"/>
      <c r="AO370" s="8"/>
      <c r="AP370" s="7"/>
      <c r="AQ370" s="7"/>
      <c r="AR370" s="7"/>
      <c r="AS370" s="7"/>
      <c r="AT370" s="7"/>
      <c r="AU370" s="7"/>
      <c r="AV370" s="7"/>
      <c r="AW370" s="7"/>
      <c r="AX370" s="7"/>
      <c r="AY370" s="7"/>
      <c r="AZ370" s="7"/>
      <c r="BA370" s="7"/>
      <c r="BB370" s="7"/>
      <c r="BC370" s="7"/>
      <c r="BD370" s="7"/>
      <c r="BE370" s="7"/>
      <c r="BF370" s="7"/>
      <c r="BG370" s="7"/>
      <c r="BH370" s="7"/>
      <c r="BI370" s="7"/>
      <c r="BJ370" s="7"/>
      <c r="BK370" s="7"/>
      <c r="BL370" s="9"/>
      <c r="BM370" s="55"/>
    </row>
    <row r="371" spans="1:65">
      <c r="A371" s="5"/>
      <c r="B371" s="5"/>
      <c r="C371" s="5"/>
      <c r="D371" s="6"/>
      <c r="E371" s="5"/>
      <c r="F371" s="5"/>
      <c r="G371" s="5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  <c r="AI371" s="7"/>
      <c r="AJ371" s="7"/>
      <c r="AK371" s="7"/>
      <c r="AL371" s="8"/>
      <c r="AM371" s="8"/>
      <c r="AN371" s="7"/>
      <c r="AO371" s="7"/>
      <c r="AP371" s="7"/>
      <c r="AQ371" s="7"/>
      <c r="AR371" s="7"/>
      <c r="AS371" s="7"/>
      <c r="AT371" s="7"/>
      <c r="AU371" s="7"/>
      <c r="AV371" s="7"/>
      <c r="AW371" s="7"/>
      <c r="AX371" s="7"/>
      <c r="AY371" s="7"/>
      <c r="AZ371" s="7"/>
      <c r="BA371" s="7"/>
      <c r="BB371" s="7"/>
      <c r="BC371" s="7"/>
      <c r="BD371" s="7"/>
      <c r="BE371" s="7"/>
      <c r="BF371" s="7"/>
      <c r="BG371" s="7"/>
      <c r="BH371" s="7"/>
      <c r="BI371" s="7"/>
      <c r="BJ371" s="7"/>
      <c r="BK371" s="7"/>
      <c r="BL371" s="9"/>
      <c r="BM371" s="55"/>
    </row>
    <row r="372" spans="1:65">
      <c r="A372" s="5"/>
      <c r="B372" s="5"/>
      <c r="C372" s="5"/>
      <c r="D372" s="6"/>
      <c r="E372" s="5"/>
      <c r="F372" s="5"/>
      <c r="G372" s="5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  <c r="AE372" s="7"/>
      <c r="AF372" s="8"/>
      <c r="AG372" s="7"/>
      <c r="AH372" s="7"/>
      <c r="AI372" s="7"/>
      <c r="AJ372" s="7"/>
      <c r="AK372" s="7"/>
      <c r="AL372" s="8"/>
      <c r="AM372" s="7"/>
      <c r="AN372" s="7"/>
      <c r="AO372" s="7"/>
      <c r="AP372" s="7"/>
      <c r="AQ372" s="7"/>
      <c r="AR372" s="8"/>
      <c r="AS372" s="7"/>
      <c r="AT372" s="7"/>
      <c r="AU372" s="7"/>
      <c r="AV372" s="7"/>
      <c r="AW372" s="7"/>
      <c r="AX372" s="7"/>
      <c r="AY372" s="7"/>
      <c r="AZ372" s="7"/>
      <c r="BA372" s="7"/>
      <c r="BB372" s="7"/>
      <c r="BC372" s="7"/>
      <c r="BD372" s="7"/>
      <c r="BE372" s="7"/>
      <c r="BF372" s="7"/>
      <c r="BG372" s="7"/>
      <c r="BH372" s="7"/>
      <c r="BI372" s="7"/>
      <c r="BJ372" s="7"/>
      <c r="BK372" s="7"/>
      <c r="BL372" s="9"/>
      <c r="BM372" s="55"/>
    </row>
    <row r="373" spans="1:65">
      <c r="A373" s="5"/>
      <c r="B373" s="5"/>
      <c r="C373" s="5"/>
      <c r="D373" s="6"/>
      <c r="E373" s="5"/>
      <c r="F373" s="5"/>
      <c r="G373" s="5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  <c r="AI373" s="7"/>
      <c r="AJ373" s="7"/>
      <c r="AK373" s="7"/>
      <c r="AL373" s="8"/>
      <c r="AM373" s="7"/>
      <c r="AN373" s="7"/>
      <c r="AO373" s="7"/>
      <c r="AP373" s="7"/>
      <c r="AQ373" s="7"/>
      <c r="AR373" s="7"/>
      <c r="AS373" s="7"/>
      <c r="AT373" s="7"/>
      <c r="AU373" s="7"/>
      <c r="AV373" s="7"/>
      <c r="AW373" s="7"/>
      <c r="AX373" s="7"/>
      <c r="AY373" s="7"/>
      <c r="AZ373" s="7"/>
      <c r="BA373" s="7"/>
      <c r="BB373" s="7"/>
      <c r="BC373" s="7"/>
      <c r="BD373" s="7"/>
      <c r="BE373" s="7"/>
      <c r="BF373" s="7"/>
      <c r="BG373" s="7"/>
      <c r="BH373" s="7"/>
      <c r="BI373" s="7"/>
      <c r="BJ373" s="7"/>
      <c r="BK373" s="7"/>
      <c r="BL373" s="9"/>
      <c r="BM373" s="55"/>
    </row>
    <row r="374" spans="1:65">
      <c r="A374" s="5"/>
      <c r="B374" s="5"/>
      <c r="C374" s="5"/>
      <c r="D374" s="6"/>
      <c r="E374" s="5"/>
      <c r="F374" s="5"/>
      <c r="G374" s="5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  <c r="AE374" s="7"/>
      <c r="AF374" s="8"/>
      <c r="AG374" s="7"/>
      <c r="AH374" s="7"/>
      <c r="AI374" s="7"/>
      <c r="AJ374" s="7"/>
      <c r="AK374" s="7"/>
      <c r="AL374" s="7"/>
      <c r="AM374" s="7"/>
      <c r="AN374" s="7"/>
      <c r="AO374" s="7"/>
      <c r="AP374" s="7"/>
      <c r="AQ374" s="7"/>
      <c r="AR374" s="8"/>
      <c r="AS374" s="7"/>
      <c r="AT374" s="7"/>
      <c r="AU374" s="7"/>
      <c r="AV374" s="7"/>
      <c r="AW374" s="7"/>
      <c r="AX374" s="7"/>
      <c r="AY374" s="7"/>
      <c r="AZ374" s="7"/>
      <c r="BA374" s="7"/>
      <c r="BB374" s="7"/>
      <c r="BC374" s="7"/>
      <c r="BD374" s="7"/>
      <c r="BE374" s="7"/>
      <c r="BF374" s="7"/>
      <c r="BG374" s="7"/>
      <c r="BH374" s="7"/>
      <c r="BI374" s="7"/>
      <c r="BJ374" s="7"/>
      <c r="BK374" s="7"/>
      <c r="BL374" s="7"/>
      <c r="BM374" s="55"/>
    </row>
    <row r="375" spans="1:65">
      <c r="A375" s="5"/>
      <c r="B375" s="5"/>
      <c r="C375" s="5"/>
      <c r="D375" s="6"/>
      <c r="E375" s="5"/>
      <c r="F375" s="5"/>
      <c r="G375" s="5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  <c r="AE375" s="7"/>
      <c r="AF375" s="8"/>
      <c r="AG375" s="7"/>
      <c r="AH375" s="7"/>
      <c r="AI375" s="7"/>
      <c r="AJ375" s="7"/>
      <c r="AK375" s="7"/>
      <c r="AL375" s="8"/>
      <c r="AM375" s="7"/>
      <c r="AN375" s="7"/>
      <c r="AO375" s="7"/>
      <c r="AP375" s="7"/>
      <c r="AQ375" s="7"/>
      <c r="AR375" s="7"/>
      <c r="AS375" s="7"/>
      <c r="AT375" s="7"/>
      <c r="AU375" s="7"/>
      <c r="AV375" s="7"/>
      <c r="AW375" s="7"/>
      <c r="AX375" s="7"/>
      <c r="AY375" s="7"/>
      <c r="AZ375" s="7"/>
      <c r="BA375" s="7"/>
      <c r="BB375" s="7"/>
      <c r="BC375" s="7"/>
      <c r="BD375" s="7"/>
      <c r="BE375" s="7"/>
      <c r="BF375" s="7"/>
      <c r="BG375" s="7"/>
      <c r="BH375" s="7"/>
      <c r="BI375" s="7"/>
      <c r="BJ375" s="7"/>
      <c r="BK375" s="7"/>
      <c r="BL375" s="9"/>
      <c r="BM375" s="55"/>
    </row>
    <row r="376" spans="1:65">
      <c r="A376" s="5"/>
      <c r="B376" s="5"/>
      <c r="C376" s="5"/>
      <c r="D376" s="6"/>
      <c r="E376" s="5"/>
      <c r="F376" s="5"/>
      <c r="G376" s="5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  <c r="AE376" s="7"/>
      <c r="AF376" s="7"/>
      <c r="AG376" s="7"/>
      <c r="AH376" s="7"/>
      <c r="AI376" s="7"/>
      <c r="AJ376" s="7"/>
      <c r="AK376" s="7"/>
      <c r="AL376" s="7"/>
      <c r="AM376" s="7"/>
      <c r="AN376" s="7"/>
      <c r="AO376" s="7"/>
      <c r="AP376" s="7"/>
      <c r="AQ376" s="7"/>
      <c r="AR376" s="8"/>
      <c r="AS376" s="8"/>
      <c r="AT376" s="7"/>
      <c r="AU376" s="7"/>
      <c r="AV376" s="7"/>
      <c r="AW376" s="7"/>
      <c r="AX376" s="7"/>
      <c r="AY376" s="7"/>
      <c r="AZ376" s="7"/>
      <c r="BA376" s="7"/>
      <c r="BB376" s="7"/>
      <c r="BC376" s="7"/>
      <c r="BD376" s="7"/>
      <c r="BE376" s="7"/>
      <c r="BF376" s="7"/>
      <c r="BG376" s="7"/>
      <c r="BH376" s="7"/>
      <c r="BI376" s="7"/>
      <c r="BJ376" s="7"/>
      <c r="BK376" s="7"/>
      <c r="BL376" s="7"/>
      <c r="BM376" s="55"/>
    </row>
    <row r="377" spans="1:65">
      <c r="A377" s="5"/>
      <c r="B377" s="5"/>
      <c r="C377" s="5"/>
      <c r="D377" s="6"/>
      <c r="E377" s="5"/>
      <c r="F377" s="5"/>
      <c r="G377" s="5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  <c r="AE377" s="7"/>
      <c r="AF377" s="8"/>
      <c r="AG377" s="7"/>
      <c r="AH377" s="7"/>
      <c r="AI377" s="7"/>
      <c r="AJ377" s="7"/>
      <c r="AK377" s="7"/>
      <c r="AL377" s="8"/>
      <c r="AM377" s="8"/>
      <c r="AN377" s="7"/>
      <c r="AO377" s="7"/>
      <c r="AP377" s="7"/>
      <c r="AQ377" s="7"/>
      <c r="AR377" s="7"/>
      <c r="AS377" s="7"/>
      <c r="AT377" s="7"/>
      <c r="AU377" s="7"/>
      <c r="AV377" s="7"/>
      <c r="AW377" s="7"/>
      <c r="AX377" s="7"/>
      <c r="AY377" s="7"/>
      <c r="AZ377" s="7"/>
      <c r="BA377" s="7"/>
      <c r="BB377" s="7"/>
      <c r="BC377" s="7"/>
      <c r="BD377" s="7"/>
      <c r="BE377" s="7"/>
      <c r="BF377" s="7"/>
      <c r="BG377" s="7"/>
      <c r="BH377" s="7"/>
      <c r="BI377" s="7"/>
      <c r="BJ377" s="7"/>
      <c r="BK377" s="7"/>
      <c r="BL377" s="9"/>
      <c r="BM377" s="55"/>
    </row>
    <row r="378" spans="1:65">
      <c r="A378" s="5"/>
      <c r="B378" s="5"/>
      <c r="C378" s="5"/>
      <c r="D378" s="6"/>
      <c r="E378" s="5"/>
      <c r="F378" s="5"/>
      <c r="G378" s="5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  <c r="AE378" s="7"/>
      <c r="AF378" s="7"/>
      <c r="AG378" s="7"/>
      <c r="AH378" s="7"/>
      <c r="AI378" s="7"/>
      <c r="AJ378" s="7"/>
      <c r="AK378" s="7"/>
      <c r="AL378" s="8"/>
      <c r="AM378" s="8"/>
      <c r="AN378" s="7"/>
      <c r="AO378" s="7"/>
      <c r="AP378" s="7"/>
      <c r="AQ378" s="7"/>
      <c r="AR378" s="7"/>
      <c r="AS378" s="7"/>
      <c r="AT378" s="7"/>
      <c r="AU378" s="7"/>
      <c r="AV378" s="7"/>
      <c r="AW378" s="7"/>
      <c r="AX378" s="7"/>
      <c r="AY378" s="7"/>
      <c r="AZ378" s="7"/>
      <c r="BA378" s="7"/>
      <c r="BB378" s="7"/>
      <c r="BC378" s="7"/>
      <c r="BD378" s="7"/>
      <c r="BE378" s="7"/>
      <c r="BF378" s="7"/>
      <c r="BG378" s="7"/>
      <c r="BH378" s="7"/>
      <c r="BI378" s="7"/>
      <c r="BJ378" s="7"/>
      <c r="BK378" s="7"/>
      <c r="BL378" s="9"/>
      <c r="BM378" s="55"/>
    </row>
    <row r="379" spans="1:65">
      <c r="A379" s="5"/>
      <c r="B379" s="5"/>
      <c r="C379" s="5"/>
      <c r="D379" s="6"/>
      <c r="E379" s="5"/>
      <c r="F379" s="5"/>
      <c r="G379" s="5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  <c r="AE379" s="7"/>
      <c r="AF379" s="8"/>
      <c r="AG379" s="7"/>
      <c r="AH379" s="7"/>
      <c r="AI379" s="7"/>
      <c r="AJ379" s="7"/>
      <c r="AK379" s="7"/>
      <c r="AL379" s="7"/>
      <c r="AM379" s="8"/>
      <c r="AN379" s="7"/>
      <c r="AO379" s="7"/>
      <c r="AP379" s="7"/>
      <c r="AQ379" s="7"/>
      <c r="AR379" s="8"/>
      <c r="AS379" s="7"/>
      <c r="AT379" s="7"/>
      <c r="AU379" s="7"/>
      <c r="AV379" s="7"/>
      <c r="AW379" s="7"/>
      <c r="AX379" s="7"/>
      <c r="AY379" s="7"/>
      <c r="AZ379" s="7"/>
      <c r="BA379" s="7"/>
      <c r="BB379" s="7"/>
      <c r="BC379" s="7"/>
      <c r="BD379" s="7"/>
      <c r="BE379" s="7"/>
      <c r="BF379" s="7"/>
      <c r="BG379" s="7"/>
      <c r="BH379" s="7"/>
      <c r="BI379" s="7"/>
      <c r="BJ379" s="7"/>
      <c r="BK379" s="7"/>
      <c r="BL379" s="7"/>
      <c r="BM379" s="55"/>
    </row>
    <row r="380" spans="1:65">
      <c r="A380" s="5"/>
      <c r="B380" s="5"/>
      <c r="C380" s="5"/>
      <c r="D380" s="6"/>
      <c r="E380" s="5"/>
      <c r="F380" s="5"/>
      <c r="G380" s="5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  <c r="AE380" s="7"/>
      <c r="AF380" s="8"/>
      <c r="AG380" s="7"/>
      <c r="AH380" s="7"/>
      <c r="AI380" s="7"/>
      <c r="AJ380" s="7"/>
      <c r="AK380" s="7"/>
      <c r="AL380" s="8"/>
      <c r="AM380" s="7"/>
      <c r="AN380" s="7"/>
      <c r="AO380" s="7"/>
      <c r="AP380" s="7"/>
      <c r="AQ380" s="7"/>
      <c r="AR380" s="7"/>
      <c r="AS380" s="7"/>
      <c r="AT380" s="7"/>
      <c r="AU380" s="7"/>
      <c r="AV380" s="7"/>
      <c r="AW380" s="7"/>
      <c r="AX380" s="7"/>
      <c r="AY380" s="7"/>
      <c r="AZ380" s="7"/>
      <c r="BA380" s="7"/>
      <c r="BB380" s="7"/>
      <c r="BC380" s="7"/>
      <c r="BD380" s="7"/>
      <c r="BE380" s="7"/>
      <c r="BF380" s="7"/>
      <c r="BG380" s="7"/>
      <c r="BH380" s="7"/>
      <c r="BI380" s="7"/>
      <c r="BJ380" s="7"/>
      <c r="BK380" s="7"/>
      <c r="BL380" s="9"/>
      <c r="BM380" s="55"/>
    </row>
    <row r="381" spans="1:65">
      <c r="A381" s="5"/>
      <c r="B381" s="5"/>
      <c r="C381" s="5"/>
      <c r="D381" s="6"/>
      <c r="E381" s="5"/>
      <c r="F381" s="5"/>
      <c r="G381" s="5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  <c r="AI381" s="7"/>
      <c r="AJ381" s="7"/>
      <c r="AK381" s="7"/>
      <c r="AL381" s="8"/>
      <c r="AM381" s="7"/>
      <c r="AN381" s="7"/>
      <c r="AO381" s="7"/>
      <c r="AP381" s="7"/>
      <c r="AQ381" s="7"/>
      <c r="AR381" s="7"/>
      <c r="AS381" s="7"/>
      <c r="AT381" s="7"/>
      <c r="AU381" s="7"/>
      <c r="AV381" s="7"/>
      <c r="AW381" s="7"/>
      <c r="AX381" s="7"/>
      <c r="AY381" s="7"/>
      <c r="AZ381" s="7"/>
      <c r="BA381" s="7"/>
      <c r="BB381" s="7"/>
      <c r="BC381" s="7"/>
      <c r="BD381" s="7"/>
      <c r="BE381" s="7"/>
      <c r="BF381" s="7"/>
      <c r="BG381" s="7"/>
      <c r="BH381" s="7"/>
      <c r="BI381" s="7"/>
      <c r="BJ381" s="7"/>
      <c r="BK381" s="7"/>
      <c r="BL381" s="9"/>
      <c r="BM381" s="55"/>
    </row>
    <row r="382" spans="1:65">
      <c r="A382" s="5"/>
      <c r="B382" s="5"/>
      <c r="C382" s="5"/>
      <c r="D382" s="6"/>
      <c r="E382" s="5"/>
      <c r="F382" s="5"/>
      <c r="G382" s="5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  <c r="AI382" s="7"/>
      <c r="AJ382" s="7"/>
      <c r="AK382" s="7"/>
      <c r="AL382" s="8"/>
      <c r="AM382" s="7"/>
      <c r="AN382" s="7"/>
      <c r="AO382" s="7"/>
      <c r="AP382" s="7"/>
      <c r="AQ382" s="7"/>
      <c r="AR382" s="7"/>
      <c r="AS382" s="7"/>
      <c r="AT382" s="7"/>
      <c r="AU382" s="7"/>
      <c r="AV382" s="7"/>
      <c r="AW382" s="7"/>
      <c r="AX382" s="7"/>
      <c r="AY382" s="7"/>
      <c r="AZ382" s="7"/>
      <c r="BA382" s="7"/>
      <c r="BB382" s="7"/>
      <c r="BC382" s="7"/>
      <c r="BD382" s="7"/>
      <c r="BE382" s="7"/>
      <c r="BF382" s="7"/>
      <c r="BG382" s="7"/>
      <c r="BH382" s="7"/>
      <c r="BI382" s="7"/>
      <c r="BJ382" s="7"/>
      <c r="BK382" s="7"/>
      <c r="BL382" s="9"/>
      <c r="BM382" s="55"/>
    </row>
    <row r="383" spans="1:65">
      <c r="A383" s="5"/>
      <c r="B383" s="5"/>
      <c r="C383" s="5"/>
      <c r="D383" s="6"/>
      <c r="E383" s="5"/>
      <c r="F383" s="5"/>
      <c r="G383" s="5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7"/>
      <c r="AI383" s="7"/>
      <c r="AJ383" s="7"/>
      <c r="AK383" s="7"/>
      <c r="AL383" s="7"/>
      <c r="AM383" s="8"/>
      <c r="AN383" s="7"/>
      <c r="AO383" s="7"/>
      <c r="AP383" s="7"/>
      <c r="AQ383" s="7"/>
      <c r="AR383" s="7"/>
      <c r="AS383" s="7"/>
      <c r="AT383" s="7"/>
      <c r="AU383" s="7"/>
      <c r="AV383" s="7"/>
      <c r="AW383" s="7"/>
      <c r="AX383" s="7"/>
      <c r="AY383" s="7"/>
      <c r="AZ383" s="7"/>
      <c r="BA383" s="7"/>
      <c r="BB383" s="7"/>
      <c r="BC383" s="7"/>
      <c r="BD383" s="7"/>
      <c r="BE383" s="7"/>
      <c r="BF383" s="7"/>
      <c r="BG383" s="7"/>
      <c r="BH383" s="7"/>
      <c r="BI383" s="7"/>
      <c r="BJ383" s="7"/>
      <c r="BK383" s="7"/>
      <c r="BL383" s="7"/>
      <c r="BM383" s="55"/>
    </row>
    <row r="384" spans="1:65">
      <c r="A384" s="5"/>
      <c r="B384" s="5"/>
      <c r="C384" s="5"/>
      <c r="D384" s="6"/>
      <c r="E384" s="5"/>
      <c r="F384" s="5"/>
      <c r="G384" s="5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  <c r="AF384" s="8"/>
      <c r="AG384" s="7"/>
      <c r="AH384" s="7"/>
      <c r="AI384" s="7"/>
      <c r="AJ384" s="7"/>
      <c r="AK384" s="7"/>
      <c r="AL384" s="8"/>
      <c r="AM384" s="7"/>
      <c r="AN384" s="7"/>
      <c r="AO384" s="7"/>
      <c r="AP384" s="7"/>
      <c r="AQ384" s="7"/>
      <c r="AR384" s="7"/>
      <c r="AS384" s="7"/>
      <c r="AT384" s="7"/>
      <c r="AU384" s="7"/>
      <c r="AV384" s="7"/>
      <c r="AW384" s="7"/>
      <c r="AX384" s="7"/>
      <c r="AY384" s="7"/>
      <c r="AZ384" s="7"/>
      <c r="BA384" s="7"/>
      <c r="BB384" s="7"/>
      <c r="BC384" s="7"/>
      <c r="BD384" s="7"/>
      <c r="BE384" s="7"/>
      <c r="BF384" s="7"/>
      <c r="BG384" s="7"/>
      <c r="BH384" s="7"/>
      <c r="BI384" s="7"/>
      <c r="BJ384" s="7"/>
      <c r="BK384" s="7"/>
      <c r="BL384" s="9"/>
      <c r="BM384" s="55"/>
    </row>
    <row r="385" spans="1:65">
      <c r="A385" s="5"/>
      <c r="B385" s="5"/>
      <c r="C385" s="5"/>
      <c r="D385" s="6"/>
      <c r="E385" s="5"/>
      <c r="F385" s="5"/>
      <c r="G385" s="5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7"/>
      <c r="AI385" s="7"/>
      <c r="AJ385" s="7"/>
      <c r="AK385" s="7"/>
      <c r="AL385" s="7"/>
      <c r="AM385" s="8"/>
      <c r="AN385" s="7"/>
      <c r="AO385" s="7"/>
      <c r="AP385" s="7"/>
      <c r="AQ385" s="7"/>
      <c r="AR385" s="8"/>
      <c r="AS385" s="7"/>
      <c r="AT385" s="7"/>
      <c r="AU385" s="7"/>
      <c r="AV385" s="7"/>
      <c r="AW385" s="7"/>
      <c r="AX385" s="7"/>
      <c r="AY385" s="7"/>
      <c r="AZ385" s="7"/>
      <c r="BA385" s="7"/>
      <c r="BB385" s="7"/>
      <c r="BC385" s="7"/>
      <c r="BD385" s="7"/>
      <c r="BE385" s="7"/>
      <c r="BF385" s="7"/>
      <c r="BG385" s="7"/>
      <c r="BH385" s="7"/>
      <c r="BI385" s="7"/>
      <c r="BJ385" s="7"/>
      <c r="BK385" s="7"/>
      <c r="BL385" s="7"/>
      <c r="BM385" s="55"/>
    </row>
    <row r="386" spans="1:65">
      <c r="A386" s="5"/>
      <c r="B386" s="5"/>
      <c r="C386" s="5"/>
      <c r="D386" s="6"/>
      <c r="E386" s="5"/>
      <c r="F386" s="5"/>
      <c r="G386" s="5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  <c r="AF386" s="8"/>
      <c r="AG386" s="7"/>
      <c r="AH386" s="7"/>
      <c r="AI386" s="7"/>
      <c r="AJ386" s="7"/>
      <c r="AK386" s="7"/>
      <c r="AL386" s="8"/>
      <c r="AM386" s="7"/>
      <c r="AN386" s="7"/>
      <c r="AO386" s="7"/>
      <c r="AP386" s="7"/>
      <c r="AQ386" s="7"/>
      <c r="AR386" s="7"/>
      <c r="AS386" s="7"/>
      <c r="AT386" s="7"/>
      <c r="AU386" s="7"/>
      <c r="AV386" s="7"/>
      <c r="AW386" s="7"/>
      <c r="AX386" s="7"/>
      <c r="AY386" s="7"/>
      <c r="AZ386" s="7"/>
      <c r="BA386" s="7"/>
      <c r="BB386" s="7"/>
      <c r="BC386" s="7"/>
      <c r="BD386" s="7"/>
      <c r="BE386" s="7"/>
      <c r="BF386" s="7"/>
      <c r="BG386" s="7"/>
      <c r="BH386" s="7"/>
      <c r="BI386" s="7"/>
      <c r="BJ386" s="7"/>
      <c r="BK386" s="7"/>
      <c r="BL386" s="9"/>
      <c r="BM386" s="55"/>
    </row>
    <row r="387" spans="1:65">
      <c r="A387" s="5"/>
      <c r="B387" s="5"/>
      <c r="C387" s="5"/>
      <c r="D387" s="6"/>
      <c r="E387" s="5"/>
      <c r="F387" s="5"/>
      <c r="G387" s="5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  <c r="AI387" s="7"/>
      <c r="AJ387" s="7"/>
      <c r="AK387" s="7"/>
      <c r="AL387" s="8"/>
      <c r="AM387" s="7"/>
      <c r="AN387" s="7"/>
      <c r="AO387" s="7"/>
      <c r="AP387" s="7"/>
      <c r="AQ387" s="7"/>
      <c r="AR387" s="7"/>
      <c r="AS387" s="7"/>
      <c r="AT387" s="7"/>
      <c r="AU387" s="7"/>
      <c r="AV387" s="7"/>
      <c r="AW387" s="7"/>
      <c r="AX387" s="7"/>
      <c r="AY387" s="7"/>
      <c r="AZ387" s="7"/>
      <c r="BA387" s="7"/>
      <c r="BB387" s="7"/>
      <c r="BC387" s="7"/>
      <c r="BD387" s="7"/>
      <c r="BE387" s="7"/>
      <c r="BF387" s="7"/>
      <c r="BG387" s="7"/>
      <c r="BH387" s="7"/>
      <c r="BI387" s="7"/>
      <c r="BJ387" s="7"/>
      <c r="BK387" s="7"/>
      <c r="BL387" s="9"/>
      <c r="BM387" s="55"/>
    </row>
    <row r="388" spans="1:65">
      <c r="A388" s="5"/>
      <c r="B388" s="5"/>
      <c r="C388" s="5"/>
      <c r="D388" s="6"/>
      <c r="E388" s="5"/>
      <c r="F388" s="5"/>
      <c r="G388" s="5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7"/>
      <c r="AI388" s="7"/>
      <c r="AJ388" s="7"/>
      <c r="AK388" s="7"/>
      <c r="AL388" s="7"/>
      <c r="AM388" s="7"/>
      <c r="AN388" s="7"/>
      <c r="AO388" s="7"/>
      <c r="AP388" s="7"/>
      <c r="AQ388" s="7"/>
      <c r="AR388" s="8"/>
      <c r="AS388" s="7"/>
      <c r="AT388" s="7"/>
      <c r="AU388" s="7"/>
      <c r="AV388" s="7"/>
      <c r="AW388" s="7"/>
      <c r="AX388" s="7"/>
      <c r="AY388" s="7"/>
      <c r="AZ388" s="7"/>
      <c r="BA388" s="7"/>
      <c r="BB388" s="7"/>
      <c r="BC388" s="7"/>
      <c r="BD388" s="7"/>
      <c r="BE388" s="7"/>
      <c r="BF388" s="7"/>
      <c r="BG388" s="7"/>
      <c r="BH388" s="7"/>
      <c r="BI388" s="7"/>
      <c r="BJ388" s="7"/>
      <c r="BK388" s="7"/>
      <c r="BL388" s="7"/>
      <c r="BM388" s="55"/>
    </row>
    <row r="389" spans="1:65">
      <c r="A389" s="5"/>
      <c r="B389" s="5"/>
      <c r="C389" s="5"/>
      <c r="D389" s="6"/>
      <c r="E389" s="5"/>
      <c r="F389" s="5"/>
      <c r="G389" s="5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  <c r="AF389" s="8"/>
      <c r="AG389" s="8"/>
      <c r="AH389" s="7"/>
      <c r="AI389" s="7"/>
      <c r="AJ389" s="7"/>
      <c r="AK389" s="7"/>
      <c r="AL389" s="8"/>
      <c r="AM389" s="7"/>
      <c r="AN389" s="7"/>
      <c r="AO389" s="7"/>
      <c r="AP389" s="7"/>
      <c r="AQ389" s="7"/>
      <c r="AR389" s="7"/>
      <c r="AS389" s="7"/>
      <c r="AT389" s="7"/>
      <c r="AU389" s="7"/>
      <c r="AV389" s="7"/>
      <c r="AW389" s="7"/>
      <c r="AX389" s="7"/>
      <c r="AY389" s="7"/>
      <c r="AZ389" s="7"/>
      <c r="BA389" s="7"/>
      <c r="BB389" s="7"/>
      <c r="BC389" s="7"/>
      <c r="BD389" s="7"/>
      <c r="BE389" s="7"/>
      <c r="BF389" s="7"/>
      <c r="BG389" s="7"/>
      <c r="BH389" s="7"/>
      <c r="BI389" s="7"/>
      <c r="BJ389" s="7"/>
      <c r="BK389" s="7"/>
      <c r="BL389" s="7"/>
      <c r="BM389" s="55"/>
    </row>
    <row r="390" spans="1:65">
      <c r="A390" s="5"/>
      <c r="B390" s="5"/>
      <c r="C390" s="5"/>
      <c r="D390" s="6"/>
      <c r="E390" s="5"/>
      <c r="F390" s="5"/>
      <c r="G390" s="5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7"/>
      <c r="AI390" s="7"/>
      <c r="AJ390" s="7"/>
      <c r="AK390" s="7"/>
      <c r="AL390" s="8"/>
      <c r="AM390" s="7"/>
      <c r="AN390" s="7"/>
      <c r="AO390" s="7"/>
      <c r="AP390" s="7"/>
      <c r="AQ390" s="7"/>
      <c r="AR390" s="8"/>
      <c r="AS390" s="7"/>
      <c r="AT390" s="7"/>
      <c r="AU390" s="7"/>
      <c r="AV390" s="7"/>
      <c r="AW390" s="7"/>
      <c r="AX390" s="7"/>
      <c r="AY390" s="7"/>
      <c r="AZ390" s="7"/>
      <c r="BA390" s="7"/>
      <c r="BB390" s="7"/>
      <c r="BC390" s="7"/>
      <c r="BD390" s="7"/>
      <c r="BE390" s="7"/>
      <c r="BF390" s="7"/>
      <c r="BG390" s="7"/>
      <c r="BH390" s="7"/>
      <c r="BI390" s="7"/>
      <c r="BJ390" s="7"/>
      <c r="BK390" s="7"/>
      <c r="BL390" s="9"/>
      <c r="BM390" s="55"/>
    </row>
    <row r="391" spans="1:65">
      <c r="A391" s="5"/>
      <c r="B391" s="5"/>
      <c r="C391" s="5"/>
      <c r="D391" s="6"/>
      <c r="E391" s="5"/>
      <c r="F391" s="5"/>
      <c r="G391" s="5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  <c r="AF391" s="7"/>
      <c r="AG391" s="7"/>
      <c r="AH391" s="7"/>
      <c r="AI391" s="7"/>
      <c r="AJ391" s="7"/>
      <c r="AK391" s="7"/>
      <c r="AL391" s="8"/>
      <c r="AM391" s="7"/>
      <c r="AN391" s="7"/>
      <c r="AO391" s="7"/>
      <c r="AP391" s="7"/>
      <c r="AQ391" s="7"/>
      <c r="AR391" s="7"/>
      <c r="AS391" s="7"/>
      <c r="AT391" s="7"/>
      <c r="AU391" s="7"/>
      <c r="AV391" s="7"/>
      <c r="AW391" s="7"/>
      <c r="AX391" s="7"/>
      <c r="AY391" s="7"/>
      <c r="AZ391" s="7"/>
      <c r="BA391" s="7"/>
      <c r="BB391" s="7"/>
      <c r="BC391" s="7"/>
      <c r="BD391" s="7"/>
      <c r="BE391" s="7"/>
      <c r="BF391" s="7"/>
      <c r="BG391" s="7"/>
      <c r="BH391" s="7"/>
      <c r="BI391" s="7"/>
      <c r="BJ391" s="7"/>
      <c r="BK391" s="7"/>
      <c r="BL391" s="9"/>
      <c r="BM391" s="55"/>
    </row>
    <row r="392" spans="1:65">
      <c r="A392" s="5"/>
      <c r="B392" s="5"/>
      <c r="C392" s="5"/>
      <c r="D392" s="6"/>
      <c r="E392" s="5"/>
      <c r="F392" s="5"/>
      <c r="G392" s="5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/>
      <c r="AI392" s="7"/>
      <c r="AJ392" s="7"/>
      <c r="AK392" s="7"/>
      <c r="AL392" s="8"/>
      <c r="AM392" s="7"/>
      <c r="AN392" s="7"/>
      <c r="AO392" s="7"/>
      <c r="AP392" s="7"/>
      <c r="AQ392" s="7"/>
      <c r="AR392" s="7"/>
      <c r="AS392" s="7"/>
      <c r="AT392" s="7"/>
      <c r="AU392" s="7"/>
      <c r="AV392" s="7"/>
      <c r="AW392" s="7"/>
      <c r="AX392" s="7"/>
      <c r="AY392" s="7"/>
      <c r="AZ392" s="7"/>
      <c r="BA392" s="7"/>
      <c r="BB392" s="7"/>
      <c r="BC392" s="7"/>
      <c r="BD392" s="7"/>
      <c r="BE392" s="7"/>
      <c r="BF392" s="7"/>
      <c r="BG392" s="7"/>
      <c r="BH392" s="7"/>
      <c r="BI392" s="7"/>
      <c r="BJ392" s="7"/>
      <c r="BK392" s="7"/>
      <c r="BL392" s="9"/>
      <c r="BM392" s="55"/>
    </row>
    <row r="393" spans="1:65">
      <c r="A393" s="5"/>
      <c r="B393" s="5"/>
      <c r="C393" s="5"/>
      <c r="D393" s="6"/>
      <c r="E393" s="5"/>
      <c r="F393" s="5"/>
      <c r="G393" s="5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  <c r="AF393" s="8"/>
      <c r="AG393" s="7"/>
      <c r="AH393" s="7"/>
      <c r="AI393" s="7"/>
      <c r="AJ393" s="7"/>
      <c r="AK393" s="7"/>
      <c r="AL393" s="7"/>
      <c r="AM393" s="7"/>
      <c r="AN393" s="7"/>
      <c r="AO393" s="7"/>
      <c r="AP393" s="7"/>
      <c r="AQ393" s="7"/>
      <c r="AR393" s="8"/>
      <c r="AS393" s="7"/>
      <c r="AT393" s="7"/>
      <c r="AU393" s="7"/>
      <c r="AV393" s="7"/>
      <c r="AW393" s="7"/>
      <c r="AX393" s="7"/>
      <c r="AY393" s="7"/>
      <c r="AZ393" s="7"/>
      <c r="BA393" s="7"/>
      <c r="BB393" s="7"/>
      <c r="BC393" s="7"/>
      <c r="BD393" s="7"/>
      <c r="BE393" s="7"/>
      <c r="BF393" s="7"/>
      <c r="BG393" s="7"/>
      <c r="BH393" s="7"/>
      <c r="BI393" s="7"/>
      <c r="BJ393" s="7"/>
      <c r="BK393" s="7"/>
      <c r="BL393" s="7"/>
      <c r="BM393" s="55"/>
    </row>
    <row r="394" spans="1:65">
      <c r="A394" s="5"/>
      <c r="B394" s="5"/>
      <c r="C394" s="5"/>
      <c r="D394" s="6"/>
      <c r="E394" s="5"/>
      <c r="F394" s="5"/>
      <c r="G394" s="5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  <c r="AF394" s="8"/>
      <c r="AG394" s="7"/>
      <c r="AH394" s="7"/>
      <c r="AI394" s="7"/>
      <c r="AJ394" s="7"/>
      <c r="AK394" s="7"/>
      <c r="AL394" s="8"/>
      <c r="AM394" s="7"/>
      <c r="AN394" s="7"/>
      <c r="AO394" s="7"/>
      <c r="AP394" s="7"/>
      <c r="AQ394" s="7"/>
      <c r="AR394" s="7"/>
      <c r="AS394" s="7"/>
      <c r="AT394" s="7"/>
      <c r="AU394" s="7"/>
      <c r="AV394" s="7"/>
      <c r="AW394" s="7"/>
      <c r="AX394" s="7"/>
      <c r="AY394" s="7"/>
      <c r="AZ394" s="7"/>
      <c r="BA394" s="7"/>
      <c r="BB394" s="7"/>
      <c r="BC394" s="7"/>
      <c r="BD394" s="7"/>
      <c r="BE394" s="7"/>
      <c r="BF394" s="7"/>
      <c r="BG394" s="7"/>
      <c r="BH394" s="7"/>
      <c r="BI394" s="7"/>
      <c r="BJ394" s="7"/>
      <c r="BK394" s="7"/>
      <c r="BL394" s="7"/>
      <c r="BM394" s="55"/>
    </row>
    <row r="395" spans="1:65">
      <c r="A395" s="5"/>
      <c r="B395" s="5"/>
      <c r="C395" s="5"/>
      <c r="D395" s="6"/>
      <c r="E395" s="5"/>
      <c r="F395" s="5"/>
      <c r="G395" s="5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  <c r="AF395" s="8"/>
      <c r="AG395" s="7"/>
      <c r="AH395" s="7"/>
      <c r="AI395" s="7"/>
      <c r="AJ395" s="7"/>
      <c r="AK395" s="7"/>
      <c r="AL395" s="8"/>
      <c r="AM395" s="7"/>
      <c r="AN395" s="7"/>
      <c r="AO395" s="7"/>
      <c r="AP395" s="7"/>
      <c r="AQ395" s="7"/>
      <c r="AR395" s="7"/>
      <c r="AS395" s="7"/>
      <c r="AT395" s="7"/>
      <c r="AU395" s="7"/>
      <c r="AV395" s="7"/>
      <c r="AW395" s="7"/>
      <c r="AX395" s="7"/>
      <c r="AY395" s="7"/>
      <c r="AZ395" s="7"/>
      <c r="BA395" s="7"/>
      <c r="BB395" s="7"/>
      <c r="BC395" s="7"/>
      <c r="BD395" s="7"/>
      <c r="BE395" s="7"/>
      <c r="BF395" s="7"/>
      <c r="BG395" s="7"/>
      <c r="BH395" s="7"/>
      <c r="BI395" s="7"/>
      <c r="BJ395" s="7"/>
      <c r="BK395" s="7"/>
      <c r="BL395" s="9"/>
      <c r="BM395" s="55"/>
    </row>
    <row r="396" spans="1:65">
      <c r="A396" s="5"/>
      <c r="B396" s="5"/>
      <c r="C396" s="5"/>
      <c r="D396" s="6"/>
      <c r="E396" s="5"/>
      <c r="F396" s="5"/>
      <c r="G396" s="5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  <c r="AE396" s="7"/>
      <c r="AF396" s="7"/>
      <c r="AG396" s="7"/>
      <c r="AH396" s="7"/>
      <c r="AI396" s="7"/>
      <c r="AJ396" s="7"/>
      <c r="AK396" s="7"/>
      <c r="AL396" s="8"/>
      <c r="AM396" s="7"/>
      <c r="AN396" s="7"/>
      <c r="AO396" s="7"/>
      <c r="AP396" s="7"/>
      <c r="AQ396" s="7"/>
      <c r="AR396" s="7"/>
      <c r="AS396" s="7"/>
      <c r="AT396" s="7"/>
      <c r="AU396" s="7"/>
      <c r="AV396" s="7"/>
      <c r="AW396" s="7"/>
      <c r="AX396" s="7"/>
      <c r="AY396" s="7"/>
      <c r="AZ396" s="7"/>
      <c r="BA396" s="7"/>
      <c r="BB396" s="7"/>
      <c r="BC396" s="7"/>
      <c r="BD396" s="7"/>
      <c r="BE396" s="7"/>
      <c r="BF396" s="7"/>
      <c r="BG396" s="7"/>
      <c r="BH396" s="7"/>
      <c r="BI396" s="7"/>
      <c r="BJ396" s="7"/>
      <c r="BK396" s="7"/>
      <c r="BL396" s="9"/>
      <c r="BM396" s="55"/>
    </row>
    <row r="397" spans="1:65">
      <c r="A397" s="5"/>
      <c r="B397" s="5"/>
      <c r="C397" s="5"/>
      <c r="D397" s="6"/>
      <c r="E397" s="5"/>
      <c r="F397" s="5"/>
      <c r="G397" s="5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  <c r="AF397" s="8"/>
      <c r="AG397" s="7"/>
      <c r="AH397" s="7"/>
      <c r="AI397" s="7"/>
      <c r="AJ397" s="7"/>
      <c r="AK397" s="7"/>
      <c r="AL397" s="7"/>
      <c r="AM397" s="7"/>
      <c r="AN397" s="7"/>
      <c r="AO397" s="7"/>
      <c r="AP397" s="7"/>
      <c r="AQ397" s="7"/>
      <c r="AR397" s="8"/>
      <c r="AS397" s="7"/>
      <c r="AT397" s="7"/>
      <c r="AU397" s="7"/>
      <c r="AV397" s="7"/>
      <c r="AW397" s="7"/>
      <c r="AX397" s="7"/>
      <c r="AY397" s="7"/>
      <c r="AZ397" s="7"/>
      <c r="BA397" s="7"/>
      <c r="BB397" s="7"/>
      <c r="BC397" s="7"/>
      <c r="BD397" s="7"/>
      <c r="BE397" s="7"/>
      <c r="BF397" s="7"/>
      <c r="BG397" s="7"/>
      <c r="BH397" s="7"/>
      <c r="BI397" s="7"/>
      <c r="BJ397" s="7"/>
      <c r="BK397" s="7"/>
      <c r="BL397" s="7"/>
      <c r="BM397" s="55"/>
    </row>
    <row r="398" spans="1:65">
      <c r="A398" s="5"/>
      <c r="B398" s="5"/>
      <c r="C398" s="5"/>
      <c r="D398" s="6"/>
      <c r="E398" s="5"/>
      <c r="F398" s="5"/>
      <c r="G398" s="5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7"/>
      <c r="AI398" s="7"/>
      <c r="AJ398" s="7"/>
      <c r="AK398" s="7"/>
      <c r="AL398" s="8"/>
      <c r="AM398" s="7"/>
      <c r="AN398" s="7"/>
      <c r="AO398" s="7"/>
      <c r="AP398" s="7"/>
      <c r="AQ398" s="7"/>
      <c r="AR398" s="7"/>
      <c r="AS398" s="7"/>
      <c r="AT398" s="7"/>
      <c r="AU398" s="7"/>
      <c r="AV398" s="7"/>
      <c r="AW398" s="7"/>
      <c r="AX398" s="7"/>
      <c r="AY398" s="7"/>
      <c r="AZ398" s="7"/>
      <c r="BA398" s="7"/>
      <c r="BB398" s="7"/>
      <c r="BC398" s="7"/>
      <c r="BD398" s="7"/>
      <c r="BE398" s="7"/>
      <c r="BF398" s="7"/>
      <c r="BG398" s="7"/>
      <c r="BH398" s="7"/>
      <c r="BI398" s="7"/>
      <c r="BJ398" s="7"/>
      <c r="BK398" s="7"/>
      <c r="BL398" s="9"/>
      <c r="BM398" s="55"/>
    </row>
    <row r="399" spans="1:65">
      <c r="A399" s="5"/>
      <c r="B399" s="5"/>
      <c r="C399" s="5"/>
      <c r="D399" s="6"/>
      <c r="E399" s="5"/>
      <c r="F399" s="5"/>
      <c r="G399" s="5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  <c r="AF399" s="8"/>
      <c r="AG399" s="8"/>
      <c r="AH399" s="7"/>
      <c r="AI399" s="7"/>
      <c r="AJ399" s="7"/>
      <c r="AK399" s="7"/>
      <c r="AL399" s="7"/>
      <c r="AM399" s="8"/>
      <c r="AN399" s="7"/>
      <c r="AO399" s="7"/>
      <c r="AP399" s="7"/>
      <c r="AQ399" s="7"/>
      <c r="AR399" s="7"/>
      <c r="AS399" s="7"/>
      <c r="AT399" s="7"/>
      <c r="AU399" s="7"/>
      <c r="AV399" s="7"/>
      <c r="AW399" s="7"/>
      <c r="AX399" s="7"/>
      <c r="AY399" s="7"/>
      <c r="AZ399" s="7"/>
      <c r="BA399" s="7"/>
      <c r="BB399" s="7"/>
      <c r="BC399" s="7"/>
      <c r="BD399" s="7"/>
      <c r="BE399" s="7"/>
      <c r="BF399" s="7"/>
      <c r="BG399" s="7"/>
      <c r="BH399" s="7"/>
      <c r="BI399" s="7"/>
      <c r="BJ399" s="7"/>
      <c r="BK399" s="7"/>
      <c r="BL399" s="7"/>
      <c r="BM399" s="55"/>
    </row>
    <row r="400" spans="1:65">
      <c r="A400" s="5"/>
      <c r="B400" s="5"/>
      <c r="C400" s="5"/>
      <c r="D400" s="6"/>
      <c r="E400" s="5"/>
      <c r="F400" s="5"/>
      <c r="G400" s="5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  <c r="AF400" s="7"/>
      <c r="AG400" s="8"/>
      <c r="AH400" s="7"/>
      <c r="AI400" s="7"/>
      <c r="AJ400" s="7"/>
      <c r="AK400" s="7"/>
      <c r="AL400" s="7"/>
      <c r="AM400" s="8"/>
      <c r="AN400" s="7"/>
      <c r="AO400" s="7"/>
      <c r="AP400" s="7"/>
      <c r="AQ400" s="7"/>
      <c r="AR400" s="7"/>
      <c r="AS400" s="7"/>
      <c r="AT400" s="7"/>
      <c r="AU400" s="7"/>
      <c r="AV400" s="7"/>
      <c r="AW400" s="7"/>
      <c r="AX400" s="7"/>
      <c r="AY400" s="7"/>
      <c r="AZ400" s="7"/>
      <c r="BA400" s="7"/>
      <c r="BB400" s="7"/>
      <c r="BC400" s="7"/>
      <c r="BD400" s="7"/>
      <c r="BE400" s="7"/>
      <c r="BF400" s="7"/>
      <c r="BG400" s="7"/>
      <c r="BH400" s="7"/>
      <c r="BI400" s="7"/>
      <c r="BJ400" s="7"/>
      <c r="BK400" s="7"/>
      <c r="BL400" s="7"/>
      <c r="BM400" s="55"/>
    </row>
    <row r="401" spans="1:65">
      <c r="A401" s="5"/>
      <c r="B401" s="5"/>
      <c r="C401" s="5"/>
      <c r="D401" s="6"/>
      <c r="E401" s="5"/>
      <c r="F401" s="5"/>
      <c r="G401" s="5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  <c r="AF401" s="8"/>
      <c r="AG401" s="7"/>
      <c r="AH401" s="7"/>
      <c r="AI401" s="7"/>
      <c r="AJ401" s="7"/>
      <c r="AK401" s="7"/>
      <c r="AL401" s="7"/>
      <c r="AM401" s="7"/>
      <c r="AN401" s="7"/>
      <c r="AO401" s="7"/>
      <c r="AP401" s="7"/>
      <c r="AQ401" s="7"/>
      <c r="AR401" s="7"/>
      <c r="AS401" s="7"/>
      <c r="AT401" s="7"/>
      <c r="AU401" s="7"/>
      <c r="AV401" s="7"/>
      <c r="AW401" s="7"/>
      <c r="AX401" s="7"/>
      <c r="AY401" s="7"/>
      <c r="AZ401" s="7"/>
      <c r="BA401" s="7"/>
      <c r="BB401" s="7"/>
      <c r="BC401" s="7"/>
      <c r="BD401" s="7"/>
      <c r="BE401" s="7"/>
      <c r="BF401" s="7"/>
      <c r="BG401" s="7"/>
      <c r="BH401" s="7"/>
      <c r="BI401" s="7"/>
      <c r="BJ401" s="7"/>
      <c r="BK401" s="7"/>
      <c r="BL401" s="7"/>
      <c r="BM401" s="55"/>
    </row>
    <row r="402" spans="1:65">
      <c r="A402" s="5"/>
      <c r="B402" s="5"/>
      <c r="C402" s="5"/>
      <c r="D402" s="6"/>
      <c r="E402" s="5"/>
      <c r="F402" s="5"/>
      <c r="G402" s="5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7"/>
      <c r="AI402" s="7"/>
      <c r="AJ402" s="7"/>
      <c r="AK402" s="7"/>
      <c r="AL402" s="7"/>
      <c r="AM402" s="8"/>
      <c r="AN402" s="7"/>
      <c r="AO402" s="7"/>
      <c r="AP402" s="7"/>
      <c r="AQ402" s="7"/>
      <c r="AR402" s="7"/>
      <c r="AS402" s="7"/>
      <c r="AT402" s="7"/>
      <c r="AU402" s="7"/>
      <c r="AV402" s="7"/>
      <c r="AW402" s="7"/>
      <c r="AX402" s="7"/>
      <c r="AY402" s="7"/>
      <c r="AZ402" s="7"/>
      <c r="BA402" s="7"/>
      <c r="BB402" s="7"/>
      <c r="BC402" s="7"/>
      <c r="BD402" s="7"/>
      <c r="BE402" s="7"/>
      <c r="BF402" s="7"/>
      <c r="BG402" s="7"/>
      <c r="BH402" s="7"/>
      <c r="BI402" s="7"/>
      <c r="BJ402" s="7"/>
      <c r="BK402" s="7"/>
      <c r="BL402" s="7"/>
      <c r="BM402" s="55"/>
    </row>
    <row r="403" spans="1:65">
      <c r="A403" s="5"/>
      <c r="B403" s="5"/>
      <c r="C403" s="5"/>
      <c r="D403" s="6"/>
      <c r="E403" s="5"/>
      <c r="F403" s="5"/>
      <c r="G403" s="5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7"/>
      <c r="AF403" s="7"/>
      <c r="AG403" s="7"/>
      <c r="AH403" s="7"/>
      <c r="AI403" s="7"/>
      <c r="AJ403" s="7"/>
      <c r="AK403" s="7"/>
      <c r="AL403" s="8"/>
      <c r="AM403" s="7"/>
      <c r="AN403" s="7"/>
      <c r="AO403" s="7"/>
      <c r="AP403" s="7"/>
      <c r="AQ403" s="7"/>
      <c r="AR403" s="7"/>
      <c r="AS403" s="7"/>
      <c r="AT403" s="7"/>
      <c r="AU403" s="7"/>
      <c r="AV403" s="7"/>
      <c r="AW403" s="7"/>
      <c r="AX403" s="7"/>
      <c r="AY403" s="7"/>
      <c r="AZ403" s="7"/>
      <c r="BA403" s="7"/>
      <c r="BB403" s="7"/>
      <c r="BC403" s="7"/>
      <c r="BD403" s="7"/>
      <c r="BE403" s="7"/>
      <c r="BF403" s="7"/>
      <c r="BG403" s="7"/>
      <c r="BH403" s="7"/>
      <c r="BI403" s="7"/>
      <c r="BJ403" s="7"/>
      <c r="BK403" s="7"/>
      <c r="BL403" s="9"/>
      <c r="BM403" s="55"/>
    </row>
    <row r="404" spans="1:65">
      <c r="A404" s="5"/>
      <c r="B404" s="5"/>
      <c r="C404" s="5"/>
      <c r="D404" s="6"/>
      <c r="E404" s="5"/>
      <c r="F404" s="5"/>
      <c r="G404" s="5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  <c r="AF404" s="8"/>
      <c r="AG404" s="7"/>
      <c r="AH404" s="7"/>
      <c r="AI404" s="7"/>
      <c r="AJ404" s="7"/>
      <c r="AK404" s="7"/>
      <c r="AL404" s="7"/>
      <c r="AM404" s="7"/>
      <c r="AN404" s="7"/>
      <c r="AO404" s="7"/>
      <c r="AP404" s="7"/>
      <c r="AQ404" s="7"/>
      <c r="AR404" s="7"/>
      <c r="AS404" s="7"/>
      <c r="AT404" s="7"/>
      <c r="AU404" s="7"/>
      <c r="AV404" s="7"/>
      <c r="AW404" s="7"/>
      <c r="AX404" s="7"/>
      <c r="AY404" s="7"/>
      <c r="AZ404" s="7"/>
      <c r="BA404" s="7"/>
      <c r="BB404" s="7"/>
      <c r="BC404" s="7"/>
      <c r="BD404" s="7"/>
      <c r="BE404" s="7"/>
      <c r="BF404" s="7"/>
      <c r="BG404" s="7"/>
      <c r="BH404" s="7"/>
      <c r="BI404" s="7"/>
      <c r="BJ404" s="7"/>
      <c r="BK404" s="7"/>
      <c r="BL404" s="7"/>
      <c r="BM404" s="55"/>
    </row>
    <row r="405" spans="1:65">
      <c r="A405" s="5"/>
      <c r="B405" s="5"/>
      <c r="C405" s="5"/>
      <c r="D405" s="6"/>
      <c r="E405" s="5"/>
      <c r="F405" s="5"/>
      <c r="G405" s="5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7"/>
      <c r="AI405" s="7"/>
      <c r="AJ405" s="7"/>
      <c r="AK405" s="7"/>
      <c r="AL405" s="8"/>
      <c r="AM405" s="8"/>
      <c r="AN405" s="7"/>
      <c r="AO405" s="7"/>
      <c r="AP405" s="7"/>
      <c r="AQ405" s="7"/>
      <c r="AR405" s="7"/>
      <c r="AS405" s="7"/>
      <c r="AT405" s="7"/>
      <c r="AU405" s="7"/>
      <c r="AV405" s="7"/>
      <c r="AW405" s="7"/>
      <c r="AX405" s="7"/>
      <c r="AY405" s="7"/>
      <c r="AZ405" s="7"/>
      <c r="BA405" s="7"/>
      <c r="BB405" s="7"/>
      <c r="BC405" s="7"/>
      <c r="BD405" s="7"/>
      <c r="BE405" s="7"/>
      <c r="BF405" s="7"/>
      <c r="BG405" s="7"/>
      <c r="BH405" s="7"/>
      <c r="BI405" s="7"/>
      <c r="BJ405" s="7"/>
      <c r="BK405" s="7"/>
      <c r="BL405" s="7"/>
      <c r="BM405" s="55"/>
    </row>
    <row r="406" spans="1:65">
      <c r="A406" s="5"/>
      <c r="B406" s="5"/>
      <c r="C406" s="5"/>
      <c r="D406" s="6"/>
      <c r="E406" s="5"/>
      <c r="F406" s="5"/>
      <c r="G406" s="5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7"/>
      <c r="AF406" s="7"/>
      <c r="AG406" s="7"/>
      <c r="AH406" s="7"/>
      <c r="AI406" s="7"/>
      <c r="AJ406" s="7"/>
      <c r="AK406" s="7"/>
      <c r="AL406" s="8"/>
      <c r="AM406" s="7"/>
      <c r="AN406" s="7"/>
      <c r="AO406" s="7"/>
      <c r="AP406" s="7"/>
      <c r="AQ406" s="7"/>
      <c r="AR406" s="7"/>
      <c r="AS406" s="7"/>
      <c r="AT406" s="7"/>
      <c r="AU406" s="7"/>
      <c r="AV406" s="7"/>
      <c r="AW406" s="7"/>
      <c r="AX406" s="7"/>
      <c r="AY406" s="7"/>
      <c r="AZ406" s="7"/>
      <c r="BA406" s="7"/>
      <c r="BB406" s="7"/>
      <c r="BC406" s="7"/>
      <c r="BD406" s="7"/>
      <c r="BE406" s="7"/>
      <c r="BF406" s="7"/>
      <c r="BG406" s="7"/>
      <c r="BH406" s="7"/>
      <c r="BI406" s="7"/>
      <c r="BJ406" s="7"/>
      <c r="BK406" s="7"/>
      <c r="BL406" s="7"/>
      <c r="BM406" s="55"/>
    </row>
    <row r="407" spans="1:65">
      <c r="A407" s="5"/>
      <c r="B407" s="5"/>
      <c r="C407" s="5"/>
      <c r="D407" s="6"/>
      <c r="E407" s="5"/>
      <c r="F407" s="5"/>
      <c r="G407" s="5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  <c r="AE407" s="7"/>
      <c r="AF407" s="7"/>
      <c r="AG407" s="7"/>
      <c r="AH407" s="7"/>
      <c r="AI407" s="7"/>
      <c r="AJ407" s="7"/>
      <c r="AK407" s="7"/>
      <c r="AL407" s="8"/>
      <c r="AM407" s="7"/>
      <c r="AN407" s="7"/>
      <c r="AO407" s="7"/>
      <c r="AP407" s="7"/>
      <c r="AQ407" s="7"/>
      <c r="AR407" s="7"/>
      <c r="AS407" s="7"/>
      <c r="AT407" s="7"/>
      <c r="AU407" s="7"/>
      <c r="AV407" s="7"/>
      <c r="AW407" s="7"/>
      <c r="AX407" s="7"/>
      <c r="AY407" s="7"/>
      <c r="AZ407" s="7"/>
      <c r="BA407" s="7"/>
      <c r="BB407" s="7"/>
      <c r="BC407" s="7"/>
      <c r="BD407" s="7"/>
      <c r="BE407" s="7"/>
      <c r="BF407" s="7"/>
      <c r="BG407" s="7"/>
      <c r="BH407" s="7"/>
      <c r="BI407" s="7"/>
      <c r="BJ407" s="7"/>
      <c r="BK407" s="7"/>
      <c r="BL407" s="9"/>
      <c r="BM407" s="55"/>
    </row>
    <row r="408" spans="1:65">
      <c r="A408" s="5"/>
      <c r="B408" s="5"/>
      <c r="C408" s="5"/>
      <c r="D408" s="6"/>
      <c r="E408" s="5"/>
      <c r="F408" s="5"/>
      <c r="G408" s="5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  <c r="AE408" s="7"/>
      <c r="AF408" s="7"/>
      <c r="AG408" s="7"/>
      <c r="AH408" s="7"/>
      <c r="AI408" s="7"/>
      <c r="AJ408" s="7"/>
      <c r="AK408" s="7"/>
      <c r="AL408" s="7"/>
      <c r="AM408" s="7"/>
      <c r="AN408" s="7"/>
      <c r="AO408" s="7"/>
      <c r="AP408" s="7"/>
      <c r="AQ408" s="7"/>
      <c r="AR408" s="8"/>
      <c r="AS408" s="7"/>
      <c r="AT408" s="7"/>
      <c r="AU408" s="7"/>
      <c r="AV408" s="7"/>
      <c r="AW408" s="7"/>
      <c r="AX408" s="7"/>
      <c r="AY408" s="7"/>
      <c r="AZ408" s="7"/>
      <c r="BA408" s="7"/>
      <c r="BB408" s="7"/>
      <c r="BC408" s="7"/>
      <c r="BD408" s="7"/>
      <c r="BE408" s="7"/>
      <c r="BF408" s="7"/>
      <c r="BG408" s="7"/>
      <c r="BH408" s="7"/>
      <c r="BI408" s="7"/>
      <c r="BJ408" s="7"/>
      <c r="BK408" s="7"/>
      <c r="BL408" s="7"/>
      <c r="BM408" s="55"/>
    </row>
    <row r="409" spans="1:65">
      <c r="A409" s="5"/>
      <c r="B409" s="5"/>
      <c r="C409" s="5"/>
      <c r="D409" s="6"/>
      <c r="E409" s="5"/>
      <c r="F409" s="5"/>
      <c r="G409" s="5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  <c r="AE409" s="7"/>
      <c r="AF409" s="8"/>
      <c r="AG409" s="7"/>
      <c r="AH409" s="7"/>
      <c r="AI409" s="7"/>
      <c r="AJ409" s="7"/>
      <c r="AK409" s="7"/>
      <c r="AL409" s="7"/>
      <c r="AM409" s="7"/>
      <c r="AN409" s="7"/>
      <c r="AO409" s="7"/>
      <c r="AP409" s="7"/>
      <c r="AQ409" s="7"/>
      <c r="AR409" s="7"/>
      <c r="AS409" s="7"/>
      <c r="AT409" s="7"/>
      <c r="AU409" s="7"/>
      <c r="AV409" s="7"/>
      <c r="AW409" s="7"/>
      <c r="AX409" s="7"/>
      <c r="AY409" s="7"/>
      <c r="AZ409" s="7"/>
      <c r="BA409" s="7"/>
      <c r="BB409" s="7"/>
      <c r="BC409" s="7"/>
      <c r="BD409" s="7"/>
      <c r="BE409" s="7"/>
      <c r="BF409" s="7"/>
      <c r="BG409" s="7"/>
      <c r="BH409" s="7"/>
      <c r="BI409" s="7"/>
      <c r="BJ409" s="7"/>
      <c r="BK409" s="7"/>
      <c r="BL409" s="7"/>
      <c r="BM409" s="55"/>
    </row>
    <row r="410" spans="1:65">
      <c r="A410" s="5"/>
      <c r="B410" s="5"/>
      <c r="C410" s="5"/>
      <c r="D410" s="6"/>
      <c r="E410" s="5"/>
      <c r="F410" s="5"/>
      <c r="G410" s="5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  <c r="AE410" s="7"/>
      <c r="AF410" s="7"/>
      <c r="AG410" s="7"/>
      <c r="AH410" s="7"/>
      <c r="AI410" s="7"/>
      <c r="AJ410" s="7"/>
      <c r="AK410" s="7"/>
      <c r="AL410" s="7"/>
      <c r="AM410" s="8"/>
      <c r="AN410" s="7"/>
      <c r="AO410" s="7"/>
      <c r="AP410" s="7"/>
      <c r="AQ410" s="7"/>
      <c r="AR410" s="7"/>
      <c r="AS410" s="7"/>
      <c r="AT410" s="7"/>
      <c r="AU410" s="7"/>
      <c r="AV410" s="7"/>
      <c r="AW410" s="7"/>
      <c r="AX410" s="7"/>
      <c r="AY410" s="7"/>
      <c r="AZ410" s="7"/>
      <c r="BA410" s="7"/>
      <c r="BB410" s="7"/>
      <c r="BC410" s="7"/>
      <c r="BD410" s="7"/>
      <c r="BE410" s="7"/>
      <c r="BF410" s="7"/>
      <c r="BG410" s="7"/>
      <c r="BH410" s="7"/>
      <c r="BI410" s="7"/>
      <c r="BJ410" s="7"/>
      <c r="BK410" s="7"/>
      <c r="BL410" s="7"/>
      <c r="BM410" s="55"/>
    </row>
    <row r="411" spans="1:65">
      <c r="A411" s="5"/>
      <c r="B411" s="5"/>
      <c r="C411" s="5"/>
      <c r="D411" s="6"/>
      <c r="E411" s="5"/>
      <c r="F411" s="5"/>
      <c r="G411" s="5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  <c r="AE411" s="7"/>
      <c r="AF411" s="7"/>
      <c r="AG411" s="7"/>
      <c r="AH411" s="7"/>
      <c r="AI411" s="7"/>
      <c r="AJ411" s="7"/>
      <c r="AK411" s="7"/>
      <c r="AL411" s="7"/>
      <c r="AM411" s="7"/>
      <c r="AN411" s="7"/>
      <c r="AO411" s="7"/>
      <c r="AP411" s="7"/>
      <c r="AQ411" s="7"/>
      <c r="AR411" s="8"/>
      <c r="AS411" s="7"/>
      <c r="AT411" s="7"/>
      <c r="AU411" s="7"/>
      <c r="AV411" s="7"/>
      <c r="AW411" s="7"/>
      <c r="AX411" s="7"/>
      <c r="AY411" s="7"/>
      <c r="AZ411" s="7"/>
      <c r="BA411" s="7"/>
      <c r="BB411" s="7"/>
      <c r="BC411" s="7"/>
      <c r="BD411" s="7"/>
      <c r="BE411" s="7"/>
      <c r="BF411" s="7"/>
      <c r="BG411" s="7"/>
      <c r="BH411" s="7"/>
      <c r="BI411" s="7"/>
      <c r="BJ411" s="7"/>
      <c r="BK411" s="7"/>
      <c r="BL411" s="7"/>
      <c r="BM411" s="55"/>
    </row>
    <row r="412" spans="1:65">
      <c r="A412" s="5"/>
      <c r="B412" s="5"/>
      <c r="C412" s="5"/>
      <c r="D412" s="6"/>
      <c r="E412" s="5"/>
      <c r="F412" s="5"/>
      <c r="G412" s="5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  <c r="AD412" s="7"/>
      <c r="AE412" s="7"/>
      <c r="AF412" s="8"/>
      <c r="AG412" s="7"/>
      <c r="AH412" s="7"/>
      <c r="AI412" s="7"/>
      <c r="AJ412" s="7"/>
      <c r="AK412" s="7"/>
      <c r="AL412" s="7"/>
      <c r="AM412" s="7"/>
      <c r="AN412" s="7"/>
      <c r="AO412" s="7"/>
      <c r="AP412" s="7"/>
      <c r="AQ412" s="7"/>
      <c r="AR412" s="7"/>
      <c r="AS412" s="7"/>
      <c r="AT412" s="7"/>
      <c r="AU412" s="7"/>
      <c r="AV412" s="7"/>
      <c r="AW412" s="7"/>
      <c r="AX412" s="7"/>
      <c r="AY412" s="7"/>
      <c r="AZ412" s="7"/>
      <c r="BA412" s="7"/>
      <c r="BB412" s="7"/>
      <c r="BC412" s="7"/>
      <c r="BD412" s="7"/>
      <c r="BE412" s="7"/>
      <c r="BF412" s="7"/>
      <c r="BG412" s="7"/>
      <c r="BH412" s="7"/>
      <c r="BI412" s="7"/>
      <c r="BJ412" s="7"/>
      <c r="BK412" s="7"/>
      <c r="BL412" s="7"/>
      <c r="BM412" s="55"/>
    </row>
    <row r="413" spans="1:65">
      <c r="A413" s="5"/>
      <c r="B413" s="5"/>
      <c r="C413" s="5"/>
      <c r="D413" s="6"/>
      <c r="E413" s="5"/>
      <c r="F413" s="5"/>
      <c r="G413" s="5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  <c r="AE413" s="7"/>
      <c r="AF413" s="8"/>
      <c r="AG413" s="7"/>
      <c r="AH413" s="7"/>
      <c r="AI413" s="7"/>
      <c r="AJ413" s="7"/>
      <c r="AK413" s="7"/>
      <c r="AL413" s="7"/>
      <c r="AM413" s="7"/>
      <c r="AN413" s="7"/>
      <c r="AO413" s="7"/>
      <c r="AP413" s="7"/>
      <c r="AQ413" s="7"/>
      <c r="AR413" s="7"/>
      <c r="AS413" s="7"/>
      <c r="AT413" s="7"/>
      <c r="AU413" s="7"/>
      <c r="AV413" s="7"/>
      <c r="AW413" s="7"/>
      <c r="AX413" s="7"/>
      <c r="AY413" s="7"/>
      <c r="AZ413" s="7"/>
      <c r="BA413" s="7"/>
      <c r="BB413" s="7"/>
      <c r="BC413" s="7"/>
      <c r="BD413" s="7"/>
      <c r="BE413" s="7"/>
      <c r="BF413" s="7"/>
      <c r="BG413" s="7"/>
      <c r="BH413" s="7"/>
      <c r="BI413" s="7"/>
      <c r="BJ413" s="7"/>
      <c r="BK413" s="7"/>
      <c r="BL413" s="7"/>
      <c r="BM413" s="55"/>
    </row>
    <row r="414" spans="1:65">
      <c r="A414" s="5"/>
      <c r="B414" s="5"/>
      <c r="C414" s="5"/>
      <c r="D414" s="6"/>
      <c r="E414" s="5"/>
      <c r="F414" s="5"/>
      <c r="G414" s="5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  <c r="AE414" s="7"/>
      <c r="AF414" s="8"/>
      <c r="AG414" s="7"/>
      <c r="AH414" s="7"/>
      <c r="AI414" s="7"/>
      <c r="AJ414" s="7"/>
      <c r="AK414" s="7"/>
      <c r="AL414" s="7"/>
      <c r="AM414" s="7"/>
      <c r="AN414" s="7"/>
      <c r="AO414" s="7"/>
      <c r="AP414" s="7"/>
      <c r="AQ414" s="7"/>
      <c r="AR414" s="7"/>
      <c r="AS414" s="7"/>
      <c r="AT414" s="7"/>
      <c r="AU414" s="7"/>
      <c r="AV414" s="7"/>
      <c r="AW414" s="7"/>
      <c r="AX414" s="7"/>
      <c r="AY414" s="7"/>
      <c r="AZ414" s="7"/>
      <c r="BA414" s="7"/>
      <c r="BB414" s="7"/>
      <c r="BC414" s="7"/>
      <c r="BD414" s="7"/>
      <c r="BE414" s="7"/>
      <c r="BF414" s="7"/>
      <c r="BG414" s="7"/>
      <c r="BH414" s="7"/>
      <c r="BI414" s="7"/>
      <c r="BJ414" s="7"/>
      <c r="BK414" s="7"/>
      <c r="BL414" s="7"/>
      <c r="BM414" s="55"/>
    </row>
    <row r="415" spans="1:65">
      <c r="A415" s="5"/>
      <c r="B415" s="5"/>
      <c r="C415" s="5"/>
      <c r="D415" s="6"/>
      <c r="E415" s="5"/>
      <c r="F415" s="5"/>
      <c r="G415" s="5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  <c r="AE415" s="7"/>
      <c r="AF415" s="8"/>
      <c r="AG415" s="7"/>
      <c r="AH415" s="7"/>
      <c r="AI415" s="7"/>
      <c r="AJ415" s="7"/>
      <c r="AK415" s="7"/>
      <c r="AL415" s="7"/>
      <c r="AM415" s="7"/>
      <c r="AN415" s="7"/>
      <c r="AO415" s="7"/>
      <c r="AP415" s="7"/>
      <c r="AQ415" s="7"/>
      <c r="AR415" s="7"/>
      <c r="AS415" s="7"/>
      <c r="AT415" s="7"/>
      <c r="AU415" s="7"/>
      <c r="AV415" s="7"/>
      <c r="AW415" s="7"/>
      <c r="AX415" s="7"/>
      <c r="AY415" s="7"/>
      <c r="AZ415" s="7"/>
      <c r="BA415" s="7"/>
      <c r="BB415" s="7"/>
      <c r="BC415" s="7"/>
      <c r="BD415" s="7"/>
      <c r="BE415" s="7"/>
      <c r="BF415" s="7"/>
      <c r="BG415" s="7"/>
      <c r="BH415" s="7"/>
      <c r="BI415" s="7"/>
      <c r="BJ415" s="7"/>
      <c r="BK415" s="7"/>
      <c r="BL415" s="7"/>
      <c r="BM415" s="55"/>
    </row>
    <row r="416" spans="1:65">
      <c r="A416" s="5"/>
      <c r="B416" s="5"/>
      <c r="C416" s="5"/>
      <c r="D416" s="6"/>
      <c r="E416" s="5"/>
      <c r="F416" s="5"/>
      <c r="G416" s="5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  <c r="AE416" s="7"/>
      <c r="AF416" s="7"/>
      <c r="AG416" s="8"/>
      <c r="AH416" s="7"/>
      <c r="AI416" s="7"/>
      <c r="AJ416" s="7"/>
      <c r="AK416" s="7"/>
      <c r="AL416" s="7"/>
      <c r="AM416" s="8"/>
      <c r="AN416" s="7"/>
      <c r="AO416" s="7"/>
      <c r="AP416" s="7"/>
      <c r="AQ416" s="7"/>
      <c r="AR416" s="7"/>
      <c r="AS416" s="7"/>
      <c r="AT416" s="7"/>
      <c r="AU416" s="7"/>
      <c r="AV416" s="7"/>
      <c r="AW416" s="7"/>
      <c r="AX416" s="7"/>
      <c r="AY416" s="7"/>
      <c r="AZ416" s="7"/>
      <c r="BA416" s="7"/>
      <c r="BB416" s="7"/>
      <c r="BC416" s="7"/>
      <c r="BD416" s="7"/>
      <c r="BE416" s="7"/>
      <c r="BF416" s="7"/>
      <c r="BG416" s="7"/>
      <c r="BH416" s="7"/>
      <c r="BI416" s="7"/>
      <c r="BJ416" s="7"/>
      <c r="BK416" s="7"/>
      <c r="BL416" s="7"/>
      <c r="BM416" s="55"/>
    </row>
    <row r="417" spans="1:65">
      <c r="A417" s="5"/>
      <c r="B417" s="5"/>
      <c r="C417" s="5"/>
      <c r="D417" s="6"/>
      <c r="E417" s="5"/>
      <c r="F417" s="5"/>
      <c r="G417" s="5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  <c r="AE417" s="7"/>
      <c r="AF417" s="8"/>
      <c r="AG417" s="7"/>
      <c r="AH417" s="7"/>
      <c r="AI417" s="7"/>
      <c r="AJ417" s="7"/>
      <c r="AK417" s="7"/>
      <c r="AL417" s="7"/>
      <c r="AM417" s="7"/>
      <c r="AN417" s="7"/>
      <c r="AO417" s="7"/>
      <c r="AP417" s="7"/>
      <c r="AQ417" s="7"/>
      <c r="AR417" s="7"/>
      <c r="AS417" s="7"/>
      <c r="AT417" s="7"/>
      <c r="AU417" s="7"/>
      <c r="AV417" s="7"/>
      <c r="AW417" s="7"/>
      <c r="AX417" s="7"/>
      <c r="AY417" s="7"/>
      <c r="AZ417" s="7"/>
      <c r="BA417" s="7"/>
      <c r="BB417" s="7"/>
      <c r="BC417" s="7"/>
      <c r="BD417" s="7"/>
      <c r="BE417" s="7"/>
      <c r="BF417" s="7"/>
      <c r="BG417" s="7"/>
      <c r="BH417" s="7"/>
      <c r="BI417" s="7"/>
      <c r="BJ417" s="7"/>
      <c r="BK417" s="7"/>
      <c r="BL417" s="7"/>
      <c r="BM417" s="55"/>
    </row>
    <row r="418" spans="1:65">
      <c r="A418" s="5"/>
      <c r="B418" s="5"/>
      <c r="C418" s="5"/>
      <c r="D418" s="6"/>
      <c r="E418" s="5"/>
      <c r="F418" s="5"/>
      <c r="G418" s="5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  <c r="AE418" s="7"/>
      <c r="AF418" s="8"/>
      <c r="AG418" s="7"/>
      <c r="AH418" s="7"/>
      <c r="AI418" s="7"/>
      <c r="AJ418" s="7"/>
      <c r="AK418" s="7"/>
      <c r="AL418" s="7"/>
      <c r="AM418" s="7"/>
      <c r="AN418" s="7"/>
      <c r="AO418" s="7"/>
      <c r="AP418" s="7"/>
      <c r="AQ418" s="7"/>
      <c r="AR418" s="7"/>
      <c r="AS418" s="7"/>
      <c r="AT418" s="7"/>
      <c r="AU418" s="7"/>
      <c r="AV418" s="7"/>
      <c r="AW418" s="7"/>
      <c r="AX418" s="7"/>
      <c r="AY418" s="7"/>
      <c r="AZ418" s="7"/>
      <c r="BA418" s="7"/>
      <c r="BB418" s="7"/>
      <c r="BC418" s="7"/>
      <c r="BD418" s="7"/>
      <c r="BE418" s="7"/>
      <c r="BF418" s="7"/>
      <c r="BG418" s="7"/>
      <c r="BH418" s="7"/>
      <c r="BI418" s="7"/>
      <c r="BJ418" s="7"/>
      <c r="BK418" s="7"/>
      <c r="BL418" s="7"/>
      <c r="BM418" s="55"/>
    </row>
    <row r="419" spans="1:65">
      <c r="A419" s="5"/>
      <c r="B419" s="5"/>
      <c r="C419" s="5"/>
      <c r="D419" s="6"/>
      <c r="E419" s="5"/>
      <c r="F419" s="5"/>
      <c r="G419" s="5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  <c r="AI419" s="7"/>
      <c r="AJ419" s="8"/>
      <c r="AK419" s="7"/>
      <c r="AL419" s="7"/>
      <c r="AM419" s="7"/>
      <c r="AN419" s="7"/>
      <c r="AO419" s="7"/>
      <c r="AP419" s="7"/>
      <c r="AQ419" s="7"/>
      <c r="AR419" s="7"/>
      <c r="AS419" s="7"/>
      <c r="AT419" s="7"/>
      <c r="AU419" s="7"/>
      <c r="AV419" s="7"/>
      <c r="AW419" s="7"/>
      <c r="AX419" s="7"/>
      <c r="AY419" s="7"/>
      <c r="AZ419" s="7"/>
      <c r="BA419" s="7"/>
      <c r="BB419" s="7"/>
      <c r="BC419" s="7"/>
      <c r="BD419" s="7"/>
      <c r="BE419" s="7"/>
      <c r="BF419" s="7"/>
      <c r="BG419" s="7"/>
      <c r="BH419" s="7"/>
      <c r="BI419" s="7"/>
      <c r="BJ419" s="7"/>
      <c r="BK419" s="7"/>
      <c r="BL419" s="7"/>
      <c r="BM419" s="55"/>
    </row>
    <row r="420" spans="1:65">
      <c r="A420" s="5"/>
      <c r="B420" s="5"/>
      <c r="C420" s="5"/>
      <c r="D420" s="6"/>
      <c r="E420" s="5"/>
      <c r="F420" s="5"/>
      <c r="G420" s="5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  <c r="AI420" s="7"/>
      <c r="AJ420" s="7"/>
      <c r="AK420" s="7"/>
      <c r="AL420" s="8"/>
      <c r="AM420" s="7"/>
      <c r="AN420" s="7"/>
      <c r="AO420" s="7"/>
      <c r="AP420" s="7"/>
      <c r="AQ420" s="7"/>
      <c r="AR420" s="7"/>
      <c r="AS420" s="7"/>
      <c r="AT420" s="7"/>
      <c r="AU420" s="7"/>
      <c r="AV420" s="7"/>
      <c r="AW420" s="7"/>
      <c r="AX420" s="7"/>
      <c r="AY420" s="7"/>
      <c r="AZ420" s="7"/>
      <c r="BA420" s="7"/>
      <c r="BB420" s="7"/>
      <c r="BC420" s="7"/>
      <c r="BD420" s="7"/>
      <c r="BE420" s="7"/>
      <c r="BF420" s="7"/>
      <c r="BG420" s="7"/>
      <c r="BH420" s="7"/>
      <c r="BI420" s="7"/>
      <c r="BJ420" s="7"/>
      <c r="BK420" s="7"/>
      <c r="BL420" s="7"/>
      <c r="BM420" s="55"/>
    </row>
    <row r="421" spans="1:65">
      <c r="A421" s="5"/>
      <c r="B421" s="5"/>
      <c r="C421" s="5"/>
      <c r="D421" s="6"/>
      <c r="E421" s="5"/>
      <c r="F421" s="5"/>
      <c r="G421" s="5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  <c r="AD421" s="7"/>
      <c r="AE421" s="7"/>
      <c r="AF421" s="7"/>
      <c r="AG421" s="7"/>
      <c r="AH421" s="7"/>
      <c r="AI421" s="7"/>
      <c r="AJ421" s="7"/>
      <c r="AK421" s="7"/>
      <c r="AL421" s="7"/>
      <c r="AM421" s="8"/>
      <c r="AN421" s="7"/>
      <c r="AO421" s="7"/>
      <c r="AP421" s="7"/>
      <c r="AQ421" s="7"/>
      <c r="AR421" s="7"/>
      <c r="AS421" s="7"/>
      <c r="AT421" s="7"/>
      <c r="AU421" s="7"/>
      <c r="AV421" s="7"/>
      <c r="AW421" s="7"/>
      <c r="AX421" s="7"/>
      <c r="AY421" s="7"/>
      <c r="AZ421" s="7"/>
      <c r="BA421" s="7"/>
      <c r="BB421" s="7"/>
      <c r="BC421" s="7"/>
      <c r="BD421" s="7"/>
      <c r="BE421" s="7"/>
      <c r="BF421" s="7"/>
      <c r="BG421" s="7"/>
      <c r="BH421" s="7"/>
      <c r="BI421" s="7"/>
      <c r="BJ421" s="7"/>
      <c r="BK421" s="7"/>
      <c r="BL421" s="7"/>
      <c r="BM421" s="55"/>
    </row>
    <row r="422" spans="1:65">
      <c r="A422" s="5"/>
      <c r="B422" s="5"/>
      <c r="C422" s="5"/>
      <c r="D422" s="6"/>
      <c r="E422" s="5"/>
      <c r="F422" s="5"/>
      <c r="G422" s="5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  <c r="AD422" s="7"/>
      <c r="AE422" s="7"/>
      <c r="AF422" s="8"/>
      <c r="AG422" s="7"/>
      <c r="AH422" s="7"/>
      <c r="AI422" s="7"/>
      <c r="AJ422" s="7"/>
      <c r="AK422" s="7"/>
      <c r="AL422" s="7"/>
      <c r="AM422" s="7"/>
      <c r="AN422" s="7"/>
      <c r="AO422" s="7"/>
      <c r="AP422" s="7"/>
      <c r="AQ422" s="7"/>
      <c r="AR422" s="7"/>
      <c r="AS422" s="7"/>
      <c r="AT422" s="7"/>
      <c r="AU422" s="7"/>
      <c r="AV422" s="7"/>
      <c r="AW422" s="7"/>
      <c r="AX422" s="7"/>
      <c r="AY422" s="7"/>
      <c r="AZ422" s="7"/>
      <c r="BA422" s="7"/>
      <c r="BB422" s="7"/>
      <c r="BC422" s="7"/>
      <c r="BD422" s="7"/>
      <c r="BE422" s="7"/>
      <c r="BF422" s="7"/>
      <c r="BG422" s="7"/>
      <c r="BH422" s="7"/>
      <c r="BI422" s="7"/>
      <c r="BJ422" s="7"/>
      <c r="BK422" s="7"/>
      <c r="BL422" s="7"/>
      <c r="BM422" s="55"/>
    </row>
    <row r="423" spans="1:65">
      <c r="A423" s="5"/>
      <c r="B423" s="5"/>
      <c r="C423" s="5"/>
      <c r="D423" s="6"/>
      <c r="E423" s="5"/>
      <c r="F423" s="5"/>
      <c r="G423" s="5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  <c r="AD423" s="7"/>
      <c r="AE423" s="7"/>
      <c r="AF423" s="8"/>
      <c r="AG423" s="7"/>
      <c r="AH423" s="7"/>
      <c r="AI423" s="7"/>
      <c r="AJ423" s="7"/>
      <c r="AK423" s="7"/>
      <c r="AL423" s="7"/>
      <c r="AM423" s="7"/>
      <c r="AN423" s="7"/>
      <c r="AO423" s="7"/>
      <c r="AP423" s="7"/>
      <c r="AQ423" s="7"/>
      <c r="AR423" s="7"/>
      <c r="AS423" s="7"/>
      <c r="AT423" s="7"/>
      <c r="AU423" s="7"/>
      <c r="AV423" s="7"/>
      <c r="AW423" s="7"/>
      <c r="AX423" s="7"/>
      <c r="AY423" s="7"/>
      <c r="AZ423" s="7"/>
      <c r="BA423" s="7"/>
      <c r="BB423" s="7"/>
      <c r="BC423" s="7"/>
      <c r="BD423" s="7"/>
      <c r="BE423" s="7"/>
      <c r="BF423" s="7"/>
      <c r="BG423" s="7"/>
      <c r="BH423" s="7"/>
      <c r="BI423" s="7"/>
      <c r="BJ423" s="7"/>
      <c r="BK423" s="7"/>
      <c r="BL423" s="7"/>
      <c r="BM423" s="55"/>
    </row>
    <row r="424" spans="1:65">
      <c r="A424" s="5"/>
      <c r="B424" s="5"/>
      <c r="C424" s="5"/>
      <c r="D424" s="6"/>
      <c r="E424" s="5"/>
      <c r="F424" s="5"/>
      <c r="G424" s="5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  <c r="AD424" s="7"/>
      <c r="AE424" s="7"/>
      <c r="AF424" s="7"/>
      <c r="AG424" s="7"/>
      <c r="AH424" s="7"/>
      <c r="AI424" s="7"/>
      <c r="AJ424" s="7"/>
      <c r="AK424" s="7"/>
      <c r="AL424" s="8"/>
      <c r="AM424" s="7"/>
      <c r="AN424" s="7"/>
      <c r="AO424" s="7"/>
      <c r="AP424" s="7"/>
      <c r="AQ424" s="7"/>
      <c r="AR424" s="7"/>
      <c r="AS424" s="7"/>
      <c r="AT424" s="7"/>
      <c r="AU424" s="7"/>
      <c r="AV424" s="7"/>
      <c r="AW424" s="7"/>
      <c r="AX424" s="7"/>
      <c r="AY424" s="7"/>
      <c r="AZ424" s="7"/>
      <c r="BA424" s="7"/>
      <c r="BB424" s="7"/>
      <c r="BC424" s="7"/>
      <c r="BD424" s="7"/>
      <c r="BE424" s="7"/>
      <c r="BF424" s="7"/>
      <c r="BG424" s="7"/>
      <c r="BH424" s="7"/>
      <c r="BI424" s="7"/>
      <c r="BJ424" s="7"/>
      <c r="BK424" s="7"/>
      <c r="BL424" s="7"/>
      <c r="BM424" s="55"/>
    </row>
    <row r="425" spans="1:65">
      <c r="A425" s="5"/>
      <c r="B425" s="5"/>
      <c r="C425" s="5"/>
      <c r="D425" s="6"/>
      <c r="E425" s="5"/>
      <c r="F425" s="5"/>
      <c r="G425" s="5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  <c r="AE425" s="7"/>
      <c r="AF425" s="8"/>
      <c r="AG425" s="7"/>
      <c r="AH425" s="7"/>
      <c r="AI425" s="7"/>
      <c r="AJ425" s="7"/>
      <c r="AK425" s="7"/>
      <c r="AL425" s="7"/>
      <c r="AM425" s="8"/>
      <c r="AN425" s="7"/>
      <c r="AO425" s="7"/>
      <c r="AP425" s="7"/>
      <c r="AQ425" s="7"/>
      <c r="AR425" s="7"/>
      <c r="AS425" s="7"/>
      <c r="AT425" s="7"/>
      <c r="AU425" s="7"/>
      <c r="AV425" s="7"/>
      <c r="AW425" s="7"/>
      <c r="AX425" s="7"/>
      <c r="AY425" s="7"/>
      <c r="AZ425" s="7"/>
      <c r="BA425" s="7"/>
      <c r="BB425" s="7"/>
      <c r="BC425" s="7"/>
      <c r="BD425" s="7"/>
      <c r="BE425" s="7"/>
      <c r="BF425" s="7"/>
      <c r="BG425" s="7"/>
      <c r="BH425" s="7"/>
      <c r="BI425" s="7"/>
      <c r="BJ425" s="7"/>
      <c r="BK425" s="7"/>
      <c r="BL425" s="7"/>
      <c r="BM425" s="55"/>
    </row>
    <row r="426" spans="1:65">
      <c r="A426" s="5"/>
      <c r="B426" s="5"/>
      <c r="C426" s="5"/>
      <c r="D426" s="6"/>
      <c r="E426" s="5"/>
      <c r="F426" s="5"/>
      <c r="G426" s="5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7"/>
      <c r="AE426" s="7"/>
      <c r="AF426" s="8"/>
      <c r="AG426" s="7"/>
      <c r="AH426" s="7"/>
      <c r="AI426" s="7"/>
      <c r="AJ426" s="7"/>
      <c r="AK426" s="7"/>
      <c r="AL426" s="7"/>
      <c r="AM426" s="8"/>
      <c r="AN426" s="7"/>
      <c r="AO426" s="7"/>
      <c r="AP426" s="7"/>
      <c r="AQ426" s="7"/>
      <c r="AR426" s="7"/>
      <c r="AS426" s="7"/>
      <c r="AT426" s="7"/>
      <c r="AU426" s="7"/>
      <c r="AV426" s="7"/>
      <c r="AW426" s="7"/>
      <c r="AX426" s="7"/>
      <c r="AY426" s="7"/>
      <c r="AZ426" s="7"/>
      <c r="BA426" s="7"/>
      <c r="BB426" s="7"/>
      <c r="BC426" s="7"/>
      <c r="BD426" s="7"/>
      <c r="BE426" s="7"/>
      <c r="BF426" s="7"/>
      <c r="BG426" s="7"/>
      <c r="BH426" s="7"/>
      <c r="BI426" s="7"/>
      <c r="BJ426" s="7"/>
      <c r="BK426" s="7"/>
      <c r="BL426" s="7"/>
      <c r="BM426" s="55"/>
    </row>
    <row r="427" spans="1:65">
      <c r="A427" s="5"/>
      <c r="B427" s="5"/>
      <c r="C427" s="5"/>
      <c r="D427" s="6"/>
      <c r="E427" s="5"/>
      <c r="F427" s="5"/>
      <c r="G427" s="5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  <c r="AE427" s="7"/>
      <c r="AF427" s="8"/>
      <c r="AG427" s="7"/>
      <c r="AH427" s="7"/>
      <c r="AI427" s="7"/>
      <c r="AJ427" s="7"/>
      <c r="AK427" s="7"/>
      <c r="AL427" s="7"/>
      <c r="AM427" s="7"/>
      <c r="AN427" s="7"/>
      <c r="AO427" s="7"/>
      <c r="AP427" s="7"/>
      <c r="AQ427" s="7"/>
      <c r="AR427" s="7"/>
      <c r="AS427" s="7"/>
      <c r="AT427" s="7"/>
      <c r="AU427" s="7"/>
      <c r="AV427" s="7"/>
      <c r="AW427" s="7"/>
      <c r="AX427" s="7"/>
      <c r="AY427" s="7"/>
      <c r="AZ427" s="7"/>
      <c r="BA427" s="7"/>
      <c r="BB427" s="7"/>
      <c r="BC427" s="7"/>
      <c r="BD427" s="7"/>
      <c r="BE427" s="7"/>
      <c r="BF427" s="7"/>
      <c r="BG427" s="7"/>
      <c r="BH427" s="7"/>
      <c r="BI427" s="7"/>
      <c r="BJ427" s="7"/>
      <c r="BK427" s="7"/>
      <c r="BL427" s="7"/>
      <c r="BM427" s="55"/>
    </row>
    <row r="428" spans="1:65">
      <c r="A428" s="5"/>
      <c r="B428" s="5"/>
      <c r="C428" s="5"/>
      <c r="D428" s="6"/>
      <c r="E428" s="5"/>
      <c r="F428" s="5"/>
      <c r="G428" s="5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  <c r="AE428" s="7"/>
      <c r="AF428" s="8"/>
      <c r="AG428" s="7"/>
      <c r="AH428" s="7"/>
      <c r="AI428" s="7"/>
      <c r="AJ428" s="7"/>
      <c r="AK428" s="7"/>
      <c r="AL428" s="7"/>
      <c r="AM428" s="7"/>
      <c r="AN428" s="7"/>
      <c r="AO428" s="7"/>
      <c r="AP428" s="7"/>
      <c r="AQ428" s="7"/>
      <c r="AR428" s="7"/>
      <c r="AS428" s="7"/>
      <c r="AT428" s="7"/>
      <c r="AU428" s="7"/>
      <c r="AV428" s="7"/>
      <c r="AW428" s="7"/>
      <c r="AX428" s="7"/>
      <c r="AY428" s="7"/>
      <c r="AZ428" s="7"/>
      <c r="BA428" s="7"/>
      <c r="BB428" s="7"/>
      <c r="BC428" s="7"/>
      <c r="BD428" s="7"/>
      <c r="BE428" s="7"/>
      <c r="BF428" s="7"/>
      <c r="BG428" s="7"/>
      <c r="BH428" s="7"/>
      <c r="BI428" s="7"/>
      <c r="BJ428" s="7"/>
      <c r="BK428" s="7"/>
      <c r="BL428" s="7"/>
      <c r="BM428" s="55"/>
    </row>
    <row r="429" spans="1:65">
      <c r="A429" s="5"/>
      <c r="B429" s="5"/>
      <c r="C429" s="5"/>
      <c r="D429" s="6"/>
      <c r="E429" s="5"/>
      <c r="F429" s="5"/>
      <c r="G429" s="5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  <c r="AE429" s="7"/>
      <c r="AF429" s="8"/>
      <c r="AG429" s="7"/>
      <c r="AH429" s="7"/>
      <c r="AI429" s="7"/>
      <c r="AJ429" s="7"/>
      <c r="AK429" s="7"/>
      <c r="AL429" s="7"/>
      <c r="AM429" s="7"/>
      <c r="AN429" s="7"/>
      <c r="AO429" s="7"/>
      <c r="AP429" s="7"/>
      <c r="AQ429" s="7"/>
      <c r="AR429" s="7"/>
      <c r="AS429" s="7"/>
      <c r="AT429" s="7"/>
      <c r="AU429" s="7"/>
      <c r="AV429" s="7"/>
      <c r="AW429" s="7"/>
      <c r="AX429" s="7"/>
      <c r="AY429" s="7"/>
      <c r="AZ429" s="7"/>
      <c r="BA429" s="7"/>
      <c r="BB429" s="7"/>
      <c r="BC429" s="7"/>
      <c r="BD429" s="7"/>
      <c r="BE429" s="7"/>
      <c r="BF429" s="7"/>
      <c r="BG429" s="7"/>
      <c r="BH429" s="7"/>
      <c r="BI429" s="7"/>
      <c r="BJ429" s="7"/>
      <c r="BK429" s="7"/>
      <c r="BL429" s="7"/>
      <c r="BM429" s="55"/>
    </row>
    <row r="430" spans="1:65">
      <c r="A430" s="5"/>
      <c r="B430" s="5"/>
      <c r="C430" s="5"/>
      <c r="D430" s="6"/>
      <c r="E430" s="5"/>
      <c r="F430" s="5"/>
      <c r="G430" s="5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  <c r="AE430" s="7"/>
      <c r="AF430" s="8"/>
      <c r="AG430" s="7"/>
      <c r="AH430" s="7"/>
      <c r="AI430" s="7"/>
      <c r="AJ430" s="7"/>
      <c r="AK430" s="7"/>
      <c r="AL430" s="7"/>
      <c r="AM430" s="7"/>
      <c r="AN430" s="7"/>
      <c r="AO430" s="7"/>
      <c r="AP430" s="7"/>
      <c r="AQ430" s="7"/>
      <c r="AR430" s="7"/>
      <c r="AS430" s="7"/>
      <c r="AT430" s="7"/>
      <c r="AU430" s="7"/>
      <c r="AV430" s="7"/>
      <c r="AW430" s="7"/>
      <c r="AX430" s="7"/>
      <c r="AY430" s="7"/>
      <c r="AZ430" s="7"/>
      <c r="BA430" s="7"/>
      <c r="BB430" s="7"/>
      <c r="BC430" s="7"/>
      <c r="BD430" s="7"/>
      <c r="BE430" s="7"/>
      <c r="BF430" s="7"/>
      <c r="BG430" s="7"/>
      <c r="BH430" s="7"/>
      <c r="BI430" s="7"/>
      <c r="BJ430" s="7"/>
      <c r="BK430" s="7"/>
      <c r="BL430" s="7"/>
      <c r="BM430" s="55"/>
    </row>
    <row r="431" spans="1:65">
      <c r="A431" s="5"/>
      <c r="B431" s="5"/>
      <c r="C431" s="5"/>
      <c r="D431" s="6"/>
      <c r="E431" s="5"/>
      <c r="F431" s="5"/>
      <c r="G431" s="5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  <c r="AE431" s="7"/>
      <c r="AF431" s="8"/>
      <c r="AG431" s="7"/>
      <c r="AH431" s="7"/>
      <c r="AI431" s="7"/>
      <c r="AJ431" s="7"/>
      <c r="AK431" s="7"/>
      <c r="AL431" s="7"/>
      <c r="AM431" s="7"/>
      <c r="AN431" s="7"/>
      <c r="AO431" s="7"/>
      <c r="AP431" s="7"/>
      <c r="AQ431" s="7"/>
      <c r="AR431" s="7"/>
      <c r="AS431" s="7"/>
      <c r="AT431" s="7"/>
      <c r="AU431" s="7"/>
      <c r="AV431" s="7"/>
      <c r="AW431" s="7"/>
      <c r="AX431" s="7"/>
      <c r="AY431" s="7"/>
      <c r="AZ431" s="7"/>
      <c r="BA431" s="7"/>
      <c r="BB431" s="7"/>
      <c r="BC431" s="7"/>
      <c r="BD431" s="7"/>
      <c r="BE431" s="7"/>
      <c r="BF431" s="7"/>
      <c r="BG431" s="7"/>
      <c r="BH431" s="7"/>
      <c r="BI431" s="7"/>
      <c r="BJ431" s="7"/>
      <c r="BK431" s="7"/>
      <c r="BL431" s="7"/>
      <c r="BM431" s="55"/>
    </row>
    <row r="432" spans="1:65">
      <c r="A432" s="5"/>
      <c r="B432" s="5"/>
      <c r="C432" s="5"/>
      <c r="D432" s="6"/>
      <c r="E432" s="5"/>
      <c r="F432" s="5"/>
      <c r="G432" s="5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  <c r="AE432" s="7"/>
      <c r="AF432" s="8"/>
      <c r="AG432" s="7"/>
      <c r="AH432" s="7"/>
      <c r="AI432" s="7"/>
      <c r="AJ432" s="7"/>
      <c r="AK432" s="7"/>
      <c r="AL432" s="7"/>
      <c r="AM432" s="7"/>
      <c r="AN432" s="7"/>
      <c r="AO432" s="7"/>
      <c r="AP432" s="7"/>
      <c r="AQ432" s="7"/>
      <c r="AR432" s="7"/>
      <c r="AS432" s="7"/>
      <c r="AT432" s="7"/>
      <c r="AU432" s="7"/>
      <c r="AV432" s="7"/>
      <c r="AW432" s="7"/>
      <c r="AX432" s="7"/>
      <c r="AY432" s="7"/>
      <c r="AZ432" s="7"/>
      <c r="BA432" s="7"/>
      <c r="BB432" s="7"/>
      <c r="BC432" s="7"/>
      <c r="BD432" s="7"/>
      <c r="BE432" s="7"/>
      <c r="BF432" s="7"/>
      <c r="BG432" s="7"/>
      <c r="BH432" s="7"/>
      <c r="BI432" s="7"/>
      <c r="BJ432" s="7"/>
      <c r="BK432" s="7"/>
      <c r="BL432" s="7"/>
      <c r="BM432" s="55"/>
    </row>
    <row r="433" spans="1:65">
      <c r="A433" s="5"/>
      <c r="B433" s="5"/>
      <c r="C433" s="5"/>
      <c r="D433" s="6"/>
      <c r="E433" s="5"/>
      <c r="F433" s="5"/>
      <c r="G433" s="5"/>
      <c r="H433" s="7"/>
      <c r="I433" s="7"/>
      <c r="J433" s="7"/>
      <c r="K433" s="7"/>
      <c r="L433" s="8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7"/>
      <c r="AE433" s="7"/>
      <c r="AF433" s="7"/>
      <c r="AG433" s="7"/>
      <c r="AH433" s="7"/>
      <c r="AI433" s="7"/>
      <c r="AJ433" s="7"/>
      <c r="AK433" s="7"/>
      <c r="AL433" s="7"/>
      <c r="AM433" s="7"/>
      <c r="AN433" s="7"/>
      <c r="AO433" s="7"/>
      <c r="AP433" s="7"/>
      <c r="AQ433" s="7"/>
      <c r="AR433" s="7"/>
      <c r="AS433" s="7"/>
      <c r="AT433" s="7"/>
      <c r="AU433" s="7"/>
      <c r="AV433" s="7"/>
      <c r="AW433" s="7"/>
      <c r="AX433" s="7"/>
      <c r="AY433" s="7"/>
      <c r="AZ433" s="7"/>
      <c r="BA433" s="7"/>
      <c r="BB433" s="7"/>
      <c r="BC433" s="7"/>
      <c r="BD433" s="7"/>
      <c r="BE433" s="7"/>
      <c r="BF433" s="7"/>
      <c r="BG433" s="7"/>
      <c r="BH433" s="7"/>
      <c r="BI433" s="7"/>
      <c r="BJ433" s="7"/>
      <c r="BK433" s="7"/>
      <c r="BL433" s="7"/>
      <c r="BM433" s="55"/>
    </row>
    <row r="434" spans="1:65">
      <c r="A434" s="5"/>
      <c r="B434" s="5"/>
      <c r="C434" s="5"/>
      <c r="D434" s="6"/>
      <c r="E434" s="5"/>
      <c r="F434" s="5"/>
      <c r="G434" s="5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  <c r="AE434" s="7"/>
      <c r="AF434" s="8"/>
      <c r="AG434" s="7"/>
      <c r="AH434" s="7"/>
      <c r="AI434" s="7"/>
      <c r="AJ434" s="7"/>
      <c r="AK434" s="7"/>
      <c r="AL434" s="7"/>
      <c r="AM434" s="7"/>
      <c r="AN434" s="7"/>
      <c r="AO434" s="7"/>
      <c r="AP434" s="7"/>
      <c r="AQ434" s="7"/>
      <c r="AR434" s="7"/>
      <c r="AS434" s="7"/>
      <c r="AT434" s="7"/>
      <c r="AU434" s="7"/>
      <c r="AV434" s="7"/>
      <c r="AW434" s="7"/>
      <c r="AX434" s="7"/>
      <c r="AY434" s="7"/>
      <c r="AZ434" s="7"/>
      <c r="BA434" s="7"/>
      <c r="BB434" s="7"/>
      <c r="BC434" s="7"/>
      <c r="BD434" s="7"/>
      <c r="BE434" s="7"/>
      <c r="BF434" s="7"/>
      <c r="BG434" s="7"/>
      <c r="BH434" s="7"/>
      <c r="BI434" s="7"/>
      <c r="BJ434" s="7"/>
      <c r="BK434" s="7"/>
      <c r="BL434" s="7"/>
      <c r="BM434" s="55"/>
    </row>
    <row r="435" spans="1:65">
      <c r="A435" s="5"/>
      <c r="B435" s="5"/>
      <c r="C435" s="5"/>
      <c r="D435" s="6"/>
      <c r="E435" s="5"/>
      <c r="F435" s="5"/>
      <c r="G435" s="5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7"/>
      <c r="AE435" s="7"/>
      <c r="AF435" s="7"/>
      <c r="AG435" s="7"/>
      <c r="AH435" s="7"/>
      <c r="AI435" s="7"/>
      <c r="AJ435" s="7"/>
      <c r="AK435" s="7"/>
      <c r="AL435" s="7"/>
      <c r="AM435" s="7"/>
      <c r="AN435" s="7"/>
      <c r="AO435" s="7"/>
      <c r="AP435" s="7"/>
      <c r="AQ435" s="7"/>
      <c r="AR435" s="7"/>
      <c r="AS435" s="7"/>
      <c r="AT435" s="7"/>
      <c r="AU435" s="7"/>
      <c r="AV435" s="7"/>
      <c r="AW435" s="7"/>
      <c r="AX435" s="7"/>
      <c r="AY435" s="7"/>
      <c r="AZ435" s="7"/>
      <c r="BA435" s="7"/>
      <c r="BB435" s="7"/>
      <c r="BC435" s="7"/>
      <c r="BD435" s="7"/>
      <c r="BE435" s="7"/>
      <c r="BF435" s="7"/>
      <c r="BG435" s="7"/>
      <c r="BH435" s="7"/>
      <c r="BI435" s="7"/>
      <c r="BJ435" s="7"/>
      <c r="BK435" s="7"/>
      <c r="BL435" s="7"/>
      <c r="BM435" s="55"/>
    </row>
    <row r="436" spans="1:65">
      <c r="A436" s="5"/>
      <c r="B436" s="5"/>
      <c r="C436" s="5"/>
      <c r="D436" s="6"/>
      <c r="E436" s="5"/>
      <c r="F436" s="5"/>
      <c r="G436" s="5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  <c r="AE436" s="7"/>
      <c r="AF436" s="8"/>
      <c r="AG436" s="7"/>
      <c r="AH436" s="7"/>
      <c r="AI436" s="7"/>
      <c r="AJ436" s="7"/>
      <c r="AK436" s="7"/>
      <c r="AL436" s="7"/>
      <c r="AM436" s="7"/>
      <c r="AN436" s="7"/>
      <c r="AO436" s="7"/>
      <c r="AP436" s="7"/>
      <c r="AQ436" s="7"/>
      <c r="AR436" s="7"/>
      <c r="AS436" s="7"/>
      <c r="AT436" s="7"/>
      <c r="AU436" s="7"/>
      <c r="AV436" s="7"/>
      <c r="AW436" s="7"/>
      <c r="AX436" s="7"/>
      <c r="AY436" s="7"/>
      <c r="AZ436" s="7"/>
      <c r="BA436" s="7"/>
      <c r="BB436" s="7"/>
      <c r="BC436" s="7"/>
      <c r="BD436" s="7"/>
      <c r="BE436" s="7"/>
      <c r="BF436" s="7"/>
      <c r="BG436" s="7"/>
      <c r="BH436" s="7"/>
      <c r="BI436" s="7"/>
      <c r="BJ436" s="7"/>
      <c r="BK436" s="7"/>
      <c r="BL436" s="7"/>
      <c r="BM436" s="55"/>
    </row>
    <row r="437" spans="1:65">
      <c r="A437" s="5"/>
      <c r="B437" s="5"/>
      <c r="C437" s="5"/>
      <c r="D437" s="6"/>
      <c r="E437" s="5"/>
      <c r="F437" s="5"/>
      <c r="G437" s="5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  <c r="AE437" s="7"/>
      <c r="AF437" s="8"/>
      <c r="AG437" s="7"/>
      <c r="AH437" s="7"/>
      <c r="AI437" s="7"/>
      <c r="AJ437" s="7"/>
      <c r="AK437" s="7"/>
      <c r="AL437" s="7"/>
      <c r="AM437" s="7"/>
      <c r="AN437" s="7"/>
      <c r="AO437" s="7"/>
      <c r="AP437" s="7"/>
      <c r="AQ437" s="7"/>
      <c r="AR437" s="7"/>
      <c r="AS437" s="7"/>
      <c r="AT437" s="7"/>
      <c r="AU437" s="7"/>
      <c r="AV437" s="7"/>
      <c r="AW437" s="7"/>
      <c r="AX437" s="7"/>
      <c r="AY437" s="7"/>
      <c r="AZ437" s="7"/>
      <c r="BA437" s="7"/>
      <c r="BB437" s="7"/>
      <c r="BC437" s="7"/>
      <c r="BD437" s="7"/>
      <c r="BE437" s="7"/>
      <c r="BF437" s="7"/>
      <c r="BG437" s="7"/>
      <c r="BH437" s="7"/>
      <c r="BI437" s="7"/>
      <c r="BJ437" s="7"/>
      <c r="BK437" s="7"/>
      <c r="BL437" s="7"/>
      <c r="BM437" s="55"/>
    </row>
    <row r="438" spans="1:65">
      <c r="A438" s="5"/>
      <c r="B438" s="5"/>
      <c r="C438" s="5"/>
      <c r="D438" s="6"/>
      <c r="E438" s="5"/>
      <c r="F438" s="5"/>
      <c r="G438" s="5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/>
      <c r="AE438" s="7"/>
      <c r="AF438" s="7"/>
      <c r="AG438" s="7"/>
      <c r="AH438" s="7"/>
      <c r="AI438" s="7"/>
      <c r="AJ438" s="7"/>
      <c r="AK438" s="7"/>
      <c r="AL438" s="7"/>
      <c r="AM438" s="8"/>
      <c r="AN438" s="7"/>
      <c r="AO438" s="7"/>
      <c r="AP438" s="7"/>
      <c r="AQ438" s="7"/>
      <c r="AR438" s="7"/>
      <c r="AS438" s="7"/>
      <c r="AT438" s="7"/>
      <c r="AU438" s="7"/>
      <c r="AV438" s="7"/>
      <c r="AW438" s="7"/>
      <c r="AX438" s="7"/>
      <c r="AY438" s="7"/>
      <c r="AZ438" s="7"/>
      <c r="BA438" s="7"/>
      <c r="BB438" s="7"/>
      <c r="BC438" s="7"/>
      <c r="BD438" s="7"/>
      <c r="BE438" s="7"/>
      <c r="BF438" s="7"/>
      <c r="BG438" s="7"/>
      <c r="BH438" s="7"/>
      <c r="BI438" s="7"/>
      <c r="BJ438" s="7"/>
      <c r="BK438" s="7"/>
      <c r="BL438" s="7"/>
      <c r="BM438" s="55"/>
    </row>
    <row r="439" spans="1:65">
      <c r="A439" s="5"/>
      <c r="B439" s="5"/>
      <c r="C439" s="5"/>
      <c r="D439" s="6"/>
      <c r="E439" s="5"/>
      <c r="F439" s="5"/>
      <c r="G439" s="5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7"/>
      <c r="AE439" s="7"/>
      <c r="AF439" s="7"/>
      <c r="AG439" s="7"/>
      <c r="AH439" s="7"/>
      <c r="AI439" s="7"/>
      <c r="AJ439" s="7"/>
      <c r="AK439" s="7"/>
      <c r="AL439" s="7"/>
      <c r="AM439" s="7"/>
      <c r="AN439" s="7"/>
      <c r="AO439" s="7"/>
      <c r="AP439" s="7"/>
      <c r="AQ439" s="7"/>
      <c r="AR439" s="7"/>
      <c r="AS439" s="7"/>
      <c r="AT439" s="7"/>
      <c r="AU439" s="7"/>
      <c r="AV439" s="7"/>
      <c r="AW439" s="7"/>
      <c r="AX439" s="7"/>
      <c r="AY439" s="7"/>
      <c r="AZ439" s="7"/>
      <c r="BA439" s="7"/>
      <c r="BB439" s="7"/>
      <c r="BC439" s="7"/>
      <c r="BD439" s="7"/>
      <c r="BE439" s="7"/>
      <c r="BF439" s="7"/>
      <c r="BG439" s="7"/>
      <c r="BH439" s="7"/>
      <c r="BI439" s="7"/>
      <c r="BJ439" s="7"/>
      <c r="BK439" s="7"/>
      <c r="BL439" s="7"/>
      <c r="BM439" s="58"/>
    </row>
    <row r="440" spans="1:65">
      <c r="A440" s="5"/>
      <c r="B440" s="5"/>
      <c r="C440" s="5"/>
      <c r="D440" s="6"/>
      <c r="E440" s="5"/>
      <c r="F440" s="5"/>
      <c r="G440" s="5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  <c r="AE440" s="7"/>
      <c r="AF440" s="7"/>
      <c r="AG440" s="7"/>
      <c r="AH440" s="7"/>
      <c r="AI440" s="7"/>
      <c r="AJ440" s="7"/>
      <c r="AK440" s="7"/>
      <c r="AL440" s="7"/>
      <c r="AM440" s="7"/>
      <c r="AN440" s="7"/>
      <c r="AO440" s="7"/>
      <c r="AP440" s="7"/>
      <c r="AQ440" s="7"/>
      <c r="AR440" s="7"/>
      <c r="AS440" s="7"/>
      <c r="AT440" s="7"/>
      <c r="AU440" s="7"/>
      <c r="AV440" s="7"/>
      <c r="AW440" s="7"/>
      <c r="AX440" s="7"/>
      <c r="AY440" s="7"/>
      <c r="AZ440" s="7"/>
      <c r="BA440" s="7"/>
      <c r="BB440" s="7"/>
      <c r="BC440" s="7"/>
      <c r="BD440" s="7"/>
      <c r="BE440" s="7"/>
      <c r="BF440" s="7"/>
      <c r="BG440" s="7"/>
      <c r="BH440" s="7"/>
      <c r="BI440" s="7"/>
      <c r="BJ440" s="7"/>
      <c r="BK440" s="7"/>
      <c r="BL440" s="7"/>
      <c r="BM440" s="58"/>
    </row>
    <row r="441" spans="1:65">
      <c r="A441" s="5"/>
      <c r="B441" s="5"/>
      <c r="C441" s="5"/>
      <c r="D441" s="6"/>
      <c r="E441" s="5"/>
      <c r="F441" s="5"/>
      <c r="G441" s="5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  <c r="AD441" s="7"/>
      <c r="AE441" s="7"/>
      <c r="AF441" s="7"/>
      <c r="AG441" s="7"/>
      <c r="AH441" s="7"/>
      <c r="AI441" s="7"/>
      <c r="AJ441" s="7"/>
      <c r="AK441" s="7"/>
      <c r="AL441" s="7"/>
      <c r="AM441" s="7"/>
      <c r="AN441" s="7"/>
      <c r="AO441" s="7"/>
      <c r="AP441" s="7"/>
      <c r="AQ441" s="7"/>
      <c r="AR441" s="7"/>
      <c r="AS441" s="7"/>
      <c r="AT441" s="7"/>
      <c r="AU441" s="7"/>
      <c r="AV441" s="7"/>
      <c r="AW441" s="7"/>
      <c r="AX441" s="7"/>
      <c r="AY441" s="7"/>
      <c r="AZ441" s="7"/>
      <c r="BA441" s="7"/>
      <c r="BB441" s="7"/>
      <c r="BC441" s="7"/>
      <c r="BD441" s="7"/>
      <c r="BE441" s="7"/>
      <c r="BF441" s="7"/>
      <c r="BG441" s="7"/>
      <c r="BH441" s="7"/>
      <c r="BI441" s="7"/>
      <c r="BJ441" s="7"/>
      <c r="BK441" s="7"/>
      <c r="BL441" s="7"/>
      <c r="BM441" s="58"/>
    </row>
    <row r="442" spans="1:65">
      <c r="A442" s="5"/>
      <c r="B442" s="5"/>
      <c r="C442" s="5"/>
      <c r="D442" s="6"/>
      <c r="E442" s="5"/>
      <c r="F442" s="5"/>
      <c r="G442" s="5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  <c r="AD442" s="7"/>
      <c r="AE442" s="7"/>
      <c r="AF442" s="7"/>
      <c r="AG442" s="7"/>
      <c r="AH442" s="7"/>
      <c r="AI442" s="7"/>
      <c r="AJ442" s="7"/>
      <c r="AK442" s="7"/>
      <c r="AL442" s="7"/>
      <c r="AM442" s="7"/>
      <c r="AN442" s="7"/>
      <c r="AO442" s="7"/>
      <c r="AP442" s="7"/>
      <c r="AQ442" s="7"/>
      <c r="AR442" s="7"/>
      <c r="AS442" s="7"/>
      <c r="AT442" s="7"/>
      <c r="AU442" s="7"/>
      <c r="AV442" s="7"/>
      <c r="AW442" s="7"/>
      <c r="AX442" s="7"/>
      <c r="AY442" s="7"/>
      <c r="AZ442" s="7"/>
      <c r="BA442" s="7"/>
      <c r="BB442" s="7"/>
      <c r="BC442" s="7"/>
      <c r="BD442" s="7"/>
      <c r="BE442" s="7"/>
      <c r="BF442" s="7"/>
      <c r="BG442" s="7"/>
      <c r="BH442" s="7"/>
      <c r="BI442" s="7"/>
      <c r="BJ442" s="7"/>
      <c r="BK442" s="7"/>
      <c r="BL442" s="7"/>
      <c r="BM442" s="58"/>
    </row>
    <row r="443" spans="1:65">
      <c r="A443" s="5"/>
      <c r="B443" s="5"/>
      <c r="C443" s="5"/>
      <c r="D443" s="6"/>
      <c r="E443" s="5"/>
      <c r="F443" s="5"/>
      <c r="G443" s="5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  <c r="AD443" s="7"/>
      <c r="AE443" s="7"/>
      <c r="AF443" s="7"/>
      <c r="AG443" s="7"/>
      <c r="AH443" s="7"/>
      <c r="AI443" s="7"/>
      <c r="AJ443" s="7"/>
      <c r="AK443" s="7"/>
      <c r="AL443" s="7"/>
      <c r="AM443" s="7"/>
      <c r="AN443" s="7"/>
      <c r="AO443" s="7"/>
      <c r="AP443" s="7"/>
      <c r="AQ443" s="7"/>
      <c r="AR443" s="7"/>
      <c r="AS443" s="7"/>
      <c r="AT443" s="7"/>
      <c r="AU443" s="7"/>
      <c r="AV443" s="7"/>
      <c r="AW443" s="7"/>
      <c r="AX443" s="7"/>
      <c r="AY443" s="7"/>
      <c r="AZ443" s="7"/>
      <c r="BA443" s="7"/>
      <c r="BB443" s="7"/>
      <c r="BC443" s="7"/>
      <c r="BD443" s="7"/>
      <c r="BE443" s="7"/>
      <c r="BF443" s="7"/>
      <c r="BG443" s="7"/>
      <c r="BH443" s="7"/>
      <c r="BI443" s="7"/>
      <c r="BJ443" s="7"/>
      <c r="BK443" s="7"/>
      <c r="BL443" s="7"/>
      <c r="BM443" s="58"/>
    </row>
    <row r="444" spans="1:65">
      <c r="A444" s="5"/>
      <c r="B444" s="5"/>
      <c r="C444" s="5"/>
      <c r="D444" s="6"/>
      <c r="E444" s="5"/>
      <c r="F444" s="5"/>
      <c r="G444" s="5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  <c r="AE444" s="7"/>
      <c r="AF444" s="7"/>
      <c r="AG444" s="7"/>
      <c r="AH444" s="7"/>
      <c r="AI444" s="7"/>
      <c r="AJ444" s="7"/>
      <c r="AK444" s="7"/>
      <c r="AL444" s="7"/>
      <c r="AM444" s="7"/>
      <c r="AN444" s="7"/>
      <c r="AO444" s="7"/>
      <c r="AP444" s="7"/>
      <c r="AQ444" s="7"/>
      <c r="AR444" s="7"/>
      <c r="AS444" s="7"/>
      <c r="AT444" s="7"/>
      <c r="AU444" s="7"/>
      <c r="AV444" s="7"/>
      <c r="AW444" s="7"/>
      <c r="AX444" s="7"/>
      <c r="AY444" s="7"/>
      <c r="AZ444" s="7"/>
      <c r="BA444" s="7"/>
      <c r="BB444" s="7"/>
      <c r="BC444" s="7"/>
      <c r="BD444" s="7"/>
      <c r="BE444" s="7"/>
      <c r="BF444" s="7"/>
      <c r="BG444" s="7"/>
      <c r="BH444" s="7"/>
      <c r="BI444" s="7"/>
      <c r="BJ444" s="7"/>
      <c r="BK444" s="7"/>
      <c r="BL444" s="7"/>
      <c r="BM444" s="58"/>
    </row>
    <row r="445" spans="1:65">
      <c r="A445" s="5"/>
      <c r="B445" s="5"/>
      <c r="C445" s="5"/>
      <c r="D445" s="6"/>
      <c r="E445" s="5"/>
      <c r="F445" s="5"/>
      <c r="G445" s="5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  <c r="AD445" s="7"/>
      <c r="AE445" s="7"/>
      <c r="AF445" s="7"/>
      <c r="AG445" s="7"/>
      <c r="AH445" s="7"/>
      <c r="AI445" s="7"/>
      <c r="AJ445" s="7"/>
      <c r="AK445" s="7"/>
      <c r="AL445" s="7"/>
      <c r="AM445" s="7"/>
      <c r="AN445" s="7"/>
      <c r="AO445" s="7"/>
      <c r="AP445" s="7"/>
      <c r="AQ445" s="7"/>
      <c r="AR445" s="7"/>
      <c r="AS445" s="7"/>
      <c r="AT445" s="7"/>
      <c r="AU445" s="7"/>
      <c r="AV445" s="7"/>
      <c r="AW445" s="7"/>
      <c r="AX445" s="7"/>
      <c r="AY445" s="7"/>
      <c r="AZ445" s="7"/>
      <c r="BA445" s="7"/>
      <c r="BB445" s="7"/>
      <c r="BC445" s="7"/>
      <c r="BD445" s="7"/>
      <c r="BE445" s="7"/>
      <c r="BF445" s="7"/>
      <c r="BG445" s="7"/>
      <c r="BH445" s="7"/>
      <c r="BI445" s="7"/>
      <c r="BJ445" s="7"/>
      <c r="BK445" s="7"/>
      <c r="BL445" s="7"/>
      <c r="BM445" s="58"/>
    </row>
    <row r="446" spans="1:65">
      <c r="A446" s="5"/>
      <c r="B446" s="5"/>
      <c r="C446" s="5"/>
      <c r="D446" s="6"/>
      <c r="E446" s="5"/>
      <c r="F446" s="5"/>
      <c r="G446" s="5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  <c r="AD446" s="7"/>
      <c r="AE446" s="7"/>
      <c r="AF446" s="7"/>
      <c r="AG446" s="7"/>
      <c r="AH446" s="7"/>
      <c r="AI446" s="7"/>
      <c r="AJ446" s="7"/>
      <c r="AK446" s="7"/>
      <c r="AL446" s="7"/>
      <c r="AM446" s="7"/>
      <c r="AN446" s="7"/>
      <c r="AO446" s="7"/>
      <c r="AP446" s="7"/>
      <c r="AQ446" s="7"/>
      <c r="AR446" s="7"/>
      <c r="AS446" s="7"/>
      <c r="AT446" s="7"/>
      <c r="AU446" s="7"/>
      <c r="AV446" s="7"/>
      <c r="AW446" s="7"/>
      <c r="AX446" s="7"/>
      <c r="AY446" s="7"/>
      <c r="AZ446" s="7"/>
      <c r="BA446" s="7"/>
      <c r="BB446" s="7"/>
      <c r="BC446" s="7"/>
      <c r="BD446" s="7"/>
      <c r="BE446" s="7"/>
      <c r="BF446" s="7"/>
      <c r="BG446" s="7"/>
      <c r="BH446" s="7"/>
      <c r="BI446" s="7"/>
      <c r="BJ446" s="7"/>
      <c r="BK446" s="7"/>
      <c r="BL446" s="7"/>
      <c r="BM446" s="58"/>
    </row>
    <row r="447" spans="1:65">
      <c r="A447" s="5"/>
      <c r="B447" s="5"/>
      <c r="C447" s="5"/>
      <c r="D447" s="6"/>
      <c r="E447" s="5"/>
      <c r="F447" s="5"/>
      <c r="G447" s="5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  <c r="AD447" s="7"/>
      <c r="AE447" s="7"/>
      <c r="AF447" s="7"/>
      <c r="AG447" s="7"/>
      <c r="AH447" s="7"/>
      <c r="AI447" s="7"/>
      <c r="AJ447" s="7"/>
      <c r="AK447" s="7"/>
      <c r="AL447" s="7"/>
      <c r="AM447" s="7"/>
      <c r="AN447" s="7"/>
      <c r="AO447" s="7"/>
      <c r="AP447" s="7"/>
      <c r="AQ447" s="7"/>
      <c r="AR447" s="7"/>
      <c r="AS447" s="7"/>
      <c r="AT447" s="7"/>
      <c r="AU447" s="7"/>
      <c r="AV447" s="7"/>
      <c r="AW447" s="7"/>
      <c r="AX447" s="7"/>
      <c r="AY447" s="7"/>
      <c r="AZ447" s="7"/>
      <c r="BA447" s="7"/>
      <c r="BB447" s="7"/>
      <c r="BC447" s="7"/>
      <c r="BD447" s="7"/>
      <c r="BE447" s="7"/>
      <c r="BF447" s="7"/>
      <c r="BG447" s="7"/>
      <c r="BH447" s="7"/>
      <c r="BI447" s="7"/>
      <c r="BJ447" s="7"/>
      <c r="BK447" s="7"/>
      <c r="BL447" s="7"/>
      <c r="BM447" s="58"/>
    </row>
    <row r="448" spans="1:65">
      <c r="A448" s="5"/>
      <c r="B448" s="5"/>
      <c r="C448" s="5"/>
      <c r="D448" s="6"/>
      <c r="E448" s="5"/>
      <c r="F448" s="5"/>
      <c r="G448" s="5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  <c r="AE448" s="7"/>
      <c r="AF448" s="7"/>
      <c r="AG448" s="7"/>
      <c r="AH448" s="7"/>
      <c r="AI448" s="7"/>
      <c r="AJ448" s="7"/>
      <c r="AK448" s="7"/>
      <c r="AL448" s="7"/>
      <c r="AM448" s="7"/>
      <c r="AN448" s="7"/>
      <c r="AO448" s="7"/>
      <c r="AP448" s="7"/>
      <c r="AQ448" s="7"/>
      <c r="AR448" s="7"/>
      <c r="AS448" s="7"/>
      <c r="AT448" s="7"/>
      <c r="AU448" s="7"/>
      <c r="AV448" s="7"/>
      <c r="AW448" s="7"/>
      <c r="AX448" s="7"/>
      <c r="AY448" s="7"/>
      <c r="AZ448" s="7"/>
      <c r="BA448" s="7"/>
      <c r="BB448" s="7"/>
      <c r="BC448" s="7"/>
      <c r="BD448" s="7"/>
      <c r="BE448" s="7"/>
      <c r="BF448" s="7"/>
      <c r="BG448" s="7"/>
      <c r="BH448" s="7"/>
      <c r="BI448" s="7"/>
      <c r="BJ448" s="7"/>
      <c r="BK448" s="7"/>
      <c r="BL448" s="7"/>
      <c r="BM448" s="58"/>
    </row>
    <row r="449" spans="1:65">
      <c r="A449" s="5"/>
      <c r="B449" s="5"/>
      <c r="C449" s="5"/>
      <c r="D449" s="6"/>
      <c r="E449" s="5"/>
      <c r="F449" s="5"/>
      <c r="G449" s="5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  <c r="AE449" s="7"/>
      <c r="AF449" s="7"/>
      <c r="AG449" s="7"/>
      <c r="AH449" s="7"/>
      <c r="AI449" s="7"/>
      <c r="AJ449" s="7"/>
      <c r="AK449" s="7"/>
      <c r="AL449" s="7"/>
      <c r="AM449" s="7"/>
      <c r="AN449" s="7"/>
      <c r="AO449" s="7"/>
      <c r="AP449" s="7"/>
      <c r="AQ449" s="7"/>
      <c r="AR449" s="7"/>
      <c r="AS449" s="7"/>
      <c r="AT449" s="7"/>
      <c r="AU449" s="7"/>
      <c r="AV449" s="7"/>
      <c r="AW449" s="7"/>
      <c r="AX449" s="7"/>
      <c r="AY449" s="7"/>
      <c r="AZ449" s="7"/>
      <c r="BA449" s="7"/>
      <c r="BB449" s="7"/>
      <c r="BC449" s="7"/>
      <c r="BD449" s="7"/>
      <c r="BE449" s="7"/>
      <c r="BF449" s="7"/>
      <c r="BG449" s="7"/>
      <c r="BH449" s="7"/>
      <c r="BI449" s="7"/>
      <c r="BJ449" s="7"/>
      <c r="BK449" s="7"/>
      <c r="BL449" s="7"/>
      <c r="BM449" s="58"/>
    </row>
    <row r="450" spans="1:65">
      <c r="A450" s="5"/>
      <c r="B450" s="5"/>
      <c r="C450" s="5"/>
      <c r="D450" s="6"/>
      <c r="E450" s="5"/>
      <c r="F450" s="5"/>
      <c r="G450" s="5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  <c r="AD450" s="7"/>
      <c r="AE450" s="7"/>
      <c r="AF450" s="7"/>
      <c r="AG450" s="7"/>
      <c r="AH450" s="7"/>
      <c r="AI450" s="7"/>
      <c r="AJ450" s="7"/>
      <c r="AK450" s="7"/>
      <c r="AL450" s="7"/>
      <c r="AM450" s="7"/>
      <c r="AN450" s="7"/>
      <c r="AO450" s="7"/>
      <c r="AP450" s="7"/>
      <c r="AQ450" s="7"/>
      <c r="AR450" s="7"/>
      <c r="AS450" s="7"/>
      <c r="AT450" s="7"/>
      <c r="AU450" s="7"/>
      <c r="AV450" s="7"/>
      <c r="AW450" s="7"/>
      <c r="AX450" s="7"/>
      <c r="AY450" s="7"/>
      <c r="AZ450" s="7"/>
      <c r="BA450" s="7"/>
      <c r="BB450" s="7"/>
      <c r="BC450" s="7"/>
      <c r="BD450" s="7"/>
      <c r="BE450" s="7"/>
      <c r="BF450" s="7"/>
      <c r="BG450" s="7"/>
      <c r="BH450" s="7"/>
      <c r="BI450" s="7"/>
      <c r="BJ450" s="7"/>
      <c r="BK450" s="7"/>
      <c r="BL450" s="7"/>
      <c r="BM450" s="58"/>
    </row>
    <row r="451" spans="1:65">
      <c r="A451" s="5"/>
      <c r="B451" s="5"/>
      <c r="C451" s="5"/>
      <c r="D451" s="6"/>
      <c r="E451" s="5"/>
      <c r="F451" s="5"/>
      <c r="G451" s="5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  <c r="AD451" s="7"/>
      <c r="AE451" s="7"/>
      <c r="AF451" s="7"/>
      <c r="AG451" s="7"/>
      <c r="AH451" s="7"/>
      <c r="AI451" s="7"/>
      <c r="AJ451" s="7"/>
      <c r="AK451" s="7"/>
      <c r="AL451" s="7"/>
      <c r="AM451" s="7"/>
      <c r="AN451" s="7"/>
      <c r="AO451" s="7"/>
      <c r="AP451" s="7"/>
      <c r="AQ451" s="7"/>
      <c r="AR451" s="7"/>
      <c r="AS451" s="7"/>
      <c r="AT451" s="7"/>
      <c r="AU451" s="7"/>
      <c r="AV451" s="7"/>
      <c r="AW451" s="7"/>
      <c r="AX451" s="7"/>
      <c r="AY451" s="7"/>
      <c r="AZ451" s="7"/>
      <c r="BA451" s="7"/>
      <c r="BB451" s="7"/>
      <c r="BC451" s="7"/>
      <c r="BD451" s="7"/>
      <c r="BE451" s="7"/>
      <c r="BF451" s="7"/>
      <c r="BG451" s="7"/>
      <c r="BH451" s="7"/>
      <c r="BI451" s="7"/>
      <c r="BJ451" s="7"/>
      <c r="BK451" s="7"/>
      <c r="BL451" s="7"/>
      <c r="BM451" s="58"/>
    </row>
    <row r="452" spans="1:65">
      <c r="A452" s="5"/>
      <c r="B452" s="5"/>
      <c r="C452" s="5"/>
      <c r="D452" s="6"/>
      <c r="E452" s="5"/>
      <c r="F452" s="5"/>
      <c r="G452" s="5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  <c r="AD452" s="7"/>
      <c r="AE452" s="7"/>
      <c r="AF452" s="7"/>
      <c r="AG452" s="7"/>
      <c r="AH452" s="7"/>
      <c r="AI452" s="7"/>
      <c r="AJ452" s="7"/>
      <c r="AK452" s="7"/>
      <c r="AL452" s="7"/>
      <c r="AM452" s="7"/>
      <c r="AN452" s="7"/>
      <c r="AO452" s="7"/>
      <c r="AP452" s="7"/>
      <c r="AQ452" s="7"/>
      <c r="AR452" s="7"/>
      <c r="AS452" s="7"/>
      <c r="AT452" s="7"/>
      <c r="AU452" s="7"/>
      <c r="AV452" s="7"/>
      <c r="AW452" s="7"/>
      <c r="AX452" s="7"/>
      <c r="AY452" s="7"/>
      <c r="AZ452" s="7"/>
      <c r="BA452" s="7"/>
      <c r="BB452" s="7"/>
      <c r="BC452" s="7"/>
      <c r="BD452" s="7"/>
      <c r="BE452" s="7"/>
      <c r="BF452" s="7"/>
      <c r="BG452" s="7"/>
      <c r="BH452" s="7"/>
      <c r="BI452" s="7"/>
      <c r="BJ452" s="7"/>
      <c r="BK452" s="7"/>
      <c r="BL452" s="7"/>
      <c r="BM452" s="58"/>
    </row>
    <row r="453" spans="1:65">
      <c r="A453" s="5"/>
      <c r="B453" s="5"/>
      <c r="C453" s="5"/>
      <c r="D453" s="6"/>
      <c r="E453" s="5"/>
      <c r="F453" s="5"/>
      <c r="G453" s="5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  <c r="AD453" s="7"/>
      <c r="AE453" s="7"/>
      <c r="AF453" s="7"/>
      <c r="AG453" s="7"/>
      <c r="AH453" s="7"/>
      <c r="AI453" s="7"/>
      <c r="AJ453" s="7"/>
      <c r="AK453" s="7"/>
      <c r="AL453" s="7"/>
      <c r="AM453" s="7"/>
      <c r="AN453" s="7"/>
      <c r="AO453" s="7"/>
      <c r="AP453" s="7"/>
      <c r="AQ453" s="7"/>
      <c r="AR453" s="7"/>
      <c r="AS453" s="7"/>
      <c r="AT453" s="7"/>
      <c r="AU453" s="7"/>
      <c r="AV453" s="7"/>
      <c r="AW453" s="7"/>
      <c r="AX453" s="7"/>
      <c r="AY453" s="7"/>
      <c r="AZ453" s="7"/>
      <c r="BA453" s="7"/>
      <c r="BB453" s="7"/>
      <c r="BC453" s="7"/>
      <c r="BD453" s="7"/>
      <c r="BE453" s="7"/>
      <c r="BF453" s="7"/>
      <c r="BG453" s="7"/>
      <c r="BH453" s="7"/>
      <c r="BI453" s="7"/>
      <c r="BJ453" s="7"/>
      <c r="BK453" s="7"/>
      <c r="BL453" s="7"/>
      <c r="BM453" s="58"/>
    </row>
  </sheetData>
  <phoneticPr fontId="20" type="noConversion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합계(12)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컨텐츠별 매출통계</dc:title>
  <dc:creator>Administrator</dc:creator>
  <cp:lastModifiedBy>storywiz</cp:lastModifiedBy>
  <dcterms:created xsi:type="dcterms:W3CDTF">2019-02-07T01:40:45Z</dcterms:created>
  <dcterms:modified xsi:type="dcterms:W3CDTF">2023-01-03T08:06:03Z</dcterms:modified>
</cp:coreProperties>
</file>