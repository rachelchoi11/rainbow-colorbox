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1f649612fe4b1938/스토리위즈/정산 관련/정산 대시보드/유통사 정산서/2022/12월/1. 월초마감/네이버/"/>
    </mc:Choice>
  </mc:AlternateContent>
  <xr:revisionPtr revIDLastSave="11" documentId="11_30D1DD5B78F913BB9077283E1840585E92A6635C" xr6:coauthVersionLast="47" xr6:coauthVersionMax="47" xr10:uidLastSave="{1DA84AA0-6A0C-44CA-89B2-85F41D0B5F6D}"/>
  <bookViews>
    <workbookView xWindow="15630" yWindow="3510" windowWidth="29040" windowHeight="15840" tabRatio="766" xr2:uid="{00000000-000D-0000-FFFF-FFFF00000000}"/>
  </bookViews>
  <sheets>
    <sheet name="합계(12)" sheetId="414" r:id="rId1"/>
  </sheets>
  <definedNames>
    <definedName name="_xlnm._FilterDatabase" localSheetId="0" hidden="1">'합계(12)'!$A$1:$AM$1</definedName>
    <definedName name="_xlnm.Extract" localSheetId="0">'합계(12)'!#REF!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109" i="414" l="1"/>
  <c r="BO109" i="414" s="1"/>
  <c r="BN107" i="414" l="1"/>
  <c r="BO107" i="414" s="1"/>
  <c r="BN106" i="414"/>
  <c r="BO106" i="414" s="1"/>
  <c r="BN105" i="414"/>
  <c r="BO105" i="414" s="1"/>
  <c r="BN104" i="414"/>
  <c r="BO104" i="414" s="1"/>
  <c r="BN103" i="414"/>
  <c r="BO103" i="414" s="1"/>
  <c r="BN102" i="414"/>
  <c r="BO102" i="414" s="1"/>
  <c r="BN101" i="414"/>
  <c r="BO101" i="414" s="1"/>
  <c r="BN100" i="414"/>
  <c r="BO100" i="414" s="1"/>
  <c r="BN98" i="414"/>
  <c r="BO98" i="414" s="1"/>
  <c r="BN97" i="414"/>
  <c r="BO97" i="414" s="1"/>
  <c r="BN96" i="414"/>
  <c r="BO96" i="414" s="1"/>
  <c r="BN95" i="414"/>
  <c r="BO95" i="414" s="1"/>
  <c r="BN94" i="414"/>
  <c r="BO94" i="414" s="1"/>
  <c r="BN92" i="414"/>
  <c r="BO92" i="414" s="1"/>
  <c r="BN91" i="414"/>
  <c r="BO91" i="414" s="1"/>
  <c r="BN90" i="414"/>
  <c r="BO90" i="414" s="1"/>
  <c r="BN89" i="414"/>
  <c r="BO89" i="414" s="1"/>
  <c r="BN88" i="414"/>
  <c r="BN87" i="414"/>
  <c r="BN86" i="414"/>
  <c r="BN85" i="414"/>
  <c r="BN83" i="414"/>
  <c r="BN82" i="414"/>
  <c r="BN81" i="414"/>
  <c r="BN80" i="414"/>
  <c r="BN79" i="414"/>
  <c r="BN77" i="414"/>
  <c r="BN76" i="414"/>
  <c r="BN75" i="414"/>
  <c r="BN74" i="414"/>
  <c r="BN73" i="414"/>
  <c r="BN71" i="414"/>
  <c r="BN70" i="414"/>
  <c r="BN69" i="414"/>
  <c r="BN68" i="414"/>
  <c r="BN67" i="414"/>
  <c r="BN66" i="414"/>
  <c r="BN64" i="414"/>
  <c r="BN63" i="414"/>
  <c r="BN62" i="414"/>
  <c r="BN61" i="414"/>
  <c r="BN59" i="414"/>
  <c r="BN58" i="414"/>
  <c r="BN57" i="414"/>
  <c r="BN56" i="414"/>
  <c r="BN54" i="414"/>
  <c r="BN53" i="414"/>
  <c r="BN52" i="414"/>
  <c r="BN51" i="414"/>
  <c r="BN50" i="414"/>
  <c r="BN49" i="414"/>
  <c r="BN48" i="414"/>
  <c r="BN47" i="414"/>
  <c r="BN46" i="414"/>
  <c r="BN45" i="414"/>
  <c r="BN43" i="414"/>
  <c r="BN42" i="414"/>
  <c r="BN41" i="414"/>
  <c r="BN40" i="414"/>
  <c r="BN39" i="414"/>
  <c r="BN38" i="414"/>
  <c r="BN36" i="414"/>
  <c r="BN35" i="414"/>
  <c r="BN34" i="414"/>
  <c r="BN33" i="414"/>
  <c r="BN32" i="414"/>
  <c r="BN30" i="414"/>
  <c r="BN29" i="414"/>
  <c r="BN28" i="414"/>
  <c r="BN27" i="414"/>
  <c r="BN26" i="414"/>
  <c r="BN25" i="414"/>
  <c r="BN23" i="414"/>
  <c r="BN22" i="414"/>
  <c r="BN21" i="414"/>
  <c r="BN20" i="414"/>
  <c r="BN19" i="414"/>
  <c r="BN18" i="414"/>
  <c r="BN17" i="414"/>
  <c r="BN16" i="414"/>
  <c r="BN14" i="414"/>
  <c r="BN13" i="414"/>
  <c r="BN12" i="414"/>
  <c r="BN11" i="414"/>
  <c r="BN10" i="414"/>
  <c r="BN9" i="414"/>
  <c r="BN8" i="414"/>
  <c r="BN7" i="414"/>
  <c r="BN6" i="414"/>
  <c r="BN5" i="414"/>
  <c r="BN4" i="414"/>
  <c r="BN3" i="414"/>
  <c r="BN2" i="414"/>
  <c r="BO3" i="414" l="1"/>
  <c r="BO2" i="414"/>
  <c r="BO88" i="414" l="1"/>
  <c r="BN93" i="414"/>
  <c r="BO93" i="414" s="1"/>
  <c r="BN99" i="414"/>
  <c r="BO99" i="414" s="1"/>
  <c r="BN108" i="414"/>
  <c r="BO108" i="414" s="1"/>
  <c r="BO62" i="414" l="1"/>
  <c r="BO63" i="414"/>
  <c r="BO64" i="414"/>
  <c r="BN65" i="414"/>
  <c r="BO65" i="414" s="1"/>
  <c r="BO66" i="414"/>
  <c r="BO67" i="414"/>
  <c r="BO68" i="414"/>
  <c r="BO69" i="414"/>
  <c r="BO70" i="414"/>
  <c r="BO71" i="414"/>
  <c r="BN72" i="414"/>
  <c r="BO72" i="414" s="1"/>
  <c r="BO73" i="414"/>
  <c r="BO74" i="414"/>
  <c r="BO75" i="414"/>
  <c r="BO76" i="414"/>
  <c r="BO77" i="414"/>
  <c r="BN78" i="414"/>
  <c r="BO78" i="414" s="1"/>
  <c r="BO79" i="414"/>
  <c r="BO80" i="414"/>
  <c r="BO81" i="414"/>
  <c r="BO82" i="414"/>
  <c r="BO83" i="414"/>
  <c r="BN84" i="414"/>
  <c r="BO84" i="414" s="1"/>
  <c r="BO85" i="414"/>
  <c r="BO86" i="414"/>
  <c r="BO87" i="414"/>
  <c r="BO4" i="414" l="1"/>
  <c r="BO5" i="414"/>
  <c r="BO6" i="414"/>
  <c r="BO7" i="414"/>
  <c r="BO8" i="414"/>
  <c r="BO9" i="414"/>
  <c r="BO10" i="414"/>
  <c r="BO11" i="414"/>
  <c r="BO12" i="414"/>
  <c r="BO13" i="414"/>
  <c r="BO14" i="414"/>
  <c r="BN15" i="414"/>
  <c r="BO15" i="414" s="1"/>
  <c r="BO16" i="414"/>
  <c r="BO17" i="414"/>
  <c r="BO18" i="414"/>
  <c r="BO19" i="414"/>
  <c r="BO20" i="414"/>
  <c r="BO21" i="414"/>
  <c r="BO22" i="414"/>
  <c r="BO23" i="414"/>
  <c r="BN24" i="414"/>
  <c r="BO24" i="414" s="1"/>
  <c r="BO25" i="414"/>
  <c r="BO26" i="414"/>
  <c r="BO27" i="414"/>
  <c r="BO28" i="414"/>
  <c r="BO29" i="414"/>
  <c r="BO30" i="414"/>
  <c r="BN31" i="414"/>
  <c r="BO31" i="414" s="1"/>
  <c r="BO32" i="414"/>
  <c r="BO33" i="414"/>
  <c r="BO34" i="414"/>
  <c r="BO35" i="414"/>
  <c r="BO36" i="414"/>
  <c r="BN37" i="414"/>
  <c r="BO37" i="414" s="1"/>
  <c r="BO38" i="414"/>
  <c r="BO39" i="414"/>
  <c r="BO40" i="414"/>
  <c r="BO41" i="414"/>
  <c r="BO42" i="414"/>
  <c r="BO43" i="414"/>
  <c r="BN44" i="414"/>
  <c r="BO44" i="414" s="1"/>
  <c r="BO45" i="414"/>
  <c r="BO46" i="414"/>
  <c r="BO47" i="414"/>
  <c r="BO48" i="414"/>
  <c r="BO49" i="414"/>
  <c r="BO50" i="414"/>
  <c r="BO51" i="414"/>
  <c r="BO52" i="414"/>
  <c r="BO53" i="414"/>
  <c r="BO54" i="414"/>
  <c r="BN55" i="414"/>
  <c r="BO55" i="414" s="1"/>
  <c r="BO56" i="414"/>
  <c r="BO57" i="414"/>
  <c r="BO58" i="414"/>
  <c r="BO59" i="414"/>
  <c r="BN60" i="414"/>
  <c r="BO60" i="414" s="1"/>
  <c r="BO61" i="414"/>
  <c r="BO110" i="414" l="1"/>
</calcChain>
</file>

<file path=xl/sharedStrings.xml><?xml version="1.0" encoding="utf-8"?>
<sst xmlns="http://schemas.openxmlformats.org/spreadsheetml/2006/main" count="825" uniqueCount="196">
  <si>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</si>
  <si>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</si>
  <si>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</si>
  <si>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</si>
  <si>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</si>
  <si>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</si>
  <si>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</si>
  <si>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</si>
  <si>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</si>
  <si>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구분</t>
    <phoneticPr fontId="20" type="noConversion"/>
  </si>
  <si>
    <t>12세 이상 이용가능</t>
  </si>
  <si>
    <t>스토리위즈</t>
  </si>
  <si>
    <t>권용찬</t>
  </si>
  <si>
    <t>김광수</t>
  </si>
  <si>
    <t>회귀의 전설</t>
  </si>
  <si>
    <t>다크메이지 [단행본]</t>
  </si>
  <si>
    <t>김정률</t>
  </si>
  <si>
    <t>2014.10.23</t>
  </si>
  <si>
    <t>소드엠페러 [단행본]</t>
  </si>
  <si>
    <t>2014.10.22</t>
  </si>
  <si>
    <t>트루베니아 연대기 [단행본]</t>
  </si>
  <si>
    <t>21세기 대마법사</t>
  </si>
  <si>
    <t>주식회사 스토리위즈</t>
  </si>
  <si>
    <t>2020.09.16</t>
  </si>
  <si>
    <t>마계대공 연대기 [단행본]</t>
  </si>
  <si>
    <t>2014.08.20</t>
  </si>
  <si>
    <t>21세기 대마법사 [단행본]</t>
  </si>
  <si>
    <t>2014.07.24</t>
  </si>
  <si>
    <t>하프블러드 [단행본]</t>
  </si>
  <si>
    <t>2014.10.21</t>
  </si>
  <si>
    <t>마왕 데이몬 [단행본]</t>
  </si>
  <si>
    <t>데이몬 [단행본]</t>
  </si>
  <si>
    <t>2014.10.20</t>
  </si>
  <si>
    <t>블레이드헌터 [단행본]</t>
  </si>
  <si>
    <t>아나크레온 [단행본]</t>
  </si>
  <si>
    <t>2014.11.18</t>
  </si>
  <si>
    <t>전혁</t>
  </si>
  <si>
    <t>2015.05.27</t>
  </si>
  <si>
    <t>스피릿 소드 [단행본]</t>
  </si>
  <si>
    <t>2017.03.23</t>
  </si>
  <si>
    <t>스트라이커</t>
  </si>
  <si>
    <t>독고진</t>
  </si>
  <si>
    <t>2016.05.25</t>
  </si>
  <si>
    <t>트루베니아 연대기</t>
  </si>
  <si>
    <t>2020.10.13</t>
  </si>
  <si>
    <t>신궁전설 [단행본]</t>
  </si>
  <si>
    <t>2015.05.28</t>
  </si>
  <si>
    <t>신마협도 [단행본]</t>
  </si>
  <si>
    <t>2017.08.22</t>
  </si>
  <si>
    <t>데이몬</t>
  </si>
  <si>
    <t>2020.10.27</t>
  </si>
  <si>
    <t>절대비만 [단행본]</t>
  </si>
  <si>
    <t>2020.08.07</t>
  </si>
  <si>
    <t>상계무적 [단행본]</t>
  </si>
  <si>
    <t>2015.07.03</t>
  </si>
  <si>
    <t>스트라이커 [완전판] [단행본]</t>
  </si>
  <si>
    <t>2016.11.29</t>
  </si>
  <si>
    <t>절륜공자 [단행본]</t>
  </si>
  <si>
    <t>합계</t>
  </si>
  <si>
    <t>순매출(합계-수수료)</t>
    <phoneticPr fontId="20" type="noConversion"/>
  </si>
  <si>
    <t>2021.08.12</t>
  </si>
  <si>
    <t>레이드 만물상점[완전판] [단행본]</t>
  </si>
  <si>
    <t>2016.06.16</t>
  </si>
  <si>
    <t>프리 나이트 [단행본]</t>
  </si>
  <si>
    <t>2014.10.01</t>
  </si>
  <si>
    <t>상왕 진우몽 [단행본]</t>
  </si>
  <si>
    <t>SW 매출</t>
    <phoneticPr fontId="20" type="noConversion"/>
  </si>
  <si>
    <t>파계 [단행본]</t>
  </si>
  <si>
    <t>2016.06.10</t>
  </si>
  <si>
    <t>앱마켓수수료</t>
  </si>
  <si>
    <t>나이제한</t>
    <phoneticPr fontId="20" type="noConversion"/>
  </si>
  <si>
    <t>소드엠페러</t>
  </si>
  <si>
    <t>2020.12.18</t>
  </si>
  <si>
    <t>만인지상 [단행본]</t>
  </si>
  <si>
    <t>마스터 K [단행본]</t>
  </si>
  <si>
    <t>2014.07.02</t>
  </si>
  <si>
    <t>파란영</t>
  </si>
  <si>
    <t>2019.05.22</t>
  </si>
  <si>
    <t>하프블러드</t>
  </si>
  <si>
    <t>아나크레온</t>
  </si>
  <si>
    <t>2014.10.29</t>
  </si>
  <si>
    <t>월풍 [단행본]</t>
  </si>
  <si>
    <t>검산도해</t>
  </si>
  <si>
    <t>2020.04.28</t>
  </si>
  <si>
    <t>철중쟁쟁</t>
  </si>
  <si>
    <t>화산지애</t>
  </si>
  <si>
    <t>2020.09.07</t>
  </si>
  <si>
    <t>스포트라이트</t>
  </si>
  <si>
    <t>2018.03.29</t>
  </si>
  <si>
    <t>철중쟁쟁 [단행본]</t>
  </si>
  <si>
    <t>2016.03.17</t>
  </si>
  <si>
    <t>금시조</t>
  </si>
  <si>
    <t>2020.08.10</t>
  </si>
  <si>
    <t>스피릿 소드</t>
  </si>
  <si>
    <t>2016.07.06</t>
  </si>
  <si>
    <t>바람의 기사, 아르테온 [단행본]</t>
  </si>
  <si>
    <t>2014.11.27</t>
  </si>
  <si>
    <t>영웅[개정판]</t>
  </si>
  <si>
    <t>2016.04.13</t>
  </si>
  <si>
    <t>용중신권 [단행본]</t>
  </si>
  <si>
    <t>신마협도</t>
  </si>
  <si>
    <t>2020.08.12</t>
  </si>
  <si>
    <t>만렙도끼</t>
  </si>
  <si>
    <t>2021.02.20</t>
  </si>
  <si>
    <t>신규무사</t>
  </si>
  <si>
    <t>2018.11.06</t>
  </si>
  <si>
    <t>절대비만</t>
  </si>
  <si>
    <t>2020.09.11</t>
  </si>
  <si>
    <t>독종무쌍</t>
  </si>
  <si>
    <t>수적왕 [단행본]</t>
  </si>
  <si>
    <t>2016.03.15</t>
  </si>
  <si>
    <t>소장권_건수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</si>
  <si>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</si>
  <si>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</si>
  <si>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</si>
  <si>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</si>
  <si>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</si>
  <si>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</si>
  <si>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</si>
  <si>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</si>
  <si>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</si>
  <si>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</si>
  <si>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</si>
  <si>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</si>
  <si>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</si>
  <si>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</si>
  <si>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</si>
  <si>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</si>
  <si>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</si>
  <si>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</si>
  <si>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구매_무상</t>
    <phoneticPr fontId="20" type="noConversion"/>
  </si>
  <si>
    <t>쿠키로 구매_유상</t>
    <phoneticPr fontId="20" type="noConversion"/>
  </si>
  <si>
    <t>쿠키로 구매_건수</t>
    <phoneticPr fontId="20" type="noConversion"/>
  </si>
  <si>
    <t>쿠키로 대여_무상</t>
    <phoneticPr fontId="20" type="noConversion"/>
  </si>
  <si>
    <t>쿠키로 대여_유상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</si>
  <si>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</si>
  <si>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</si>
  <si>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</si>
  <si>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</si>
  <si>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</si>
  <si>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</si>
  <si>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</si>
  <si>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</si>
  <si>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</si>
  <si>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</si>
  <si>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</si>
  <si>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</si>
  <si>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</si>
  <si>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</si>
  <si>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</si>
  <si>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</si>
  <si>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</si>
  <si>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</si>
  <si>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</si>
  <si>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</si>
  <si>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</si>
  <si>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</si>
  <si>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</si>
  <si>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</si>
  <si>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</si>
  <si>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</si>
  <si>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</si>
  <si>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</si>
  <si>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</si>
  <si>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</si>
  <si>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신을 죽이러 갑니다 [단행본]</t>
  </si>
  <si>
    <t>2019.01.07</t>
  </si>
  <si>
    <t>용중신권</t>
  </si>
  <si>
    <t>시리즈APP</t>
    <phoneticPr fontId="20" type="noConversion"/>
  </si>
  <si>
    <t>시리즈완전판(APP)</t>
    <phoneticPr fontId="20" type="noConversion"/>
  </si>
  <si>
    <t>시리즈(iOS)</t>
    <phoneticPr fontId="20" type="noConversion"/>
  </si>
  <si>
    <t>신을 죽이러 갑니다</t>
  </si>
  <si>
    <t>2018.08.24</t>
  </si>
  <si>
    <t>출판사</t>
    <phoneticPr fontId="20" type="noConversion"/>
  </si>
  <si>
    <t>작가 CP</t>
    <phoneticPr fontId="20" type="noConversion"/>
  </si>
  <si>
    <t>레이드 만물상점</t>
  </si>
  <si>
    <t>2016.01.22</t>
  </si>
  <si>
    <t>칼 [단행본]</t>
  </si>
  <si>
    <t>신규무사 [단행본]</t>
  </si>
  <si>
    <t>2019.05.20</t>
  </si>
  <si>
    <t>소드마스터의 환생</t>
  </si>
  <si>
    <t>칼</t>
  </si>
  <si>
    <t>독종무쌍 [단행본]</t>
  </si>
  <si>
    <t>2015.04.17</t>
  </si>
  <si>
    <t>마신부활</t>
  </si>
  <si>
    <t>소드마스터의 환생 [단행본]</t>
  </si>
  <si>
    <t>검령천하: 나의 검 너의 노래</t>
  </si>
  <si>
    <t>화산지애 [단행본]</t>
  </si>
  <si>
    <t>2015.03.05</t>
  </si>
  <si>
    <t>신룡전설 [단행본]</t>
  </si>
  <si>
    <t>가람검</t>
  </si>
  <si>
    <t>2016.03.02</t>
  </si>
  <si>
    <t>게이트 헌터 [완전판] [단행본]</t>
  </si>
  <si>
    <t>2017.04.26</t>
  </si>
  <si>
    <t>순백의 아가씨</t>
  </si>
  <si>
    <t>한례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</si>
</sst>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theme="1"/>
      <name val="맑은 고딕"/>
      <family val="2"/>
      <charset val="129"/>
      <scheme val="minor"/>
    </font>
    <font>
      <b/>
      <sz val="7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7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Alignment="1">
      <alignment vertical="center" wrapText="1"/>
    </xf>
    <xf numFmtId="0" fontId="18" fillId="33" borderId="0" xfId="0" applyFont="1" applyFill="1" applyAlignment="1">
      <alignment vertical="center" wrapText="1"/>
    </xf>
    <xf numFmtId="0" fontId="19" fillId="34" borderId="0" xfId="0" applyFont="1" applyFill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41" fontId="21" fillId="0" borderId="0" xfId="42" applyFont="1">
      <alignment vertical="center"/>
    </xf>
    <xf numFmtId="41" fontId="21" fillId="0" borderId="0" xfId="42" applyFont="1" applyFill="1">
      <alignment vertical="center"/>
    </xf>
    <xf numFmtId="0" fontId="22" fillId="33" borderId="0" xfId="0" applyFont="1" applyFill="1" applyAlignment="1">
      <alignment horizontal="center" vertical="center" wrapText="1"/>
    </xf>
    <xf numFmtId="43" fontId="21" fillId="0" borderId="0" xfId="42" applyNumberFormat="1" applyFont="1" applyFill="1">
      <alignment vertical="center"/>
    </xf>
    <xf numFmtId="0" fontId="23" fillId="0" borderId="0" xfId="0" applyFont="1" applyAlignment="1">
      <alignment horizontal="left" vertical="center" wrapText="1"/>
    </xf>
    <xf numFmtId="49" fontId="23" fillId="0" borderId="0" xfId="0" applyNumberFormat="1" applyFont="1" applyAlignment="1">
      <alignment vertical="center" wrapText="1"/>
    </xf>
    <xf numFmtId="0" fontId="23" fillId="0" borderId="0" xfId="0" applyFont="1" applyAlignment="1">
      <alignment vertical="center" wrapText="1"/>
    </xf>
    <xf numFmtId="3" fontId="23" fillId="0" borderId="0" xfId="0" applyNumberFormat="1" applyFont="1" applyAlignment="1">
      <alignment vertical="center" wrapText="1"/>
    </xf>
    <xf numFmtId="4" fontId="23" fillId="0" borderId="0" xfId="0" applyNumberFormat="1" applyFont="1" applyAlignment="1">
      <alignment vertical="center" wrapText="1"/>
    </xf>
    <xf numFmtId="41" fontId="24" fillId="34" borderId="0" xfId="42" applyFont="1" applyFill="1">
      <alignment vertical="center"/>
    </xf>
    <xf numFmtId="0" fontId="25" fillId="33" borderId="0" xfId="0" applyFont="1" applyFill="1" applyAlignment="1">
      <alignment horizontal="center" vertical="center" wrapText="1"/>
    </xf>
    <xf numFmtId="4" fontId="26" fillId="0" borderId="0" xfId="0" applyNumberFormat="1" applyFont="1" applyAlignment="1">
      <alignment vertical="center" wrapText="1"/>
    </xf>
    <xf numFmtId="0" fontId="26" fillId="0" borderId="0" xfId="0" applyFont="1" applyAlignment="1">
      <alignment vertical="center" wrapText="1"/>
    </xf>
    <xf numFmtId="0" fontId="27" fillId="0" borderId="0" xfId="0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10"/>
  <sheetViews>
    <sheetView tabSelected="1" zoomScaleNormal="100" workbookViewId="0">
      <pane ySplit="1" topLeftCell="A2" activePane="bottomLeft" state="frozen"/>
      <selection activeCell="J1" sqref="J1"/>
      <selection pane="bottomLeft" activeCell="E11" sqref="E11"/>
    </sheetView>
  </sheetViews>
  <sheetFormatPr defaultRowHeight="16.5"/>
  <cols>
    <col min="1" max="1" width="9.375" style="1" customWidth="1"/>
    <col min="2" max="2" width="20" bestFit="1" customWidth="1"/>
    <col min="3" max="3" width="7.75" customWidth="1"/>
    <col min="4" max="4" width="7.25" customWidth="1"/>
    <col min="5" max="5" width="10" customWidth="1"/>
    <col min="6" max="6" width="10.25" customWidth="1"/>
    <col min="7" max="7" width="10" bestFit="1" customWidth="1"/>
    <col min="8" max="8" width="13.625" customWidth="1"/>
    <col min="9" max="9" width="7.375" customWidth="1"/>
    <col min="10" max="64" width="3.625" customWidth="1"/>
    <col min="65" max="65" width="12.75" style="21" bestFit="1" customWidth="1"/>
    <col min="66" max="66" width="13.5" bestFit="1" customWidth="1"/>
    <col min="67" max="67" width="13.375" style="7" customWidth="1"/>
  </cols>
  <sheetData>
    <row r="1" spans="1:69" ht="27" customHeight="1">
      <c r="A1" s="2" t="s">
        <v>9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70</v>
      </c>
      <c r="I1" s="3" t="s">
        <v>6</v>
      </c>
      <c r="J1" s="6" t="s">
        <v>112</v>
      </c>
      <c r="K1" s="6" t="s">
        <v>113</v>
      </c>
      <c r="L1" s="6" t="s">
        <v>114</v>
      </c>
      <c r="M1" s="6" t="s">
        <v>115</v>
      </c>
      <c r="N1" s="6" t="s">
        <v>116</v>
      </c>
      <c r="O1" s="6" t="s">
        <v>117</v>
      </c>
      <c r="P1" s="6" t="s">
        <v>118</v>
      </c>
      <c r="Q1" s="6" t="s">
        <v>119</v>
      </c>
      <c r="R1" s="6" t="s">
        <v>120</v>
      </c>
      <c r="S1" s="6" t="s">
        <v>111</v>
      </c>
      <c r="T1" s="6" t="s">
        <v>121</v>
      </c>
      <c r="U1" s="6" t="s">
        <v>122</v>
      </c>
      <c r="V1" s="6" t="s">
        <v>123</v>
      </c>
      <c r="W1" s="6" t="s">
        <v>124</v>
      </c>
      <c r="X1" s="6" t="s">
        <v>125</v>
      </c>
      <c r="Y1" s="6" t="s">
        <v>126</v>
      </c>
      <c r="Z1" s="6" t="s">
        <v>127</v>
      </c>
      <c r="AA1" s="6" t="s">
        <v>128</v>
      </c>
      <c r="AB1" s="6" t="s">
        <v>129</v>
      </c>
      <c r="AC1" s="6" t="s">
        <v>134</v>
      </c>
      <c r="AD1" s="6" t="s">
        <v>133</v>
      </c>
      <c r="AE1" s="6" t="s">
        <v>132</v>
      </c>
      <c r="AF1" s="6" t="s">
        <v>131</v>
      </c>
      <c r="AG1" s="6" t="s">
        <v>130</v>
      </c>
      <c r="AH1" s="6" t="s">
        <v>135</v>
      </c>
      <c r="AI1" s="6" t="s">
        <v>136</v>
      </c>
      <c r="AJ1" s="6" t="s">
        <v>137</v>
      </c>
      <c r="AK1" s="6" t="s">
        <v>138</v>
      </c>
      <c r="AL1" s="6" t="s">
        <v>139</v>
      </c>
      <c r="AM1" s="6" t="s">
        <v>140</v>
      </c>
      <c r="AN1" s="6" t="s">
        <v>141</v>
      </c>
      <c r="AO1" s="6" t="s">
        <v>142</v>
      </c>
      <c r="AP1" s="6" t="s">
        <v>143</v>
      </c>
      <c r="AQ1" s="6" t="s">
        <v>144</v>
      </c>
      <c r="AR1" s="6" t="s">
        <v>145</v>
      </c>
      <c r="AS1" s="6" t="s">
        <v>146</v>
      </c>
      <c r="AT1" s="6" t="s">
        <v>147</v>
      </c>
      <c r="AU1" s="6" t="s">
        <v>148</v>
      </c>
      <c r="AV1" s="6" t="s">
        <v>149</v>
      </c>
      <c r="AW1" s="6" t="s">
        <v>150</v>
      </c>
      <c r="AX1" s="6" t="s">
        <v>151</v>
      </c>
      <c r="AY1" s="6" t="s">
        <v>152</v>
      </c>
      <c r="AZ1" s="6" t="s">
        <v>153</v>
      </c>
      <c r="BA1" s="6" t="s">
        <v>154</v>
      </c>
      <c r="BB1" s="6" t="s">
        <v>155</v>
      </c>
      <c r="BC1" s="6" t="s">
        <v>156</v>
      </c>
      <c r="BD1" s="6" t="s">
        <v>157</v>
      </c>
      <c r="BE1" s="6" t="s">
        <v>158</v>
      </c>
      <c r="BF1" s="6" t="s">
        <v>159</v>
      </c>
      <c r="BG1" s="6" t="s">
        <v>160</v>
      </c>
      <c r="BH1" s="6" t="s">
        <v>161</v>
      </c>
      <c r="BI1" s="6" t="s">
        <v>162</v>
      </c>
      <c r="BJ1" s="6" t="s">
        <v>163</v>
      </c>
      <c r="BK1" s="6" t="s">
        <v>164</v>
      </c>
      <c r="BL1" s="6" t="s">
        <v>69</v>
      </c>
      <c r="BM1" s="18" t="s">
        <v>58</v>
      </c>
      <c r="BN1" s="6" t="s">
        <v>59</v>
      </c>
      <c r="BO1" s="6" t="s">
        <v>66</v>
      </c>
      <c r="BP1" s="6" t="s">
        <v>173</v>
      </c>
      <c r="BQ1" s="10" t="s">
        <v>174</v>
      </c>
    </row>
    <row r="2" spans="1:69" ht="24">
      <c r="A2" s="5" t="s">
        <v>168</v>
      </c>
      <c r="B2" s="12" t="s">
        <v>14</v>
      </c>
      <c r="C2" s="12">
        <v>355332</v>
      </c>
      <c r="D2" s="13"/>
      <c r="E2" s="12" t="s">
        <v>11</v>
      </c>
      <c r="F2" s="12" t="s">
        <v>13</v>
      </c>
      <c r="G2" s="12" t="s">
        <v>11</v>
      </c>
      <c r="H2" s="14" t="s">
        <v>8</v>
      </c>
      <c r="I2" s="14" t="s">
        <v>60</v>
      </c>
      <c r="J2" s="14">
        <v>11</v>
      </c>
      <c r="K2" s="15">
        <v>2164</v>
      </c>
      <c r="L2" s="15">
        <v>1100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39</v>
      </c>
      <c r="T2" s="15">
        <v>6489</v>
      </c>
      <c r="U2" s="15">
        <v>2200</v>
      </c>
      <c r="V2" s="14">
        <v>200</v>
      </c>
      <c r="W2" s="14">
        <v>200</v>
      </c>
      <c r="X2" s="15">
        <v>1560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14">
        <v>0</v>
      </c>
      <c r="AE2" s="15">
        <v>8978</v>
      </c>
      <c r="AF2" s="15">
        <v>629600</v>
      </c>
      <c r="AG2" s="15">
        <v>305300</v>
      </c>
      <c r="AH2" s="14">
        <v>0</v>
      </c>
      <c r="AI2" s="14">
        <v>0</v>
      </c>
      <c r="AJ2" s="14">
        <v>0</v>
      </c>
      <c r="AK2" s="14">
        <v>4</v>
      </c>
      <c r="AL2" s="14">
        <v>0</v>
      </c>
      <c r="AM2" s="14">
        <v>400</v>
      </c>
      <c r="AN2" s="14">
        <v>0</v>
      </c>
      <c r="AO2" s="14">
        <v>0</v>
      </c>
      <c r="AP2" s="14">
        <v>0</v>
      </c>
      <c r="AQ2" s="15">
        <v>5700</v>
      </c>
      <c r="AR2" s="15">
        <v>559100</v>
      </c>
      <c r="AS2" s="15">
        <v>10900</v>
      </c>
      <c r="AT2" s="14">
        <v>0</v>
      </c>
      <c r="AU2" s="14">
        <v>0</v>
      </c>
      <c r="AV2" s="14">
        <v>0</v>
      </c>
      <c r="AW2" s="15">
        <v>3031</v>
      </c>
      <c r="AX2" s="15">
        <v>363720</v>
      </c>
      <c r="AY2" s="14">
        <v>0</v>
      </c>
      <c r="AZ2" s="14">
        <v>0</v>
      </c>
      <c r="BA2" s="14">
        <v>0</v>
      </c>
      <c r="BB2" s="14">
        <v>0</v>
      </c>
      <c r="BC2" s="15">
        <v>13111</v>
      </c>
      <c r="BD2" s="15">
        <v>1572000</v>
      </c>
      <c r="BE2" s="15">
        <v>1100</v>
      </c>
      <c r="BF2" s="14">
        <v>0</v>
      </c>
      <c r="BG2" s="14">
        <v>0</v>
      </c>
      <c r="BH2" s="14">
        <v>0</v>
      </c>
      <c r="BI2" s="14">
        <v>0</v>
      </c>
      <c r="BJ2" s="14">
        <v>0</v>
      </c>
      <c r="BK2" s="14">
        <v>0</v>
      </c>
      <c r="BL2" s="16">
        <v>131160</v>
      </c>
      <c r="BM2" s="19">
        <v>3447380</v>
      </c>
      <c r="BN2" s="8">
        <f t="shared" ref="BN2:BN14" si="0">BM2-BL2</f>
        <v>3316220</v>
      </c>
      <c r="BO2" s="11">
        <f>BN2*70%</f>
        <v>2321354</v>
      </c>
    </row>
    <row r="3" spans="1:69" ht="24">
      <c r="A3" s="5" t="s">
        <v>168</v>
      </c>
      <c r="B3" s="12" t="s">
        <v>15</v>
      </c>
      <c r="C3" s="12">
        <v>159260</v>
      </c>
      <c r="D3" s="13"/>
      <c r="E3" s="12" t="s">
        <v>11</v>
      </c>
      <c r="F3" s="12" t="s">
        <v>16</v>
      </c>
      <c r="G3" s="12" t="s">
        <v>11</v>
      </c>
      <c r="H3" s="14" t="s">
        <v>7</v>
      </c>
      <c r="I3" s="14" t="s">
        <v>17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92</v>
      </c>
      <c r="AC3" s="15">
        <v>49600</v>
      </c>
      <c r="AD3" s="15">
        <v>28100</v>
      </c>
      <c r="AE3" s="14">
        <v>29</v>
      </c>
      <c r="AF3" s="15">
        <v>54100</v>
      </c>
      <c r="AG3" s="15">
        <v>35700</v>
      </c>
      <c r="AH3" s="14">
        <v>0</v>
      </c>
      <c r="AI3" s="14">
        <v>0</v>
      </c>
      <c r="AJ3" s="14">
        <v>0</v>
      </c>
      <c r="AK3" s="14">
        <v>0</v>
      </c>
      <c r="AL3" s="14">
        <v>0</v>
      </c>
      <c r="AM3" s="14">
        <v>0</v>
      </c>
      <c r="AN3" s="14">
        <v>38</v>
      </c>
      <c r="AO3" s="15">
        <v>34100</v>
      </c>
      <c r="AP3" s="14">
        <v>0</v>
      </c>
      <c r="AQ3" s="14">
        <v>30</v>
      </c>
      <c r="AR3" s="15">
        <v>94700</v>
      </c>
      <c r="AS3" s="15">
        <v>1300</v>
      </c>
      <c r="AT3" s="14">
        <v>66</v>
      </c>
      <c r="AU3" s="15">
        <v>68280</v>
      </c>
      <c r="AV3" s="14">
        <v>500</v>
      </c>
      <c r="AW3" s="14">
        <v>7</v>
      </c>
      <c r="AX3" s="15">
        <v>24960</v>
      </c>
      <c r="AY3" s="14">
        <v>0</v>
      </c>
      <c r="AZ3" s="14">
        <v>118</v>
      </c>
      <c r="BA3" s="15">
        <v>122520</v>
      </c>
      <c r="BB3" s="14">
        <v>500</v>
      </c>
      <c r="BC3" s="14">
        <v>5</v>
      </c>
      <c r="BD3" s="15">
        <v>17040</v>
      </c>
      <c r="BE3" s="14">
        <v>0</v>
      </c>
      <c r="BF3" s="14">
        <v>7</v>
      </c>
      <c r="BG3" s="15">
        <v>7560</v>
      </c>
      <c r="BH3" s="14">
        <v>0</v>
      </c>
      <c r="BI3" s="14">
        <v>0</v>
      </c>
      <c r="BJ3" s="14">
        <v>0</v>
      </c>
      <c r="BK3" s="14">
        <v>0</v>
      </c>
      <c r="BL3" s="16">
        <v>18075.599999999999</v>
      </c>
      <c r="BM3" s="19">
        <v>538960</v>
      </c>
      <c r="BN3" s="8">
        <f t="shared" si="0"/>
        <v>520884.4</v>
      </c>
      <c r="BO3" s="11">
        <f>BN3*70%</f>
        <v>364619.08</v>
      </c>
    </row>
    <row r="4" spans="1:69" ht="24">
      <c r="A4" s="5" t="s">
        <v>168</v>
      </c>
      <c r="B4" s="12" t="s">
        <v>18</v>
      </c>
      <c r="C4" s="12">
        <v>161539</v>
      </c>
      <c r="D4" s="13"/>
      <c r="E4" s="12" t="s">
        <v>11</v>
      </c>
      <c r="F4" s="12" t="s">
        <v>16</v>
      </c>
      <c r="G4" s="12" t="s">
        <v>11</v>
      </c>
      <c r="H4" s="14" t="s">
        <v>7</v>
      </c>
      <c r="I4" s="14" t="s">
        <v>19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53</v>
      </c>
      <c r="AC4" s="15">
        <v>29000</v>
      </c>
      <c r="AD4" s="15">
        <v>16300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19</v>
      </c>
      <c r="AO4" s="15">
        <v>16400</v>
      </c>
      <c r="AP4" s="14">
        <v>700</v>
      </c>
      <c r="AQ4" s="14">
        <v>9</v>
      </c>
      <c r="AR4" s="15">
        <v>25600</v>
      </c>
      <c r="AS4" s="15">
        <v>3200</v>
      </c>
      <c r="AT4" s="14">
        <v>41</v>
      </c>
      <c r="AU4" s="15">
        <v>44160</v>
      </c>
      <c r="AV4" s="14">
        <v>0</v>
      </c>
      <c r="AW4" s="14">
        <v>12</v>
      </c>
      <c r="AX4" s="15">
        <v>46080</v>
      </c>
      <c r="AY4" s="14">
        <v>0</v>
      </c>
      <c r="AZ4" s="14">
        <v>69</v>
      </c>
      <c r="BA4" s="15">
        <v>72600</v>
      </c>
      <c r="BB4" s="14">
        <v>500</v>
      </c>
      <c r="BC4" s="14">
        <v>1</v>
      </c>
      <c r="BD4" s="15">
        <v>3840</v>
      </c>
      <c r="BE4" s="14">
        <v>0</v>
      </c>
      <c r="BF4" s="14">
        <v>0</v>
      </c>
      <c r="BG4" s="14">
        <v>0</v>
      </c>
      <c r="BH4" s="14">
        <v>0</v>
      </c>
      <c r="BI4" s="14">
        <v>0</v>
      </c>
      <c r="BJ4" s="14">
        <v>0</v>
      </c>
      <c r="BK4" s="14">
        <v>0</v>
      </c>
      <c r="BL4" s="16">
        <v>13610.4</v>
      </c>
      <c r="BM4" s="19">
        <v>258380</v>
      </c>
      <c r="BN4" s="8">
        <f t="shared" si="0"/>
        <v>244769.6</v>
      </c>
      <c r="BO4" s="9">
        <f t="shared" ref="BO4:BO60" si="1">BN4*70%</f>
        <v>171338.72</v>
      </c>
    </row>
    <row r="5" spans="1:69" ht="24">
      <c r="A5" s="5" t="s">
        <v>168</v>
      </c>
      <c r="B5" s="12" t="s">
        <v>26</v>
      </c>
      <c r="C5" s="12">
        <v>161447</v>
      </c>
      <c r="D5" s="13"/>
      <c r="E5" s="12" t="s">
        <v>11</v>
      </c>
      <c r="F5" s="12" t="s">
        <v>13</v>
      </c>
      <c r="G5" s="12" t="s">
        <v>11</v>
      </c>
      <c r="H5" s="14" t="s">
        <v>7</v>
      </c>
      <c r="I5" s="14" t="s">
        <v>27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56</v>
      </c>
      <c r="AC5" s="15">
        <v>30960</v>
      </c>
      <c r="AD5" s="15">
        <v>20700</v>
      </c>
      <c r="AE5" s="14">
        <v>17</v>
      </c>
      <c r="AF5" s="15">
        <v>54400</v>
      </c>
      <c r="AG5" s="14">
        <v>0</v>
      </c>
      <c r="AH5" s="14">
        <v>0</v>
      </c>
      <c r="AI5" s="14">
        <v>0</v>
      </c>
      <c r="AJ5" s="14">
        <v>0</v>
      </c>
      <c r="AK5" s="14">
        <v>12</v>
      </c>
      <c r="AL5" s="14">
        <v>0</v>
      </c>
      <c r="AM5" s="15">
        <v>34300</v>
      </c>
      <c r="AN5" s="14">
        <v>17</v>
      </c>
      <c r="AO5" s="15">
        <v>14800</v>
      </c>
      <c r="AP5" s="14">
        <v>500</v>
      </c>
      <c r="AQ5" s="14">
        <v>0</v>
      </c>
      <c r="AR5" s="14">
        <v>0</v>
      </c>
      <c r="AS5" s="14">
        <v>0</v>
      </c>
      <c r="AT5" s="14">
        <v>13</v>
      </c>
      <c r="AU5" s="15">
        <v>12960</v>
      </c>
      <c r="AV5" s="14">
        <v>0</v>
      </c>
      <c r="AW5" s="14">
        <v>2</v>
      </c>
      <c r="AX5" s="15">
        <v>6000</v>
      </c>
      <c r="AY5" s="14">
        <v>0</v>
      </c>
      <c r="AZ5" s="14">
        <v>6</v>
      </c>
      <c r="BA5" s="15">
        <v>6480</v>
      </c>
      <c r="BB5" s="14">
        <v>0</v>
      </c>
      <c r="BC5" s="14">
        <v>21</v>
      </c>
      <c r="BD5" s="15">
        <v>71280</v>
      </c>
      <c r="BE5" s="14">
        <v>500</v>
      </c>
      <c r="BF5" s="14">
        <v>0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6">
        <v>6561.6</v>
      </c>
      <c r="BM5" s="19">
        <v>252880</v>
      </c>
      <c r="BN5" s="8">
        <f t="shared" si="0"/>
        <v>246318.4</v>
      </c>
      <c r="BO5" s="9">
        <f t="shared" si="1"/>
        <v>172422.87999999998</v>
      </c>
    </row>
    <row r="6" spans="1:69" ht="24">
      <c r="A6" s="5" t="s">
        <v>168</v>
      </c>
      <c r="B6" s="12" t="s">
        <v>71</v>
      </c>
      <c r="C6" s="12">
        <v>418829</v>
      </c>
      <c r="D6" s="13"/>
      <c r="E6" s="12" t="s">
        <v>11</v>
      </c>
      <c r="F6" s="12" t="s">
        <v>16</v>
      </c>
      <c r="G6" s="12" t="s">
        <v>11</v>
      </c>
      <c r="H6" s="14" t="s">
        <v>7</v>
      </c>
      <c r="I6" s="14" t="s">
        <v>72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132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5">
        <v>1411</v>
      </c>
      <c r="AF6" s="15">
        <v>128060</v>
      </c>
      <c r="AG6" s="15">
        <v>18800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367</v>
      </c>
      <c r="AX6" s="15">
        <v>44850</v>
      </c>
      <c r="AY6" s="14">
        <v>0</v>
      </c>
      <c r="AZ6" s="14">
        <v>0</v>
      </c>
      <c r="BA6" s="14">
        <v>0</v>
      </c>
      <c r="BB6" s="14">
        <v>0</v>
      </c>
      <c r="BC6" s="14">
        <v>491</v>
      </c>
      <c r="BD6" s="15">
        <v>58920</v>
      </c>
      <c r="BE6" s="14">
        <v>0</v>
      </c>
      <c r="BF6" s="14">
        <v>0</v>
      </c>
      <c r="BG6" s="14">
        <v>0</v>
      </c>
      <c r="BH6" s="14">
        <v>0</v>
      </c>
      <c r="BI6" s="14">
        <v>0</v>
      </c>
      <c r="BJ6" s="14">
        <v>0</v>
      </c>
      <c r="BK6" s="14">
        <v>0</v>
      </c>
      <c r="BL6" s="16">
        <v>8020.2</v>
      </c>
      <c r="BM6" s="19">
        <v>250630</v>
      </c>
      <c r="BN6" s="8">
        <f t="shared" si="0"/>
        <v>242609.8</v>
      </c>
      <c r="BO6" s="9">
        <f t="shared" si="1"/>
        <v>169826.86</v>
      </c>
    </row>
    <row r="7" spans="1:69" ht="24">
      <c r="A7" s="5" t="s">
        <v>168</v>
      </c>
      <c r="B7" s="12" t="s">
        <v>30</v>
      </c>
      <c r="C7" s="12">
        <v>159258</v>
      </c>
      <c r="D7" s="13"/>
      <c r="E7" s="12" t="s">
        <v>11</v>
      </c>
      <c r="F7" s="12" t="s">
        <v>16</v>
      </c>
      <c r="G7" s="12" t="s">
        <v>11</v>
      </c>
      <c r="H7" s="14" t="s">
        <v>7</v>
      </c>
      <c r="I7" s="14" t="s">
        <v>29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9</v>
      </c>
      <c r="AC7" s="15">
        <v>2080</v>
      </c>
      <c r="AD7" s="15">
        <v>5400</v>
      </c>
      <c r="AE7" s="14">
        <v>14</v>
      </c>
      <c r="AF7" s="15">
        <v>35200</v>
      </c>
      <c r="AG7" s="15">
        <v>7100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25</v>
      </c>
      <c r="AO7" s="15">
        <v>21500</v>
      </c>
      <c r="AP7" s="14">
        <v>400</v>
      </c>
      <c r="AQ7" s="14">
        <v>8</v>
      </c>
      <c r="AR7" s="15">
        <v>22500</v>
      </c>
      <c r="AS7" s="14">
        <v>600</v>
      </c>
      <c r="AT7" s="14">
        <v>29</v>
      </c>
      <c r="AU7" s="15">
        <v>29760</v>
      </c>
      <c r="AV7" s="14">
        <v>900</v>
      </c>
      <c r="AW7" s="14">
        <v>16</v>
      </c>
      <c r="AX7" s="15">
        <v>59760</v>
      </c>
      <c r="AY7" s="14">
        <v>0</v>
      </c>
      <c r="AZ7" s="14">
        <v>29</v>
      </c>
      <c r="BA7" s="15">
        <v>31320</v>
      </c>
      <c r="BB7" s="14">
        <v>0</v>
      </c>
      <c r="BC7" s="14">
        <v>1</v>
      </c>
      <c r="BD7" s="15">
        <v>3840</v>
      </c>
      <c r="BE7" s="14">
        <v>0</v>
      </c>
      <c r="BF7" s="14">
        <v>0</v>
      </c>
      <c r="BG7" s="14">
        <v>0</v>
      </c>
      <c r="BH7" s="14">
        <v>0</v>
      </c>
      <c r="BI7" s="14">
        <v>0</v>
      </c>
      <c r="BJ7" s="14">
        <v>0</v>
      </c>
      <c r="BK7" s="14">
        <v>0</v>
      </c>
      <c r="BL7" s="16">
        <v>11061.6</v>
      </c>
      <c r="BM7" s="19">
        <v>220360</v>
      </c>
      <c r="BN7" s="8">
        <f t="shared" si="0"/>
        <v>209298.4</v>
      </c>
      <c r="BO7" s="9">
        <f t="shared" si="1"/>
        <v>146508.87999999998</v>
      </c>
    </row>
    <row r="8" spans="1:69" ht="24">
      <c r="A8" s="5" t="s">
        <v>168</v>
      </c>
      <c r="B8" s="12" t="s">
        <v>24</v>
      </c>
      <c r="C8" s="12">
        <v>165741</v>
      </c>
      <c r="D8" s="13"/>
      <c r="E8" s="12" t="s">
        <v>11</v>
      </c>
      <c r="F8" s="12" t="s">
        <v>13</v>
      </c>
      <c r="G8" s="12" t="s">
        <v>11</v>
      </c>
      <c r="H8" s="14" t="s">
        <v>7</v>
      </c>
      <c r="I8" s="14" t="s">
        <v>25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9</v>
      </c>
      <c r="AC8" s="15">
        <v>8280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47</v>
      </c>
      <c r="AU8" s="15">
        <v>50760</v>
      </c>
      <c r="AV8" s="14">
        <v>0</v>
      </c>
      <c r="AW8" s="14">
        <v>1</v>
      </c>
      <c r="AX8" s="15">
        <v>3840</v>
      </c>
      <c r="AY8" s="14">
        <v>0</v>
      </c>
      <c r="AZ8" s="14">
        <v>0</v>
      </c>
      <c r="BA8" s="14">
        <v>0</v>
      </c>
      <c r="BB8" s="14">
        <v>0</v>
      </c>
      <c r="BC8" s="14">
        <v>29</v>
      </c>
      <c r="BD8" s="15">
        <v>111360</v>
      </c>
      <c r="BE8" s="14">
        <v>0</v>
      </c>
      <c r="BF8" s="14">
        <v>0</v>
      </c>
      <c r="BG8" s="14">
        <v>0</v>
      </c>
      <c r="BH8" s="14">
        <v>0</v>
      </c>
      <c r="BI8" s="14">
        <v>0</v>
      </c>
      <c r="BJ8" s="14">
        <v>0</v>
      </c>
      <c r="BK8" s="14">
        <v>0</v>
      </c>
      <c r="BL8" s="16">
        <v>12141.6</v>
      </c>
      <c r="BM8" s="19">
        <v>174240</v>
      </c>
      <c r="BN8" s="8">
        <f t="shared" si="0"/>
        <v>162098.4</v>
      </c>
      <c r="BO8" s="9">
        <f t="shared" si="1"/>
        <v>113468.87999999999</v>
      </c>
    </row>
    <row r="9" spans="1:69" ht="24">
      <c r="A9" s="5" t="s">
        <v>168</v>
      </c>
      <c r="B9" s="12" t="s">
        <v>20</v>
      </c>
      <c r="C9" s="12">
        <v>159270</v>
      </c>
      <c r="D9" s="13"/>
      <c r="E9" s="12" t="s">
        <v>11</v>
      </c>
      <c r="F9" s="12" t="s">
        <v>16</v>
      </c>
      <c r="G9" s="12" t="s">
        <v>11</v>
      </c>
      <c r="H9" s="14" t="s">
        <v>10</v>
      </c>
      <c r="I9" s="14" t="s">
        <v>19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34</v>
      </c>
      <c r="AC9" s="15">
        <v>10080</v>
      </c>
      <c r="AD9" s="15">
        <v>19500</v>
      </c>
      <c r="AE9" s="14">
        <v>1</v>
      </c>
      <c r="AF9" s="14">
        <v>0</v>
      </c>
      <c r="AG9" s="15">
        <v>2000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5</v>
      </c>
      <c r="AO9" s="15">
        <v>4300</v>
      </c>
      <c r="AP9" s="14">
        <v>200</v>
      </c>
      <c r="AQ9" s="14">
        <v>1</v>
      </c>
      <c r="AR9" s="15">
        <v>1200</v>
      </c>
      <c r="AS9" s="14">
        <v>0</v>
      </c>
      <c r="AT9" s="14">
        <v>37</v>
      </c>
      <c r="AU9" s="15">
        <v>36360</v>
      </c>
      <c r="AV9" s="14">
        <v>900</v>
      </c>
      <c r="AW9" s="14">
        <v>0</v>
      </c>
      <c r="AX9" s="14">
        <v>0</v>
      </c>
      <c r="AY9" s="14">
        <v>0</v>
      </c>
      <c r="AZ9" s="14">
        <v>80</v>
      </c>
      <c r="BA9" s="15">
        <v>84960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6">
        <v>8733.6</v>
      </c>
      <c r="BM9" s="19">
        <v>159500</v>
      </c>
      <c r="BN9" s="8">
        <f t="shared" si="0"/>
        <v>150766.39999999999</v>
      </c>
      <c r="BO9" s="9">
        <f t="shared" si="1"/>
        <v>105536.48</v>
      </c>
    </row>
    <row r="10" spans="1:69" ht="24">
      <c r="A10" s="5" t="s">
        <v>168</v>
      </c>
      <c r="B10" s="12" t="s">
        <v>28</v>
      </c>
      <c r="C10" s="12">
        <v>159268</v>
      </c>
      <c r="D10" s="13"/>
      <c r="E10" s="12" t="s">
        <v>11</v>
      </c>
      <c r="F10" s="12" t="s">
        <v>16</v>
      </c>
      <c r="G10" s="12" t="s">
        <v>11</v>
      </c>
      <c r="H10" s="14" t="s">
        <v>7</v>
      </c>
      <c r="I10" s="14" t="s">
        <v>29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18</v>
      </c>
      <c r="AC10" s="15">
        <v>11620</v>
      </c>
      <c r="AD10" s="15">
        <v>5400</v>
      </c>
      <c r="AE10" s="14">
        <v>17</v>
      </c>
      <c r="AF10" s="14">
        <v>0</v>
      </c>
      <c r="AG10" s="15">
        <v>44800</v>
      </c>
      <c r="AH10" s="14">
        <v>0</v>
      </c>
      <c r="AI10" s="14">
        <v>0</v>
      </c>
      <c r="AJ10" s="14">
        <v>0</v>
      </c>
      <c r="AK10" s="14">
        <v>4</v>
      </c>
      <c r="AL10" s="14">
        <v>0</v>
      </c>
      <c r="AM10" s="15">
        <v>10700</v>
      </c>
      <c r="AN10" s="14">
        <v>0</v>
      </c>
      <c r="AO10" s="14">
        <v>0</v>
      </c>
      <c r="AP10" s="14">
        <v>0</v>
      </c>
      <c r="AQ10" s="14">
        <v>9</v>
      </c>
      <c r="AR10" s="15">
        <v>27700</v>
      </c>
      <c r="AS10" s="14">
        <v>0</v>
      </c>
      <c r="AT10" s="14">
        <v>17</v>
      </c>
      <c r="AU10" s="15">
        <v>17880</v>
      </c>
      <c r="AV10" s="14">
        <v>0</v>
      </c>
      <c r="AW10" s="14">
        <v>0</v>
      </c>
      <c r="AX10" s="14">
        <v>0</v>
      </c>
      <c r="AY10" s="14">
        <v>0</v>
      </c>
      <c r="AZ10" s="14">
        <v>19</v>
      </c>
      <c r="BA10" s="15">
        <v>19800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4">
        <v>0</v>
      </c>
      <c r="BH10" s="14">
        <v>0</v>
      </c>
      <c r="BI10" s="14">
        <v>0</v>
      </c>
      <c r="BJ10" s="14">
        <v>0</v>
      </c>
      <c r="BK10" s="14">
        <v>0</v>
      </c>
      <c r="BL10" s="16">
        <v>2976</v>
      </c>
      <c r="BM10" s="19">
        <v>137900</v>
      </c>
      <c r="BN10" s="8">
        <f t="shared" si="0"/>
        <v>134924</v>
      </c>
      <c r="BO10" s="9">
        <f t="shared" si="1"/>
        <v>94446.799999999988</v>
      </c>
    </row>
    <row r="11" spans="1:69" ht="24">
      <c r="A11" s="5" t="s">
        <v>168</v>
      </c>
      <c r="B11" s="12" t="s">
        <v>31</v>
      </c>
      <c r="C11" s="12">
        <v>159255</v>
      </c>
      <c r="D11" s="13"/>
      <c r="E11" s="12" t="s">
        <v>11</v>
      </c>
      <c r="F11" s="12" t="s">
        <v>16</v>
      </c>
      <c r="G11" s="12" t="s">
        <v>11</v>
      </c>
      <c r="H11" s="14" t="s">
        <v>8</v>
      </c>
      <c r="I11" s="14" t="s">
        <v>32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11</v>
      </c>
      <c r="AC11" s="15">
        <v>2880</v>
      </c>
      <c r="AD11" s="15">
        <v>7100</v>
      </c>
      <c r="AE11" s="14">
        <v>17</v>
      </c>
      <c r="AF11" s="15">
        <v>32320</v>
      </c>
      <c r="AG11" s="15">
        <v>20900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6</v>
      </c>
      <c r="AO11" s="15">
        <v>5400</v>
      </c>
      <c r="AP11" s="14">
        <v>0</v>
      </c>
      <c r="AQ11" s="14">
        <v>0</v>
      </c>
      <c r="AR11" s="14">
        <v>0</v>
      </c>
      <c r="AS11" s="14">
        <v>0</v>
      </c>
      <c r="AT11" s="14">
        <v>11</v>
      </c>
      <c r="AU11" s="15">
        <v>10920</v>
      </c>
      <c r="AV11" s="14">
        <v>0</v>
      </c>
      <c r="AW11" s="14">
        <v>0</v>
      </c>
      <c r="AX11" s="14">
        <v>0</v>
      </c>
      <c r="AY11" s="14">
        <v>0</v>
      </c>
      <c r="AZ11" s="14">
        <v>29</v>
      </c>
      <c r="BA11" s="15">
        <v>31320</v>
      </c>
      <c r="BB11" s="14">
        <v>0</v>
      </c>
      <c r="BC11" s="14">
        <v>6</v>
      </c>
      <c r="BD11" s="15">
        <v>22920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6">
        <v>4346.3999999999996</v>
      </c>
      <c r="BM11" s="19">
        <v>133760</v>
      </c>
      <c r="BN11" s="8">
        <f t="shared" si="0"/>
        <v>129413.6</v>
      </c>
      <c r="BO11" s="9">
        <f t="shared" si="1"/>
        <v>90589.52</v>
      </c>
    </row>
    <row r="12" spans="1:69" ht="24">
      <c r="A12" s="5" t="s">
        <v>168</v>
      </c>
      <c r="B12" s="12" t="s">
        <v>34</v>
      </c>
      <c r="C12" s="12">
        <v>173863</v>
      </c>
      <c r="D12" s="13"/>
      <c r="E12" s="12" t="s">
        <v>11</v>
      </c>
      <c r="F12" s="12" t="s">
        <v>16</v>
      </c>
      <c r="G12" s="12" t="s">
        <v>11</v>
      </c>
      <c r="H12" s="14" t="s">
        <v>7</v>
      </c>
      <c r="I12" s="14" t="s">
        <v>35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20</v>
      </c>
      <c r="AC12" s="15">
        <v>18000</v>
      </c>
      <c r="AD12" s="14">
        <v>0</v>
      </c>
      <c r="AE12" s="14">
        <v>1</v>
      </c>
      <c r="AF12" s="15">
        <v>3200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27</v>
      </c>
      <c r="AO12" s="15">
        <v>24300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10</v>
      </c>
      <c r="BA12" s="15">
        <v>10800</v>
      </c>
      <c r="BB12" s="14">
        <v>0</v>
      </c>
      <c r="BC12" s="14">
        <v>15</v>
      </c>
      <c r="BD12" s="15">
        <v>57600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6">
        <v>4104</v>
      </c>
      <c r="BM12" s="19">
        <v>113900</v>
      </c>
      <c r="BN12" s="8">
        <f t="shared" si="0"/>
        <v>109796</v>
      </c>
      <c r="BO12" s="9">
        <f t="shared" si="1"/>
        <v>76857.2</v>
      </c>
    </row>
    <row r="13" spans="1:69" ht="24">
      <c r="A13" s="5" t="s">
        <v>168</v>
      </c>
      <c r="B13" s="12" t="s">
        <v>21</v>
      </c>
      <c r="C13" s="12">
        <v>409392</v>
      </c>
      <c r="D13" s="13"/>
      <c r="E13" s="12" t="s">
        <v>11</v>
      </c>
      <c r="F13" s="12" t="s">
        <v>13</v>
      </c>
      <c r="G13" s="12" t="s">
        <v>22</v>
      </c>
      <c r="H13" s="14" t="s">
        <v>7</v>
      </c>
      <c r="I13" s="14" t="s">
        <v>23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23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35</v>
      </c>
      <c r="AF13" s="14">
        <v>500</v>
      </c>
      <c r="AG13" s="15">
        <v>3000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15</v>
      </c>
      <c r="AR13" s="15">
        <v>1500</v>
      </c>
      <c r="AS13" s="14">
        <v>0</v>
      </c>
      <c r="AT13" s="14">
        <v>0</v>
      </c>
      <c r="AU13" s="14">
        <v>0</v>
      </c>
      <c r="AV13" s="14">
        <v>0</v>
      </c>
      <c r="AW13" s="14">
        <v>310</v>
      </c>
      <c r="AX13" s="15">
        <v>37200</v>
      </c>
      <c r="AY13" s="14">
        <v>0</v>
      </c>
      <c r="AZ13" s="14">
        <v>0</v>
      </c>
      <c r="BA13" s="14">
        <v>0</v>
      </c>
      <c r="BB13" s="14">
        <v>0</v>
      </c>
      <c r="BC13" s="14">
        <v>504</v>
      </c>
      <c r="BD13" s="15">
        <v>60480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6">
        <v>7348.8</v>
      </c>
      <c r="BM13" s="19">
        <v>102680</v>
      </c>
      <c r="BN13" s="8">
        <f t="shared" si="0"/>
        <v>95331.199999999997</v>
      </c>
      <c r="BO13" s="9">
        <f t="shared" si="1"/>
        <v>66731.839999999997</v>
      </c>
    </row>
    <row r="14" spans="1:69" ht="24">
      <c r="A14" s="5" t="s">
        <v>168</v>
      </c>
      <c r="B14" s="12" t="s">
        <v>55</v>
      </c>
      <c r="C14" s="12">
        <v>258201</v>
      </c>
      <c r="D14" s="13"/>
      <c r="E14" s="12" t="s">
        <v>11</v>
      </c>
      <c r="F14" s="12" t="s">
        <v>41</v>
      </c>
      <c r="G14" s="12" t="s">
        <v>11</v>
      </c>
      <c r="H14" s="14" t="s">
        <v>7</v>
      </c>
      <c r="I14" s="14" t="s">
        <v>56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5</v>
      </c>
      <c r="AC14" s="15">
        <v>4500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1</v>
      </c>
      <c r="AO14" s="14">
        <v>900</v>
      </c>
      <c r="AP14" s="14">
        <v>0</v>
      </c>
      <c r="AQ14" s="14">
        <v>9</v>
      </c>
      <c r="AR14" s="15">
        <v>28800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23</v>
      </c>
      <c r="BA14" s="15">
        <v>24840</v>
      </c>
      <c r="BB14" s="14">
        <v>0</v>
      </c>
      <c r="BC14" s="14">
        <v>10</v>
      </c>
      <c r="BD14" s="15">
        <v>38400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6">
        <v>3794.4</v>
      </c>
      <c r="BM14" s="19">
        <v>97440</v>
      </c>
      <c r="BN14" s="8">
        <f t="shared" si="0"/>
        <v>93645.6</v>
      </c>
      <c r="BO14" s="9">
        <f t="shared" si="1"/>
        <v>65551.92</v>
      </c>
    </row>
    <row r="15" spans="1:69" ht="24">
      <c r="A15" s="5" t="s">
        <v>168</v>
      </c>
      <c r="B15" s="12" t="s">
        <v>33</v>
      </c>
      <c r="C15" s="12">
        <v>159266</v>
      </c>
      <c r="D15" s="13"/>
      <c r="E15" s="12" t="s">
        <v>11</v>
      </c>
      <c r="F15" s="12" t="s">
        <v>16</v>
      </c>
      <c r="G15" s="12" t="s">
        <v>11</v>
      </c>
      <c r="H15" s="14" t="s">
        <v>7</v>
      </c>
      <c r="I15" s="14" t="s">
        <v>29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1</v>
      </c>
      <c r="AC15" s="14">
        <v>900</v>
      </c>
      <c r="AD15" s="14">
        <v>0</v>
      </c>
      <c r="AE15" s="14">
        <v>1</v>
      </c>
      <c r="AF15" s="15">
        <v>3200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8</v>
      </c>
      <c r="AO15" s="15">
        <v>7200</v>
      </c>
      <c r="AP15" s="14">
        <v>0</v>
      </c>
      <c r="AQ15" s="14">
        <v>2</v>
      </c>
      <c r="AR15" s="15">
        <v>6400</v>
      </c>
      <c r="AS15" s="14">
        <v>0</v>
      </c>
      <c r="AT15" s="14">
        <v>21</v>
      </c>
      <c r="AU15" s="15">
        <v>22680</v>
      </c>
      <c r="AV15" s="14">
        <v>0</v>
      </c>
      <c r="AW15" s="14">
        <v>0</v>
      </c>
      <c r="AX15" s="14">
        <v>0</v>
      </c>
      <c r="AY15" s="14">
        <v>0</v>
      </c>
      <c r="AZ15" s="14">
        <v>44</v>
      </c>
      <c r="BA15" s="15">
        <v>47520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6">
        <v>5119.2</v>
      </c>
      <c r="BM15" s="19">
        <v>87900</v>
      </c>
      <c r="BN15" s="8">
        <f t="shared" ref="BN15:BN60" si="2">BM15-BL15</f>
        <v>82780.800000000003</v>
      </c>
      <c r="BO15" s="9">
        <f t="shared" si="1"/>
        <v>57946.559999999998</v>
      </c>
    </row>
    <row r="16" spans="1:69" ht="24">
      <c r="A16" s="5" t="s">
        <v>168</v>
      </c>
      <c r="B16" s="12" t="s">
        <v>40</v>
      </c>
      <c r="C16" s="12">
        <v>215737</v>
      </c>
      <c r="D16" s="13"/>
      <c r="E16" s="12" t="s">
        <v>11</v>
      </c>
      <c r="F16" s="12" t="s">
        <v>41</v>
      </c>
      <c r="G16" s="12" t="s">
        <v>11</v>
      </c>
      <c r="H16" s="14" t="s">
        <v>7</v>
      </c>
      <c r="I16" s="14" t="s">
        <v>42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92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188</v>
      </c>
      <c r="AF16" s="15">
        <v>9800</v>
      </c>
      <c r="AG16" s="15">
        <v>9000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249</v>
      </c>
      <c r="AR16" s="15">
        <v>24700</v>
      </c>
      <c r="AS16" s="14">
        <v>200</v>
      </c>
      <c r="AT16" s="14">
        <v>0</v>
      </c>
      <c r="AU16" s="14">
        <v>0</v>
      </c>
      <c r="AV16" s="14">
        <v>0</v>
      </c>
      <c r="AW16" s="14">
        <v>171</v>
      </c>
      <c r="AX16" s="15">
        <v>20520</v>
      </c>
      <c r="AY16" s="14">
        <v>0</v>
      </c>
      <c r="AZ16" s="14">
        <v>0</v>
      </c>
      <c r="BA16" s="14">
        <v>0</v>
      </c>
      <c r="BB16" s="14">
        <v>0</v>
      </c>
      <c r="BC16" s="14">
        <v>168</v>
      </c>
      <c r="BD16" s="15">
        <v>20160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6">
        <v>3261.6</v>
      </c>
      <c r="BM16" s="19">
        <v>84380</v>
      </c>
      <c r="BN16" s="8">
        <f t="shared" ref="BN16:BN23" si="3">BM16-BL16</f>
        <v>81118.399999999994</v>
      </c>
      <c r="BO16" s="9">
        <f t="shared" si="1"/>
        <v>56782.87999999999</v>
      </c>
    </row>
    <row r="17" spans="1:67" ht="24">
      <c r="A17" s="5" t="s">
        <v>168</v>
      </c>
      <c r="B17" s="12" t="s">
        <v>74</v>
      </c>
      <c r="C17" s="12">
        <v>159483</v>
      </c>
      <c r="D17" s="13"/>
      <c r="E17" s="12" t="s">
        <v>11</v>
      </c>
      <c r="F17" s="12" t="s">
        <v>13</v>
      </c>
      <c r="G17" s="12" t="s">
        <v>11</v>
      </c>
      <c r="H17" s="14" t="s">
        <v>7</v>
      </c>
      <c r="I17" s="14" t="s">
        <v>75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3</v>
      </c>
      <c r="AO17" s="15">
        <v>2700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57</v>
      </c>
      <c r="BA17" s="15">
        <v>61560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6">
        <v>3693.6</v>
      </c>
      <c r="BM17" s="19">
        <v>64260</v>
      </c>
      <c r="BN17" s="8">
        <f t="shared" si="3"/>
        <v>60566.400000000001</v>
      </c>
      <c r="BO17" s="9">
        <f t="shared" si="1"/>
        <v>42396.479999999996</v>
      </c>
    </row>
    <row r="18" spans="1:67" ht="24">
      <c r="A18" s="5" t="s">
        <v>168</v>
      </c>
      <c r="B18" s="12" t="s">
        <v>73</v>
      </c>
      <c r="C18" s="12">
        <v>192737</v>
      </c>
      <c r="D18" s="13"/>
      <c r="E18" s="12" t="s">
        <v>11</v>
      </c>
      <c r="F18" s="12" t="s">
        <v>36</v>
      </c>
      <c r="G18" s="12" t="s">
        <v>11</v>
      </c>
      <c r="H18" s="14" t="s">
        <v>7</v>
      </c>
      <c r="I18" s="14" t="s">
        <v>37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15</v>
      </c>
      <c r="AC18" s="15">
        <v>8200</v>
      </c>
      <c r="AD18" s="15">
        <v>5300</v>
      </c>
      <c r="AE18" s="14">
        <v>8</v>
      </c>
      <c r="AF18" s="15">
        <v>25600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11</v>
      </c>
      <c r="AU18" s="15">
        <v>11880</v>
      </c>
      <c r="AV18" s="14">
        <v>0</v>
      </c>
      <c r="AW18" s="14">
        <v>0</v>
      </c>
      <c r="AX18" s="14">
        <v>0</v>
      </c>
      <c r="AY18" s="14">
        <v>0</v>
      </c>
      <c r="AZ18" s="14">
        <v>11</v>
      </c>
      <c r="BA18" s="15">
        <v>11880</v>
      </c>
      <c r="BB18" s="14">
        <v>0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4">
        <v>0</v>
      </c>
      <c r="BL18" s="16">
        <v>1900.8</v>
      </c>
      <c r="BM18" s="19">
        <v>62860</v>
      </c>
      <c r="BN18" s="8">
        <f t="shared" si="3"/>
        <v>60959.199999999997</v>
      </c>
      <c r="BO18" s="9">
        <f t="shared" si="1"/>
        <v>42671.439999999995</v>
      </c>
    </row>
    <row r="19" spans="1:67" ht="24">
      <c r="A19" s="5" t="s">
        <v>168</v>
      </c>
      <c r="B19" s="12" t="s">
        <v>165</v>
      </c>
      <c r="C19" s="12">
        <v>339554</v>
      </c>
      <c r="D19" s="13"/>
      <c r="E19" s="12" t="s">
        <v>11</v>
      </c>
      <c r="F19" s="12" t="s">
        <v>41</v>
      </c>
      <c r="G19" s="12" t="s">
        <v>11</v>
      </c>
      <c r="H19" s="14" t="s">
        <v>7</v>
      </c>
      <c r="I19" s="14" t="s">
        <v>166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15</v>
      </c>
      <c r="BD19" s="15">
        <v>57600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6">
        <v>3456</v>
      </c>
      <c r="BM19" s="19">
        <v>57600</v>
      </c>
      <c r="BN19" s="8">
        <f t="shared" si="3"/>
        <v>54144</v>
      </c>
      <c r="BO19" s="9">
        <f t="shared" si="1"/>
        <v>37900.799999999996</v>
      </c>
    </row>
    <row r="20" spans="1:67" ht="24">
      <c r="A20" s="5" t="s">
        <v>168</v>
      </c>
      <c r="B20" s="12" t="s">
        <v>180</v>
      </c>
      <c r="C20" s="12">
        <v>326544</v>
      </c>
      <c r="D20" s="13"/>
      <c r="E20" s="12" t="s">
        <v>11</v>
      </c>
      <c r="F20" s="12" t="s">
        <v>76</v>
      </c>
      <c r="G20" s="12" t="s">
        <v>11</v>
      </c>
      <c r="H20" s="14" t="s">
        <v>7</v>
      </c>
      <c r="I20" s="14" t="s">
        <v>77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27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247</v>
      </c>
      <c r="AF20" s="15">
        <v>25080</v>
      </c>
      <c r="AG20" s="14">
        <v>700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279</v>
      </c>
      <c r="AR20" s="15">
        <v>27500</v>
      </c>
      <c r="AS20" s="14">
        <v>400</v>
      </c>
      <c r="AT20" s="14">
        <v>0</v>
      </c>
      <c r="AU20" s="14">
        <v>0</v>
      </c>
      <c r="AV20" s="14">
        <v>0</v>
      </c>
      <c r="AW20" s="14">
        <v>24</v>
      </c>
      <c r="AX20" s="15">
        <v>2880</v>
      </c>
      <c r="AY20" s="14">
        <v>0</v>
      </c>
      <c r="AZ20" s="14">
        <v>0</v>
      </c>
      <c r="BA20" s="14">
        <v>0</v>
      </c>
      <c r="BB20" s="14">
        <v>0</v>
      </c>
      <c r="BC20" s="14">
        <v>6</v>
      </c>
      <c r="BD20" s="14">
        <v>720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0</v>
      </c>
      <c r="BK20" s="14">
        <v>0</v>
      </c>
      <c r="BL20" s="14">
        <v>331.2</v>
      </c>
      <c r="BM20" s="19">
        <v>57280</v>
      </c>
      <c r="BN20" s="8">
        <f t="shared" si="3"/>
        <v>56948.800000000003</v>
      </c>
      <c r="BO20" s="9">
        <f t="shared" si="1"/>
        <v>39864.159999999996</v>
      </c>
    </row>
    <row r="21" spans="1:67" ht="24">
      <c r="A21" s="5" t="s">
        <v>168</v>
      </c>
      <c r="B21" s="12" t="s">
        <v>89</v>
      </c>
      <c r="C21" s="12">
        <v>229857</v>
      </c>
      <c r="D21" s="13"/>
      <c r="E21" s="12" t="s">
        <v>11</v>
      </c>
      <c r="F21" s="12" t="s">
        <v>12</v>
      </c>
      <c r="G21" s="12" t="s">
        <v>11</v>
      </c>
      <c r="H21" s="14" t="s">
        <v>10</v>
      </c>
      <c r="I21" s="14" t="s">
        <v>90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7</v>
      </c>
      <c r="AC21" s="15">
        <v>6300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2</v>
      </c>
      <c r="AU21" s="15">
        <v>2358</v>
      </c>
      <c r="AV21" s="14">
        <v>0</v>
      </c>
      <c r="AW21" s="14">
        <v>0</v>
      </c>
      <c r="AX21" s="14">
        <v>0</v>
      </c>
      <c r="AY21" s="14">
        <v>0</v>
      </c>
      <c r="AZ21" s="14">
        <v>19</v>
      </c>
      <c r="BA21" s="15">
        <v>20520</v>
      </c>
      <c r="BB21" s="14">
        <v>0</v>
      </c>
      <c r="BC21" s="14">
        <v>7</v>
      </c>
      <c r="BD21" s="15">
        <v>26880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6">
        <v>3079.8</v>
      </c>
      <c r="BM21" s="19">
        <v>56058</v>
      </c>
      <c r="BN21" s="8">
        <f t="shared" si="3"/>
        <v>52978.2</v>
      </c>
      <c r="BO21" s="9">
        <f t="shared" si="1"/>
        <v>37084.74</v>
      </c>
    </row>
    <row r="22" spans="1:67" ht="24">
      <c r="A22" s="5" t="s">
        <v>168</v>
      </c>
      <c r="B22" s="12" t="s">
        <v>45</v>
      </c>
      <c r="C22" s="12">
        <v>192729</v>
      </c>
      <c r="D22" s="13"/>
      <c r="E22" s="12" t="s">
        <v>11</v>
      </c>
      <c r="F22" s="12" t="s">
        <v>36</v>
      </c>
      <c r="G22" s="12" t="s">
        <v>11</v>
      </c>
      <c r="H22" s="14" t="s">
        <v>7</v>
      </c>
      <c r="I22" s="14" t="s">
        <v>46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4</v>
      </c>
      <c r="AC22" s="15">
        <v>2160</v>
      </c>
      <c r="AD22" s="15">
        <v>1100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21</v>
      </c>
      <c r="BA22" s="15">
        <v>22440</v>
      </c>
      <c r="BB22" s="14">
        <v>0</v>
      </c>
      <c r="BC22" s="14">
        <v>4</v>
      </c>
      <c r="BD22" s="15">
        <v>15360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0</v>
      </c>
      <c r="BK22" s="14">
        <v>0</v>
      </c>
      <c r="BL22" s="16">
        <v>2268</v>
      </c>
      <c r="BM22" s="19">
        <v>41060</v>
      </c>
      <c r="BN22" s="8">
        <f t="shared" si="3"/>
        <v>38792</v>
      </c>
      <c r="BO22" s="9">
        <f t="shared" si="1"/>
        <v>27154.399999999998</v>
      </c>
    </row>
    <row r="23" spans="1:67" ht="24">
      <c r="A23" s="5" t="s">
        <v>168</v>
      </c>
      <c r="B23" s="12" t="s">
        <v>84</v>
      </c>
      <c r="C23" s="12">
        <v>408617</v>
      </c>
      <c r="D23" s="13"/>
      <c r="E23" s="12" t="s">
        <v>11</v>
      </c>
      <c r="F23" s="12" t="s">
        <v>12</v>
      </c>
      <c r="G23" s="12" t="s">
        <v>22</v>
      </c>
      <c r="H23" s="14" t="s">
        <v>10</v>
      </c>
      <c r="I23" s="14" t="s">
        <v>44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27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123</v>
      </c>
      <c r="AF23" s="15">
        <v>10700</v>
      </c>
      <c r="AG23" s="15">
        <v>1600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226</v>
      </c>
      <c r="BD23" s="15">
        <v>27120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6">
        <v>1627.2</v>
      </c>
      <c r="BM23" s="19">
        <v>39420</v>
      </c>
      <c r="BN23" s="8">
        <f t="shared" si="3"/>
        <v>37792.800000000003</v>
      </c>
      <c r="BO23" s="9">
        <f t="shared" si="1"/>
        <v>26454.959999999999</v>
      </c>
    </row>
    <row r="24" spans="1:67" ht="24">
      <c r="A24" s="5" t="s">
        <v>168</v>
      </c>
      <c r="B24" s="12" t="s">
        <v>171</v>
      </c>
      <c r="C24" s="12">
        <v>300910</v>
      </c>
      <c r="D24" s="13"/>
      <c r="E24" s="12" t="s">
        <v>11</v>
      </c>
      <c r="F24" s="12" t="s">
        <v>41</v>
      </c>
      <c r="G24" s="12" t="s">
        <v>11</v>
      </c>
      <c r="H24" s="14" t="s">
        <v>7</v>
      </c>
      <c r="I24" s="14" t="s">
        <v>172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32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1</v>
      </c>
      <c r="AF24" s="14">
        <v>100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327</v>
      </c>
      <c r="BD24" s="15">
        <v>39240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6">
        <v>2354.4</v>
      </c>
      <c r="BM24" s="19">
        <v>39340</v>
      </c>
      <c r="BN24" s="8">
        <f t="shared" si="2"/>
        <v>36985.599999999999</v>
      </c>
      <c r="BO24" s="9">
        <f t="shared" si="1"/>
        <v>25889.919999999998</v>
      </c>
    </row>
    <row r="25" spans="1:67" ht="24">
      <c r="A25" s="5" t="s">
        <v>168</v>
      </c>
      <c r="B25" s="12" t="s">
        <v>38</v>
      </c>
      <c r="C25" s="12">
        <v>268655</v>
      </c>
      <c r="D25" s="13"/>
      <c r="E25" s="12" t="s">
        <v>11</v>
      </c>
      <c r="F25" s="12" t="s">
        <v>16</v>
      </c>
      <c r="G25" s="12" t="s">
        <v>11</v>
      </c>
      <c r="H25" s="14" t="s">
        <v>7</v>
      </c>
      <c r="I25" s="14" t="s">
        <v>39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11</v>
      </c>
      <c r="AC25" s="15">
        <v>9900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7</v>
      </c>
      <c r="AU25" s="15">
        <v>7560</v>
      </c>
      <c r="AV25" s="14">
        <v>0</v>
      </c>
      <c r="AW25" s="14">
        <v>0</v>
      </c>
      <c r="AX25" s="14">
        <v>0</v>
      </c>
      <c r="AY25" s="14">
        <v>0</v>
      </c>
      <c r="AZ25" s="14">
        <v>19</v>
      </c>
      <c r="BA25" s="15">
        <v>20520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6">
        <v>1987.2</v>
      </c>
      <c r="BM25" s="19">
        <v>37980</v>
      </c>
      <c r="BN25" s="8">
        <f t="shared" ref="BN25:BN30" si="4">BM25-BL25</f>
        <v>35992.800000000003</v>
      </c>
      <c r="BO25" s="9">
        <f t="shared" si="1"/>
        <v>25194.959999999999</v>
      </c>
    </row>
    <row r="26" spans="1:67" ht="24">
      <c r="A26" s="5" t="s">
        <v>168</v>
      </c>
      <c r="B26" s="12" t="s">
        <v>49</v>
      </c>
      <c r="C26" s="12">
        <v>413545</v>
      </c>
      <c r="D26" s="13"/>
      <c r="E26" s="12" t="s">
        <v>11</v>
      </c>
      <c r="F26" s="12" t="s">
        <v>16</v>
      </c>
      <c r="G26" s="12" t="s">
        <v>22</v>
      </c>
      <c r="H26" s="14" t="s">
        <v>8</v>
      </c>
      <c r="I26" s="14" t="s">
        <v>50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19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124</v>
      </c>
      <c r="AF26" s="15">
        <v>12400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95</v>
      </c>
      <c r="AX26" s="15">
        <v>11400</v>
      </c>
      <c r="AY26" s="14">
        <v>0</v>
      </c>
      <c r="AZ26" s="14">
        <v>0</v>
      </c>
      <c r="BA26" s="14">
        <v>0</v>
      </c>
      <c r="BB26" s="14">
        <v>0</v>
      </c>
      <c r="BC26" s="14">
        <v>116</v>
      </c>
      <c r="BD26" s="15">
        <v>13920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6">
        <v>1975.2</v>
      </c>
      <c r="BM26" s="19">
        <v>37720</v>
      </c>
      <c r="BN26" s="8">
        <f t="shared" si="4"/>
        <v>35744.800000000003</v>
      </c>
      <c r="BO26" s="9">
        <f t="shared" si="1"/>
        <v>25021.360000000001</v>
      </c>
    </row>
    <row r="27" spans="1:67" ht="24">
      <c r="A27" s="5" t="s">
        <v>168</v>
      </c>
      <c r="B27" s="12" t="s">
        <v>79</v>
      </c>
      <c r="C27" s="12">
        <v>99966</v>
      </c>
      <c r="D27" s="13"/>
      <c r="E27" s="12" t="s">
        <v>11</v>
      </c>
      <c r="F27" s="12" t="s">
        <v>16</v>
      </c>
      <c r="G27" s="12" t="s">
        <v>11</v>
      </c>
      <c r="H27" s="14" t="s">
        <v>10</v>
      </c>
      <c r="I27" s="14" t="s">
        <v>80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26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189</v>
      </c>
      <c r="AF27" s="14">
        <v>0</v>
      </c>
      <c r="AG27" s="15">
        <v>18900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135</v>
      </c>
      <c r="BD27" s="15">
        <v>16200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972</v>
      </c>
      <c r="BM27" s="19">
        <v>35100</v>
      </c>
      <c r="BN27" s="8">
        <f t="shared" si="4"/>
        <v>34128</v>
      </c>
      <c r="BO27" s="9">
        <f t="shared" si="1"/>
        <v>23889.599999999999</v>
      </c>
    </row>
    <row r="28" spans="1:67" ht="24">
      <c r="A28" s="5" t="s">
        <v>168</v>
      </c>
      <c r="B28" s="12" t="s">
        <v>97</v>
      </c>
      <c r="C28" s="12">
        <v>227013</v>
      </c>
      <c r="D28" s="13"/>
      <c r="E28" s="12" t="s">
        <v>11</v>
      </c>
      <c r="F28" s="12" t="s">
        <v>13</v>
      </c>
      <c r="G28" s="12" t="s">
        <v>11</v>
      </c>
      <c r="H28" s="14" t="s">
        <v>7</v>
      </c>
      <c r="I28" s="14" t="s">
        <v>98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17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7</v>
      </c>
      <c r="AF28" s="14">
        <v>0</v>
      </c>
      <c r="AG28" s="14">
        <v>700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22</v>
      </c>
      <c r="AX28" s="15">
        <v>2640</v>
      </c>
      <c r="AY28" s="14">
        <v>0</v>
      </c>
      <c r="AZ28" s="14">
        <v>0</v>
      </c>
      <c r="BA28" s="14">
        <v>0</v>
      </c>
      <c r="BB28" s="14">
        <v>0</v>
      </c>
      <c r="BC28" s="14">
        <v>214</v>
      </c>
      <c r="BD28" s="15">
        <v>25680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6">
        <v>1804.8</v>
      </c>
      <c r="BM28" s="19">
        <v>29020</v>
      </c>
      <c r="BN28" s="8">
        <f t="shared" si="4"/>
        <v>27215.200000000001</v>
      </c>
      <c r="BO28" s="9">
        <f t="shared" si="1"/>
        <v>19050.64</v>
      </c>
    </row>
    <row r="29" spans="1:67" ht="24">
      <c r="A29" s="5" t="s">
        <v>168</v>
      </c>
      <c r="B29" s="12" t="s">
        <v>181</v>
      </c>
      <c r="C29" s="12">
        <v>408332</v>
      </c>
      <c r="D29" s="13"/>
      <c r="E29" s="12" t="s">
        <v>11</v>
      </c>
      <c r="F29" s="12" t="s">
        <v>12</v>
      </c>
      <c r="G29" s="12" t="s">
        <v>22</v>
      </c>
      <c r="H29" s="14" t="s">
        <v>7</v>
      </c>
      <c r="I29" s="14" t="s">
        <v>86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13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25</v>
      </c>
      <c r="AF29" s="14">
        <v>0</v>
      </c>
      <c r="AG29" s="15">
        <v>2500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6</v>
      </c>
      <c r="AR29" s="14">
        <v>600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14">
        <v>199</v>
      </c>
      <c r="BD29" s="15">
        <v>23880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6">
        <v>1432.8</v>
      </c>
      <c r="BM29" s="19">
        <v>26980</v>
      </c>
      <c r="BN29" s="8">
        <f t="shared" si="4"/>
        <v>25547.200000000001</v>
      </c>
      <c r="BO29" s="9">
        <f t="shared" si="1"/>
        <v>17883.04</v>
      </c>
    </row>
    <row r="30" spans="1:67" ht="24">
      <c r="A30" s="5" t="s">
        <v>168</v>
      </c>
      <c r="B30" s="12" t="s">
        <v>106</v>
      </c>
      <c r="C30" s="12">
        <v>409391</v>
      </c>
      <c r="D30" s="13"/>
      <c r="E30" s="12" t="s">
        <v>11</v>
      </c>
      <c r="F30" s="12" t="s">
        <v>36</v>
      </c>
      <c r="G30" s="12" t="s">
        <v>22</v>
      </c>
      <c r="H30" s="14" t="s">
        <v>7</v>
      </c>
      <c r="I30" s="14" t="s">
        <v>23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20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26</v>
      </c>
      <c r="AF30" s="14">
        <v>100</v>
      </c>
      <c r="AG30" s="15">
        <v>2500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14">
        <v>194</v>
      </c>
      <c r="BD30" s="15">
        <v>23280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6">
        <v>1396.8</v>
      </c>
      <c r="BM30" s="19">
        <v>25880</v>
      </c>
      <c r="BN30" s="8">
        <f t="shared" si="4"/>
        <v>24483.200000000001</v>
      </c>
      <c r="BO30" s="9">
        <f t="shared" si="1"/>
        <v>17138.239999999998</v>
      </c>
    </row>
    <row r="31" spans="1:67" ht="24">
      <c r="A31" s="5" t="s">
        <v>168</v>
      </c>
      <c r="B31" s="12" t="s">
        <v>81</v>
      </c>
      <c r="C31" s="12">
        <v>192732</v>
      </c>
      <c r="D31" s="13"/>
      <c r="E31" s="12" t="s">
        <v>11</v>
      </c>
      <c r="F31" s="12" t="s">
        <v>36</v>
      </c>
      <c r="G31" s="12" t="s">
        <v>11</v>
      </c>
      <c r="H31" s="14" t="s">
        <v>7</v>
      </c>
      <c r="I31" s="14" t="s">
        <v>37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1</v>
      </c>
      <c r="AC31" s="14">
        <v>0</v>
      </c>
      <c r="AD31" s="14">
        <v>900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4</v>
      </c>
      <c r="AU31" s="15">
        <v>3360</v>
      </c>
      <c r="AV31" s="14">
        <v>0</v>
      </c>
      <c r="AW31" s="14">
        <v>0</v>
      </c>
      <c r="AX31" s="14">
        <v>0</v>
      </c>
      <c r="AY31" s="14">
        <v>0</v>
      </c>
      <c r="AZ31" s="14">
        <v>19</v>
      </c>
      <c r="BA31" s="15">
        <v>19320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6">
        <v>1495.2</v>
      </c>
      <c r="BM31" s="19">
        <v>23580</v>
      </c>
      <c r="BN31" s="8">
        <f t="shared" si="2"/>
        <v>22084.799999999999</v>
      </c>
      <c r="BO31" s="9">
        <f t="shared" si="1"/>
        <v>15459.359999999999</v>
      </c>
    </row>
    <row r="32" spans="1:67" ht="24">
      <c r="A32" s="5" t="s">
        <v>168</v>
      </c>
      <c r="B32" s="12" t="s">
        <v>99</v>
      </c>
      <c r="C32" s="12">
        <v>285990</v>
      </c>
      <c r="D32" s="13"/>
      <c r="E32" s="12" t="s">
        <v>11</v>
      </c>
      <c r="F32" s="12" t="s">
        <v>12</v>
      </c>
      <c r="G32" s="12" t="s">
        <v>11</v>
      </c>
      <c r="H32" s="14" t="s">
        <v>7</v>
      </c>
      <c r="I32" s="14" t="s">
        <v>48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7</v>
      </c>
      <c r="AC32" s="15">
        <v>6480</v>
      </c>
      <c r="AD32" s="14">
        <v>900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8</v>
      </c>
      <c r="AO32" s="15">
        <v>6700</v>
      </c>
      <c r="AP32" s="14">
        <v>500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8</v>
      </c>
      <c r="BA32" s="15">
        <v>8640</v>
      </c>
      <c r="BB32" s="14">
        <v>0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0</v>
      </c>
      <c r="BI32" s="14">
        <v>0</v>
      </c>
      <c r="BJ32" s="14">
        <v>0</v>
      </c>
      <c r="BK32" s="14">
        <v>0</v>
      </c>
      <c r="BL32" s="14">
        <v>518.4</v>
      </c>
      <c r="BM32" s="19">
        <v>23220</v>
      </c>
      <c r="BN32" s="8">
        <f>BM32-BL32</f>
        <v>22701.599999999999</v>
      </c>
      <c r="BO32" s="9">
        <f t="shared" si="1"/>
        <v>15891.119999999997</v>
      </c>
    </row>
    <row r="33" spans="1:67" ht="24">
      <c r="A33" s="5" t="s">
        <v>168</v>
      </c>
      <c r="B33" s="12" t="s">
        <v>82</v>
      </c>
      <c r="C33" s="12">
        <v>395747</v>
      </c>
      <c r="D33" s="13"/>
      <c r="E33" s="12" t="s">
        <v>11</v>
      </c>
      <c r="F33" s="12" t="s">
        <v>12</v>
      </c>
      <c r="G33" s="12" t="s">
        <v>11</v>
      </c>
      <c r="H33" s="14" t="s">
        <v>7</v>
      </c>
      <c r="I33" s="14" t="s">
        <v>83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3</v>
      </c>
      <c r="AF33" s="14">
        <v>300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0</v>
      </c>
      <c r="BC33" s="14">
        <v>189</v>
      </c>
      <c r="BD33" s="15">
        <v>22680</v>
      </c>
      <c r="BE33" s="14">
        <v>0</v>
      </c>
      <c r="BF33" s="14">
        <v>0</v>
      </c>
      <c r="BG33" s="14">
        <v>0</v>
      </c>
      <c r="BH33" s="14">
        <v>0</v>
      </c>
      <c r="BI33" s="14">
        <v>0</v>
      </c>
      <c r="BJ33" s="14">
        <v>0</v>
      </c>
      <c r="BK33" s="14">
        <v>0</v>
      </c>
      <c r="BL33" s="16">
        <v>1360.8</v>
      </c>
      <c r="BM33" s="19">
        <v>22980</v>
      </c>
      <c r="BN33" s="8">
        <f>BM33-BL33</f>
        <v>21619.200000000001</v>
      </c>
      <c r="BO33" s="9">
        <f t="shared" si="1"/>
        <v>15133.439999999999</v>
      </c>
    </row>
    <row r="34" spans="1:67" ht="24">
      <c r="A34" s="5" t="s">
        <v>168</v>
      </c>
      <c r="B34" s="12" t="s">
        <v>175</v>
      </c>
      <c r="C34" s="12">
        <v>210381</v>
      </c>
      <c r="D34" s="13"/>
      <c r="E34" s="12" t="s">
        <v>11</v>
      </c>
      <c r="F34" s="12" t="s">
        <v>36</v>
      </c>
      <c r="G34" s="12" t="s">
        <v>11</v>
      </c>
      <c r="H34" s="14" t="s">
        <v>7</v>
      </c>
      <c r="I34" s="14" t="s">
        <v>176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17</v>
      </c>
      <c r="AF34" s="14">
        <v>0</v>
      </c>
      <c r="AG34" s="15">
        <v>1700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14">
        <v>0</v>
      </c>
      <c r="AP34" s="14">
        <v>0</v>
      </c>
      <c r="AQ34" s="14">
        <v>142</v>
      </c>
      <c r="AR34" s="15">
        <v>14000</v>
      </c>
      <c r="AS34" s="14">
        <v>200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0</v>
      </c>
      <c r="BC34" s="14">
        <v>53</v>
      </c>
      <c r="BD34" s="15">
        <v>6360</v>
      </c>
      <c r="BE34" s="14">
        <v>0</v>
      </c>
      <c r="BF34" s="14">
        <v>0</v>
      </c>
      <c r="BG34" s="14">
        <v>0</v>
      </c>
      <c r="BH34" s="14">
        <v>0</v>
      </c>
      <c r="BI34" s="14">
        <v>0</v>
      </c>
      <c r="BJ34" s="14">
        <v>0</v>
      </c>
      <c r="BK34" s="14">
        <v>0</v>
      </c>
      <c r="BL34" s="14">
        <v>381.6</v>
      </c>
      <c r="BM34" s="19">
        <v>22260</v>
      </c>
      <c r="BN34" s="8">
        <f>BM34-BL34</f>
        <v>21878.400000000001</v>
      </c>
      <c r="BO34" s="9">
        <f t="shared" si="1"/>
        <v>15314.88</v>
      </c>
    </row>
    <row r="35" spans="1:67" ht="24">
      <c r="A35" s="5" t="s">
        <v>168</v>
      </c>
      <c r="B35" s="12" t="s">
        <v>177</v>
      </c>
      <c r="C35" s="12">
        <v>285994</v>
      </c>
      <c r="D35" s="13"/>
      <c r="E35" s="12" t="s">
        <v>11</v>
      </c>
      <c r="F35" s="12" t="s">
        <v>12</v>
      </c>
      <c r="G35" s="12" t="s">
        <v>11</v>
      </c>
      <c r="H35" s="14" t="s">
        <v>7</v>
      </c>
      <c r="I35" s="14" t="s">
        <v>48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4</v>
      </c>
      <c r="AC35" s="15">
        <v>3600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7</v>
      </c>
      <c r="AO35" s="15">
        <v>5400</v>
      </c>
      <c r="AP35" s="14">
        <v>600</v>
      </c>
      <c r="AQ35" s="14">
        <v>3</v>
      </c>
      <c r="AR35" s="15">
        <v>8700</v>
      </c>
      <c r="AS35" s="14">
        <v>900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3</v>
      </c>
      <c r="BA35" s="15">
        <v>2520</v>
      </c>
      <c r="BB35" s="14">
        <v>0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151.19999999999999</v>
      </c>
      <c r="BM35" s="19">
        <v>21720</v>
      </c>
      <c r="BN35" s="8">
        <f>BM35-BL35</f>
        <v>21568.799999999999</v>
      </c>
      <c r="BO35" s="9">
        <f t="shared" si="1"/>
        <v>15098.159999999998</v>
      </c>
    </row>
    <row r="36" spans="1:67" ht="24">
      <c r="A36" s="5" t="s">
        <v>168</v>
      </c>
      <c r="B36" s="12" t="s">
        <v>100</v>
      </c>
      <c r="C36" s="12">
        <v>406732</v>
      </c>
      <c r="D36" s="13"/>
      <c r="E36" s="12" t="s">
        <v>11</v>
      </c>
      <c r="F36" s="12" t="s">
        <v>12</v>
      </c>
      <c r="G36" s="12" t="s">
        <v>11</v>
      </c>
      <c r="H36" s="14" t="s">
        <v>7</v>
      </c>
      <c r="I36" s="14" t="s">
        <v>101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0</v>
      </c>
      <c r="AU36" s="14">
        <v>0</v>
      </c>
      <c r="AV36" s="14">
        <v>0</v>
      </c>
      <c r="AW36" s="14">
        <v>11</v>
      </c>
      <c r="AX36" s="15">
        <v>1320</v>
      </c>
      <c r="AY36" s="14">
        <v>0</v>
      </c>
      <c r="AZ36" s="14">
        <v>0</v>
      </c>
      <c r="BA36" s="14">
        <v>0</v>
      </c>
      <c r="BB36" s="14">
        <v>0</v>
      </c>
      <c r="BC36" s="14">
        <v>160</v>
      </c>
      <c r="BD36" s="15">
        <v>19200</v>
      </c>
      <c r="BE36" s="14">
        <v>0</v>
      </c>
      <c r="BF36" s="14">
        <v>0</v>
      </c>
      <c r="BG36" s="14">
        <v>0</v>
      </c>
      <c r="BH36" s="14">
        <v>0</v>
      </c>
      <c r="BI36" s="14">
        <v>0</v>
      </c>
      <c r="BJ36" s="14">
        <v>0</v>
      </c>
      <c r="BK36" s="14">
        <v>0</v>
      </c>
      <c r="BL36" s="16">
        <v>1284</v>
      </c>
      <c r="BM36" s="19">
        <v>20520</v>
      </c>
      <c r="BN36" s="8">
        <f>BM36-BL36</f>
        <v>19236</v>
      </c>
      <c r="BO36" s="9">
        <f t="shared" si="1"/>
        <v>13465.199999999999</v>
      </c>
    </row>
    <row r="37" spans="1:67" ht="24">
      <c r="A37" s="5" t="s">
        <v>168</v>
      </c>
      <c r="B37" s="12" t="s">
        <v>43</v>
      </c>
      <c r="C37" s="12">
        <v>408054</v>
      </c>
      <c r="D37" s="13"/>
      <c r="E37" s="12" t="s">
        <v>11</v>
      </c>
      <c r="F37" s="12" t="s">
        <v>16</v>
      </c>
      <c r="G37" s="12" t="s">
        <v>22</v>
      </c>
      <c r="H37" s="14" t="s">
        <v>10</v>
      </c>
      <c r="I37" s="14" t="s">
        <v>44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117</v>
      </c>
      <c r="AF37" s="15">
        <v>11700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55</v>
      </c>
      <c r="BD37" s="15">
        <v>6600</v>
      </c>
      <c r="BE37" s="14">
        <v>0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396</v>
      </c>
      <c r="BM37" s="19">
        <v>18300</v>
      </c>
      <c r="BN37" s="8">
        <f t="shared" si="2"/>
        <v>17904</v>
      </c>
      <c r="BO37" s="9">
        <f t="shared" si="1"/>
        <v>12532.8</v>
      </c>
    </row>
    <row r="38" spans="1:67" ht="24">
      <c r="A38" s="5" t="s">
        <v>168</v>
      </c>
      <c r="B38" s="12" t="s">
        <v>53</v>
      </c>
      <c r="C38" s="12">
        <v>196917</v>
      </c>
      <c r="D38" s="13"/>
      <c r="E38" s="12" t="s">
        <v>11</v>
      </c>
      <c r="F38" s="12" t="s">
        <v>36</v>
      </c>
      <c r="G38" s="12" t="s">
        <v>11</v>
      </c>
      <c r="H38" s="14" t="s">
        <v>7</v>
      </c>
      <c r="I38" s="14" t="s">
        <v>54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1</v>
      </c>
      <c r="AC38" s="14">
        <v>900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</v>
      </c>
      <c r="AQ38" s="14">
        <v>2</v>
      </c>
      <c r="AR38" s="15">
        <v>6200</v>
      </c>
      <c r="AS38" s="14">
        <v>200</v>
      </c>
      <c r="AT38" s="14">
        <v>4</v>
      </c>
      <c r="AU38" s="15">
        <v>4320</v>
      </c>
      <c r="AV38" s="14">
        <v>0</v>
      </c>
      <c r="AW38" s="14">
        <v>0</v>
      </c>
      <c r="AX38" s="14">
        <v>0</v>
      </c>
      <c r="AY38" s="14">
        <v>0</v>
      </c>
      <c r="AZ38" s="14">
        <v>6</v>
      </c>
      <c r="BA38" s="15">
        <v>6480</v>
      </c>
      <c r="BB38" s="14">
        <v>0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0</v>
      </c>
      <c r="BI38" s="14">
        <v>0</v>
      </c>
      <c r="BJ38" s="14">
        <v>0</v>
      </c>
      <c r="BK38" s="14">
        <v>0</v>
      </c>
      <c r="BL38" s="14">
        <v>820.8</v>
      </c>
      <c r="BM38" s="19">
        <v>18100</v>
      </c>
      <c r="BN38" s="8">
        <f t="shared" ref="BN38:BN43" si="5">BM38-BL38</f>
        <v>17279.2</v>
      </c>
      <c r="BO38" s="9">
        <f t="shared" si="1"/>
        <v>12095.44</v>
      </c>
    </row>
    <row r="39" spans="1:67" ht="24">
      <c r="A39" s="5" t="s">
        <v>168</v>
      </c>
      <c r="B39" s="12" t="s">
        <v>47</v>
      </c>
      <c r="C39" s="12">
        <v>285993</v>
      </c>
      <c r="D39" s="13"/>
      <c r="E39" s="12" t="s">
        <v>11</v>
      </c>
      <c r="F39" s="12" t="s">
        <v>12</v>
      </c>
      <c r="G39" s="12" t="s">
        <v>11</v>
      </c>
      <c r="H39" s="14" t="s">
        <v>7</v>
      </c>
      <c r="I39" s="14" t="s">
        <v>48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3</v>
      </c>
      <c r="AC39" s="15">
        <v>2700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9</v>
      </c>
      <c r="AO39" s="15">
        <v>7600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7</v>
      </c>
      <c r="BA39" s="15">
        <v>7080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424.8</v>
      </c>
      <c r="BM39" s="19">
        <v>17380</v>
      </c>
      <c r="BN39" s="8">
        <f t="shared" si="5"/>
        <v>16955.2</v>
      </c>
      <c r="BO39" s="9">
        <f t="shared" si="1"/>
        <v>11868.64</v>
      </c>
    </row>
    <row r="40" spans="1:67" ht="24">
      <c r="A40" s="5" t="s">
        <v>168</v>
      </c>
      <c r="B40" s="12" t="s">
        <v>61</v>
      </c>
      <c r="C40" s="12">
        <v>238494</v>
      </c>
      <c r="D40" s="13"/>
      <c r="E40" s="12" t="s">
        <v>11</v>
      </c>
      <c r="F40" s="12" t="s">
        <v>36</v>
      </c>
      <c r="G40" s="12" t="s">
        <v>11</v>
      </c>
      <c r="H40" s="14" t="s">
        <v>7</v>
      </c>
      <c r="I40" s="14" t="s">
        <v>62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8</v>
      </c>
      <c r="AO40" s="15">
        <v>7200</v>
      </c>
      <c r="AP40" s="14">
        <v>0</v>
      </c>
      <c r="AQ40" s="14">
        <v>0</v>
      </c>
      <c r="AR40" s="14">
        <v>0</v>
      </c>
      <c r="AS40" s="14">
        <v>0</v>
      </c>
      <c r="AT40" s="14">
        <v>3</v>
      </c>
      <c r="AU40" s="15">
        <v>3240</v>
      </c>
      <c r="AV40" s="14">
        <v>0</v>
      </c>
      <c r="AW40" s="14">
        <v>0</v>
      </c>
      <c r="AX40" s="14">
        <v>0</v>
      </c>
      <c r="AY40" s="14">
        <v>0</v>
      </c>
      <c r="AZ40" s="14">
        <v>6</v>
      </c>
      <c r="BA40" s="15">
        <v>6480</v>
      </c>
      <c r="BB40" s="14">
        <v>0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0</v>
      </c>
      <c r="BI40" s="14">
        <v>0</v>
      </c>
      <c r="BJ40" s="14">
        <v>0</v>
      </c>
      <c r="BK40" s="14">
        <v>0</v>
      </c>
      <c r="BL40" s="14">
        <v>712.8</v>
      </c>
      <c r="BM40" s="19">
        <v>16920</v>
      </c>
      <c r="BN40" s="8">
        <f t="shared" si="5"/>
        <v>16207.2</v>
      </c>
      <c r="BO40" s="9">
        <f t="shared" si="1"/>
        <v>11345.039999999999</v>
      </c>
    </row>
    <row r="41" spans="1:67" ht="24">
      <c r="A41" s="5" t="s">
        <v>168</v>
      </c>
      <c r="B41" s="12" t="s">
        <v>67</v>
      </c>
      <c r="C41" s="12">
        <v>239858</v>
      </c>
      <c r="D41" s="13"/>
      <c r="E41" s="12" t="s">
        <v>11</v>
      </c>
      <c r="F41" s="12" t="s">
        <v>12</v>
      </c>
      <c r="G41" s="12" t="s">
        <v>11</v>
      </c>
      <c r="H41" s="14" t="s">
        <v>7</v>
      </c>
      <c r="I41" s="14" t="s">
        <v>68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8</v>
      </c>
      <c r="AO41" s="15">
        <v>7000</v>
      </c>
      <c r="AP41" s="14">
        <v>200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8</v>
      </c>
      <c r="BA41" s="15">
        <v>8640</v>
      </c>
      <c r="BB41" s="14">
        <v>0</v>
      </c>
      <c r="BC41" s="14">
        <v>0</v>
      </c>
      <c r="BD41" s="14">
        <v>0</v>
      </c>
      <c r="BE41" s="14">
        <v>0</v>
      </c>
      <c r="BF41" s="14">
        <v>0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518.4</v>
      </c>
      <c r="BM41" s="19">
        <v>15840</v>
      </c>
      <c r="BN41" s="8">
        <f t="shared" si="5"/>
        <v>15321.6</v>
      </c>
      <c r="BO41" s="9">
        <f t="shared" si="1"/>
        <v>10725.119999999999</v>
      </c>
    </row>
    <row r="42" spans="1:67" ht="24">
      <c r="A42" s="5" t="s">
        <v>168</v>
      </c>
      <c r="B42" s="12" t="s">
        <v>78</v>
      </c>
      <c r="C42" s="12">
        <v>418830</v>
      </c>
      <c r="D42" s="13"/>
      <c r="E42" s="12" t="s">
        <v>11</v>
      </c>
      <c r="F42" s="12" t="s">
        <v>16</v>
      </c>
      <c r="G42" s="12" t="s">
        <v>11</v>
      </c>
      <c r="H42" s="14" t="s">
        <v>7</v>
      </c>
      <c r="I42" s="14" t="s">
        <v>72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6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147</v>
      </c>
      <c r="AF42" s="15">
        <v>1000</v>
      </c>
      <c r="AG42" s="15">
        <v>13700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0</v>
      </c>
      <c r="BC42" s="14">
        <v>4</v>
      </c>
      <c r="BD42" s="14">
        <v>480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0</v>
      </c>
      <c r="BK42" s="14">
        <v>0</v>
      </c>
      <c r="BL42" s="14">
        <v>28.8</v>
      </c>
      <c r="BM42" s="19">
        <v>15180</v>
      </c>
      <c r="BN42" s="8">
        <f t="shared" si="5"/>
        <v>15151.2</v>
      </c>
      <c r="BO42" s="9">
        <f t="shared" si="1"/>
        <v>10605.84</v>
      </c>
    </row>
    <row r="43" spans="1:67" ht="24">
      <c r="A43" s="5" t="s">
        <v>168</v>
      </c>
      <c r="B43" s="12" t="s">
        <v>57</v>
      </c>
      <c r="C43" s="12">
        <v>406370</v>
      </c>
      <c r="D43" s="13"/>
      <c r="E43" s="12" t="s">
        <v>11</v>
      </c>
      <c r="F43" s="12" t="s">
        <v>36</v>
      </c>
      <c r="G43" s="12" t="s">
        <v>22</v>
      </c>
      <c r="H43" s="14" t="s">
        <v>8</v>
      </c>
      <c r="I43" s="14" t="s">
        <v>52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5</v>
      </c>
      <c r="AC43" s="15">
        <v>5160</v>
      </c>
      <c r="AD43" s="14">
        <v>200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3</v>
      </c>
      <c r="AO43" s="15">
        <v>2500</v>
      </c>
      <c r="AP43" s="14">
        <v>200</v>
      </c>
      <c r="AQ43" s="14">
        <v>0</v>
      </c>
      <c r="AR43" s="14">
        <v>0</v>
      </c>
      <c r="AS43" s="14">
        <v>0</v>
      </c>
      <c r="AT43" s="14">
        <v>5</v>
      </c>
      <c r="AU43" s="15">
        <v>5400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0</v>
      </c>
      <c r="BK43" s="14">
        <v>0</v>
      </c>
      <c r="BL43" s="14">
        <v>540</v>
      </c>
      <c r="BM43" s="19">
        <v>13460</v>
      </c>
      <c r="BN43" s="8">
        <f t="shared" si="5"/>
        <v>12920</v>
      </c>
      <c r="BO43" s="9">
        <f t="shared" si="1"/>
        <v>9044</v>
      </c>
    </row>
    <row r="44" spans="1:67" ht="24">
      <c r="A44" s="5" t="s">
        <v>168</v>
      </c>
      <c r="B44" s="12" t="s">
        <v>51</v>
      </c>
      <c r="C44" s="12">
        <v>192728</v>
      </c>
      <c r="D44" s="13"/>
      <c r="E44" s="12" t="s">
        <v>11</v>
      </c>
      <c r="F44" s="12" t="s">
        <v>36</v>
      </c>
      <c r="G44" s="12" t="s">
        <v>11</v>
      </c>
      <c r="H44" s="14" t="s">
        <v>7</v>
      </c>
      <c r="I44" s="14" t="s">
        <v>37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11</v>
      </c>
      <c r="AU44" s="15">
        <v>11880</v>
      </c>
      <c r="AV44" s="14">
        <v>0</v>
      </c>
      <c r="AW44" s="14">
        <v>0</v>
      </c>
      <c r="AX44" s="14">
        <v>0</v>
      </c>
      <c r="AY44" s="14">
        <v>0</v>
      </c>
      <c r="AZ44" s="14">
        <v>1</v>
      </c>
      <c r="BA44" s="15">
        <v>1080</v>
      </c>
      <c r="BB44" s="14">
        <v>0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0</v>
      </c>
      <c r="BK44" s="14">
        <v>0</v>
      </c>
      <c r="BL44" s="16">
        <v>1252.8</v>
      </c>
      <c r="BM44" s="19">
        <v>12960</v>
      </c>
      <c r="BN44" s="8">
        <f t="shared" si="2"/>
        <v>11707.2</v>
      </c>
      <c r="BO44" s="9">
        <f t="shared" si="1"/>
        <v>8195.0400000000009</v>
      </c>
    </row>
    <row r="45" spans="1:67" ht="24">
      <c r="A45" s="5" t="s">
        <v>168</v>
      </c>
      <c r="B45" s="12" t="s">
        <v>182</v>
      </c>
      <c r="C45" s="12">
        <v>189476</v>
      </c>
      <c r="D45" s="13"/>
      <c r="E45" s="12" t="s">
        <v>11</v>
      </c>
      <c r="F45" s="12" t="s">
        <v>36</v>
      </c>
      <c r="G45" s="12" t="s">
        <v>11</v>
      </c>
      <c r="H45" s="14" t="s">
        <v>7</v>
      </c>
      <c r="I45" s="14" t="s">
        <v>183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1</v>
      </c>
      <c r="AU45" s="15">
        <v>1080</v>
      </c>
      <c r="AV45" s="14">
        <v>0</v>
      </c>
      <c r="AW45" s="14">
        <v>0</v>
      </c>
      <c r="AX45" s="14">
        <v>0</v>
      </c>
      <c r="AY45" s="14">
        <v>0</v>
      </c>
      <c r="AZ45" s="14">
        <v>9</v>
      </c>
      <c r="BA45" s="15">
        <v>9720</v>
      </c>
      <c r="BB45" s="14">
        <v>0</v>
      </c>
      <c r="BC45" s="14">
        <v>0</v>
      </c>
      <c r="BD45" s="14">
        <v>0</v>
      </c>
      <c r="BE45" s="14">
        <v>0</v>
      </c>
      <c r="BF45" s="14">
        <v>0</v>
      </c>
      <c r="BG45" s="14">
        <v>0</v>
      </c>
      <c r="BH45" s="14">
        <v>0</v>
      </c>
      <c r="BI45" s="14">
        <v>0</v>
      </c>
      <c r="BJ45" s="14">
        <v>0</v>
      </c>
      <c r="BK45" s="14">
        <v>0</v>
      </c>
      <c r="BL45" s="14">
        <v>691.2</v>
      </c>
      <c r="BM45" s="19">
        <v>10800</v>
      </c>
      <c r="BN45" s="8">
        <f t="shared" ref="BN45:BN54" si="6">BM45-BL45</f>
        <v>10108.799999999999</v>
      </c>
      <c r="BO45" s="9">
        <f t="shared" si="1"/>
        <v>7076.1599999999989</v>
      </c>
    </row>
    <row r="46" spans="1:67" ht="24">
      <c r="A46" s="5" t="s">
        <v>168</v>
      </c>
      <c r="B46" s="12" t="s">
        <v>65</v>
      </c>
      <c r="C46" s="12">
        <v>285988</v>
      </c>
      <c r="D46" s="13"/>
      <c r="E46" s="12" t="s">
        <v>11</v>
      </c>
      <c r="F46" s="12" t="s">
        <v>12</v>
      </c>
      <c r="G46" s="12" t="s">
        <v>11</v>
      </c>
      <c r="H46" s="14" t="s">
        <v>7</v>
      </c>
      <c r="I46" s="14" t="s">
        <v>48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4</v>
      </c>
      <c r="AC46" s="15">
        <v>3600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2</v>
      </c>
      <c r="AU46" s="15">
        <v>2160</v>
      </c>
      <c r="AV46" s="14">
        <v>0</v>
      </c>
      <c r="AW46" s="14">
        <v>0</v>
      </c>
      <c r="AX46" s="14">
        <v>0</v>
      </c>
      <c r="AY46" s="14">
        <v>0</v>
      </c>
      <c r="AZ46" s="14">
        <v>4</v>
      </c>
      <c r="BA46" s="15">
        <v>4320</v>
      </c>
      <c r="BB46" s="14">
        <v>0</v>
      </c>
      <c r="BC46" s="14">
        <v>0</v>
      </c>
      <c r="BD46" s="14">
        <v>0</v>
      </c>
      <c r="BE46" s="14">
        <v>0</v>
      </c>
      <c r="BF46" s="14">
        <v>0</v>
      </c>
      <c r="BG46" s="14">
        <v>0</v>
      </c>
      <c r="BH46" s="14">
        <v>0</v>
      </c>
      <c r="BI46" s="14">
        <v>0</v>
      </c>
      <c r="BJ46" s="14">
        <v>0</v>
      </c>
      <c r="BK46" s="14">
        <v>0</v>
      </c>
      <c r="BL46" s="14">
        <v>475.2</v>
      </c>
      <c r="BM46" s="19">
        <v>10080</v>
      </c>
      <c r="BN46" s="8">
        <f t="shared" si="6"/>
        <v>9604.7999999999993</v>
      </c>
      <c r="BO46" s="9">
        <f t="shared" si="1"/>
        <v>6723.3599999999988</v>
      </c>
    </row>
    <row r="47" spans="1:67" ht="24">
      <c r="A47" s="5" t="s">
        <v>168</v>
      </c>
      <c r="B47" s="12" t="s">
        <v>184</v>
      </c>
      <c r="C47" s="12">
        <v>404358</v>
      </c>
      <c r="D47" s="13"/>
      <c r="E47" s="12" t="s">
        <v>11</v>
      </c>
      <c r="F47" s="12" t="s">
        <v>102</v>
      </c>
      <c r="G47" s="12" t="s">
        <v>11</v>
      </c>
      <c r="H47" s="14" t="s">
        <v>7</v>
      </c>
      <c r="I47" s="14" t="s">
        <v>103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8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92</v>
      </c>
      <c r="AF47" s="15">
        <v>9200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  <c r="AS47" s="14">
        <v>0</v>
      </c>
      <c r="AT47" s="14">
        <v>0</v>
      </c>
      <c r="AU47" s="14">
        <v>0</v>
      </c>
      <c r="AV47" s="14">
        <v>0</v>
      </c>
      <c r="AW47" s="14">
        <v>0</v>
      </c>
      <c r="AX47" s="14">
        <v>0</v>
      </c>
      <c r="AY47" s="14">
        <v>0</v>
      </c>
      <c r="AZ47" s="14">
        <v>0</v>
      </c>
      <c r="BA47" s="14">
        <v>0</v>
      </c>
      <c r="BB47" s="14">
        <v>0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0</v>
      </c>
      <c r="BI47" s="14">
        <v>0</v>
      </c>
      <c r="BJ47" s="14">
        <v>0</v>
      </c>
      <c r="BK47" s="14">
        <v>0</v>
      </c>
      <c r="BL47" s="14">
        <v>0</v>
      </c>
      <c r="BM47" s="19">
        <v>9200</v>
      </c>
      <c r="BN47" s="8">
        <f t="shared" si="6"/>
        <v>9200</v>
      </c>
      <c r="BO47" s="9">
        <f t="shared" si="1"/>
        <v>6440</v>
      </c>
    </row>
    <row r="48" spans="1:67" ht="24">
      <c r="A48" s="5" t="s">
        <v>168</v>
      </c>
      <c r="B48" s="12" t="s">
        <v>178</v>
      </c>
      <c r="C48" s="12">
        <v>361973</v>
      </c>
      <c r="D48" s="13"/>
      <c r="E48" s="12" t="s">
        <v>11</v>
      </c>
      <c r="F48" s="12" t="s">
        <v>12</v>
      </c>
      <c r="G48" s="12" t="s">
        <v>11</v>
      </c>
      <c r="H48" s="14" t="s">
        <v>7</v>
      </c>
      <c r="I48" s="14" t="s">
        <v>179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4</v>
      </c>
      <c r="AC48" s="15">
        <v>4320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4</v>
      </c>
      <c r="BA48" s="15">
        <v>4320</v>
      </c>
      <c r="BB48" s="14">
        <v>0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0</v>
      </c>
      <c r="BI48" s="14">
        <v>0</v>
      </c>
      <c r="BJ48" s="14">
        <v>0</v>
      </c>
      <c r="BK48" s="14">
        <v>0</v>
      </c>
      <c r="BL48" s="14">
        <v>259.2</v>
      </c>
      <c r="BM48" s="19">
        <v>8640</v>
      </c>
      <c r="BN48" s="8">
        <f t="shared" si="6"/>
        <v>8380.7999999999993</v>
      </c>
      <c r="BO48" s="9">
        <f t="shared" si="1"/>
        <v>5866.5599999999995</v>
      </c>
    </row>
    <row r="49" spans="1:67" ht="24">
      <c r="A49" s="5" t="s">
        <v>168</v>
      </c>
      <c r="B49" s="12" t="s">
        <v>95</v>
      </c>
      <c r="C49" s="12">
        <v>174583</v>
      </c>
      <c r="D49" s="13"/>
      <c r="E49" s="12" t="s">
        <v>11</v>
      </c>
      <c r="F49" s="12" t="s">
        <v>13</v>
      </c>
      <c r="G49" s="12" t="s">
        <v>11</v>
      </c>
      <c r="H49" s="14" t="s">
        <v>7</v>
      </c>
      <c r="I49" s="14" t="s">
        <v>96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8</v>
      </c>
      <c r="AC49" s="15">
        <v>8100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0</v>
      </c>
      <c r="BI49" s="14">
        <v>0</v>
      </c>
      <c r="BJ49" s="14">
        <v>0</v>
      </c>
      <c r="BK49" s="14">
        <v>0</v>
      </c>
      <c r="BL49" s="14">
        <v>0</v>
      </c>
      <c r="BM49" s="19">
        <v>8100</v>
      </c>
      <c r="BN49" s="8">
        <f t="shared" si="6"/>
        <v>8100</v>
      </c>
      <c r="BO49" s="9">
        <f t="shared" si="1"/>
        <v>5670</v>
      </c>
    </row>
    <row r="50" spans="1:67" ht="24">
      <c r="A50" s="5" t="s">
        <v>168</v>
      </c>
      <c r="B50" s="12" t="s">
        <v>63</v>
      </c>
      <c r="C50" s="12">
        <v>169151</v>
      </c>
      <c r="D50" s="13"/>
      <c r="E50" s="12" t="s">
        <v>11</v>
      </c>
      <c r="F50" s="12" t="s">
        <v>13</v>
      </c>
      <c r="G50" s="12" t="s">
        <v>11</v>
      </c>
      <c r="H50" s="14" t="s">
        <v>7</v>
      </c>
      <c r="I50" s="14" t="s">
        <v>64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7</v>
      </c>
      <c r="BA50" s="15">
        <v>7560</v>
      </c>
      <c r="BB50" s="14">
        <v>0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0</v>
      </c>
      <c r="BI50" s="14">
        <v>0</v>
      </c>
      <c r="BJ50" s="14">
        <v>0</v>
      </c>
      <c r="BK50" s="14">
        <v>0</v>
      </c>
      <c r="BL50" s="14">
        <v>453.6</v>
      </c>
      <c r="BM50" s="19">
        <v>7560</v>
      </c>
      <c r="BN50" s="8">
        <f t="shared" si="6"/>
        <v>7106.4</v>
      </c>
      <c r="BO50" s="9">
        <f t="shared" si="1"/>
        <v>4974.4799999999996</v>
      </c>
    </row>
    <row r="51" spans="1:67" ht="24">
      <c r="A51" s="5" t="s">
        <v>168</v>
      </c>
      <c r="B51" s="12" t="s">
        <v>185</v>
      </c>
      <c r="C51" s="12">
        <v>406368</v>
      </c>
      <c r="D51" s="13"/>
      <c r="E51" s="12" t="s">
        <v>11</v>
      </c>
      <c r="F51" s="12" t="s">
        <v>76</v>
      </c>
      <c r="G51" s="12" t="s">
        <v>22</v>
      </c>
      <c r="H51" s="14" t="s">
        <v>7</v>
      </c>
      <c r="I51" s="14" t="s">
        <v>52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2</v>
      </c>
      <c r="AF51" s="15">
        <v>6400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0</v>
      </c>
      <c r="BC51" s="14">
        <v>0</v>
      </c>
      <c r="BD51" s="14">
        <v>0</v>
      </c>
      <c r="BE51" s="14">
        <v>0</v>
      </c>
      <c r="BF51" s="14">
        <v>0</v>
      </c>
      <c r="BG51" s="14">
        <v>0</v>
      </c>
      <c r="BH51" s="14">
        <v>0</v>
      </c>
      <c r="BI51" s="14">
        <v>0</v>
      </c>
      <c r="BJ51" s="14">
        <v>0</v>
      </c>
      <c r="BK51" s="14">
        <v>0</v>
      </c>
      <c r="BL51" s="14">
        <v>0</v>
      </c>
      <c r="BM51" s="19">
        <v>6400</v>
      </c>
      <c r="BN51" s="8">
        <f t="shared" si="6"/>
        <v>6400</v>
      </c>
      <c r="BO51" s="9">
        <f t="shared" si="1"/>
        <v>4480</v>
      </c>
    </row>
    <row r="52" spans="1:67" ht="24">
      <c r="A52" s="5" t="s">
        <v>168</v>
      </c>
      <c r="B52" s="12" t="s">
        <v>109</v>
      </c>
      <c r="C52" s="12">
        <v>229599</v>
      </c>
      <c r="D52" s="13"/>
      <c r="E52" s="12" t="s">
        <v>11</v>
      </c>
      <c r="F52" s="12" t="s">
        <v>12</v>
      </c>
      <c r="G52" s="12" t="s">
        <v>11</v>
      </c>
      <c r="H52" s="14" t="s">
        <v>7</v>
      </c>
      <c r="I52" s="14" t="s">
        <v>110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5</v>
      </c>
      <c r="AO52" s="15">
        <v>4300</v>
      </c>
      <c r="AP52" s="14">
        <v>200</v>
      </c>
      <c r="AQ52" s="14">
        <v>0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0</v>
      </c>
      <c r="BA52" s="14">
        <v>0</v>
      </c>
      <c r="BB52" s="14">
        <v>0</v>
      </c>
      <c r="BC52" s="14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0</v>
      </c>
      <c r="BI52" s="14">
        <v>0</v>
      </c>
      <c r="BJ52" s="14">
        <v>0</v>
      </c>
      <c r="BK52" s="14">
        <v>0</v>
      </c>
      <c r="BL52" s="14">
        <v>0</v>
      </c>
      <c r="BM52" s="19">
        <v>4500</v>
      </c>
      <c r="BN52" s="8">
        <f t="shared" si="6"/>
        <v>4500</v>
      </c>
      <c r="BO52" s="9">
        <f t="shared" si="1"/>
        <v>3150</v>
      </c>
    </row>
    <row r="53" spans="1:67" ht="24">
      <c r="A53" s="5" t="s">
        <v>168</v>
      </c>
      <c r="B53" s="12" t="s">
        <v>186</v>
      </c>
      <c r="C53" s="12">
        <v>388417</v>
      </c>
      <c r="D53" s="13"/>
      <c r="E53" s="12" t="s">
        <v>11</v>
      </c>
      <c r="F53" s="12" t="s">
        <v>91</v>
      </c>
      <c r="G53" s="12" t="s">
        <v>11</v>
      </c>
      <c r="H53" s="14" t="s">
        <v>7</v>
      </c>
      <c r="I53" s="14" t="s">
        <v>92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0</v>
      </c>
      <c r="BC53" s="14">
        <v>24</v>
      </c>
      <c r="BD53" s="15">
        <v>2880</v>
      </c>
      <c r="BE53" s="14">
        <v>0</v>
      </c>
      <c r="BF53" s="14">
        <v>0</v>
      </c>
      <c r="BG53" s="14">
        <v>0</v>
      </c>
      <c r="BH53" s="14">
        <v>0</v>
      </c>
      <c r="BI53" s="14">
        <v>0</v>
      </c>
      <c r="BJ53" s="14">
        <v>0</v>
      </c>
      <c r="BK53" s="14">
        <v>0</v>
      </c>
      <c r="BL53" s="14">
        <v>172.8</v>
      </c>
      <c r="BM53" s="19">
        <v>2880</v>
      </c>
      <c r="BN53" s="8">
        <f t="shared" si="6"/>
        <v>2707.2</v>
      </c>
      <c r="BO53" s="9">
        <f t="shared" si="1"/>
        <v>1895.0399999999997</v>
      </c>
    </row>
    <row r="54" spans="1:67" ht="24">
      <c r="A54" s="5" t="s">
        <v>168</v>
      </c>
      <c r="B54" s="12" t="s">
        <v>87</v>
      </c>
      <c r="C54" s="12">
        <v>308470</v>
      </c>
      <c r="D54" s="13"/>
      <c r="E54" s="12" t="s">
        <v>11</v>
      </c>
      <c r="F54" s="12" t="s">
        <v>36</v>
      </c>
      <c r="G54" s="12" t="s">
        <v>11</v>
      </c>
      <c r="H54" s="14" t="s">
        <v>7</v>
      </c>
      <c r="I54" s="14" t="s">
        <v>88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B54" s="14">
        <v>0</v>
      </c>
      <c r="BC54" s="14">
        <v>18</v>
      </c>
      <c r="BD54" s="15">
        <v>2160</v>
      </c>
      <c r="BE54" s="14">
        <v>0</v>
      </c>
      <c r="BF54" s="14">
        <v>0</v>
      </c>
      <c r="BG54" s="14">
        <v>0</v>
      </c>
      <c r="BH54" s="14">
        <v>0</v>
      </c>
      <c r="BI54" s="14">
        <v>0</v>
      </c>
      <c r="BJ54" s="14">
        <v>0</v>
      </c>
      <c r="BK54" s="14">
        <v>0</v>
      </c>
      <c r="BL54" s="14">
        <v>129.6</v>
      </c>
      <c r="BM54" s="19">
        <v>2160</v>
      </c>
      <c r="BN54" s="8">
        <f t="shared" si="6"/>
        <v>2030.4</v>
      </c>
      <c r="BO54" s="9">
        <f t="shared" si="1"/>
        <v>1421.28</v>
      </c>
    </row>
    <row r="55" spans="1:67" ht="24">
      <c r="A55" s="5" t="s">
        <v>168</v>
      </c>
      <c r="B55" s="12" t="s">
        <v>187</v>
      </c>
      <c r="C55" s="12">
        <v>183137</v>
      </c>
      <c r="D55" s="13"/>
      <c r="E55" s="12" t="s">
        <v>11</v>
      </c>
      <c r="F55" s="12" t="s">
        <v>13</v>
      </c>
      <c r="G55" s="12" t="s">
        <v>11</v>
      </c>
      <c r="H55" s="14" t="s">
        <v>7</v>
      </c>
      <c r="I55" s="14" t="s">
        <v>188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2</v>
      </c>
      <c r="AC55" s="14">
        <v>0</v>
      </c>
      <c r="AD55" s="15">
        <v>1800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0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0</v>
      </c>
      <c r="AZ55" s="14">
        <v>0</v>
      </c>
      <c r="BA55" s="14">
        <v>0</v>
      </c>
      <c r="BB55" s="14">
        <v>0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0</v>
      </c>
      <c r="BI55" s="14">
        <v>0</v>
      </c>
      <c r="BJ55" s="14">
        <v>0</v>
      </c>
      <c r="BK55" s="14">
        <v>0</v>
      </c>
      <c r="BL55" s="14">
        <v>0</v>
      </c>
      <c r="BM55" s="19">
        <v>1800</v>
      </c>
      <c r="BN55" s="8">
        <f t="shared" si="2"/>
        <v>1800</v>
      </c>
      <c r="BO55" s="9">
        <f t="shared" si="1"/>
        <v>1260</v>
      </c>
    </row>
    <row r="56" spans="1:67" ht="24">
      <c r="A56" s="5" t="s">
        <v>168</v>
      </c>
      <c r="B56" s="12" t="s">
        <v>167</v>
      </c>
      <c r="C56" s="12">
        <v>408450</v>
      </c>
      <c r="D56" s="13"/>
      <c r="E56" s="12" t="s">
        <v>11</v>
      </c>
      <c r="F56" s="12" t="s">
        <v>12</v>
      </c>
      <c r="G56" s="12" t="s">
        <v>22</v>
      </c>
      <c r="H56" s="14" t="s">
        <v>7</v>
      </c>
      <c r="I56" s="14" t="s">
        <v>107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</v>
      </c>
      <c r="AQ56" s="14">
        <v>14</v>
      </c>
      <c r="AR56" s="15">
        <v>1200</v>
      </c>
      <c r="AS56" s="14">
        <v>200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0</v>
      </c>
      <c r="BC56" s="14">
        <v>2</v>
      </c>
      <c r="BD56" s="14">
        <v>240</v>
      </c>
      <c r="BE56" s="14">
        <v>0</v>
      </c>
      <c r="BF56" s="14">
        <v>0</v>
      </c>
      <c r="BG56" s="14">
        <v>0</v>
      </c>
      <c r="BH56" s="14">
        <v>0</v>
      </c>
      <c r="BI56" s="14">
        <v>0</v>
      </c>
      <c r="BJ56" s="14">
        <v>0</v>
      </c>
      <c r="BK56" s="14">
        <v>0</v>
      </c>
      <c r="BL56" s="14">
        <v>14.4</v>
      </c>
      <c r="BM56" s="19">
        <v>1640</v>
      </c>
      <c r="BN56" s="8">
        <f>BM56-BL56</f>
        <v>1625.6</v>
      </c>
      <c r="BO56" s="9">
        <f t="shared" si="1"/>
        <v>1137.9199999999998</v>
      </c>
    </row>
    <row r="57" spans="1:67" ht="24">
      <c r="A57" s="5" t="s">
        <v>168</v>
      </c>
      <c r="B57" s="12" t="s">
        <v>93</v>
      </c>
      <c r="C57" s="12">
        <v>194565</v>
      </c>
      <c r="D57" s="13"/>
      <c r="E57" s="12" t="s">
        <v>11</v>
      </c>
      <c r="F57" s="12" t="s">
        <v>16</v>
      </c>
      <c r="G57" s="12" t="s">
        <v>11</v>
      </c>
      <c r="H57" s="14" t="s">
        <v>7</v>
      </c>
      <c r="I57" s="14" t="s">
        <v>94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13</v>
      </c>
      <c r="AF57" s="15">
        <v>1080</v>
      </c>
      <c r="AG57" s="14">
        <v>400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1</v>
      </c>
      <c r="AR57" s="14">
        <v>100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4">
        <v>0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0</v>
      </c>
      <c r="BI57" s="14">
        <v>0</v>
      </c>
      <c r="BJ57" s="14">
        <v>0</v>
      </c>
      <c r="BK57" s="14">
        <v>0</v>
      </c>
      <c r="BL57" s="14">
        <v>0</v>
      </c>
      <c r="BM57" s="19">
        <v>1580</v>
      </c>
      <c r="BN57" s="8">
        <f>BM57-BL57</f>
        <v>1580</v>
      </c>
      <c r="BO57" s="9">
        <f t="shared" si="1"/>
        <v>1106</v>
      </c>
    </row>
    <row r="58" spans="1:67" ht="24">
      <c r="A58" s="5" t="s">
        <v>168</v>
      </c>
      <c r="B58" s="12" t="s">
        <v>189</v>
      </c>
      <c r="C58" s="12">
        <v>227856</v>
      </c>
      <c r="D58" s="13"/>
      <c r="E58" s="12" t="s">
        <v>11</v>
      </c>
      <c r="F58" s="12" t="s">
        <v>190</v>
      </c>
      <c r="G58" s="12" t="s">
        <v>11</v>
      </c>
      <c r="H58" s="14" t="s">
        <v>7</v>
      </c>
      <c r="I58" s="14" t="s">
        <v>191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1</v>
      </c>
      <c r="BA58" s="15">
        <v>1080</v>
      </c>
      <c r="BB58" s="14">
        <v>0</v>
      </c>
      <c r="BC58" s="14">
        <v>0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0</v>
      </c>
      <c r="BK58" s="14">
        <v>0</v>
      </c>
      <c r="BL58" s="14">
        <v>64.8</v>
      </c>
      <c r="BM58" s="19">
        <v>1080</v>
      </c>
      <c r="BN58" s="8">
        <f>BM58-BL58</f>
        <v>1015.2</v>
      </c>
      <c r="BO58" s="9">
        <f t="shared" si="1"/>
        <v>710.64</v>
      </c>
    </row>
    <row r="59" spans="1:67" ht="24">
      <c r="A59" s="5" t="s">
        <v>168</v>
      </c>
      <c r="B59" s="12" t="s">
        <v>192</v>
      </c>
      <c r="C59" s="12">
        <v>272304</v>
      </c>
      <c r="D59" s="13"/>
      <c r="E59" s="12" t="s">
        <v>11</v>
      </c>
      <c r="F59" s="12" t="s">
        <v>12</v>
      </c>
      <c r="G59" s="12" t="s">
        <v>11</v>
      </c>
      <c r="H59" s="14" t="s">
        <v>7</v>
      </c>
      <c r="I59" s="14" t="s">
        <v>193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1</v>
      </c>
      <c r="BA59" s="15">
        <v>1080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0</v>
      </c>
      <c r="BK59" s="14">
        <v>0</v>
      </c>
      <c r="BL59" s="14">
        <v>64.8</v>
      </c>
      <c r="BM59" s="19">
        <v>1080</v>
      </c>
      <c r="BN59" s="8">
        <f>BM59-BL59</f>
        <v>1015.2</v>
      </c>
      <c r="BO59" s="9">
        <f t="shared" si="1"/>
        <v>710.64</v>
      </c>
    </row>
    <row r="60" spans="1:67" ht="24">
      <c r="A60" s="5" t="s">
        <v>168</v>
      </c>
      <c r="B60" s="12" t="s">
        <v>85</v>
      </c>
      <c r="C60" s="12">
        <v>408050</v>
      </c>
      <c r="D60" s="13"/>
      <c r="E60" s="12" t="s">
        <v>11</v>
      </c>
      <c r="F60" s="12" t="s">
        <v>13</v>
      </c>
      <c r="G60" s="12" t="s">
        <v>22</v>
      </c>
      <c r="H60" s="14" t="s">
        <v>7</v>
      </c>
      <c r="I60" s="14" t="s">
        <v>86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8</v>
      </c>
      <c r="AR60" s="14">
        <v>800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0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0</v>
      </c>
      <c r="BI60" s="14">
        <v>0</v>
      </c>
      <c r="BJ60" s="14">
        <v>0</v>
      </c>
      <c r="BK60" s="14">
        <v>0</v>
      </c>
      <c r="BL60" s="14">
        <v>0</v>
      </c>
      <c r="BM60" s="20">
        <v>800</v>
      </c>
      <c r="BN60" s="8">
        <f t="shared" si="2"/>
        <v>800</v>
      </c>
      <c r="BO60" s="9">
        <f t="shared" si="1"/>
        <v>560</v>
      </c>
    </row>
    <row r="61" spans="1:67" ht="24">
      <c r="A61" s="5" t="s">
        <v>168</v>
      </c>
      <c r="B61" s="12" t="s">
        <v>108</v>
      </c>
      <c r="C61" s="12">
        <v>409409</v>
      </c>
      <c r="D61" s="13"/>
      <c r="E61" s="12" t="s">
        <v>11</v>
      </c>
      <c r="F61" s="12" t="s">
        <v>36</v>
      </c>
      <c r="G61" s="12" t="s">
        <v>22</v>
      </c>
      <c r="H61" s="14" t="s">
        <v>7</v>
      </c>
      <c r="I61" s="14" t="s">
        <v>23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0</v>
      </c>
      <c r="BC61" s="14">
        <v>6</v>
      </c>
      <c r="BD61" s="14">
        <v>720</v>
      </c>
      <c r="BE61" s="14">
        <v>0</v>
      </c>
      <c r="BF61" s="14">
        <v>0</v>
      </c>
      <c r="BG61" s="14">
        <v>0</v>
      </c>
      <c r="BH61" s="14">
        <v>0</v>
      </c>
      <c r="BI61" s="14">
        <v>0</v>
      </c>
      <c r="BJ61" s="14">
        <v>0</v>
      </c>
      <c r="BK61" s="14">
        <v>0</v>
      </c>
      <c r="BL61" s="14">
        <v>43.2</v>
      </c>
      <c r="BM61" s="20">
        <v>720</v>
      </c>
      <c r="BN61" s="8">
        <f>BM61-BL61</f>
        <v>676.8</v>
      </c>
      <c r="BO61" s="9">
        <f t="shared" ref="BO61" si="7">BN61*70%</f>
        <v>473.75999999999993</v>
      </c>
    </row>
    <row r="62" spans="1:67" ht="24">
      <c r="A62" s="5" t="s">
        <v>168</v>
      </c>
      <c r="B62" s="12" t="s">
        <v>104</v>
      </c>
      <c r="C62" s="12">
        <v>332843</v>
      </c>
      <c r="D62" s="13"/>
      <c r="E62" s="12" t="s">
        <v>11</v>
      </c>
      <c r="F62" s="12" t="s">
        <v>12</v>
      </c>
      <c r="G62" s="12" t="s">
        <v>11</v>
      </c>
      <c r="H62" s="14" t="s">
        <v>7</v>
      </c>
      <c r="I62" s="14" t="s">
        <v>105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0</v>
      </c>
      <c r="BC62" s="14">
        <v>1</v>
      </c>
      <c r="BD62" s="14">
        <v>120</v>
      </c>
      <c r="BE62" s="14">
        <v>0</v>
      </c>
      <c r="BF62" s="14">
        <v>0</v>
      </c>
      <c r="BG62" s="14">
        <v>0</v>
      </c>
      <c r="BH62" s="14">
        <v>0</v>
      </c>
      <c r="BI62" s="14">
        <v>0</v>
      </c>
      <c r="BJ62" s="14">
        <v>0</v>
      </c>
      <c r="BK62" s="14">
        <v>0</v>
      </c>
      <c r="BL62" s="14">
        <v>7.2</v>
      </c>
      <c r="BM62" s="20">
        <v>120</v>
      </c>
      <c r="BN62" s="8">
        <f>BM62-BL62</f>
        <v>112.8</v>
      </c>
      <c r="BO62" s="9">
        <f t="shared" ref="BO62:BO87" si="8">BN62*70%</f>
        <v>78.959999999999994</v>
      </c>
    </row>
    <row r="63" spans="1:67" ht="24">
      <c r="A63" s="5" t="s">
        <v>169</v>
      </c>
      <c r="B63" s="12" t="s">
        <v>14</v>
      </c>
      <c r="C63" s="12">
        <v>355332</v>
      </c>
      <c r="D63" s="13"/>
      <c r="E63" s="12" t="s">
        <v>11</v>
      </c>
      <c r="F63" s="12" t="s">
        <v>13</v>
      </c>
      <c r="G63" s="12" t="s">
        <v>11</v>
      </c>
      <c r="H63" s="14" t="s">
        <v>8</v>
      </c>
      <c r="I63" s="14" t="s">
        <v>60</v>
      </c>
      <c r="J63" s="14">
        <v>0</v>
      </c>
      <c r="K63" s="15">
        <v>1556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967</v>
      </c>
      <c r="T63" s="15">
        <v>2906</v>
      </c>
      <c r="U63" s="14">
        <v>100</v>
      </c>
      <c r="V63" s="14">
        <v>0</v>
      </c>
      <c r="W63" s="15">
        <v>96600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181</v>
      </c>
      <c r="AF63" s="15">
        <v>6160</v>
      </c>
      <c r="AG63" s="15">
        <v>12900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10</v>
      </c>
      <c r="AR63" s="15">
        <v>1000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878</v>
      </c>
      <c r="BJ63" s="15">
        <v>105360</v>
      </c>
      <c r="BK63" s="14">
        <v>0</v>
      </c>
      <c r="BL63" s="16">
        <v>5268</v>
      </c>
      <c r="BM63" s="19">
        <v>222120</v>
      </c>
      <c r="BN63" s="8">
        <f>BM63-BL63</f>
        <v>216852</v>
      </c>
      <c r="BO63" s="9">
        <f t="shared" si="8"/>
        <v>151796.4</v>
      </c>
    </row>
    <row r="64" spans="1:67" ht="24">
      <c r="A64" s="5" t="s">
        <v>169</v>
      </c>
      <c r="B64" s="12" t="s">
        <v>18</v>
      </c>
      <c r="C64" s="12">
        <v>161539</v>
      </c>
      <c r="D64" s="13"/>
      <c r="E64" s="12" t="s">
        <v>11</v>
      </c>
      <c r="F64" s="12" t="s">
        <v>16</v>
      </c>
      <c r="G64" s="12" t="s">
        <v>11</v>
      </c>
      <c r="H64" s="14" t="s">
        <v>7</v>
      </c>
      <c r="I64" s="14" t="s">
        <v>19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  <c r="AX64" s="14">
        <v>0</v>
      </c>
      <c r="AY64" s="14">
        <v>0</v>
      </c>
      <c r="AZ64" s="14">
        <v>0</v>
      </c>
      <c r="BA64" s="14">
        <v>0</v>
      </c>
      <c r="BB64" s="14">
        <v>0</v>
      </c>
      <c r="BC64" s="14">
        <v>0</v>
      </c>
      <c r="BD64" s="14">
        <v>0</v>
      </c>
      <c r="BE64" s="14">
        <v>0</v>
      </c>
      <c r="BF64" s="14">
        <v>30</v>
      </c>
      <c r="BG64" s="15">
        <v>32400</v>
      </c>
      <c r="BH64" s="14">
        <v>0</v>
      </c>
      <c r="BI64" s="14">
        <v>0</v>
      </c>
      <c r="BJ64" s="14">
        <v>0</v>
      </c>
      <c r="BK64" s="14">
        <v>0</v>
      </c>
      <c r="BL64" s="16">
        <v>1620</v>
      </c>
      <c r="BM64" s="19">
        <v>32400</v>
      </c>
      <c r="BN64" s="8">
        <f>BM64-BL64</f>
        <v>30780</v>
      </c>
      <c r="BO64" s="9">
        <f t="shared" si="8"/>
        <v>21546</v>
      </c>
    </row>
    <row r="65" spans="1:67" ht="24">
      <c r="A65" s="5" t="s">
        <v>169</v>
      </c>
      <c r="B65" s="12" t="s">
        <v>40</v>
      </c>
      <c r="C65" s="12">
        <v>215737</v>
      </c>
      <c r="D65" s="13"/>
      <c r="E65" s="12" t="s">
        <v>11</v>
      </c>
      <c r="F65" s="12" t="s">
        <v>41</v>
      </c>
      <c r="G65" s="12" t="s">
        <v>11</v>
      </c>
      <c r="H65" s="14" t="s">
        <v>7</v>
      </c>
      <c r="I65" s="14" t="s">
        <v>42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40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22</v>
      </c>
      <c r="AF65" s="14">
        <v>400</v>
      </c>
      <c r="AG65" s="15">
        <v>1800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228</v>
      </c>
      <c r="AR65" s="15">
        <v>22800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0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0</v>
      </c>
      <c r="BI65" s="14">
        <v>0</v>
      </c>
      <c r="BJ65" s="14">
        <v>0</v>
      </c>
      <c r="BK65" s="14">
        <v>0</v>
      </c>
      <c r="BL65" s="14">
        <v>0</v>
      </c>
      <c r="BM65" s="19">
        <v>25000</v>
      </c>
      <c r="BN65" s="8">
        <f t="shared" ref="BN65:BN84" si="9">BM65-BL65</f>
        <v>25000</v>
      </c>
      <c r="BO65" s="9">
        <f t="shared" si="8"/>
        <v>17500</v>
      </c>
    </row>
    <row r="66" spans="1:67" ht="24">
      <c r="A66" s="5" t="s">
        <v>169</v>
      </c>
      <c r="B66" s="12" t="s">
        <v>171</v>
      </c>
      <c r="C66" s="12">
        <v>300910</v>
      </c>
      <c r="D66" s="13"/>
      <c r="E66" s="12" t="s">
        <v>11</v>
      </c>
      <c r="F66" s="12" t="s">
        <v>41</v>
      </c>
      <c r="G66" s="12" t="s">
        <v>11</v>
      </c>
      <c r="H66" s="14" t="s">
        <v>7</v>
      </c>
      <c r="I66" s="14" t="s">
        <v>172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43</v>
      </c>
      <c r="AF66" s="15">
        <v>4100</v>
      </c>
      <c r="AG66" s="14">
        <v>200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202</v>
      </c>
      <c r="AR66" s="15">
        <v>20000</v>
      </c>
      <c r="AS66" s="14">
        <v>200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0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0</v>
      </c>
      <c r="BI66" s="14">
        <v>0</v>
      </c>
      <c r="BJ66" s="14">
        <v>0</v>
      </c>
      <c r="BK66" s="14">
        <v>0</v>
      </c>
      <c r="BL66" s="14">
        <v>0</v>
      </c>
      <c r="BM66" s="19">
        <v>24500</v>
      </c>
      <c r="BN66" s="8">
        <f t="shared" ref="BN66:BN71" si="10">BM66-BL66</f>
        <v>24500</v>
      </c>
      <c r="BO66" s="9">
        <f t="shared" si="8"/>
        <v>17150</v>
      </c>
    </row>
    <row r="67" spans="1:67" ht="24">
      <c r="A67" s="5" t="s">
        <v>169</v>
      </c>
      <c r="B67" s="12" t="s">
        <v>15</v>
      </c>
      <c r="C67" s="12">
        <v>159260</v>
      </c>
      <c r="D67" s="13"/>
      <c r="E67" s="12" t="s">
        <v>11</v>
      </c>
      <c r="F67" s="12" t="s">
        <v>16</v>
      </c>
      <c r="G67" s="12" t="s">
        <v>11</v>
      </c>
      <c r="H67" s="14" t="s">
        <v>7</v>
      </c>
      <c r="I67" s="14" t="s">
        <v>17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19</v>
      </c>
      <c r="AC67" s="15">
        <v>18080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0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0</v>
      </c>
      <c r="BC67" s="14">
        <v>0</v>
      </c>
      <c r="BD67" s="14">
        <v>0</v>
      </c>
      <c r="BE67" s="14">
        <v>0</v>
      </c>
      <c r="BF67" s="14">
        <v>4</v>
      </c>
      <c r="BG67" s="15">
        <v>3360</v>
      </c>
      <c r="BH67" s="14">
        <v>0</v>
      </c>
      <c r="BI67" s="14">
        <v>0</v>
      </c>
      <c r="BJ67" s="14">
        <v>0</v>
      </c>
      <c r="BK67" s="14">
        <v>0</v>
      </c>
      <c r="BL67" s="14">
        <v>168</v>
      </c>
      <c r="BM67" s="19">
        <v>21440</v>
      </c>
      <c r="BN67" s="8">
        <f t="shared" si="10"/>
        <v>21272</v>
      </c>
      <c r="BO67" s="9">
        <f t="shared" si="8"/>
        <v>14890.4</v>
      </c>
    </row>
    <row r="68" spans="1:67" ht="24">
      <c r="A68" s="5" t="s">
        <v>169</v>
      </c>
      <c r="B68" s="12" t="s">
        <v>84</v>
      </c>
      <c r="C68" s="12">
        <v>408617</v>
      </c>
      <c r="D68" s="13"/>
      <c r="E68" s="12" t="s">
        <v>11</v>
      </c>
      <c r="F68" s="12" t="s">
        <v>12</v>
      </c>
      <c r="G68" s="12" t="s">
        <v>22</v>
      </c>
      <c r="H68" s="14" t="s">
        <v>10</v>
      </c>
      <c r="I68" s="14" t="s">
        <v>44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77</v>
      </c>
      <c r="AF68" s="15">
        <v>7700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14">
        <v>0</v>
      </c>
      <c r="AP68" s="14">
        <v>0</v>
      </c>
      <c r="AQ68" s="14">
        <v>98</v>
      </c>
      <c r="AR68" s="15">
        <v>9100</v>
      </c>
      <c r="AS68" s="14">
        <v>700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0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0</v>
      </c>
      <c r="BI68" s="14">
        <v>0</v>
      </c>
      <c r="BJ68" s="14">
        <v>0</v>
      </c>
      <c r="BK68" s="14">
        <v>0</v>
      </c>
      <c r="BL68" s="14">
        <v>0</v>
      </c>
      <c r="BM68" s="19">
        <v>17500</v>
      </c>
      <c r="BN68" s="8">
        <f t="shared" si="10"/>
        <v>17500</v>
      </c>
      <c r="BO68" s="9">
        <f t="shared" si="8"/>
        <v>12250</v>
      </c>
    </row>
    <row r="69" spans="1:67" ht="24">
      <c r="A69" s="5" t="s">
        <v>169</v>
      </c>
      <c r="B69" s="12" t="s">
        <v>21</v>
      </c>
      <c r="C69" s="12">
        <v>409392</v>
      </c>
      <c r="D69" s="13"/>
      <c r="E69" s="12" t="s">
        <v>11</v>
      </c>
      <c r="F69" s="12" t="s">
        <v>13</v>
      </c>
      <c r="G69" s="12" t="s">
        <v>22</v>
      </c>
      <c r="H69" s="14" t="s">
        <v>7</v>
      </c>
      <c r="I69" s="14" t="s">
        <v>23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0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0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0</v>
      </c>
      <c r="BI69" s="14">
        <v>131</v>
      </c>
      <c r="BJ69" s="15">
        <v>15720</v>
      </c>
      <c r="BK69" s="14">
        <v>0</v>
      </c>
      <c r="BL69" s="14">
        <v>786</v>
      </c>
      <c r="BM69" s="19">
        <v>15720</v>
      </c>
      <c r="BN69" s="8">
        <f t="shared" si="10"/>
        <v>14934</v>
      </c>
      <c r="BO69" s="9">
        <f t="shared" si="8"/>
        <v>10453.799999999999</v>
      </c>
    </row>
    <row r="70" spans="1:67" ht="24">
      <c r="A70" s="5" t="s">
        <v>169</v>
      </c>
      <c r="B70" s="12" t="s">
        <v>181</v>
      </c>
      <c r="C70" s="12">
        <v>408332</v>
      </c>
      <c r="D70" s="13"/>
      <c r="E70" s="12" t="s">
        <v>11</v>
      </c>
      <c r="F70" s="12" t="s">
        <v>12</v>
      </c>
      <c r="G70" s="12" t="s">
        <v>22</v>
      </c>
      <c r="H70" s="14" t="s">
        <v>7</v>
      </c>
      <c r="I70" s="14" t="s">
        <v>86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4</v>
      </c>
      <c r="AF70" s="14">
        <v>480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150</v>
      </c>
      <c r="AR70" s="15">
        <v>14300</v>
      </c>
      <c r="AS70" s="14">
        <v>700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0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0</v>
      </c>
      <c r="BI70" s="14">
        <v>0</v>
      </c>
      <c r="BJ70" s="14">
        <v>0</v>
      </c>
      <c r="BK70" s="14">
        <v>0</v>
      </c>
      <c r="BL70" s="14">
        <v>0</v>
      </c>
      <c r="BM70" s="19">
        <v>15480</v>
      </c>
      <c r="BN70" s="8">
        <f t="shared" si="10"/>
        <v>15480</v>
      </c>
      <c r="BO70" s="9">
        <f t="shared" si="8"/>
        <v>10836</v>
      </c>
    </row>
    <row r="71" spans="1:67" ht="24">
      <c r="A71" s="5" t="s">
        <v>169</v>
      </c>
      <c r="B71" s="12" t="s">
        <v>49</v>
      </c>
      <c r="C71" s="12">
        <v>413545</v>
      </c>
      <c r="D71" s="13"/>
      <c r="E71" s="12" t="s">
        <v>11</v>
      </c>
      <c r="F71" s="12" t="s">
        <v>16</v>
      </c>
      <c r="G71" s="12" t="s">
        <v>22</v>
      </c>
      <c r="H71" s="14" t="s">
        <v>8</v>
      </c>
      <c r="I71" s="14" t="s">
        <v>50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125</v>
      </c>
      <c r="AF71" s="15">
        <v>15000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4">
        <v>0</v>
      </c>
      <c r="BJ71" s="14">
        <v>0</v>
      </c>
      <c r="BK71" s="14">
        <v>0</v>
      </c>
      <c r="BL71" s="14">
        <v>0</v>
      </c>
      <c r="BM71" s="19">
        <v>15000</v>
      </c>
      <c r="BN71" s="8">
        <f t="shared" si="10"/>
        <v>15000</v>
      </c>
      <c r="BO71" s="9">
        <f t="shared" si="8"/>
        <v>10500</v>
      </c>
    </row>
    <row r="72" spans="1:67" ht="24">
      <c r="A72" s="5" t="s">
        <v>169</v>
      </c>
      <c r="B72" s="12" t="s">
        <v>20</v>
      </c>
      <c r="C72" s="12">
        <v>159270</v>
      </c>
      <c r="D72" s="13"/>
      <c r="E72" s="12" t="s">
        <v>11</v>
      </c>
      <c r="F72" s="12" t="s">
        <v>16</v>
      </c>
      <c r="G72" s="12" t="s">
        <v>11</v>
      </c>
      <c r="H72" s="14" t="s">
        <v>10</v>
      </c>
      <c r="I72" s="14" t="s">
        <v>19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11</v>
      </c>
      <c r="AC72" s="15">
        <v>11880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0</v>
      </c>
      <c r="AT72" s="14">
        <v>0</v>
      </c>
      <c r="AU72" s="14">
        <v>0</v>
      </c>
      <c r="AV72" s="14">
        <v>0</v>
      </c>
      <c r="AW72" s="14">
        <v>0</v>
      </c>
      <c r="AX72" s="14">
        <v>0</v>
      </c>
      <c r="AY72" s="14">
        <v>0</v>
      </c>
      <c r="AZ72" s="14">
        <v>0</v>
      </c>
      <c r="BA72" s="14">
        <v>0</v>
      </c>
      <c r="BB72" s="14">
        <v>0</v>
      </c>
      <c r="BC72" s="14">
        <v>0</v>
      </c>
      <c r="BD72" s="14">
        <v>0</v>
      </c>
      <c r="BE72" s="14">
        <v>0</v>
      </c>
      <c r="BF72" s="14">
        <v>0</v>
      </c>
      <c r="BG72" s="14">
        <v>0</v>
      </c>
      <c r="BH72" s="14">
        <v>0</v>
      </c>
      <c r="BI72" s="14">
        <v>0</v>
      </c>
      <c r="BJ72" s="14">
        <v>0</v>
      </c>
      <c r="BK72" s="14">
        <v>0</v>
      </c>
      <c r="BL72" s="14">
        <v>0</v>
      </c>
      <c r="BM72" s="19">
        <v>11880</v>
      </c>
      <c r="BN72" s="8">
        <f t="shared" si="9"/>
        <v>11880</v>
      </c>
      <c r="BO72" s="9">
        <f t="shared" si="8"/>
        <v>8316</v>
      </c>
    </row>
    <row r="73" spans="1:67" ht="24">
      <c r="A73" s="5" t="s">
        <v>169</v>
      </c>
      <c r="B73" s="12" t="s">
        <v>30</v>
      </c>
      <c r="C73" s="12">
        <v>159258</v>
      </c>
      <c r="D73" s="13"/>
      <c r="E73" s="12" t="s">
        <v>11</v>
      </c>
      <c r="F73" s="12" t="s">
        <v>16</v>
      </c>
      <c r="G73" s="12" t="s">
        <v>11</v>
      </c>
      <c r="H73" s="14" t="s">
        <v>7</v>
      </c>
      <c r="I73" s="14" t="s">
        <v>29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11</v>
      </c>
      <c r="AC73" s="15">
        <v>9900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1</v>
      </c>
      <c r="AU73" s="15">
        <v>1080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0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0</v>
      </c>
      <c r="BI73" s="14">
        <v>0</v>
      </c>
      <c r="BJ73" s="14">
        <v>0</v>
      </c>
      <c r="BK73" s="14">
        <v>0</v>
      </c>
      <c r="BL73" s="14">
        <v>108</v>
      </c>
      <c r="BM73" s="19">
        <v>10980</v>
      </c>
      <c r="BN73" s="8">
        <f>BM73-BL73</f>
        <v>10872</v>
      </c>
      <c r="BO73" s="9">
        <f t="shared" si="8"/>
        <v>7610.4</v>
      </c>
    </row>
    <row r="74" spans="1:67" ht="24">
      <c r="A74" s="5" t="s">
        <v>169</v>
      </c>
      <c r="B74" s="12" t="s">
        <v>61</v>
      </c>
      <c r="C74" s="12">
        <v>238494</v>
      </c>
      <c r="D74" s="13"/>
      <c r="E74" s="12" t="s">
        <v>11</v>
      </c>
      <c r="F74" s="12" t="s">
        <v>36</v>
      </c>
      <c r="G74" s="12" t="s">
        <v>11</v>
      </c>
      <c r="H74" s="14" t="s">
        <v>7</v>
      </c>
      <c r="I74" s="14" t="s">
        <v>62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8</v>
      </c>
      <c r="AC74" s="15">
        <v>8640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0</v>
      </c>
      <c r="AV74" s="14">
        <v>0</v>
      </c>
      <c r="AW74" s="14">
        <v>0</v>
      </c>
      <c r="AX74" s="14">
        <v>0</v>
      </c>
      <c r="AY74" s="14">
        <v>0</v>
      </c>
      <c r="AZ74" s="14">
        <v>0</v>
      </c>
      <c r="BA74" s="14">
        <v>0</v>
      </c>
      <c r="BB74" s="14">
        <v>0</v>
      </c>
      <c r="BC74" s="14">
        <v>0</v>
      </c>
      <c r="BD74" s="14">
        <v>0</v>
      </c>
      <c r="BE74" s="14">
        <v>0</v>
      </c>
      <c r="BF74" s="14">
        <v>0</v>
      </c>
      <c r="BG74" s="14">
        <v>0</v>
      </c>
      <c r="BH74" s="14">
        <v>0</v>
      </c>
      <c r="BI74" s="14">
        <v>0</v>
      </c>
      <c r="BJ74" s="14">
        <v>0</v>
      </c>
      <c r="BK74" s="14">
        <v>0</v>
      </c>
      <c r="BL74" s="14">
        <v>0</v>
      </c>
      <c r="BM74" s="19">
        <v>8640</v>
      </c>
      <c r="BN74" s="8">
        <f>BM74-BL74</f>
        <v>8640</v>
      </c>
      <c r="BO74" s="9">
        <f t="shared" si="8"/>
        <v>6048</v>
      </c>
    </row>
    <row r="75" spans="1:67" ht="24">
      <c r="A75" s="5" t="s">
        <v>169</v>
      </c>
      <c r="B75" s="12" t="s">
        <v>45</v>
      </c>
      <c r="C75" s="12">
        <v>192729</v>
      </c>
      <c r="D75" s="13"/>
      <c r="E75" s="12" t="s">
        <v>11</v>
      </c>
      <c r="F75" s="12" t="s">
        <v>36</v>
      </c>
      <c r="G75" s="12" t="s">
        <v>11</v>
      </c>
      <c r="H75" s="14" t="s">
        <v>7</v>
      </c>
      <c r="I75" s="14" t="s">
        <v>46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0</v>
      </c>
      <c r="AZ75" s="14">
        <v>0</v>
      </c>
      <c r="BA75" s="14">
        <v>0</v>
      </c>
      <c r="BB75" s="14">
        <v>0</v>
      </c>
      <c r="BC75" s="14">
        <v>0</v>
      </c>
      <c r="BD75" s="14">
        <v>0</v>
      </c>
      <c r="BE75" s="14">
        <v>0</v>
      </c>
      <c r="BF75" s="14">
        <v>7</v>
      </c>
      <c r="BG75" s="15">
        <v>7560</v>
      </c>
      <c r="BH75" s="14">
        <v>0</v>
      </c>
      <c r="BI75" s="14">
        <v>0</v>
      </c>
      <c r="BJ75" s="14">
        <v>0</v>
      </c>
      <c r="BK75" s="14">
        <v>0</v>
      </c>
      <c r="BL75" s="14">
        <v>378</v>
      </c>
      <c r="BM75" s="19">
        <v>7560</v>
      </c>
      <c r="BN75" s="8">
        <f>BM75-BL75</f>
        <v>7182</v>
      </c>
      <c r="BO75" s="9">
        <f t="shared" si="8"/>
        <v>5027.3999999999996</v>
      </c>
    </row>
    <row r="76" spans="1:67" ht="24">
      <c r="A76" s="5" t="s">
        <v>169</v>
      </c>
      <c r="B76" s="12" t="s">
        <v>100</v>
      </c>
      <c r="C76" s="12">
        <v>406732</v>
      </c>
      <c r="D76" s="13"/>
      <c r="E76" s="12" t="s">
        <v>11</v>
      </c>
      <c r="F76" s="12" t="s">
        <v>12</v>
      </c>
      <c r="G76" s="12" t="s">
        <v>11</v>
      </c>
      <c r="H76" s="14" t="s">
        <v>7</v>
      </c>
      <c r="I76" s="14" t="s">
        <v>101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58</v>
      </c>
      <c r="AF76" s="15">
        <v>6400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0</v>
      </c>
      <c r="AT76" s="14">
        <v>0</v>
      </c>
      <c r="AU76" s="14">
        <v>0</v>
      </c>
      <c r="AV76" s="14">
        <v>0</v>
      </c>
      <c r="AW76" s="14">
        <v>0</v>
      </c>
      <c r="AX76" s="14">
        <v>0</v>
      </c>
      <c r="AY76" s="14">
        <v>0</v>
      </c>
      <c r="AZ76" s="14">
        <v>0</v>
      </c>
      <c r="BA76" s="14">
        <v>0</v>
      </c>
      <c r="BB76" s="14">
        <v>0</v>
      </c>
      <c r="BC76" s="14">
        <v>0</v>
      </c>
      <c r="BD76" s="14">
        <v>0</v>
      </c>
      <c r="BE76" s="14">
        <v>0</v>
      </c>
      <c r="BF76" s="14">
        <v>0</v>
      </c>
      <c r="BG76" s="14">
        <v>0</v>
      </c>
      <c r="BH76" s="14">
        <v>0</v>
      </c>
      <c r="BI76" s="14">
        <v>0</v>
      </c>
      <c r="BJ76" s="14">
        <v>0</v>
      </c>
      <c r="BK76" s="14">
        <v>0</v>
      </c>
      <c r="BL76" s="14">
        <v>0</v>
      </c>
      <c r="BM76" s="19">
        <v>6400</v>
      </c>
      <c r="BN76" s="8">
        <f>BM76-BL76</f>
        <v>6400</v>
      </c>
      <c r="BO76" s="9">
        <f t="shared" si="8"/>
        <v>4480</v>
      </c>
    </row>
    <row r="77" spans="1:67" ht="24">
      <c r="A77" s="5" t="s">
        <v>169</v>
      </c>
      <c r="B77" s="12" t="s">
        <v>31</v>
      </c>
      <c r="C77" s="12">
        <v>159255</v>
      </c>
      <c r="D77" s="13"/>
      <c r="E77" s="12" t="s">
        <v>11</v>
      </c>
      <c r="F77" s="12" t="s">
        <v>16</v>
      </c>
      <c r="G77" s="12" t="s">
        <v>11</v>
      </c>
      <c r="H77" s="14" t="s">
        <v>8</v>
      </c>
      <c r="I77" s="14" t="s">
        <v>32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5</v>
      </c>
      <c r="AC77" s="15">
        <v>4500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  <c r="AS77" s="14">
        <v>0</v>
      </c>
      <c r="AT77" s="14">
        <v>0</v>
      </c>
      <c r="AU77" s="14">
        <v>0</v>
      </c>
      <c r="AV77" s="14">
        <v>0</v>
      </c>
      <c r="AW77" s="14">
        <v>0</v>
      </c>
      <c r="AX77" s="14">
        <v>0</v>
      </c>
      <c r="AY77" s="14">
        <v>0</v>
      </c>
      <c r="AZ77" s="14">
        <v>0</v>
      </c>
      <c r="BA77" s="14">
        <v>0</v>
      </c>
      <c r="BB77" s="14">
        <v>0</v>
      </c>
      <c r="BC77" s="14">
        <v>0</v>
      </c>
      <c r="BD77" s="14">
        <v>0</v>
      </c>
      <c r="BE77" s="14">
        <v>0</v>
      </c>
      <c r="BF77" s="14">
        <v>0</v>
      </c>
      <c r="BG77" s="14">
        <v>0</v>
      </c>
      <c r="BH77" s="14">
        <v>0</v>
      </c>
      <c r="BI77" s="14">
        <v>0</v>
      </c>
      <c r="BJ77" s="14">
        <v>0</v>
      </c>
      <c r="BK77" s="14">
        <v>0</v>
      </c>
      <c r="BL77" s="14">
        <v>0</v>
      </c>
      <c r="BM77" s="19">
        <v>4500</v>
      </c>
      <c r="BN77" s="8">
        <f>BM77-BL77</f>
        <v>4500</v>
      </c>
      <c r="BO77" s="9">
        <f t="shared" si="8"/>
        <v>3150</v>
      </c>
    </row>
    <row r="78" spans="1:67" ht="24">
      <c r="A78" s="5" t="s">
        <v>169</v>
      </c>
      <c r="B78" s="12" t="s">
        <v>33</v>
      </c>
      <c r="C78" s="12">
        <v>159266</v>
      </c>
      <c r="D78" s="13"/>
      <c r="E78" s="12" t="s">
        <v>11</v>
      </c>
      <c r="F78" s="12" t="s">
        <v>16</v>
      </c>
      <c r="G78" s="12" t="s">
        <v>11</v>
      </c>
      <c r="H78" s="14" t="s">
        <v>7</v>
      </c>
      <c r="I78" s="14" t="s">
        <v>29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0</v>
      </c>
      <c r="BC78" s="14">
        <v>0</v>
      </c>
      <c r="BD78" s="14">
        <v>0</v>
      </c>
      <c r="BE78" s="14">
        <v>0</v>
      </c>
      <c r="BF78" s="14">
        <v>4</v>
      </c>
      <c r="BG78" s="15">
        <v>4320</v>
      </c>
      <c r="BH78" s="14">
        <v>0</v>
      </c>
      <c r="BI78" s="14">
        <v>0</v>
      </c>
      <c r="BJ78" s="14">
        <v>0</v>
      </c>
      <c r="BK78" s="14">
        <v>0</v>
      </c>
      <c r="BL78" s="14">
        <v>216</v>
      </c>
      <c r="BM78" s="19">
        <v>4320</v>
      </c>
      <c r="BN78" s="8">
        <f t="shared" si="9"/>
        <v>4104</v>
      </c>
      <c r="BO78" s="9">
        <f t="shared" si="8"/>
        <v>2872.7999999999997</v>
      </c>
    </row>
    <row r="79" spans="1:67" ht="24">
      <c r="A79" s="5" t="s">
        <v>169</v>
      </c>
      <c r="B79" s="12" t="s">
        <v>73</v>
      </c>
      <c r="C79" s="12">
        <v>192737</v>
      </c>
      <c r="D79" s="13"/>
      <c r="E79" s="12" t="s">
        <v>11</v>
      </c>
      <c r="F79" s="12" t="s">
        <v>36</v>
      </c>
      <c r="G79" s="12" t="s">
        <v>11</v>
      </c>
      <c r="H79" s="14" t="s">
        <v>7</v>
      </c>
      <c r="I79" s="14" t="s">
        <v>37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3</v>
      </c>
      <c r="AC79" s="15">
        <v>3240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14">
        <v>0</v>
      </c>
      <c r="AX79" s="14">
        <v>0</v>
      </c>
      <c r="AY79" s="14">
        <v>0</v>
      </c>
      <c r="AZ79" s="14">
        <v>0</v>
      </c>
      <c r="BA79" s="14">
        <v>0</v>
      </c>
      <c r="BB79" s="14">
        <v>0</v>
      </c>
      <c r="BC79" s="14">
        <v>0</v>
      </c>
      <c r="BD79" s="14">
        <v>0</v>
      </c>
      <c r="BE79" s="14">
        <v>0</v>
      </c>
      <c r="BF79" s="14">
        <v>0</v>
      </c>
      <c r="BG79" s="14">
        <v>0</v>
      </c>
      <c r="BH79" s="14">
        <v>0</v>
      </c>
      <c r="BI79" s="14">
        <v>0</v>
      </c>
      <c r="BJ79" s="14">
        <v>0</v>
      </c>
      <c r="BK79" s="14">
        <v>0</v>
      </c>
      <c r="BL79" s="14">
        <v>0</v>
      </c>
      <c r="BM79" s="19">
        <v>3240</v>
      </c>
      <c r="BN79" s="8">
        <f>BM79-BL79</f>
        <v>3240</v>
      </c>
      <c r="BO79" s="9">
        <f t="shared" si="8"/>
        <v>2268</v>
      </c>
    </row>
    <row r="80" spans="1:67" ht="24">
      <c r="A80" s="5" t="s">
        <v>169</v>
      </c>
      <c r="B80" s="12" t="s">
        <v>81</v>
      </c>
      <c r="C80" s="12">
        <v>192732</v>
      </c>
      <c r="D80" s="13"/>
      <c r="E80" s="12" t="s">
        <v>11</v>
      </c>
      <c r="F80" s="12" t="s">
        <v>36</v>
      </c>
      <c r="G80" s="12" t="s">
        <v>11</v>
      </c>
      <c r="H80" s="14" t="s">
        <v>7</v>
      </c>
      <c r="I80" s="14" t="s">
        <v>37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1</v>
      </c>
      <c r="AF80" s="14">
        <v>0</v>
      </c>
      <c r="AG80" s="15">
        <v>3200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0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0</v>
      </c>
      <c r="BI80" s="14">
        <v>0</v>
      </c>
      <c r="BJ80" s="14">
        <v>0</v>
      </c>
      <c r="BK80" s="14">
        <v>0</v>
      </c>
      <c r="BL80" s="14">
        <v>0</v>
      </c>
      <c r="BM80" s="19">
        <v>3200</v>
      </c>
      <c r="BN80" s="8">
        <f>BM80-BL80</f>
        <v>3200</v>
      </c>
      <c r="BO80" s="9">
        <f t="shared" si="8"/>
        <v>2240</v>
      </c>
    </row>
    <row r="81" spans="1:67" ht="24">
      <c r="A81" s="5" t="s">
        <v>169</v>
      </c>
      <c r="B81" s="12" t="s">
        <v>55</v>
      </c>
      <c r="C81" s="12">
        <v>258201</v>
      </c>
      <c r="D81" s="13"/>
      <c r="E81" s="12" t="s">
        <v>11</v>
      </c>
      <c r="F81" s="12" t="s">
        <v>41</v>
      </c>
      <c r="G81" s="12" t="s">
        <v>11</v>
      </c>
      <c r="H81" s="14" t="s">
        <v>7</v>
      </c>
      <c r="I81" s="14" t="s">
        <v>56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2</v>
      </c>
      <c r="AC81" s="15">
        <v>1800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0</v>
      </c>
      <c r="AX81" s="14">
        <v>0</v>
      </c>
      <c r="AY81" s="14">
        <v>0</v>
      </c>
      <c r="AZ81" s="14">
        <v>0</v>
      </c>
      <c r="BA81" s="14">
        <v>0</v>
      </c>
      <c r="BB81" s="14">
        <v>0</v>
      </c>
      <c r="BC81" s="14">
        <v>0</v>
      </c>
      <c r="BD81" s="14">
        <v>0</v>
      </c>
      <c r="BE81" s="14">
        <v>0</v>
      </c>
      <c r="BF81" s="14">
        <v>1</v>
      </c>
      <c r="BG81" s="15">
        <v>1080</v>
      </c>
      <c r="BH81" s="14">
        <v>0</v>
      </c>
      <c r="BI81" s="14">
        <v>0</v>
      </c>
      <c r="BJ81" s="14">
        <v>0</v>
      </c>
      <c r="BK81" s="14">
        <v>0</v>
      </c>
      <c r="BL81" s="14">
        <v>54</v>
      </c>
      <c r="BM81" s="19">
        <v>2880</v>
      </c>
      <c r="BN81" s="8">
        <f>BM81-BL81</f>
        <v>2826</v>
      </c>
      <c r="BO81" s="9">
        <f t="shared" si="8"/>
        <v>1978.1999999999998</v>
      </c>
    </row>
    <row r="82" spans="1:67" ht="24">
      <c r="A82" s="5" t="s">
        <v>169</v>
      </c>
      <c r="B82" s="12" t="s">
        <v>82</v>
      </c>
      <c r="C82" s="12">
        <v>395747</v>
      </c>
      <c r="D82" s="13"/>
      <c r="E82" s="12" t="s">
        <v>11</v>
      </c>
      <c r="F82" s="12" t="s">
        <v>12</v>
      </c>
      <c r="G82" s="12" t="s">
        <v>11</v>
      </c>
      <c r="H82" s="14" t="s">
        <v>7</v>
      </c>
      <c r="I82" s="14" t="s">
        <v>83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0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0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0</v>
      </c>
      <c r="BI82" s="14">
        <v>1</v>
      </c>
      <c r="BJ82" s="14">
        <v>120</v>
      </c>
      <c r="BK82" s="14">
        <v>0</v>
      </c>
      <c r="BL82" s="14">
        <v>6</v>
      </c>
      <c r="BM82" s="20">
        <v>120</v>
      </c>
      <c r="BN82" s="8">
        <f>BM82-BL82</f>
        <v>114</v>
      </c>
      <c r="BO82" s="9">
        <f t="shared" si="8"/>
        <v>79.8</v>
      </c>
    </row>
    <row r="83" spans="1:67" ht="24">
      <c r="A83" s="5" t="s">
        <v>170</v>
      </c>
      <c r="B83" s="12" t="s">
        <v>14</v>
      </c>
      <c r="C83" s="12">
        <v>355332</v>
      </c>
      <c r="D83" s="13"/>
      <c r="E83" s="12" t="s">
        <v>11</v>
      </c>
      <c r="F83" s="12" t="s">
        <v>13</v>
      </c>
      <c r="G83" s="12" t="s">
        <v>11</v>
      </c>
      <c r="H83" s="14" t="s">
        <v>8</v>
      </c>
      <c r="I83" s="14" t="s">
        <v>60</v>
      </c>
      <c r="J83" s="14">
        <v>0</v>
      </c>
      <c r="K83" s="14">
        <v>430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12</v>
      </c>
      <c r="T83" s="15">
        <v>1075</v>
      </c>
      <c r="U83" s="15">
        <v>1000</v>
      </c>
      <c r="V83" s="14">
        <v>200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344</v>
      </c>
      <c r="AF83" s="15">
        <v>31200</v>
      </c>
      <c r="AG83" s="15">
        <v>3200</v>
      </c>
      <c r="AH83" s="14">
        <v>0</v>
      </c>
      <c r="AI83" s="14">
        <v>0</v>
      </c>
      <c r="AJ83" s="14">
        <v>0</v>
      </c>
      <c r="AK83" s="15">
        <v>3275</v>
      </c>
      <c r="AL83" s="15">
        <v>353368</v>
      </c>
      <c r="AM83" s="15">
        <v>29600</v>
      </c>
      <c r="AN83" s="14">
        <v>0</v>
      </c>
      <c r="AO83" s="14">
        <v>0</v>
      </c>
      <c r="AP83" s="14">
        <v>0</v>
      </c>
      <c r="AQ83" s="15">
        <v>1814</v>
      </c>
      <c r="AR83" s="15">
        <v>176100</v>
      </c>
      <c r="AS83" s="15">
        <v>5300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1</v>
      </c>
      <c r="BD83" s="14">
        <v>120</v>
      </c>
      <c r="BE83" s="14">
        <v>0</v>
      </c>
      <c r="BF83" s="14">
        <v>0</v>
      </c>
      <c r="BG83" s="14">
        <v>0</v>
      </c>
      <c r="BH83" s="14">
        <v>0</v>
      </c>
      <c r="BI83" s="14">
        <v>8</v>
      </c>
      <c r="BJ83" s="14">
        <v>960</v>
      </c>
      <c r="BK83" s="14">
        <v>0</v>
      </c>
      <c r="BL83" s="16">
        <v>106065.60000000001</v>
      </c>
      <c r="BM83" s="19">
        <v>601048</v>
      </c>
      <c r="BN83" s="8">
        <f>BM83-BL83</f>
        <v>494982.40000000002</v>
      </c>
      <c r="BO83" s="9">
        <f t="shared" si="8"/>
        <v>346487.68</v>
      </c>
    </row>
    <row r="84" spans="1:67" ht="24">
      <c r="A84" s="5" t="s">
        <v>170</v>
      </c>
      <c r="B84" s="12" t="s">
        <v>15</v>
      </c>
      <c r="C84" s="12">
        <v>159260</v>
      </c>
      <c r="D84" s="13"/>
      <c r="E84" s="12" t="s">
        <v>11</v>
      </c>
      <c r="F84" s="12" t="s">
        <v>16</v>
      </c>
      <c r="G84" s="12" t="s">
        <v>11</v>
      </c>
      <c r="H84" s="14" t="s">
        <v>7</v>
      </c>
      <c r="I84" s="14" t="s">
        <v>17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37</v>
      </c>
      <c r="AC84" s="15">
        <v>28400</v>
      </c>
      <c r="AD84" s="15">
        <v>4900</v>
      </c>
      <c r="AE84" s="14">
        <v>38</v>
      </c>
      <c r="AF84" s="15">
        <v>107500</v>
      </c>
      <c r="AG84" s="15">
        <v>11300</v>
      </c>
      <c r="AH84" s="14">
        <v>79</v>
      </c>
      <c r="AI84" s="15">
        <v>81840</v>
      </c>
      <c r="AJ84" s="15">
        <v>2900</v>
      </c>
      <c r="AK84" s="14">
        <v>13</v>
      </c>
      <c r="AL84" s="15">
        <v>44400</v>
      </c>
      <c r="AM84" s="15">
        <v>1000</v>
      </c>
      <c r="AN84" s="14">
        <v>10</v>
      </c>
      <c r="AO84" s="15">
        <v>8500</v>
      </c>
      <c r="AP84" s="14">
        <v>500</v>
      </c>
      <c r="AQ84" s="14">
        <v>1</v>
      </c>
      <c r="AR84" s="15">
        <v>3200</v>
      </c>
      <c r="AS84" s="14">
        <v>0</v>
      </c>
      <c r="AT84" s="14">
        <v>0</v>
      </c>
      <c r="AU84" s="14">
        <v>0</v>
      </c>
      <c r="AV84" s="14">
        <v>0</v>
      </c>
      <c r="AW84" s="14">
        <v>0</v>
      </c>
      <c r="AX84" s="14">
        <v>0</v>
      </c>
      <c r="AY84" s="14">
        <v>0</v>
      </c>
      <c r="AZ84" s="14">
        <v>0</v>
      </c>
      <c r="BA84" s="14">
        <v>0</v>
      </c>
      <c r="BB84" s="14">
        <v>0</v>
      </c>
      <c r="BC84" s="14">
        <v>0</v>
      </c>
      <c r="BD84" s="14">
        <v>0</v>
      </c>
      <c r="BE84" s="14">
        <v>0</v>
      </c>
      <c r="BF84" s="14">
        <v>0</v>
      </c>
      <c r="BG84" s="14">
        <v>0</v>
      </c>
      <c r="BH84" s="14">
        <v>0</v>
      </c>
      <c r="BI84" s="14">
        <v>0</v>
      </c>
      <c r="BJ84" s="14">
        <v>0</v>
      </c>
      <c r="BK84" s="14">
        <v>0</v>
      </c>
      <c r="BL84" s="16">
        <v>37872</v>
      </c>
      <c r="BM84" s="19">
        <v>294440</v>
      </c>
      <c r="BN84" s="8">
        <f t="shared" si="9"/>
        <v>256568</v>
      </c>
      <c r="BO84" s="9">
        <f t="shared" si="8"/>
        <v>179597.59999999998</v>
      </c>
    </row>
    <row r="85" spans="1:67" ht="24">
      <c r="A85" s="5" t="s">
        <v>170</v>
      </c>
      <c r="B85" s="12" t="s">
        <v>26</v>
      </c>
      <c r="C85" s="12">
        <v>161447</v>
      </c>
      <c r="D85" s="13"/>
      <c r="E85" s="12" t="s">
        <v>11</v>
      </c>
      <c r="F85" s="12" t="s">
        <v>13</v>
      </c>
      <c r="G85" s="12" t="s">
        <v>11</v>
      </c>
      <c r="H85" s="14" t="s">
        <v>7</v>
      </c>
      <c r="I85" s="14" t="s">
        <v>27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8</v>
      </c>
      <c r="AC85" s="15">
        <v>4100</v>
      </c>
      <c r="AD85" s="14">
        <v>0</v>
      </c>
      <c r="AE85" s="14">
        <v>0</v>
      </c>
      <c r="AF85" s="14">
        <v>0</v>
      </c>
      <c r="AG85" s="14">
        <v>0</v>
      </c>
      <c r="AH85" s="14">
        <v>33</v>
      </c>
      <c r="AI85" s="15">
        <v>20520</v>
      </c>
      <c r="AJ85" s="15">
        <v>12100</v>
      </c>
      <c r="AK85" s="14">
        <v>23</v>
      </c>
      <c r="AL85" s="15">
        <v>88320</v>
      </c>
      <c r="AM85" s="14">
        <v>0</v>
      </c>
      <c r="AN85" s="14">
        <v>0</v>
      </c>
      <c r="AO85" s="14">
        <v>0</v>
      </c>
      <c r="AP85" s="14">
        <v>0</v>
      </c>
      <c r="AQ85" s="14">
        <v>12</v>
      </c>
      <c r="AR85" s="15">
        <v>37800</v>
      </c>
      <c r="AS85" s="14">
        <v>600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4">
        <v>0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0</v>
      </c>
      <c r="BI85" s="14">
        <v>0</v>
      </c>
      <c r="BJ85" s="14">
        <v>0</v>
      </c>
      <c r="BK85" s="14">
        <v>0</v>
      </c>
      <c r="BL85" s="16">
        <v>32652</v>
      </c>
      <c r="BM85" s="19">
        <v>163440</v>
      </c>
      <c r="BN85" s="8">
        <f t="shared" ref="BN85:BN92" si="11">BM85-BL85</f>
        <v>130788</v>
      </c>
      <c r="BO85" s="9">
        <f t="shared" si="8"/>
        <v>91551.599999999991</v>
      </c>
    </row>
    <row r="86" spans="1:67" ht="24">
      <c r="A86" s="5" t="s">
        <v>170</v>
      </c>
      <c r="B86" s="12" t="s">
        <v>20</v>
      </c>
      <c r="C86" s="12">
        <v>159270</v>
      </c>
      <c r="D86" s="13"/>
      <c r="E86" s="12" t="s">
        <v>11</v>
      </c>
      <c r="F86" s="12" t="s">
        <v>16</v>
      </c>
      <c r="G86" s="12" t="s">
        <v>11</v>
      </c>
      <c r="H86" s="14" t="s">
        <v>10</v>
      </c>
      <c r="I86" s="14" t="s">
        <v>19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1</v>
      </c>
      <c r="AC86" s="14">
        <v>900</v>
      </c>
      <c r="AD86" s="14">
        <v>0</v>
      </c>
      <c r="AE86" s="14">
        <v>31</v>
      </c>
      <c r="AF86" s="15">
        <v>93100</v>
      </c>
      <c r="AG86" s="15">
        <v>4500</v>
      </c>
      <c r="AH86" s="14">
        <v>37</v>
      </c>
      <c r="AI86" s="15">
        <v>35640</v>
      </c>
      <c r="AJ86" s="15">
        <v>3600</v>
      </c>
      <c r="AK86" s="14">
        <v>2</v>
      </c>
      <c r="AL86" s="15">
        <v>5760</v>
      </c>
      <c r="AM86" s="14">
        <v>0</v>
      </c>
      <c r="AN86" s="14">
        <v>0</v>
      </c>
      <c r="AO86" s="14">
        <v>0</v>
      </c>
      <c r="AP86" s="14">
        <v>0</v>
      </c>
      <c r="AQ86" s="14">
        <v>0</v>
      </c>
      <c r="AR86" s="14">
        <v>0</v>
      </c>
      <c r="AS86" s="14">
        <v>0</v>
      </c>
      <c r="AT86" s="14">
        <v>0</v>
      </c>
      <c r="AU86" s="14">
        <v>0</v>
      </c>
      <c r="AV86" s="14">
        <v>0</v>
      </c>
      <c r="AW86" s="14">
        <v>0</v>
      </c>
      <c r="AX86" s="14">
        <v>0</v>
      </c>
      <c r="AY86" s="14">
        <v>0</v>
      </c>
      <c r="AZ86" s="14">
        <v>0</v>
      </c>
      <c r="BA86" s="14">
        <v>0</v>
      </c>
      <c r="BB86" s="14">
        <v>0</v>
      </c>
      <c r="BC86" s="14">
        <v>0</v>
      </c>
      <c r="BD86" s="14">
        <v>0</v>
      </c>
      <c r="BE86" s="14">
        <v>0</v>
      </c>
      <c r="BF86" s="14">
        <v>0</v>
      </c>
      <c r="BG86" s="14">
        <v>0</v>
      </c>
      <c r="BH86" s="14">
        <v>0</v>
      </c>
      <c r="BI86" s="14">
        <v>0</v>
      </c>
      <c r="BJ86" s="14">
        <v>0</v>
      </c>
      <c r="BK86" s="14">
        <v>0</v>
      </c>
      <c r="BL86" s="16">
        <v>12420</v>
      </c>
      <c r="BM86" s="19">
        <v>143500</v>
      </c>
      <c r="BN86" s="8">
        <f t="shared" si="11"/>
        <v>131080</v>
      </c>
      <c r="BO86" s="9">
        <f t="shared" si="8"/>
        <v>91756</v>
      </c>
    </row>
    <row r="87" spans="1:67" ht="24">
      <c r="A87" s="5" t="s">
        <v>170</v>
      </c>
      <c r="B87" s="12" t="s">
        <v>18</v>
      </c>
      <c r="C87" s="12">
        <v>161539</v>
      </c>
      <c r="D87" s="13"/>
      <c r="E87" s="12" t="s">
        <v>11</v>
      </c>
      <c r="F87" s="12" t="s">
        <v>16</v>
      </c>
      <c r="G87" s="12" t="s">
        <v>11</v>
      </c>
      <c r="H87" s="14" t="s">
        <v>7</v>
      </c>
      <c r="I87" s="14" t="s">
        <v>19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21</v>
      </c>
      <c r="AC87" s="15">
        <v>18200</v>
      </c>
      <c r="AD87" s="14">
        <v>0</v>
      </c>
      <c r="AE87" s="14">
        <v>9</v>
      </c>
      <c r="AF87" s="15">
        <v>18000</v>
      </c>
      <c r="AG87" s="15">
        <v>10800</v>
      </c>
      <c r="AH87" s="14">
        <v>45</v>
      </c>
      <c r="AI87" s="15">
        <v>47802</v>
      </c>
      <c r="AJ87" s="14">
        <v>300</v>
      </c>
      <c r="AK87" s="14">
        <v>8</v>
      </c>
      <c r="AL87" s="15">
        <v>3840</v>
      </c>
      <c r="AM87" s="15">
        <v>22400</v>
      </c>
      <c r="AN87" s="14">
        <v>0</v>
      </c>
      <c r="AO87" s="14">
        <v>0</v>
      </c>
      <c r="AP87" s="14">
        <v>0</v>
      </c>
      <c r="AQ87" s="14">
        <v>0</v>
      </c>
      <c r="AR87" s="14">
        <v>0</v>
      </c>
      <c r="AS87" s="14">
        <v>0</v>
      </c>
      <c r="AT87" s="14">
        <v>0</v>
      </c>
      <c r="AU87" s="14">
        <v>0</v>
      </c>
      <c r="AV87" s="14">
        <v>0</v>
      </c>
      <c r="AW87" s="14">
        <v>0</v>
      </c>
      <c r="AX87" s="14">
        <v>0</v>
      </c>
      <c r="AY87" s="14">
        <v>0</v>
      </c>
      <c r="AZ87" s="14">
        <v>0</v>
      </c>
      <c r="BA87" s="14">
        <v>0</v>
      </c>
      <c r="BB87" s="14">
        <v>0</v>
      </c>
      <c r="BC87" s="14">
        <v>0</v>
      </c>
      <c r="BD87" s="14">
        <v>0</v>
      </c>
      <c r="BE87" s="14">
        <v>0</v>
      </c>
      <c r="BF87" s="14">
        <v>1</v>
      </c>
      <c r="BG87" s="15">
        <v>1080</v>
      </c>
      <c r="BH87" s="14">
        <v>0</v>
      </c>
      <c r="BI87" s="14">
        <v>0</v>
      </c>
      <c r="BJ87" s="14">
        <v>0</v>
      </c>
      <c r="BK87" s="14">
        <v>0</v>
      </c>
      <c r="BL87" s="16">
        <v>15546.6</v>
      </c>
      <c r="BM87" s="19">
        <v>122422</v>
      </c>
      <c r="BN87" s="8">
        <f t="shared" si="11"/>
        <v>106875.4</v>
      </c>
      <c r="BO87" s="9">
        <f t="shared" si="8"/>
        <v>74812.779999999984</v>
      </c>
    </row>
    <row r="88" spans="1:67" ht="24">
      <c r="A88" s="5" t="s">
        <v>170</v>
      </c>
      <c r="B88" s="12" t="s">
        <v>30</v>
      </c>
      <c r="C88" s="12">
        <v>159258</v>
      </c>
      <c r="D88" s="13"/>
      <c r="E88" s="12" t="s">
        <v>11</v>
      </c>
      <c r="F88" s="12" t="s">
        <v>16</v>
      </c>
      <c r="G88" s="12" t="s">
        <v>11</v>
      </c>
      <c r="H88" s="14" t="s">
        <v>7</v>
      </c>
      <c r="I88" s="14" t="s">
        <v>29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9</v>
      </c>
      <c r="AC88" s="15">
        <v>8100</v>
      </c>
      <c r="AD88" s="14">
        <v>0</v>
      </c>
      <c r="AE88" s="14">
        <v>7</v>
      </c>
      <c r="AF88" s="15">
        <v>22000</v>
      </c>
      <c r="AG88" s="14">
        <v>0</v>
      </c>
      <c r="AH88" s="14">
        <v>2</v>
      </c>
      <c r="AI88" s="15">
        <v>2160</v>
      </c>
      <c r="AJ88" s="14">
        <v>0</v>
      </c>
      <c r="AK88" s="14">
        <v>17</v>
      </c>
      <c r="AL88" s="15">
        <v>58170</v>
      </c>
      <c r="AM88" s="15">
        <v>3200</v>
      </c>
      <c r="AN88" s="14">
        <v>6</v>
      </c>
      <c r="AO88" s="14">
        <v>800</v>
      </c>
      <c r="AP88" s="15">
        <v>4600</v>
      </c>
      <c r="AQ88" s="14">
        <v>0</v>
      </c>
      <c r="AR88" s="14">
        <v>0</v>
      </c>
      <c r="AS88" s="14">
        <v>0</v>
      </c>
      <c r="AT88" s="14">
        <v>0</v>
      </c>
      <c r="AU88" s="14">
        <v>0</v>
      </c>
      <c r="AV88" s="14">
        <v>0</v>
      </c>
      <c r="AW88" s="14">
        <v>0</v>
      </c>
      <c r="AX88" s="14">
        <v>0</v>
      </c>
      <c r="AY88" s="14">
        <v>0</v>
      </c>
      <c r="AZ88" s="14">
        <v>0</v>
      </c>
      <c r="BA88" s="14">
        <v>0</v>
      </c>
      <c r="BB88" s="14">
        <v>0</v>
      </c>
      <c r="BC88" s="14">
        <v>0</v>
      </c>
      <c r="BD88" s="14">
        <v>0</v>
      </c>
      <c r="BE88" s="14">
        <v>0</v>
      </c>
      <c r="BF88" s="14">
        <v>0</v>
      </c>
      <c r="BG88" s="14">
        <v>0</v>
      </c>
      <c r="BH88" s="14">
        <v>0</v>
      </c>
      <c r="BI88" s="14">
        <v>0</v>
      </c>
      <c r="BJ88" s="14">
        <v>0</v>
      </c>
      <c r="BK88" s="14">
        <v>0</v>
      </c>
      <c r="BL88" s="16">
        <v>18099</v>
      </c>
      <c r="BM88" s="19">
        <v>99030</v>
      </c>
      <c r="BN88" s="8">
        <f t="shared" si="11"/>
        <v>80931</v>
      </c>
      <c r="BO88" s="9">
        <f t="shared" ref="BO88:BO108" si="12">BN88*70%</f>
        <v>56651.7</v>
      </c>
    </row>
    <row r="89" spans="1:67" ht="24">
      <c r="A89" s="5" t="s">
        <v>170</v>
      </c>
      <c r="B89" s="12" t="s">
        <v>71</v>
      </c>
      <c r="C89" s="12">
        <v>418829</v>
      </c>
      <c r="D89" s="13"/>
      <c r="E89" s="12" t="s">
        <v>11</v>
      </c>
      <c r="F89" s="12" t="s">
        <v>16</v>
      </c>
      <c r="G89" s="12" t="s">
        <v>11</v>
      </c>
      <c r="H89" s="14" t="s">
        <v>7</v>
      </c>
      <c r="I89" s="14" t="s">
        <v>72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40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513</v>
      </c>
      <c r="AF89" s="15">
        <v>45100</v>
      </c>
      <c r="AG89" s="15">
        <v>6200</v>
      </c>
      <c r="AH89" s="14">
        <v>0</v>
      </c>
      <c r="AI89" s="14">
        <v>0</v>
      </c>
      <c r="AJ89" s="14">
        <v>0</v>
      </c>
      <c r="AK89" s="14">
        <v>267</v>
      </c>
      <c r="AL89" s="15">
        <v>32040</v>
      </c>
      <c r="AM89" s="14">
        <v>0</v>
      </c>
      <c r="AN89" s="14">
        <v>0</v>
      </c>
      <c r="AO89" s="14">
        <v>0</v>
      </c>
      <c r="AP89" s="14">
        <v>0</v>
      </c>
      <c r="AQ89" s="14">
        <v>91</v>
      </c>
      <c r="AR89" s="15">
        <v>8500</v>
      </c>
      <c r="AS89" s="14">
        <v>600</v>
      </c>
      <c r="AT89" s="14">
        <v>0</v>
      </c>
      <c r="AU89" s="14">
        <v>0</v>
      </c>
      <c r="AV89" s="14">
        <v>0</v>
      </c>
      <c r="AW89" s="14">
        <v>0</v>
      </c>
      <c r="AX89" s="14">
        <v>0</v>
      </c>
      <c r="AY89" s="14">
        <v>0</v>
      </c>
      <c r="AZ89" s="14">
        <v>0</v>
      </c>
      <c r="BA89" s="14">
        <v>0</v>
      </c>
      <c r="BB89" s="14">
        <v>0</v>
      </c>
      <c r="BC89" s="14">
        <v>0</v>
      </c>
      <c r="BD89" s="14">
        <v>0</v>
      </c>
      <c r="BE89" s="14">
        <v>0</v>
      </c>
      <c r="BF89" s="14">
        <v>0</v>
      </c>
      <c r="BG89" s="14">
        <v>0</v>
      </c>
      <c r="BH89" s="14">
        <v>0</v>
      </c>
      <c r="BI89" s="14">
        <v>0</v>
      </c>
      <c r="BJ89" s="14">
        <v>0</v>
      </c>
      <c r="BK89" s="14">
        <v>0</v>
      </c>
      <c r="BL89" s="16">
        <v>9612</v>
      </c>
      <c r="BM89" s="19">
        <v>92440</v>
      </c>
      <c r="BN89" s="8">
        <f t="shared" si="11"/>
        <v>82828</v>
      </c>
      <c r="BO89" s="9">
        <f t="shared" si="12"/>
        <v>57979.6</v>
      </c>
    </row>
    <row r="90" spans="1:67" ht="24">
      <c r="A90" s="5" t="s">
        <v>170</v>
      </c>
      <c r="B90" s="12" t="s">
        <v>28</v>
      </c>
      <c r="C90" s="12">
        <v>159268</v>
      </c>
      <c r="D90" s="13"/>
      <c r="E90" s="12" t="s">
        <v>11</v>
      </c>
      <c r="F90" s="12" t="s">
        <v>16</v>
      </c>
      <c r="G90" s="12" t="s">
        <v>11</v>
      </c>
      <c r="H90" s="14" t="s">
        <v>7</v>
      </c>
      <c r="I90" s="14" t="s">
        <v>29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14</v>
      </c>
      <c r="AF90" s="15">
        <v>40100</v>
      </c>
      <c r="AG90" s="15">
        <v>4700</v>
      </c>
      <c r="AH90" s="14">
        <v>36</v>
      </c>
      <c r="AI90" s="15">
        <v>25920</v>
      </c>
      <c r="AJ90" s="15">
        <v>10800</v>
      </c>
      <c r="AK90" s="14">
        <v>0</v>
      </c>
      <c r="AL90" s="14">
        <v>0</v>
      </c>
      <c r="AM90" s="14">
        <v>0</v>
      </c>
      <c r="AN90" s="14">
        <v>0</v>
      </c>
      <c r="AO90" s="14">
        <v>0</v>
      </c>
      <c r="AP90" s="14">
        <v>0</v>
      </c>
      <c r="AQ90" s="14">
        <v>2</v>
      </c>
      <c r="AR90" s="15">
        <v>6400</v>
      </c>
      <c r="AS90" s="14">
        <v>0</v>
      </c>
      <c r="AT90" s="14">
        <v>0</v>
      </c>
      <c r="AU90" s="14">
        <v>0</v>
      </c>
      <c r="AV90" s="14">
        <v>0</v>
      </c>
      <c r="AW90" s="14">
        <v>0</v>
      </c>
      <c r="AX90" s="14">
        <v>0</v>
      </c>
      <c r="AY90" s="14">
        <v>0</v>
      </c>
      <c r="AZ90" s="14">
        <v>0</v>
      </c>
      <c r="BA90" s="14">
        <v>0</v>
      </c>
      <c r="BB90" s="14">
        <v>0</v>
      </c>
      <c r="BC90" s="14">
        <v>0</v>
      </c>
      <c r="BD90" s="14">
        <v>0</v>
      </c>
      <c r="BE90" s="14">
        <v>0</v>
      </c>
      <c r="BF90" s="14">
        <v>0</v>
      </c>
      <c r="BG90" s="14">
        <v>0</v>
      </c>
      <c r="BH90" s="14">
        <v>0</v>
      </c>
      <c r="BI90" s="14">
        <v>0</v>
      </c>
      <c r="BJ90" s="14">
        <v>0</v>
      </c>
      <c r="BK90" s="14">
        <v>0</v>
      </c>
      <c r="BL90" s="16">
        <v>7776</v>
      </c>
      <c r="BM90" s="19">
        <v>87920</v>
      </c>
      <c r="BN90" s="8">
        <f t="shared" si="11"/>
        <v>80144</v>
      </c>
      <c r="BO90" s="9">
        <f t="shared" si="12"/>
        <v>56100.799999999996</v>
      </c>
    </row>
    <row r="91" spans="1:67" ht="24">
      <c r="A91" s="5" t="s">
        <v>170</v>
      </c>
      <c r="B91" s="12" t="s">
        <v>21</v>
      </c>
      <c r="C91" s="12">
        <v>409392</v>
      </c>
      <c r="D91" s="13"/>
      <c r="E91" s="12" t="s">
        <v>11</v>
      </c>
      <c r="F91" s="12" t="s">
        <v>13</v>
      </c>
      <c r="G91" s="12" t="s">
        <v>22</v>
      </c>
      <c r="H91" s="14" t="s">
        <v>7</v>
      </c>
      <c r="I91" s="14" t="s">
        <v>23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66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614</v>
      </c>
      <c r="AL91" s="15">
        <v>73680</v>
      </c>
      <c r="AM91" s="14">
        <v>0</v>
      </c>
      <c r="AN91" s="14">
        <v>0</v>
      </c>
      <c r="AO91" s="14">
        <v>0</v>
      </c>
      <c r="AP91" s="14">
        <v>0</v>
      </c>
      <c r="AQ91" s="14">
        <v>0</v>
      </c>
      <c r="AR91" s="14">
        <v>0</v>
      </c>
      <c r="AS91" s="14">
        <v>0</v>
      </c>
      <c r="AT91" s="14">
        <v>0</v>
      </c>
      <c r="AU91" s="14">
        <v>0</v>
      </c>
      <c r="AV91" s="14">
        <v>0</v>
      </c>
      <c r="AW91" s="14">
        <v>0</v>
      </c>
      <c r="AX91" s="14">
        <v>0</v>
      </c>
      <c r="AY91" s="14">
        <v>0</v>
      </c>
      <c r="AZ91" s="14">
        <v>0</v>
      </c>
      <c r="BA91" s="14">
        <v>0</v>
      </c>
      <c r="BB91" s="14">
        <v>0</v>
      </c>
      <c r="BC91" s="14">
        <v>0</v>
      </c>
      <c r="BD91" s="14">
        <v>0</v>
      </c>
      <c r="BE91" s="14">
        <v>0</v>
      </c>
      <c r="BF91" s="14">
        <v>0</v>
      </c>
      <c r="BG91" s="14">
        <v>0</v>
      </c>
      <c r="BH91" s="14">
        <v>0</v>
      </c>
      <c r="BI91" s="14">
        <v>0</v>
      </c>
      <c r="BJ91" s="14">
        <v>0</v>
      </c>
      <c r="BK91" s="14">
        <v>0</v>
      </c>
      <c r="BL91" s="16">
        <v>22104</v>
      </c>
      <c r="BM91" s="19">
        <v>73680</v>
      </c>
      <c r="BN91" s="8">
        <f t="shared" si="11"/>
        <v>51576</v>
      </c>
      <c r="BO91" s="9">
        <f t="shared" si="12"/>
        <v>36103.199999999997</v>
      </c>
    </row>
    <row r="92" spans="1:67" ht="24">
      <c r="A92" s="5" t="s">
        <v>170</v>
      </c>
      <c r="B92" s="12" t="s">
        <v>31</v>
      </c>
      <c r="C92" s="12">
        <v>159255</v>
      </c>
      <c r="D92" s="13"/>
      <c r="E92" s="12" t="s">
        <v>11</v>
      </c>
      <c r="F92" s="12" t="s">
        <v>16</v>
      </c>
      <c r="G92" s="12" t="s">
        <v>11</v>
      </c>
      <c r="H92" s="14" t="s">
        <v>8</v>
      </c>
      <c r="I92" s="14" t="s">
        <v>32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4</v>
      </c>
      <c r="AC92" s="15">
        <v>1600</v>
      </c>
      <c r="AD92" s="15">
        <v>1700</v>
      </c>
      <c r="AE92" s="14">
        <v>11</v>
      </c>
      <c r="AF92" s="15">
        <v>32000</v>
      </c>
      <c r="AG92" s="15">
        <v>3200</v>
      </c>
      <c r="AH92" s="14">
        <v>11</v>
      </c>
      <c r="AI92" s="15">
        <v>10560</v>
      </c>
      <c r="AJ92" s="14">
        <v>500</v>
      </c>
      <c r="AK92" s="14">
        <v>4</v>
      </c>
      <c r="AL92" s="14">
        <v>0</v>
      </c>
      <c r="AM92" s="15">
        <v>12800</v>
      </c>
      <c r="AN92" s="14">
        <v>3</v>
      </c>
      <c r="AO92" s="15">
        <v>2700</v>
      </c>
      <c r="AP92" s="14">
        <v>0</v>
      </c>
      <c r="AQ92" s="14">
        <v>0</v>
      </c>
      <c r="AR92" s="14">
        <v>0</v>
      </c>
      <c r="AS92" s="14">
        <v>0</v>
      </c>
      <c r="AT92" s="14">
        <v>0</v>
      </c>
      <c r="AU92" s="14">
        <v>0</v>
      </c>
      <c r="AV92" s="14">
        <v>0</v>
      </c>
      <c r="AW92" s="14">
        <v>0</v>
      </c>
      <c r="AX92" s="14">
        <v>0</v>
      </c>
      <c r="AY92" s="14">
        <v>0</v>
      </c>
      <c r="AZ92" s="14">
        <v>0</v>
      </c>
      <c r="BA92" s="14">
        <v>0</v>
      </c>
      <c r="BB92" s="14">
        <v>0</v>
      </c>
      <c r="BC92" s="14">
        <v>0</v>
      </c>
      <c r="BD92" s="14">
        <v>0</v>
      </c>
      <c r="BE92" s="14">
        <v>0</v>
      </c>
      <c r="BF92" s="14">
        <v>0</v>
      </c>
      <c r="BG92" s="14">
        <v>0</v>
      </c>
      <c r="BH92" s="14">
        <v>0</v>
      </c>
      <c r="BI92" s="14">
        <v>0</v>
      </c>
      <c r="BJ92" s="14">
        <v>0</v>
      </c>
      <c r="BK92" s="14">
        <v>0</v>
      </c>
      <c r="BL92" s="16">
        <v>3168</v>
      </c>
      <c r="BM92" s="19">
        <v>65060</v>
      </c>
      <c r="BN92" s="8">
        <f t="shared" si="11"/>
        <v>61892</v>
      </c>
      <c r="BO92" s="9">
        <f t="shared" si="12"/>
        <v>43324.399999999994</v>
      </c>
    </row>
    <row r="93" spans="1:67" ht="24">
      <c r="A93" s="5" t="s">
        <v>170</v>
      </c>
      <c r="B93" s="12" t="s">
        <v>180</v>
      </c>
      <c r="C93" s="12">
        <v>326544</v>
      </c>
      <c r="D93" s="13"/>
      <c r="E93" s="12" t="s">
        <v>11</v>
      </c>
      <c r="F93" s="12" t="s">
        <v>76</v>
      </c>
      <c r="G93" s="12" t="s">
        <v>11</v>
      </c>
      <c r="H93" s="14" t="s">
        <v>7</v>
      </c>
      <c r="I93" s="14" t="s">
        <v>77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41</v>
      </c>
      <c r="U93" s="14">
        <v>0</v>
      </c>
      <c r="V93" s="14">
        <v>0</v>
      </c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>
        <v>0</v>
      </c>
      <c r="AE93" s="14">
        <v>397</v>
      </c>
      <c r="AF93" s="15">
        <v>39700</v>
      </c>
      <c r="AG93" s="14">
        <v>0</v>
      </c>
      <c r="AH93" s="14">
        <v>0</v>
      </c>
      <c r="AI93" s="14">
        <v>0</v>
      </c>
      <c r="AJ93" s="14">
        <v>0</v>
      </c>
      <c r="AK93" s="14">
        <v>44</v>
      </c>
      <c r="AL93" s="15">
        <v>5280</v>
      </c>
      <c r="AM93" s="14">
        <v>0</v>
      </c>
      <c r="AN93" s="14">
        <v>0</v>
      </c>
      <c r="AO93" s="14">
        <v>0</v>
      </c>
      <c r="AP93" s="14">
        <v>0</v>
      </c>
      <c r="AQ93" s="14">
        <v>0</v>
      </c>
      <c r="AR93" s="14">
        <v>0</v>
      </c>
      <c r="AS93" s="14">
        <v>0</v>
      </c>
      <c r="AT93" s="14">
        <v>0</v>
      </c>
      <c r="AU93" s="14">
        <v>0</v>
      </c>
      <c r="AV93" s="14">
        <v>0</v>
      </c>
      <c r="AW93" s="14">
        <v>0</v>
      </c>
      <c r="AX93" s="14">
        <v>0</v>
      </c>
      <c r="AY93" s="14">
        <v>0</v>
      </c>
      <c r="AZ93" s="14">
        <v>0</v>
      </c>
      <c r="BA93" s="14">
        <v>0</v>
      </c>
      <c r="BB93" s="14">
        <v>0</v>
      </c>
      <c r="BC93" s="14">
        <v>0</v>
      </c>
      <c r="BD93" s="14">
        <v>0</v>
      </c>
      <c r="BE93" s="14">
        <v>0</v>
      </c>
      <c r="BF93" s="14">
        <v>0</v>
      </c>
      <c r="BG93" s="14">
        <v>0</v>
      </c>
      <c r="BH93" s="14">
        <v>0</v>
      </c>
      <c r="BI93" s="14">
        <v>0</v>
      </c>
      <c r="BJ93" s="14">
        <v>0</v>
      </c>
      <c r="BK93" s="14">
        <v>0</v>
      </c>
      <c r="BL93" s="16">
        <v>1584</v>
      </c>
      <c r="BM93" s="19">
        <v>44980</v>
      </c>
      <c r="BN93" s="8">
        <f t="shared" ref="BN93:BN108" si="13">BM93-BL93</f>
        <v>43396</v>
      </c>
      <c r="BO93" s="9">
        <f t="shared" si="12"/>
        <v>30377.199999999997</v>
      </c>
    </row>
    <row r="94" spans="1:67" ht="24">
      <c r="A94" s="5" t="s">
        <v>170</v>
      </c>
      <c r="B94" s="12" t="s">
        <v>82</v>
      </c>
      <c r="C94" s="12">
        <v>395747</v>
      </c>
      <c r="D94" s="13"/>
      <c r="E94" s="12" t="s">
        <v>11</v>
      </c>
      <c r="F94" s="12" t="s">
        <v>12</v>
      </c>
      <c r="G94" s="12" t="s">
        <v>11</v>
      </c>
      <c r="H94" s="14" t="s">
        <v>7</v>
      </c>
      <c r="I94" s="14" t="s">
        <v>83</v>
      </c>
      <c r="J94" s="14">
        <v>0</v>
      </c>
      <c r="K94" s="14">
        <v>1</v>
      </c>
      <c r="L94" s="14">
        <v>0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0</v>
      </c>
      <c r="T94" s="14">
        <v>7</v>
      </c>
      <c r="U94" s="14">
        <v>0</v>
      </c>
      <c r="V94" s="14">
        <v>0</v>
      </c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>
        <v>149</v>
      </c>
      <c r="AF94" s="15">
        <v>14900</v>
      </c>
      <c r="AG94" s="14">
        <v>0</v>
      </c>
      <c r="AH94" s="14">
        <v>0</v>
      </c>
      <c r="AI94" s="14">
        <v>0</v>
      </c>
      <c r="AJ94" s="14">
        <v>0</v>
      </c>
      <c r="AK94" s="14">
        <v>138</v>
      </c>
      <c r="AL94" s="15">
        <v>16560</v>
      </c>
      <c r="AM94" s="14">
        <v>0</v>
      </c>
      <c r="AN94" s="14">
        <v>0</v>
      </c>
      <c r="AO94" s="14">
        <v>0</v>
      </c>
      <c r="AP94" s="14">
        <v>0</v>
      </c>
      <c r="AQ94" s="14">
        <v>0</v>
      </c>
      <c r="AR94" s="14">
        <v>0</v>
      </c>
      <c r="AS94" s="14">
        <v>0</v>
      </c>
      <c r="AT94" s="14">
        <v>0</v>
      </c>
      <c r="AU94" s="14">
        <v>0</v>
      </c>
      <c r="AV94" s="14">
        <v>0</v>
      </c>
      <c r="AW94" s="14">
        <v>31</v>
      </c>
      <c r="AX94" s="15">
        <v>3720</v>
      </c>
      <c r="AY94" s="14">
        <v>0</v>
      </c>
      <c r="AZ94" s="14">
        <v>0</v>
      </c>
      <c r="BA94" s="14">
        <v>0</v>
      </c>
      <c r="BB94" s="14">
        <v>0</v>
      </c>
      <c r="BC94" s="14">
        <v>0</v>
      </c>
      <c r="BD94" s="14">
        <v>0</v>
      </c>
      <c r="BE94" s="14">
        <v>0</v>
      </c>
      <c r="BF94" s="14">
        <v>0</v>
      </c>
      <c r="BG94" s="14">
        <v>0</v>
      </c>
      <c r="BH94" s="14">
        <v>0</v>
      </c>
      <c r="BI94" s="14">
        <v>0</v>
      </c>
      <c r="BJ94" s="14">
        <v>0</v>
      </c>
      <c r="BK94" s="14">
        <v>0</v>
      </c>
      <c r="BL94" s="16">
        <v>5340</v>
      </c>
      <c r="BM94" s="19">
        <v>35180</v>
      </c>
      <c r="BN94" s="8">
        <f>BM94-BL94</f>
        <v>29840</v>
      </c>
      <c r="BO94" s="9">
        <f t="shared" si="12"/>
        <v>20888</v>
      </c>
    </row>
    <row r="95" spans="1:67" ht="24">
      <c r="A95" s="5" t="s">
        <v>170</v>
      </c>
      <c r="B95" s="12" t="s">
        <v>40</v>
      </c>
      <c r="C95" s="12">
        <v>215737</v>
      </c>
      <c r="D95" s="13"/>
      <c r="E95" s="12" t="s">
        <v>11</v>
      </c>
      <c r="F95" s="12" t="s">
        <v>41</v>
      </c>
      <c r="G95" s="12" t="s">
        <v>11</v>
      </c>
      <c r="H95" s="14" t="s">
        <v>7</v>
      </c>
      <c r="I95" s="14" t="s">
        <v>42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14">
        <v>25</v>
      </c>
      <c r="U95" s="14">
        <v>0</v>
      </c>
      <c r="V95" s="14">
        <v>0</v>
      </c>
      <c r="W95" s="14">
        <v>0</v>
      </c>
      <c r="X95" s="14">
        <v>0</v>
      </c>
      <c r="Y95" s="14">
        <v>0</v>
      </c>
      <c r="Z95" s="14">
        <v>0</v>
      </c>
      <c r="AA95" s="14">
        <v>0</v>
      </c>
      <c r="AB95" s="14">
        <v>0</v>
      </c>
      <c r="AC95" s="14">
        <v>0</v>
      </c>
      <c r="AD95" s="14">
        <v>0</v>
      </c>
      <c r="AE95" s="14">
        <v>0</v>
      </c>
      <c r="AF95" s="14">
        <v>0</v>
      </c>
      <c r="AG95" s="14">
        <v>0</v>
      </c>
      <c r="AH95" s="14">
        <v>0</v>
      </c>
      <c r="AI95" s="14">
        <v>0</v>
      </c>
      <c r="AJ95" s="14">
        <v>0</v>
      </c>
      <c r="AK95" s="14">
        <v>4</v>
      </c>
      <c r="AL95" s="14">
        <v>0</v>
      </c>
      <c r="AM95" s="14">
        <v>400</v>
      </c>
      <c r="AN95" s="14">
        <v>0</v>
      </c>
      <c r="AO95" s="14">
        <v>0</v>
      </c>
      <c r="AP95" s="14">
        <v>0</v>
      </c>
      <c r="AQ95" s="14">
        <v>156</v>
      </c>
      <c r="AR95" s="15">
        <v>14500</v>
      </c>
      <c r="AS95" s="15">
        <v>1100</v>
      </c>
      <c r="AT95" s="14">
        <v>0</v>
      </c>
      <c r="AU95" s="14">
        <v>0</v>
      </c>
      <c r="AV95" s="14">
        <v>0</v>
      </c>
      <c r="AW95" s="14">
        <v>0</v>
      </c>
      <c r="AX95" s="14">
        <v>0</v>
      </c>
      <c r="AY95" s="14">
        <v>0</v>
      </c>
      <c r="AZ95" s="14">
        <v>0</v>
      </c>
      <c r="BA95" s="14">
        <v>0</v>
      </c>
      <c r="BB95" s="14">
        <v>0</v>
      </c>
      <c r="BC95" s="14">
        <v>1</v>
      </c>
      <c r="BD95" s="14">
        <v>120</v>
      </c>
      <c r="BE95" s="14">
        <v>0</v>
      </c>
      <c r="BF95" s="14">
        <v>0</v>
      </c>
      <c r="BG95" s="14">
        <v>0</v>
      </c>
      <c r="BH95" s="14">
        <v>0</v>
      </c>
      <c r="BI95" s="14">
        <v>0</v>
      </c>
      <c r="BJ95" s="14">
        <v>0</v>
      </c>
      <c r="BK95" s="14">
        <v>0</v>
      </c>
      <c r="BL95" s="14">
        <v>7.2</v>
      </c>
      <c r="BM95" s="19">
        <v>16120</v>
      </c>
      <c r="BN95" s="8">
        <f>BM95-BL95</f>
        <v>16112.8</v>
      </c>
      <c r="BO95" s="9">
        <f t="shared" si="12"/>
        <v>11278.96</v>
      </c>
    </row>
    <row r="96" spans="1:67" ht="24">
      <c r="A96" s="5" t="s">
        <v>170</v>
      </c>
      <c r="B96" s="12" t="s">
        <v>45</v>
      </c>
      <c r="C96" s="12">
        <v>192729</v>
      </c>
      <c r="D96" s="13"/>
      <c r="E96" s="12" t="s">
        <v>11</v>
      </c>
      <c r="F96" s="12" t="s">
        <v>36</v>
      </c>
      <c r="G96" s="12" t="s">
        <v>11</v>
      </c>
      <c r="H96" s="14" t="s">
        <v>7</v>
      </c>
      <c r="I96" s="14" t="s">
        <v>46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10</v>
      </c>
      <c r="AC96" s="15">
        <v>6300</v>
      </c>
      <c r="AD96" s="15">
        <v>2700</v>
      </c>
      <c r="AE96" s="14">
        <v>0</v>
      </c>
      <c r="AF96" s="14">
        <v>0</v>
      </c>
      <c r="AG96" s="14">
        <v>0</v>
      </c>
      <c r="AH96" s="14">
        <v>3</v>
      </c>
      <c r="AI96" s="15">
        <v>3240</v>
      </c>
      <c r="AJ96" s="14">
        <v>0</v>
      </c>
      <c r="AK96" s="14">
        <v>0</v>
      </c>
      <c r="AL96" s="14">
        <v>0</v>
      </c>
      <c r="AM96" s="14">
        <v>0</v>
      </c>
      <c r="AN96" s="14">
        <v>2</v>
      </c>
      <c r="AO96" s="15">
        <v>1800</v>
      </c>
      <c r="AP96" s="14">
        <v>0</v>
      </c>
      <c r="AQ96" s="14">
        <v>0</v>
      </c>
      <c r="AR96" s="14">
        <v>0</v>
      </c>
      <c r="AS96" s="14">
        <v>0</v>
      </c>
      <c r="AT96" s="14">
        <v>0</v>
      </c>
      <c r="AU96" s="14">
        <v>0</v>
      </c>
      <c r="AV96" s="14">
        <v>0</v>
      </c>
      <c r="AW96" s="14">
        <v>0</v>
      </c>
      <c r="AX96" s="14">
        <v>0</v>
      </c>
      <c r="AY96" s="14">
        <v>0</v>
      </c>
      <c r="AZ96" s="14">
        <v>0</v>
      </c>
      <c r="BA96" s="14">
        <v>0</v>
      </c>
      <c r="BB96" s="14">
        <v>0</v>
      </c>
      <c r="BC96" s="14">
        <v>0</v>
      </c>
      <c r="BD96" s="14">
        <v>0</v>
      </c>
      <c r="BE96" s="14">
        <v>0</v>
      </c>
      <c r="BF96" s="14">
        <v>0</v>
      </c>
      <c r="BG96" s="14">
        <v>0</v>
      </c>
      <c r="BH96" s="14">
        <v>0</v>
      </c>
      <c r="BI96" s="14">
        <v>0</v>
      </c>
      <c r="BJ96" s="14">
        <v>0</v>
      </c>
      <c r="BK96" s="14">
        <v>0</v>
      </c>
      <c r="BL96" s="14">
        <v>972</v>
      </c>
      <c r="BM96" s="19">
        <v>14040</v>
      </c>
      <c r="BN96" s="8">
        <f>BM96-BL96</f>
        <v>13068</v>
      </c>
      <c r="BO96" s="9">
        <f t="shared" si="12"/>
        <v>9147.5999999999985</v>
      </c>
    </row>
    <row r="97" spans="1:67" ht="24">
      <c r="A97" s="5" t="s">
        <v>170</v>
      </c>
      <c r="B97" s="12" t="s">
        <v>24</v>
      </c>
      <c r="C97" s="12">
        <v>165741</v>
      </c>
      <c r="D97" s="13"/>
      <c r="E97" s="12" t="s">
        <v>11</v>
      </c>
      <c r="F97" s="12" t="s">
        <v>13</v>
      </c>
      <c r="G97" s="12" t="s">
        <v>11</v>
      </c>
      <c r="H97" s="14" t="s">
        <v>7</v>
      </c>
      <c r="I97" s="14" t="s">
        <v>25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2</v>
      </c>
      <c r="AC97" s="14">
        <v>0</v>
      </c>
      <c r="AD97" s="14">
        <v>400</v>
      </c>
      <c r="AE97" s="14">
        <v>0</v>
      </c>
      <c r="AF97" s="14">
        <v>0</v>
      </c>
      <c r="AG97" s="14">
        <v>0</v>
      </c>
      <c r="AH97" s="14">
        <v>13</v>
      </c>
      <c r="AI97" s="14">
        <v>0</v>
      </c>
      <c r="AJ97" s="15">
        <v>11300</v>
      </c>
      <c r="AK97" s="14">
        <v>0</v>
      </c>
      <c r="AL97" s="14">
        <v>0</v>
      </c>
      <c r="AM97" s="14">
        <v>0</v>
      </c>
      <c r="AN97" s="14">
        <v>0</v>
      </c>
      <c r="AO97" s="14">
        <v>0</v>
      </c>
      <c r="AP97" s="14">
        <v>0</v>
      </c>
      <c r="AQ97" s="14">
        <v>0</v>
      </c>
      <c r="AR97" s="14">
        <v>0</v>
      </c>
      <c r="AS97" s="14">
        <v>0</v>
      </c>
      <c r="AT97" s="14">
        <v>0</v>
      </c>
      <c r="AU97" s="14">
        <v>0</v>
      </c>
      <c r="AV97" s="14">
        <v>0</v>
      </c>
      <c r="AW97" s="14">
        <v>0</v>
      </c>
      <c r="AX97" s="14">
        <v>0</v>
      </c>
      <c r="AY97" s="14">
        <v>0</v>
      </c>
      <c r="AZ97" s="14">
        <v>0</v>
      </c>
      <c r="BA97" s="14">
        <v>0</v>
      </c>
      <c r="BB97" s="14">
        <v>0</v>
      </c>
      <c r="BC97" s="14">
        <v>0</v>
      </c>
      <c r="BD97" s="14">
        <v>0</v>
      </c>
      <c r="BE97" s="14">
        <v>0</v>
      </c>
      <c r="BF97" s="14">
        <v>0</v>
      </c>
      <c r="BG97" s="14">
        <v>0</v>
      </c>
      <c r="BH97" s="14">
        <v>0</v>
      </c>
      <c r="BI97" s="14">
        <v>0</v>
      </c>
      <c r="BJ97" s="14">
        <v>0</v>
      </c>
      <c r="BK97" s="14">
        <v>0</v>
      </c>
      <c r="BL97" s="14">
        <v>0</v>
      </c>
      <c r="BM97" s="19">
        <v>11700</v>
      </c>
      <c r="BN97" s="8">
        <f>BM97-BL97</f>
        <v>11700</v>
      </c>
      <c r="BO97" s="9">
        <f t="shared" si="12"/>
        <v>8189.9999999999991</v>
      </c>
    </row>
    <row r="98" spans="1:67" ht="24">
      <c r="A98" s="5" t="s">
        <v>170</v>
      </c>
      <c r="B98" s="12" t="s">
        <v>175</v>
      </c>
      <c r="C98" s="12">
        <v>210381</v>
      </c>
      <c r="D98" s="13"/>
      <c r="E98" s="12" t="s">
        <v>11</v>
      </c>
      <c r="F98" s="12" t="s">
        <v>36</v>
      </c>
      <c r="G98" s="12" t="s">
        <v>11</v>
      </c>
      <c r="H98" s="14" t="s">
        <v>7</v>
      </c>
      <c r="I98" s="14" t="s">
        <v>176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12</v>
      </c>
      <c r="U98" s="14">
        <v>0</v>
      </c>
      <c r="V98" s="14">
        <v>0</v>
      </c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  <c r="AC98" s="14">
        <v>0</v>
      </c>
      <c r="AD98" s="14">
        <v>0</v>
      </c>
      <c r="AE98" s="14">
        <v>90</v>
      </c>
      <c r="AF98" s="15">
        <v>9000</v>
      </c>
      <c r="AG98" s="14">
        <v>0</v>
      </c>
      <c r="AH98" s="14">
        <v>0</v>
      </c>
      <c r="AI98" s="14">
        <v>0</v>
      </c>
      <c r="AJ98" s="14">
        <v>0</v>
      </c>
      <c r="AK98" s="14">
        <v>0</v>
      </c>
      <c r="AL98" s="14">
        <v>0</v>
      </c>
      <c r="AM98" s="14">
        <v>0</v>
      </c>
      <c r="AN98" s="14">
        <v>0</v>
      </c>
      <c r="AO98" s="14">
        <v>0</v>
      </c>
      <c r="AP98" s="14">
        <v>0</v>
      </c>
      <c r="AQ98" s="14">
        <v>0</v>
      </c>
      <c r="AR98" s="14">
        <v>0</v>
      </c>
      <c r="AS98" s="14">
        <v>0</v>
      </c>
      <c r="AT98" s="14">
        <v>0</v>
      </c>
      <c r="AU98" s="14">
        <v>0</v>
      </c>
      <c r="AV98" s="14">
        <v>0</v>
      </c>
      <c r="AW98" s="14">
        <v>0</v>
      </c>
      <c r="AX98" s="14">
        <v>0</v>
      </c>
      <c r="AY98" s="14">
        <v>0</v>
      </c>
      <c r="AZ98" s="14">
        <v>0</v>
      </c>
      <c r="BA98" s="14">
        <v>0</v>
      </c>
      <c r="BB98" s="14">
        <v>0</v>
      </c>
      <c r="BC98" s="14">
        <v>0</v>
      </c>
      <c r="BD98" s="14">
        <v>0</v>
      </c>
      <c r="BE98" s="14">
        <v>0</v>
      </c>
      <c r="BF98" s="14">
        <v>0</v>
      </c>
      <c r="BG98" s="14">
        <v>0</v>
      </c>
      <c r="BH98" s="14">
        <v>0</v>
      </c>
      <c r="BI98" s="14">
        <v>0</v>
      </c>
      <c r="BJ98" s="14">
        <v>0</v>
      </c>
      <c r="BK98" s="14">
        <v>0</v>
      </c>
      <c r="BL98" s="14">
        <v>0</v>
      </c>
      <c r="BM98" s="19">
        <v>9000</v>
      </c>
      <c r="BN98" s="8">
        <f>BM98-BL98</f>
        <v>9000</v>
      </c>
      <c r="BO98" s="9">
        <f t="shared" si="12"/>
        <v>6300</v>
      </c>
    </row>
    <row r="99" spans="1:67" ht="24">
      <c r="A99" s="5" t="s">
        <v>170</v>
      </c>
      <c r="B99" s="12" t="s">
        <v>43</v>
      </c>
      <c r="C99" s="12">
        <v>408054</v>
      </c>
      <c r="D99" s="13"/>
      <c r="E99" s="12" t="s">
        <v>11</v>
      </c>
      <c r="F99" s="12" t="s">
        <v>16</v>
      </c>
      <c r="G99" s="12" t="s">
        <v>22</v>
      </c>
      <c r="H99" s="14" t="s">
        <v>10</v>
      </c>
      <c r="I99" s="14" t="s">
        <v>44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T99" s="14">
        <v>8</v>
      </c>
      <c r="U99" s="14">
        <v>0</v>
      </c>
      <c r="V99" s="14">
        <v>0</v>
      </c>
      <c r="W99" s="14">
        <v>0</v>
      </c>
      <c r="X99" s="14">
        <v>0</v>
      </c>
      <c r="Y99" s="14">
        <v>0</v>
      </c>
      <c r="Z99" s="14">
        <v>0</v>
      </c>
      <c r="AA99" s="14">
        <v>0</v>
      </c>
      <c r="AB99" s="14">
        <v>0</v>
      </c>
      <c r="AC99" s="14">
        <v>0</v>
      </c>
      <c r="AD99" s="14">
        <v>0</v>
      </c>
      <c r="AE99" s="14">
        <v>86</v>
      </c>
      <c r="AF99" s="15">
        <v>8600</v>
      </c>
      <c r="AG99" s="14">
        <v>0</v>
      </c>
      <c r="AH99" s="14">
        <v>0</v>
      </c>
      <c r="AI99" s="14">
        <v>0</v>
      </c>
      <c r="AJ99" s="14">
        <v>0</v>
      </c>
      <c r="AK99" s="14">
        <v>0</v>
      </c>
      <c r="AL99" s="14">
        <v>0</v>
      </c>
      <c r="AM99" s="14">
        <v>0</v>
      </c>
      <c r="AN99" s="14">
        <v>0</v>
      </c>
      <c r="AO99" s="14">
        <v>0</v>
      </c>
      <c r="AP99" s="14">
        <v>0</v>
      </c>
      <c r="AQ99" s="14">
        <v>0</v>
      </c>
      <c r="AR99" s="14">
        <v>0</v>
      </c>
      <c r="AS99" s="14">
        <v>0</v>
      </c>
      <c r="AT99" s="14">
        <v>0</v>
      </c>
      <c r="AU99" s="14">
        <v>0</v>
      </c>
      <c r="AV99" s="14">
        <v>0</v>
      </c>
      <c r="AW99" s="14">
        <v>0</v>
      </c>
      <c r="AX99" s="14">
        <v>0</v>
      </c>
      <c r="AY99" s="14">
        <v>0</v>
      </c>
      <c r="AZ99" s="14">
        <v>0</v>
      </c>
      <c r="BA99" s="14">
        <v>0</v>
      </c>
      <c r="BB99" s="14">
        <v>0</v>
      </c>
      <c r="BC99" s="14">
        <v>0</v>
      </c>
      <c r="BD99" s="14">
        <v>0</v>
      </c>
      <c r="BE99" s="14">
        <v>0</v>
      </c>
      <c r="BF99" s="14">
        <v>0</v>
      </c>
      <c r="BG99" s="14">
        <v>0</v>
      </c>
      <c r="BH99" s="14">
        <v>0</v>
      </c>
      <c r="BI99" s="14">
        <v>0</v>
      </c>
      <c r="BJ99" s="14">
        <v>0</v>
      </c>
      <c r="BK99" s="14">
        <v>0</v>
      </c>
      <c r="BL99" s="14">
        <v>0</v>
      </c>
      <c r="BM99" s="19">
        <v>8600</v>
      </c>
      <c r="BN99" s="8">
        <f t="shared" si="13"/>
        <v>8600</v>
      </c>
      <c r="BO99" s="9">
        <f t="shared" si="12"/>
        <v>6020</v>
      </c>
    </row>
    <row r="100" spans="1:67" ht="24">
      <c r="A100" s="5" t="s">
        <v>170</v>
      </c>
      <c r="B100" s="12" t="s">
        <v>73</v>
      </c>
      <c r="C100" s="12">
        <v>192737</v>
      </c>
      <c r="D100" s="13"/>
      <c r="E100" s="12" t="s">
        <v>11</v>
      </c>
      <c r="F100" s="12" t="s">
        <v>36</v>
      </c>
      <c r="G100" s="12" t="s">
        <v>11</v>
      </c>
      <c r="H100" s="14" t="s">
        <v>7</v>
      </c>
      <c r="I100" s="14" t="s">
        <v>37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  <c r="AH100" s="14">
        <v>8</v>
      </c>
      <c r="AI100" s="14">
        <v>0</v>
      </c>
      <c r="AJ100" s="15">
        <v>7200</v>
      </c>
      <c r="AK100" s="14">
        <v>0</v>
      </c>
      <c r="AL100" s="14">
        <v>0</v>
      </c>
      <c r="AM100" s="14">
        <v>0</v>
      </c>
      <c r="AN100" s="14">
        <v>0</v>
      </c>
      <c r="AO100" s="14">
        <v>0</v>
      </c>
      <c r="AP100" s="14">
        <v>0</v>
      </c>
      <c r="AQ100" s="14">
        <v>0</v>
      </c>
      <c r="AR100" s="14">
        <v>0</v>
      </c>
      <c r="AS100" s="14">
        <v>0</v>
      </c>
      <c r="AT100" s="14">
        <v>0</v>
      </c>
      <c r="AU100" s="14">
        <v>0</v>
      </c>
      <c r="AV100" s="14">
        <v>0</v>
      </c>
      <c r="AW100" s="14">
        <v>0</v>
      </c>
      <c r="AX100" s="14">
        <v>0</v>
      </c>
      <c r="AY100" s="14">
        <v>0</v>
      </c>
      <c r="AZ100" s="14">
        <v>0</v>
      </c>
      <c r="BA100" s="14">
        <v>0</v>
      </c>
      <c r="BB100" s="14">
        <v>0</v>
      </c>
      <c r="BC100" s="14">
        <v>0</v>
      </c>
      <c r="BD100" s="14">
        <v>0</v>
      </c>
      <c r="BE100" s="14">
        <v>0</v>
      </c>
      <c r="BF100" s="14">
        <v>0</v>
      </c>
      <c r="BG100" s="14">
        <v>0</v>
      </c>
      <c r="BH100" s="14">
        <v>0</v>
      </c>
      <c r="BI100" s="14">
        <v>0</v>
      </c>
      <c r="BJ100" s="14">
        <v>0</v>
      </c>
      <c r="BK100" s="14">
        <v>0</v>
      </c>
      <c r="BL100" s="14">
        <v>0</v>
      </c>
      <c r="BM100" s="19">
        <v>7200</v>
      </c>
      <c r="BN100" s="8">
        <f t="shared" ref="BN100:BN107" si="14">BM100-BL100</f>
        <v>7200</v>
      </c>
      <c r="BO100" s="9">
        <f t="shared" si="12"/>
        <v>5040</v>
      </c>
    </row>
    <row r="101" spans="1:67" ht="24">
      <c r="A101" s="5" t="s">
        <v>170</v>
      </c>
      <c r="B101" s="12" t="s">
        <v>187</v>
      </c>
      <c r="C101" s="12">
        <v>183137</v>
      </c>
      <c r="D101" s="13"/>
      <c r="E101" s="12" t="s">
        <v>11</v>
      </c>
      <c r="F101" s="12" t="s">
        <v>13</v>
      </c>
      <c r="G101" s="12" t="s">
        <v>11</v>
      </c>
      <c r="H101" s="14" t="s">
        <v>7</v>
      </c>
      <c r="I101" s="14" t="s">
        <v>188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>
        <v>0</v>
      </c>
      <c r="Z101" s="14">
        <v>0</v>
      </c>
      <c r="AA101" s="14">
        <v>0</v>
      </c>
      <c r="AB101" s="14">
        <v>8</v>
      </c>
      <c r="AC101" s="15">
        <v>7200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0</v>
      </c>
      <c r="AV101" s="14">
        <v>0</v>
      </c>
      <c r="AW101" s="14">
        <v>0</v>
      </c>
      <c r="AX101" s="14">
        <v>0</v>
      </c>
      <c r="AY101" s="14">
        <v>0</v>
      </c>
      <c r="AZ101" s="14">
        <v>0</v>
      </c>
      <c r="BA101" s="14">
        <v>0</v>
      </c>
      <c r="BB101" s="14">
        <v>0</v>
      </c>
      <c r="BC101" s="14">
        <v>0</v>
      </c>
      <c r="BD101" s="14">
        <v>0</v>
      </c>
      <c r="BE101" s="14">
        <v>0</v>
      </c>
      <c r="BF101" s="14">
        <v>0</v>
      </c>
      <c r="BG101" s="14">
        <v>0</v>
      </c>
      <c r="BH101" s="14">
        <v>0</v>
      </c>
      <c r="BI101" s="14">
        <v>0</v>
      </c>
      <c r="BJ101" s="14">
        <v>0</v>
      </c>
      <c r="BK101" s="14">
        <v>0</v>
      </c>
      <c r="BL101" s="14">
        <v>0</v>
      </c>
      <c r="BM101" s="19">
        <v>7200</v>
      </c>
      <c r="BN101" s="8">
        <f t="shared" si="14"/>
        <v>7200</v>
      </c>
      <c r="BO101" s="9">
        <f t="shared" si="12"/>
        <v>5040</v>
      </c>
    </row>
    <row r="102" spans="1:67" ht="24">
      <c r="A102" s="5" t="s">
        <v>170</v>
      </c>
      <c r="B102" s="12" t="s">
        <v>171</v>
      </c>
      <c r="C102" s="12">
        <v>300910</v>
      </c>
      <c r="D102" s="13"/>
      <c r="E102" s="12" t="s">
        <v>11</v>
      </c>
      <c r="F102" s="12" t="s">
        <v>41</v>
      </c>
      <c r="G102" s="12" t="s">
        <v>11</v>
      </c>
      <c r="H102" s="14" t="s">
        <v>7</v>
      </c>
      <c r="I102" s="14" t="s">
        <v>172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0</v>
      </c>
      <c r="AE102" s="14">
        <v>68</v>
      </c>
      <c r="AF102" s="15">
        <v>6800</v>
      </c>
      <c r="AG102" s="14">
        <v>0</v>
      </c>
      <c r="AH102" s="14">
        <v>0</v>
      </c>
      <c r="AI102" s="14">
        <v>0</v>
      </c>
      <c r="AJ102" s="14">
        <v>0</v>
      </c>
      <c r="AK102" s="14">
        <v>1</v>
      </c>
      <c r="AL102" s="14">
        <v>0</v>
      </c>
      <c r="AM102" s="14">
        <v>100</v>
      </c>
      <c r="AN102" s="14">
        <v>0</v>
      </c>
      <c r="AO102" s="14">
        <v>0</v>
      </c>
      <c r="AP102" s="14">
        <v>0</v>
      </c>
      <c r="AQ102" s="14">
        <v>0</v>
      </c>
      <c r="AR102" s="14">
        <v>0</v>
      </c>
      <c r="AS102" s="14">
        <v>0</v>
      </c>
      <c r="AT102" s="14">
        <v>0</v>
      </c>
      <c r="AU102" s="14">
        <v>0</v>
      </c>
      <c r="AV102" s="14">
        <v>0</v>
      </c>
      <c r="AW102" s="14">
        <v>0</v>
      </c>
      <c r="AX102" s="14">
        <v>0</v>
      </c>
      <c r="AY102" s="14">
        <v>0</v>
      </c>
      <c r="AZ102" s="14">
        <v>0</v>
      </c>
      <c r="BA102" s="14">
        <v>0</v>
      </c>
      <c r="BB102" s="14">
        <v>0</v>
      </c>
      <c r="BC102" s="14">
        <v>0</v>
      </c>
      <c r="BD102" s="14">
        <v>0</v>
      </c>
      <c r="BE102" s="14">
        <v>0</v>
      </c>
      <c r="BF102" s="14">
        <v>0</v>
      </c>
      <c r="BG102" s="14">
        <v>0</v>
      </c>
      <c r="BH102" s="14">
        <v>0</v>
      </c>
      <c r="BI102" s="14">
        <v>0</v>
      </c>
      <c r="BJ102" s="14">
        <v>0</v>
      </c>
      <c r="BK102" s="14">
        <v>0</v>
      </c>
      <c r="BL102" s="14">
        <v>0</v>
      </c>
      <c r="BM102" s="19">
        <v>6900</v>
      </c>
      <c r="BN102" s="8">
        <f t="shared" si="14"/>
        <v>6900</v>
      </c>
      <c r="BO102" s="9">
        <f t="shared" si="12"/>
        <v>4830</v>
      </c>
    </row>
    <row r="103" spans="1:67" ht="24">
      <c r="A103" s="5" t="s">
        <v>170</v>
      </c>
      <c r="B103" s="12" t="s">
        <v>34</v>
      </c>
      <c r="C103" s="12">
        <v>173863</v>
      </c>
      <c r="D103" s="13"/>
      <c r="E103" s="12" t="s">
        <v>11</v>
      </c>
      <c r="F103" s="12" t="s">
        <v>16</v>
      </c>
      <c r="G103" s="12" t="s">
        <v>11</v>
      </c>
      <c r="H103" s="14" t="s">
        <v>7</v>
      </c>
      <c r="I103" s="14" t="s">
        <v>35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2</v>
      </c>
      <c r="AI103" s="15">
        <v>2160</v>
      </c>
      <c r="AJ103" s="14">
        <v>0</v>
      </c>
      <c r="AK103" s="14">
        <v>1</v>
      </c>
      <c r="AL103" s="14">
        <v>0</v>
      </c>
      <c r="AM103" s="15">
        <v>3200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</v>
      </c>
      <c r="AY103" s="14">
        <v>0</v>
      </c>
      <c r="AZ103" s="14">
        <v>0</v>
      </c>
      <c r="BA103" s="14">
        <v>0</v>
      </c>
      <c r="BB103" s="14">
        <v>0</v>
      </c>
      <c r="BC103" s="14">
        <v>0</v>
      </c>
      <c r="BD103" s="14">
        <v>0</v>
      </c>
      <c r="BE103" s="14">
        <v>0</v>
      </c>
      <c r="BF103" s="14">
        <v>0</v>
      </c>
      <c r="BG103" s="14">
        <v>0</v>
      </c>
      <c r="BH103" s="14">
        <v>0</v>
      </c>
      <c r="BI103" s="14">
        <v>0</v>
      </c>
      <c r="BJ103" s="14">
        <v>0</v>
      </c>
      <c r="BK103" s="14">
        <v>0</v>
      </c>
      <c r="BL103" s="14">
        <v>648</v>
      </c>
      <c r="BM103" s="19">
        <v>5360</v>
      </c>
      <c r="BN103" s="8">
        <f t="shared" si="14"/>
        <v>4712</v>
      </c>
      <c r="BO103" s="9">
        <f t="shared" si="12"/>
        <v>3298.3999999999996</v>
      </c>
    </row>
    <row r="104" spans="1:67" ht="24">
      <c r="A104" s="5" t="s">
        <v>170</v>
      </c>
      <c r="B104" s="12" t="s">
        <v>79</v>
      </c>
      <c r="C104" s="12">
        <v>99966</v>
      </c>
      <c r="D104" s="13"/>
      <c r="E104" s="12" t="s">
        <v>11</v>
      </c>
      <c r="F104" s="12" t="s">
        <v>16</v>
      </c>
      <c r="G104" s="12" t="s">
        <v>11</v>
      </c>
      <c r="H104" s="14" t="s">
        <v>10</v>
      </c>
      <c r="I104" s="14" t="s">
        <v>80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24</v>
      </c>
      <c r="AF104" s="14">
        <v>700</v>
      </c>
      <c r="AG104" s="15">
        <v>1700</v>
      </c>
      <c r="AH104" s="14">
        <v>0</v>
      </c>
      <c r="AI104" s="14">
        <v>0</v>
      </c>
      <c r="AJ104" s="14">
        <v>0</v>
      </c>
      <c r="AK104" s="14">
        <v>0</v>
      </c>
      <c r="AL104" s="14">
        <v>0</v>
      </c>
      <c r="AM104" s="14">
        <v>0</v>
      </c>
      <c r="AN104" s="14">
        <v>0</v>
      </c>
      <c r="AO104" s="14">
        <v>0</v>
      </c>
      <c r="AP104" s="14">
        <v>0</v>
      </c>
      <c r="AQ104" s="14">
        <v>0</v>
      </c>
      <c r="AR104" s="14">
        <v>0</v>
      </c>
      <c r="AS104" s="14">
        <v>0</v>
      </c>
      <c r="AT104" s="14">
        <v>0</v>
      </c>
      <c r="AU104" s="14">
        <v>0</v>
      </c>
      <c r="AV104" s="14">
        <v>0</v>
      </c>
      <c r="AW104" s="14">
        <v>0</v>
      </c>
      <c r="AX104" s="14">
        <v>0</v>
      </c>
      <c r="AY104" s="14">
        <v>0</v>
      </c>
      <c r="AZ104" s="14">
        <v>0</v>
      </c>
      <c r="BA104" s="14">
        <v>0</v>
      </c>
      <c r="BB104" s="14">
        <v>0</v>
      </c>
      <c r="BC104" s="14">
        <v>0</v>
      </c>
      <c r="BD104" s="14">
        <v>0</v>
      </c>
      <c r="BE104" s="14">
        <v>0</v>
      </c>
      <c r="BF104" s="14">
        <v>0</v>
      </c>
      <c r="BG104" s="14">
        <v>0</v>
      </c>
      <c r="BH104" s="14">
        <v>0</v>
      </c>
      <c r="BI104" s="14">
        <v>0</v>
      </c>
      <c r="BJ104" s="14">
        <v>0</v>
      </c>
      <c r="BK104" s="14">
        <v>0</v>
      </c>
      <c r="BL104" s="14">
        <v>0</v>
      </c>
      <c r="BM104" s="19">
        <v>2400</v>
      </c>
      <c r="BN104" s="8">
        <f t="shared" si="14"/>
        <v>2400</v>
      </c>
      <c r="BO104" s="9">
        <f t="shared" si="12"/>
        <v>1680</v>
      </c>
    </row>
    <row r="105" spans="1:67" ht="24">
      <c r="A105" s="5" t="s">
        <v>170</v>
      </c>
      <c r="B105" s="12" t="s">
        <v>184</v>
      </c>
      <c r="C105" s="12">
        <v>404358</v>
      </c>
      <c r="D105" s="13"/>
      <c r="E105" s="12" t="s">
        <v>11</v>
      </c>
      <c r="F105" s="12" t="s">
        <v>102</v>
      </c>
      <c r="G105" s="12" t="s">
        <v>11</v>
      </c>
      <c r="H105" s="14" t="s">
        <v>7</v>
      </c>
      <c r="I105" s="14" t="s">
        <v>103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4">
        <v>0</v>
      </c>
      <c r="Z105" s="14">
        <v>0</v>
      </c>
      <c r="AA105" s="14">
        <v>0</v>
      </c>
      <c r="AB105" s="14">
        <v>0</v>
      </c>
      <c r="AC105" s="14">
        <v>0</v>
      </c>
      <c r="AD105" s="14">
        <v>0</v>
      </c>
      <c r="AE105" s="14">
        <v>22</v>
      </c>
      <c r="AF105" s="15">
        <v>2200</v>
      </c>
      <c r="AG105" s="14">
        <v>0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</v>
      </c>
      <c r="AT105" s="14">
        <v>0</v>
      </c>
      <c r="AU105" s="14">
        <v>0</v>
      </c>
      <c r="AV105" s="14">
        <v>0</v>
      </c>
      <c r="AW105" s="14">
        <v>0</v>
      </c>
      <c r="AX105" s="14">
        <v>0</v>
      </c>
      <c r="AY105" s="14">
        <v>0</v>
      </c>
      <c r="AZ105" s="14">
        <v>0</v>
      </c>
      <c r="BA105" s="14">
        <v>0</v>
      </c>
      <c r="BB105" s="14">
        <v>0</v>
      </c>
      <c r="BC105" s="14">
        <v>0</v>
      </c>
      <c r="BD105" s="14">
        <v>0</v>
      </c>
      <c r="BE105" s="14">
        <v>0</v>
      </c>
      <c r="BF105" s="14">
        <v>0</v>
      </c>
      <c r="BG105" s="14">
        <v>0</v>
      </c>
      <c r="BH105" s="14">
        <v>0</v>
      </c>
      <c r="BI105" s="14">
        <v>0</v>
      </c>
      <c r="BJ105" s="14">
        <v>0</v>
      </c>
      <c r="BK105" s="14">
        <v>0</v>
      </c>
      <c r="BL105" s="14">
        <v>0</v>
      </c>
      <c r="BM105" s="19">
        <v>2200</v>
      </c>
      <c r="BN105" s="8">
        <f t="shared" si="14"/>
        <v>2200</v>
      </c>
      <c r="BO105" s="9">
        <f t="shared" si="12"/>
        <v>1540</v>
      </c>
    </row>
    <row r="106" spans="1:67" ht="24">
      <c r="A106" s="5" t="s">
        <v>170</v>
      </c>
      <c r="B106" s="12" t="s">
        <v>194</v>
      </c>
      <c r="C106" s="12">
        <v>408463</v>
      </c>
      <c r="D106" s="13"/>
      <c r="E106" s="12" t="s">
        <v>11</v>
      </c>
      <c r="F106" s="12" t="s">
        <v>195</v>
      </c>
      <c r="G106" s="12" t="s">
        <v>22</v>
      </c>
      <c r="H106" s="14" t="s">
        <v>7</v>
      </c>
      <c r="I106" s="14" t="s">
        <v>107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  <c r="AC106" s="14">
        <v>0</v>
      </c>
      <c r="AD106" s="14">
        <v>0</v>
      </c>
      <c r="AE106" s="14">
        <v>0</v>
      </c>
      <c r="AF106" s="14">
        <v>0</v>
      </c>
      <c r="AG106" s="14">
        <v>0</v>
      </c>
      <c r="AH106" s="14">
        <v>0</v>
      </c>
      <c r="AI106" s="14">
        <v>0</v>
      </c>
      <c r="AJ106" s="14">
        <v>0</v>
      </c>
      <c r="AK106" s="14">
        <v>11</v>
      </c>
      <c r="AL106" s="15">
        <v>1320</v>
      </c>
      <c r="AM106" s="14">
        <v>0</v>
      </c>
      <c r="AN106" s="14">
        <v>0</v>
      </c>
      <c r="AO106" s="14">
        <v>0</v>
      </c>
      <c r="AP106" s="14">
        <v>0</v>
      </c>
      <c r="AQ106" s="14">
        <v>0</v>
      </c>
      <c r="AR106" s="14">
        <v>0</v>
      </c>
      <c r="AS106" s="14">
        <v>0</v>
      </c>
      <c r="AT106" s="14">
        <v>0</v>
      </c>
      <c r="AU106" s="14">
        <v>0</v>
      </c>
      <c r="AV106" s="14">
        <v>0</v>
      </c>
      <c r="AW106" s="14">
        <v>0</v>
      </c>
      <c r="AX106" s="14">
        <v>0</v>
      </c>
      <c r="AY106" s="14">
        <v>0</v>
      </c>
      <c r="AZ106" s="14">
        <v>0</v>
      </c>
      <c r="BA106" s="14">
        <v>0</v>
      </c>
      <c r="BB106" s="14">
        <v>0</v>
      </c>
      <c r="BC106" s="14">
        <v>0</v>
      </c>
      <c r="BD106" s="14">
        <v>0</v>
      </c>
      <c r="BE106" s="14">
        <v>0</v>
      </c>
      <c r="BF106" s="14">
        <v>0</v>
      </c>
      <c r="BG106" s="14">
        <v>0</v>
      </c>
      <c r="BH106" s="14">
        <v>0</v>
      </c>
      <c r="BI106" s="14">
        <v>0</v>
      </c>
      <c r="BJ106" s="14">
        <v>0</v>
      </c>
      <c r="BK106" s="14">
        <v>0</v>
      </c>
      <c r="BL106" s="14">
        <v>396</v>
      </c>
      <c r="BM106" s="19">
        <v>1320</v>
      </c>
      <c r="BN106" s="8">
        <f t="shared" si="14"/>
        <v>924</v>
      </c>
      <c r="BO106" s="9">
        <f t="shared" si="12"/>
        <v>646.79999999999995</v>
      </c>
    </row>
    <row r="107" spans="1:67" ht="24">
      <c r="A107" s="5" t="s">
        <v>170</v>
      </c>
      <c r="B107" s="12" t="s">
        <v>65</v>
      </c>
      <c r="C107" s="12">
        <v>285988</v>
      </c>
      <c r="D107" s="13"/>
      <c r="E107" s="12" t="s">
        <v>11</v>
      </c>
      <c r="F107" s="12" t="s">
        <v>12</v>
      </c>
      <c r="G107" s="12" t="s">
        <v>11</v>
      </c>
      <c r="H107" s="14" t="s">
        <v>7</v>
      </c>
      <c r="I107" s="14" t="s">
        <v>48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1</v>
      </c>
      <c r="AI107" s="15">
        <v>1080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</v>
      </c>
      <c r="AV107" s="14">
        <v>0</v>
      </c>
      <c r="AW107" s="14">
        <v>0</v>
      </c>
      <c r="AX107" s="14">
        <v>0</v>
      </c>
      <c r="AY107" s="14">
        <v>0</v>
      </c>
      <c r="AZ107" s="14">
        <v>0</v>
      </c>
      <c r="BA107" s="14">
        <v>0</v>
      </c>
      <c r="BB107" s="14">
        <v>0</v>
      </c>
      <c r="BC107" s="14">
        <v>0</v>
      </c>
      <c r="BD107" s="14">
        <v>0</v>
      </c>
      <c r="BE107" s="14">
        <v>0</v>
      </c>
      <c r="BF107" s="14">
        <v>0</v>
      </c>
      <c r="BG107" s="14">
        <v>0</v>
      </c>
      <c r="BH107" s="14">
        <v>0</v>
      </c>
      <c r="BI107" s="14">
        <v>0</v>
      </c>
      <c r="BJ107" s="14">
        <v>0</v>
      </c>
      <c r="BK107" s="14">
        <v>0</v>
      </c>
      <c r="BL107" s="14">
        <v>324</v>
      </c>
      <c r="BM107" s="19">
        <v>1080</v>
      </c>
      <c r="BN107" s="8">
        <f t="shared" si="14"/>
        <v>756</v>
      </c>
      <c r="BO107" s="9">
        <f t="shared" si="12"/>
        <v>529.19999999999993</v>
      </c>
    </row>
    <row r="108" spans="1:67" ht="24">
      <c r="A108" s="5" t="s">
        <v>170</v>
      </c>
      <c r="B108" s="12" t="s">
        <v>57</v>
      </c>
      <c r="C108" s="12">
        <v>406370</v>
      </c>
      <c r="D108" s="13"/>
      <c r="E108" s="12" t="s">
        <v>11</v>
      </c>
      <c r="F108" s="12" t="s">
        <v>36</v>
      </c>
      <c r="G108" s="12" t="s">
        <v>22</v>
      </c>
      <c r="H108" s="14" t="s">
        <v>8</v>
      </c>
      <c r="I108" s="14" t="s">
        <v>52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1</v>
      </c>
      <c r="AC108" s="14">
        <v>900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  <c r="AM108" s="14">
        <v>0</v>
      </c>
      <c r="AN108" s="14">
        <v>0</v>
      </c>
      <c r="AO108" s="14">
        <v>0</v>
      </c>
      <c r="AP108" s="14">
        <v>0</v>
      </c>
      <c r="AQ108" s="14">
        <v>0</v>
      </c>
      <c r="AR108" s="14">
        <v>0</v>
      </c>
      <c r="AS108" s="14">
        <v>0</v>
      </c>
      <c r="AT108" s="14">
        <v>0</v>
      </c>
      <c r="AU108" s="14">
        <v>0</v>
      </c>
      <c r="AV108" s="14">
        <v>0</v>
      </c>
      <c r="AW108" s="14">
        <v>0</v>
      </c>
      <c r="AX108" s="14">
        <v>0</v>
      </c>
      <c r="AY108" s="14">
        <v>0</v>
      </c>
      <c r="AZ108" s="14">
        <v>0</v>
      </c>
      <c r="BA108" s="14">
        <v>0</v>
      </c>
      <c r="BB108" s="14">
        <v>0</v>
      </c>
      <c r="BC108" s="14">
        <v>0</v>
      </c>
      <c r="BD108" s="14">
        <v>0</v>
      </c>
      <c r="BE108" s="14">
        <v>0</v>
      </c>
      <c r="BF108" s="14">
        <v>0</v>
      </c>
      <c r="BG108" s="14">
        <v>0</v>
      </c>
      <c r="BH108" s="14">
        <v>0</v>
      </c>
      <c r="BI108" s="14">
        <v>0</v>
      </c>
      <c r="BJ108" s="14">
        <v>0</v>
      </c>
      <c r="BK108" s="14">
        <v>0</v>
      </c>
      <c r="BL108" s="14">
        <v>0</v>
      </c>
      <c r="BM108" s="20">
        <v>900</v>
      </c>
      <c r="BN108" s="8">
        <f t="shared" si="13"/>
        <v>900</v>
      </c>
      <c r="BO108" s="9">
        <f t="shared" si="12"/>
        <v>630</v>
      </c>
    </row>
    <row r="109" spans="1:67" ht="24">
      <c r="A109" s="5" t="s">
        <v>170</v>
      </c>
      <c r="B109" s="12" t="s">
        <v>49</v>
      </c>
      <c r="C109" s="12">
        <v>413545</v>
      </c>
      <c r="D109" s="13"/>
      <c r="E109" s="12" t="s">
        <v>11</v>
      </c>
      <c r="F109" s="12" t="s">
        <v>16</v>
      </c>
      <c r="G109" s="12" t="s">
        <v>22</v>
      </c>
      <c r="H109" s="14" t="s">
        <v>8</v>
      </c>
      <c r="I109" s="14" t="s">
        <v>50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1</v>
      </c>
      <c r="AL109" s="14">
        <v>120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</v>
      </c>
      <c r="AS109" s="14">
        <v>0</v>
      </c>
      <c r="AT109" s="14">
        <v>0</v>
      </c>
      <c r="AU109" s="14">
        <v>0</v>
      </c>
      <c r="AV109" s="14">
        <v>0</v>
      </c>
      <c r="AW109" s="14">
        <v>0</v>
      </c>
      <c r="AX109" s="14">
        <v>0</v>
      </c>
      <c r="AY109" s="14">
        <v>0</v>
      </c>
      <c r="AZ109" s="14">
        <v>0</v>
      </c>
      <c r="BA109" s="14">
        <v>0</v>
      </c>
      <c r="BB109" s="14">
        <v>0</v>
      </c>
      <c r="BC109" s="14">
        <v>0</v>
      </c>
      <c r="BD109" s="14">
        <v>0</v>
      </c>
      <c r="BE109" s="14">
        <v>0</v>
      </c>
      <c r="BF109" s="14">
        <v>0</v>
      </c>
      <c r="BG109" s="14">
        <v>0</v>
      </c>
      <c r="BH109" s="14">
        <v>0</v>
      </c>
      <c r="BI109" s="14">
        <v>0</v>
      </c>
      <c r="BJ109" s="14">
        <v>0</v>
      </c>
      <c r="BK109" s="14">
        <v>0</v>
      </c>
      <c r="BL109" s="14">
        <v>36</v>
      </c>
      <c r="BM109" s="20">
        <v>120</v>
      </c>
      <c r="BN109" s="8">
        <f t="shared" ref="BN109" si="15">BM109-BL109</f>
        <v>84</v>
      </c>
      <c r="BO109" s="9">
        <f t="shared" ref="BO109" si="16">BN109*70%</f>
        <v>58.8</v>
      </c>
    </row>
    <row r="110" spans="1:67">
      <c r="BO110" s="17">
        <f>SUM(BO2:BO109)</f>
        <v>6172939.6400000015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형선 정</cp:lastModifiedBy>
  <dcterms:created xsi:type="dcterms:W3CDTF">2019-02-07T01:40:45Z</dcterms:created>
  <dcterms:modified xsi:type="dcterms:W3CDTF">2024-07-23T03:54:15Z</dcterms:modified>
</cp:coreProperties>
</file>