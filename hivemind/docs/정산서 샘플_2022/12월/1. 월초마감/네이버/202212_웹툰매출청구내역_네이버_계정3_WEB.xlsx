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'합계(12)'!$A$1:$AM$1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22" i="412" l="1"/>
  <c r="BN21" i="412"/>
  <c r="BO21" i="412" s="1"/>
  <c r="BN20" i="412"/>
  <c r="BO20" i="412" s="1"/>
  <c r="BN19" i="412"/>
  <c r="BO19" i="412" s="1"/>
  <c r="BN17" i="412" l="1"/>
  <c r="BO17" i="412" s="1"/>
  <c r="BN18" i="412"/>
  <c r="BO18" i="412" s="1"/>
  <c r="BN13" i="412"/>
  <c r="BO13" i="412" s="1"/>
  <c r="BN14" i="412"/>
  <c r="BO14" i="412" s="1"/>
  <c r="BN15" i="412"/>
  <c r="BO15" i="412" s="1"/>
  <c r="BN16" i="412"/>
  <c r="BO16" i="412" s="1"/>
  <c r="BN6" i="412" l="1"/>
  <c r="BN5" i="412"/>
  <c r="BN4" i="412"/>
  <c r="BN3" i="412"/>
  <c r="BO3" i="412" s="1"/>
  <c r="BN2" i="412"/>
  <c r="BN10" i="412" l="1"/>
  <c r="BO10" i="412" s="1"/>
  <c r="BN11" i="412"/>
  <c r="BO11" i="412" s="1"/>
  <c r="BN12" i="412"/>
  <c r="BO12" i="412" s="1"/>
  <c r="BO4" i="412" l="1"/>
  <c r="BO5" i="412"/>
  <c r="BO6" i="412"/>
  <c r="BN7" i="412"/>
  <c r="BO7" i="412" s="1"/>
  <c r="BN8" i="412"/>
  <c r="BO8" i="412" s="1"/>
  <c r="BN9" i="412"/>
  <c r="BO9" i="412" s="1"/>
  <c r="BO2" i="412" l="1"/>
</calcChain>
</file>

<file path=xl/sharedStrings.xml><?xml version="1.0" encoding="utf-8"?>
<sst xmlns="http://schemas.openxmlformats.org/spreadsheetml/2006/main" count="209" uniqueCount="105">
  <si>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</si>
  <si>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</si>
  <si>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</si>
  <si>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</si>
  <si>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</si>
  <si>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</si>
  <si>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</si>
  <si>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</si>
  <si>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</si>
  <si>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합계</t>
  </si>
  <si>
    <t>앱마켓수수료</t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</si>
  <si>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</si>
  <si>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</si>
  <si>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</si>
  <si>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</si>
  <si>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</si>
  <si>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</si>
  <si>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</si>
  <si>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</si>
  <si>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</si>
  <si>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</si>
  <si>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</si>
  <si>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</si>
  <si>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</si>
  <si>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</si>
  <si>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</si>
  <si>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</si>
  <si>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</si>
  <si>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</si>
  <si>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</si>
  <si>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</si>
  <si>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</si>
  <si>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</si>
  <si>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</si>
  <si>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</si>
  <si>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</si>
  <si>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</si>
  <si>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</si>
  <si>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</si>
  <si>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</si>
  <si>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</si>
  <si>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</si>
  <si>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</si>
  <si>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</si>
  <si>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</si>
  <si>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</si>
  <si>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</si>
  <si>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</si>
  <si>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</si>
  <si>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</si>
  <si>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</si>
  <si>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</si>
  <si>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</si>
  <si>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</si>
  <si>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</si>
  <si>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</si>
  <si>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</si>
  <si>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</si>
  <si>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</si>
  <si>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</si>
  <si>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</si>
  <si>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</si>
  <si>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</si>
  <si>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</si>
  <si>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</si>
  <si>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</si>
  <si>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</si>
  <si>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</si>
  <si>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</si>
  <si>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</si>
  <si>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</si>
  <si>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</si>
  <si>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스토리위즈_만화</t>
  </si>
  <si>
    <t>스토리위즈</t>
  </si>
  <si>
    <t>별빛 아래 우리</t>
  </si>
  <si>
    <t>건일</t>
  </si>
  <si>
    <t>악역이지만, 남주는 꼬시지 않아요</t>
  </si>
  <si>
    <t>kuri</t>
  </si>
  <si>
    <t>개천고 세계편</t>
  </si>
  <si>
    <t>채준</t>
  </si>
  <si>
    <t>2022.05.02</t>
  </si>
  <si>
    <t>N스토어(PC)</t>
    <phoneticPr fontId="20" type="noConversion"/>
  </si>
  <si>
    <t>출판사</t>
    <phoneticPr fontId="20" type="noConversion"/>
  </si>
  <si>
    <t>작가 CP</t>
    <phoneticPr fontId="20" type="noConversion"/>
  </si>
  <si>
    <t>이세계 소환은 두 번째라구요</t>
  </si>
  <si>
    <t>Arashiyama</t>
  </si>
  <si>
    <t>2021.07.23</t>
  </si>
  <si>
    <t>옹주의 호위무사</t>
  </si>
  <si>
    <t>수국</t>
  </si>
  <si>
    <t>2022.10.17</t>
  </si>
  <si>
    <t>음락도 ~에로틱 아일랜드~ [단행본]</t>
  </si>
  <si>
    <t>NAMI AKIMOTO</t>
  </si>
  <si>
    <t>19세 이상 이용가능</t>
  </si>
  <si>
    <t>2022.12.27</t>
  </si>
  <si>
    <t>대표님, 디저트론 저를 드세요 ~유통기한은 3개월~ [단행본]</t>
  </si>
  <si>
    <t>KASANE KATSUMOTO</t>
  </si>
  <si>
    <t>2022.12.29</t>
  </si>
  <si>
    <t>2022.12.30</t>
  </si>
  <si>
    <t>가출천사 육성계약</t>
  </si>
  <si>
    <t>Bae.C, 조우</t>
  </si>
  <si>
    <t>12세 이상 이용가능</t>
  </si>
  <si>
    <t>2022.09.21</t>
  </si>
  <si>
    <t>사랑을 찾아서</t>
  </si>
  <si>
    <t>웹툰TV</t>
  </si>
  <si>
    <t>2020.04.01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</si>
</sst>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1" fontId="23" fillId="34" borderId="0" xfId="42" applyFont="1" applyFill="1">
      <alignment vertical="center"/>
    </xf>
    <xf numFmtId="0" fontId="24" fillId="33" borderId="0" xfId="0" applyFont="1" applyFill="1" applyAlignment="1">
      <alignment horizontal="center" vertical="center" wrapText="1"/>
    </xf>
    <xf numFmtId="4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78"/>
  <sheetViews>
    <sheetView tabSelected="1" topLeftCell="BM7" zoomScaleNormal="100" workbookViewId="0">
      <selection activeCell="BP14" sqref="BP14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25" bestFit="1" customWidth="1"/>
    <col min="66" max="66" width="13.5" style="11" bestFit="1" customWidth="1"/>
    <col min="67" max="67" width="13.375" style="11" customWidth="1"/>
  </cols>
  <sheetData>
    <row r="1" spans="1:69" ht="27" customHeight="1">
      <c r="A1" s="2" t="s">
        <v>14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15</v>
      </c>
      <c r="I1" s="12" t="s">
        <v>6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20</v>
      </c>
      <c r="O1" s="10" t="s">
        <v>21</v>
      </c>
      <c r="P1" s="10" t="s">
        <v>22</v>
      </c>
      <c r="Q1" s="10" t="s">
        <v>23</v>
      </c>
      <c r="R1" s="10" t="s">
        <v>24</v>
      </c>
      <c r="S1" s="10" t="s">
        <v>25</v>
      </c>
      <c r="T1" s="10" t="s">
        <v>26</v>
      </c>
      <c r="U1" s="10" t="s">
        <v>27</v>
      </c>
      <c r="V1" s="10" t="s">
        <v>28</v>
      </c>
      <c r="W1" s="10" t="s">
        <v>29</v>
      </c>
      <c r="X1" s="10" t="s">
        <v>30</v>
      </c>
      <c r="Y1" s="10" t="s">
        <v>31</v>
      </c>
      <c r="Z1" s="10" t="s">
        <v>32</v>
      </c>
      <c r="AA1" s="10" t="s">
        <v>33</v>
      </c>
      <c r="AB1" s="10" t="s">
        <v>34</v>
      </c>
      <c r="AC1" s="10" t="s">
        <v>35</v>
      </c>
      <c r="AD1" s="10" t="s">
        <v>36</v>
      </c>
      <c r="AE1" s="10" t="s">
        <v>37</v>
      </c>
      <c r="AF1" s="10" t="s">
        <v>38</v>
      </c>
      <c r="AG1" s="10" t="s">
        <v>39</v>
      </c>
      <c r="AH1" s="10" t="s">
        <v>40</v>
      </c>
      <c r="AI1" s="10" t="s">
        <v>41</v>
      </c>
      <c r="AJ1" s="10" t="s">
        <v>42</v>
      </c>
      <c r="AK1" s="10" t="s">
        <v>43</v>
      </c>
      <c r="AL1" s="10" t="s">
        <v>44</v>
      </c>
      <c r="AM1" s="10" t="s">
        <v>45</v>
      </c>
      <c r="AN1" s="10" t="s">
        <v>46</v>
      </c>
      <c r="AO1" s="10" t="s">
        <v>47</v>
      </c>
      <c r="AP1" s="10" t="s">
        <v>48</v>
      </c>
      <c r="AQ1" s="10" t="s">
        <v>49</v>
      </c>
      <c r="AR1" s="10" t="s">
        <v>50</v>
      </c>
      <c r="AS1" s="10" t="s">
        <v>51</v>
      </c>
      <c r="AT1" s="10" t="s">
        <v>52</v>
      </c>
      <c r="AU1" s="10" t="s">
        <v>53</v>
      </c>
      <c r="AV1" s="10" t="s">
        <v>54</v>
      </c>
      <c r="AW1" s="10" t="s">
        <v>55</v>
      </c>
      <c r="AX1" s="10" t="s">
        <v>56</v>
      </c>
      <c r="AY1" s="10" t="s">
        <v>57</v>
      </c>
      <c r="AZ1" s="10" t="s">
        <v>58</v>
      </c>
      <c r="BA1" s="10" t="s">
        <v>59</v>
      </c>
      <c r="BB1" s="10" t="s">
        <v>60</v>
      </c>
      <c r="BC1" s="10" t="s">
        <v>61</v>
      </c>
      <c r="BD1" s="10" t="s">
        <v>62</v>
      </c>
      <c r="BE1" s="10" t="s">
        <v>63</v>
      </c>
      <c r="BF1" s="10" t="s">
        <v>64</v>
      </c>
      <c r="BG1" s="10" t="s">
        <v>65</v>
      </c>
      <c r="BH1" s="10" t="s">
        <v>66</v>
      </c>
      <c r="BI1" s="10" t="s">
        <v>67</v>
      </c>
      <c r="BJ1" s="10" t="s">
        <v>68</v>
      </c>
      <c r="BK1" s="10" t="s">
        <v>69</v>
      </c>
      <c r="BL1" s="10" t="s">
        <v>10</v>
      </c>
      <c r="BM1" s="20" t="s">
        <v>9</v>
      </c>
      <c r="BN1" s="10" t="s">
        <v>70</v>
      </c>
      <c r="BO1" s="10" t="s">
        <v>71</v>
      </c>
      <c r="BP1" s="10" t="s">
        <v>82</v>
      </c>
      <c r="BQ1" s="10" t="s">
        <v>83</v>
      </c>
    </row>
    <row r="2" spans="1:69" ht="24">
      <c r="A2" s="5" t="s">
        <v>11</v>
      </c>
      <c r="B2" s="15" t="s">
        <v>90</v>
      </c>
      <c r="C2" s="15">
        <v>490997</v>
      </c>
      <c r="D2" s="16"/>
      <c r="E2" s="15" t="s">
        <v>72</v>
      </c>
      <c r="F2" s="15" t="s">
        <v>91</v>
      </c>
      <c r="G2" s="15" t="s">
        <v>73</v>
      </c>
      <c r="H2" s="17" t="s">
        <v>92</v>
      </c>
      <c r="I2" s="17" t="s">
        <v>93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2</v>
      </c>
      <c r="AC2" s="18">
        <v>1900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1</v>
      </c>
      <c r="BA2" s="18">
        <v>1320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79.2</v>
      </c>
      <c r="BM2" s="21">
        <v>3220</v>
      </c>
      <c r="BN2" s="13">
        <f>BM2-BL2</f>
        <v>3140.8</v>
      </c>
      <c r="BO2" s="14">
        <f t="shared" ref="BO2:BO9" si="0">BN2*70%</f>
        <v>2198.56</v>
      </c>
    </row>
    <row r="3" spans="1:69" ht="24">
      <c r="A3" s="5" t="s">
        <v>81</v>
      </c>
      <c r="B3" s="15" t="s">
        <v>78</v>
      </c>
      <c r="C3" s="15">
        <v>467630</v>
      </c>
      <c r="D3" s="16"/>
      <c r="E3" s="15" t="s">
        <v>72</v>
      </c>
      <c r="F3" s="15" t="s">
        <v>79</v>
      </c>
      <c r="G3" s="15" t="s">
        <v>73</v>
      </c>
      <c r="H3" s="17" t="s">
        <v>8</v>
      </c>
      <c r="I3" s="17" t="s">
        <v>80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2</v>
      </c>
      <c r="AC3" s="17">
        <v>400</v>
      </c>
      <c r="AD3" s="17">
        <v>0</v>
      </c>
      <c r="AE3" s="17">
        <v>2</v>
      </c>
      <c r="AF3" s="17">
        <v>800</v>
      </c>
      <c r="AG3" s="17">
        <v>0</v>
      </c>
      <c r="AH3" s="17">
        <v>0</v>
      </c>
      <c r="AI3" s="17">
        <v>0</v>
      </c>
      <c r="AJ3" s="17">
        <v>0</v>
      </c>
      <c r="AK3" s="17">
        <v>1</v>
      </c>
      <c r="AL3" s="17">
        <v>0</v>
      </c>
      <c r="AM3" s="17">
        <v>400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21">
        <v>1600</v>
      </c>
      <c r="BN3" s="13">
        <f>BM3-BL3</f>
        <v>1600</v>
      </c>
      <c r="BO3" s="14">
        <f>BN3*70%</f>
        <v>1120</v>
      </c>
    </row>
    <row r="4" spans="1:69" ht="36">
      <c r="A4" s="5" t="s">
        <v>11</v>
      </c>
      <c r="B4" s="15" t="s">
        <v>94</v>
      </c>
      <c r="C4" s="15">
        <v>491005</v>
      </c>
      <c r="D4" s="16"/>
      <c r="E4" s="15" t="s">
        <v>72</v>
      </c>
      <c r="F4" s="15" t="s">
        <v>95</v>
      </c>
      <c r="G4" s="15" t="s">
        <v>73</v>
      </c>
      <c r="H4" s="17" t="s">
        <v>92</v>
      </c>
      <c r="I4" s="17" t="s">
        <v>93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1</v>
      </c>
      <c r="AC4" s="18">
        <v>1500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21">
        <v>1500</v>
      </c>
      <c r="BN4" s="13">
        <f>BM4-BL4</f>
        <v>1500</v>
      </c>
      <c r="BO4" s="14">
        <f t="shared" si="0"/>
        <v>1050</v>
      </c>
    </row>
    <row r="5" spans="1:69" ht="24">
      <c r="A5" s="5" t="s">
        <v>11</v>
      </c>
      <c r="B5" s="15" t="s">
        <v>74</v>
      </c>
      <c r="C5" s="15">
        <v>435954</v>
      </c>
      <c r="D5" s="16"/>
      <c r="E5" s="15" t="s">
        <v>72</v>
      </c>
      <c r="F5" s="15" t="s">
        <v>75</v>
      </c>
      <c r="G5" s="15" t="s">
        <v>73</v>
      </c>
      <c r="H5" s="17" t="s">
        <v>7</v>
      </c>
      <c r="I5" s="17" t="s">
        <v>96</v>
      </c>
      <c r="J5" s="17">
        <v>0</v>
      </c>
      <c r="K5" s="17">
        <v>7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4</v>
      </c>
      <c r="AO5" s="17">
        <v>800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22">
        <v>800</v>
      </c>
      <c r="BN5" s="13">
        <f>BM5-BL5</f>
        <v>800</v>
      </c>
      <c r="BO5" s="14">
        <f t="shared" si="0"/>
        <v>560</v>
      </c>
    </row>
    <row r="6" spans="1:69" ht="24">
      <c r="A6" s="5" t="s">
        <v>11</v>
      </c>
      <c r="B6" s="15" t="s">
        <v>76</v>
      </c>
      <c r="C6" s="15">
        <v>465461</v>
      </c>
      <c r="D6" s="16"/>
      <c r="E6" s="15" t="s">
        <v>72</v>
      </c>
      <c r="F6" s="15" t="s">
        <v>77</v>
      </c>
      <c r="G6" s="15" t="s">
        <v>73</v>
      </c>
      <c r="H6" s="17" t="s">
        <v>7</v>
      </c>
      <c r="I6" s="17" t="s">
        <v>97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3</v>
      </c>
      <c r="AC6" s="17">
        <v>200</v>
      </c>
      <c r="AD6" s="17">
        <v>400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22">
        <v>600</v>
      </c>
      <c r="BN6" s="13">
        <f>BM6-BL6</f>
        <v>600</v>
      </c>
      <c r="BO6" s="14">
        <f t="shared" si="0"/>
        <v>420</v>
      </c>
    </row>
    <row r="7" spans="1:69" ht="24">
      <c r="A7" s="5" t="s">
        <v>11</v>
      </c>
      <c r="B7" s="15" t="s">
        <v>98</v>
      </c>
      <c r="C7" s="15">
        <v>465463</v>
      </c>
      <c r="D7" s="16"/>
      <c r="E7" s="15" t="s">
        <v>72</v>
      </c>
      <c r="F7" s="15" t="s">
        <v>99</v>
      </c>
      <c r="G7" s="15" t="s">
        <v>73</v>
      </c>
      <c r="H7" s="17" t="s">
        <v>100</v>
      </c>
      <c r="I7" s="17" t="s">
        <v>101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1</v>
      </c>
      <c r="AC7" s="17">
        <v>200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22">
        <v>200</v>
      </c>
      <c r="BN7" s="13">
        <f t="shared" ref="BN7:BN9" si="1">BM7-BL7</f>
        <v>200</v>
      </c>
      <c r="BO7" s="14">
        <f t="shared" si="0"/>
        <v>140</v>
      </c>
    </row>
    <row r="8" spans="1:69" ht="24">
      <c r="A8" s="5" t="s">
        <v>11</v>
      </c>
      <c r="B8" s="15" t="s">
        <v>87</v>
      </c>
      <c r="C8" s="15">
        <v>484291</v>
      </c>
      <c r="D8" s="16"/>
      <c r="E8" s="15" t="s">
        <v>72</v>
      </c>
      <c r="F8" s="15" t="s">
        <v>88</v>
      </c>
      <c r="G8" s="15" t="s">
        <v>73</v>
      </c>
      <c r="H8" s="17" t="s">
        <v>7</v>
      </c>
      <c r="I8" s="17" t="s">
        <v>89</v>
      </c>
      <c r="J8" s="17">
        <v>0</v>
      </c>
      <c r="K8" s="17">
        <v>9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22">
        <v>0</v>
      </c>
      <c r="BN8" s="13">
        <f t="shared" si="1"/>
        <v>0</v>
      </c>
      <c r="BO8" s="14">
        <f t="shared" si="0"/>
        <v>0</v>
      </c>
    </row>
    <row r="9" spans="1:69" ht="24">
      <c r="A9" s="5" t="s">
        <v>11</v>
      </c>
      <c r="B9" s="15" t="s">
        <v>102</v>
      </c>
      <c r="C9" s="15">
        <v>393567</v>
      </c>
      <c r="D9" s="16"/>
      <c r="E9" s="15" t="s">
        <v>72</v>
      </c>
      <c r="F9" s="15" t="s">
        <v>103</v>
      </c>
      <c r="G9" s="15" t="s">
        <v>73</v>
      </c>
      <c r="H9" s="17" t="s">
        <v>8</v>
      </c>
      <c r="I9" s="17" t="s">
        <v>104</v>
      </c>
      <c r="J9" s="17">
        <v>0</v>
      </c>
      <c r="K9" s="17">
        <v>1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22">
        <v>0</v>
      </c>
      <c r="BN9" s="13">
        <f t="shared" si="1"/>
        <v>0</v>
      </c>
      <c r="BO9" s="14">
        <f t="shared" si="0"/>
        <v>0</v>
      </c>
    </row>
    <row r="10" spans="1:69" ht="24">
      <c r="A10" s="5" t="s">
        <v>12</v>
      </c>
      <c r="B10" s="15" t="s">
        <v>78</v>
      </c>
      <c r="C10" s="15">
        <v>467630</v>
      </c>
      <c r="D10" s="16"/>
      <c r="E10" s="15" t="s">
        <v>72</v>
      </c>
      <c r="F10" s="15" t="s">
        <v>79</v>
      </c>
      <c r="G10" s="15" t="s">
        <v>73</v>
      </c>
      <c r="H10" s="17" t="s">
        <v>8</v>
      </c>
      <c r="I10" s="17" t="s">
        <v>80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76</v>
      </c>
      <c r="AC10" s="18">
        <v>15200</v>
      </c>
      <c r="AD10" s="17">
        <v>0</v>
      </c>
      <c r="AE10" s="17">
        <v>2</v>
      </c>
      <c r="AF10" s="17">
        <v>800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21">
        <v>16000</v>
      </c>
      <c r="BN10" s="13">
        <f t="shared" ref="BN10:BN18" si="2">BM10-BL10</f>
        <v>16000</v>
      </c>
      <c r="BO10" s="14">
        <f t="shared" ref="BO10:BO18" si="3">BN10*70%</f>
        <v>11200</v>
      </c>
    </row>
    <row r="11" spans="1:69" ht="24">
      <c r="A11" s="5" t="s">
        <v>12</v>
      </c>
      <c r="B11" s="15" t="s">
        <v>98</v>
      </c>
      <c r="C11" s="15">
        <v>465463</v>
      </c>
      <c r="D11" s="16"/>
      <c r="E11" s="15" t="s">
        <v>72</v>
      </c>
      <c r="F11" s="15" t="s">
        <v>99</v>
      </c>
      <c r="G11" s="15" t="s">
        <v>73</v>
      </c>
      <c r="H11" s="17" t="s">
        <v>100</v>
      </c>
      <c r="I11" s="17" t="s">
        <v>101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27</v>
      </c>
      <c r="AC11" s="18">
        <v>5400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21">
        <v>5400</v>
      </c>
      <c r="BN11" s="13">
        <f t="shared" si="2"/>
        <v>5400</v>
      </c>
      <c r="BO11" s="14">
        <f t="shared" si="3"/>
        <v>3779.9999999999995</v>
      </c>
    </row>
    <row r="12" spans="1:69" ht="24">
      <c r="A12" s="5" t="s">
        <v>12</v>
      </c>
      <c r="B12" s="15" t="s">
        <v>76</v>
      </c>
      <c r="C12" s="15">
        <v>465461</v>
      </c>
      <c r="D12" s="16"/>
      <c r="E12" s="15" t="s">
        <v>72</v>
      </c>
      <c r="F12" s="15" t="s">
        <v>77</v>
      </c>
      <c r="G12" s="15" t="s">
        <v>73</v>
      </c>
      <c r="H12" s="17" t="s">
        <v>7</v>
      </c>
      <c r="I12" s="17" t="s">
        <v>97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1</v>
      </c>
      <c r="AC12" s="17">
        <v>0</v>
      </c>
      <c r="AD12" s="17">
        <v>100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1</v>
      </c>
      <c r="AU12" s="17">
        <v>114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11.4</v>
      </c>
      <c r="BM12" s="22">
        <v>214</v>
      </c>
      <c r="BN12" s="13">
        <f t="shared" si="2"/>
        <v>202.6</v>
      </c>
      <c r="BO12" s="14">
        <f t="shared" si="3"/>
        <v>141.82</v>
      </c>
    </row>
    <row r="13" spans="1:69" ht="24">
      <c r="A13" s="5" t="s">
        <v>12</v>
      </c>
      <c r="B13" s="15" t="s">
        <v>87</v>
      </c>
      <c r="C13" s="15">
        <v>484291</v>
      </c>
      <c r="D13" s="16"/>
      <c r="E13" s="15" t="s">
        <v>72</v>
      </c>
      <c r="F13" s="15" t="s">
        <v>88</v>
      </c>
      <c r="G13" s="15" t="s">
        <v>73</v>
      </c>
      <c r="H13" s="17" t="s">
        <v>7</v>
      </c>
      <c r="I13" s="17" t="s">
        <v>89</v>
      </c>
      <c r="J13" s="17">
        <v>0</v>
      </c>
      <c r="K13" s="17">
        <v>1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22">
        <v>0</v>
      </c>
      <c r="BN13" s="13">
        <f t="shared" si="2"/>
        <v>0</v>
      </c>
      <c r="BO13" s="14">
        <f t="shared" si="3"/>
        <v>0</v>
      </c>
    </row>
    <row r="14" spans="1:69" ht="24">
      <c r="A14" s="5" t="s">
        <v>12</v>
      </c>
      <c r="B14" s="15" t="s">
        <v>74</v>
      </c>
      <c r="C14" s="15">
        <v>435954</v>
      </c>
      <c r="D14" s="16"/>
      <c r="E14" s="15" t="s">
        <v>72</v>
      </c>
      <c r="F14" s="15" t="s">
        <v>75</v>
      </c>
      <c r="G14" s="15" t="s">
        <v>73</v>
      </c>
      <c r="H14" s="17" t="s">
        <v>7</v>
      </c>
      <c r="I14" s="17" t="s">
        <v>96</v>
      </c>
      <c r="J14" s="17">
        <v>0</v>
      </c>
      <c r="K14" s="17">
        <v>26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22">
        <v>0</v>
      </c>
      <c r="BN14" s="13">
        <f t="shared" si="2"/>
        <v>0</v>
      </c>
      <c r="BO14" s="14">
        <f t="shared" si="3"/>
        <v>0</v>
      </c>
    </row>
    <row r="15" spans="1:69" ht="24">
      <c r="A15" s="5" t="s">
        <v>12</v>
      </c>
      <c r="B15" s="15" t="s">
        <v>102</v>
      </c>
      <c r="C15" s="15">
        <v>393567</v>
      </c>
      <c r="D15" s="16"/>
      <c r="E15" s="15" t="s">
        <v>72</v>
      </c>
      <c r="F15" s="15" t="s">
        <v>103</v>
      </c>
      <c r="G15" s="15" t="s">
        <v>73</v>
      </c>
      <c r="H15" s="17" t="s">
        <v>8</v>
      </c>
      <c r="I15" s="17" t="s">
        <v>104</v>
      </c>
      <c r="J15" s="17">
        <v>0</v>
      </c>
      <c r="K15" s="17">
        <v>4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22">
        <v>0</v>
      </c>
      <c r="BN15" s="13">
        <f t="shared" si="2"/>
        <v>0</v>
      </c>
      <c r="BO15" s="14">
        <f t="shared" si="3"/>
        <v>0</v>
      </c>
    </row>
    <row r="16" spans="1:69" ht="24">
      <c r="A16" s="5" t="s">
        <v>13</v>
      </c>
      <c r="B16" s="15" t="s">
        <v>90</v>
      </c>
      <c r="C16" s="15">
        <v>490997</v>
      </c>
      <c r="D16" s="16"/>
      <c r="E16" s="15" t="s">
        <v>72</v>
      </c>
      <c r="F16" s="15" t="s">
        <v>91</v>
      </c>
      <c r="G16" s="15" t="s">
        <v>73</v>
      </c>
      <c r="H16" s="17" t="s">
        <v>92</v>
      </c>
      <c r="I16" s="17" t="s">
        <v>93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4</v>
      </c>
      <c r="AC16" s="18">
        <v>6000</v>
      </c>
      <c r="AD16" s="17">
        <v>0</v>
      </c>
      <c r="AE16" s="17">
        <v>1</v>
      </c>
      <c r="AF16" s="18">
        <v>3000</v>
      </c>
      <c r="AG16" s="17">
        <v>0</v>
      </c>
      <c r="AH16" s="17">
        <v>1</v>
      </c>
      <c r="AI16" s="18">
        <v>1800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1</v>
      </c>
      <c r="BA16" s="18">
        <v>1800</v>
      </c>
      <c r="BB16" s="17">
        <v>0</v>
      </c>
      <c r="BC16" s="17">
        <v>0</v>
      </c>
      <c r="BD16" s="17">
        <v>0</v>
      </c>
      <c r="BE16" s="17">
        <v>0</v>
      </c>
      <c r="BF16" s="17">
        <v>1</v>
      </c>
      <c r="BG16" s="18">
        <v>1800</v>
      </c>
      <c r="BH16" s="17">
        <v>0</v>
      </c>
      <c r="BI16" s="17">
        <v>0</v>
      </c>
      <c r="BJ16" s="17">
        <v>0</v>
      </c>
      <c r="BK16" s="17">
        <v>0</v>
      </c>
      <c r="BL16" s="17">
        <v>738</v>
      </c>
      <c r="BM16" s="21">
        <v>14400</v>
      </c>
      <c r="BN16" s="13">
        <f t="shared" si="2"/>
        <v>13662</v>
      </c>
      <c r="BO16" s="14">
        <f t="shared" si="3"/>
        <v>9563.4</v>
      </c>
    </row>
    <row r="17" spans="1:67" ht="36">
      <c r="A17" s="5" t="s">
        <v>13</v>
      </c>
      <c r="B17" s="15" t="s">
        <v>94</v>
      </c>
      <c r="C17" s="15">
        <v>491005</v>
      </c>
      <c r="D17" s="16"/>
      <c r="E17" s="15" t="s">
        <v>72</v>
      </c>
      <c r="F17" s="15" t="s">
        <v>95</v>
      </c>
      <c r="G17" s="15" t="s">
        <v>73</v>
      </c>
      <c r="H17" s="17" t="s">
        <v>92</v>
      </c>
      <c r="I17" s="17" t="s">
        <v>93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4</v>
      </c>
      <c r="AC17" s="18">
        <v>6000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21">
        <v>6000</v>
      </c>
      <c r="BN17" s="13">
        <f t="shared" si="2"/>
        <v>6000</v>
      </c>
      <c r="BO17" s="14">
        <f t="shared" si="3"/>
        <v>4200</v>
      </c>
    </row>
    <row r="18" spans="1:67" ht="24">
      <c r="A18" s="5" t="s">
        <v>13</v>
      </c>
      <c r="B18" s="15" t="s">
        <v>78</v>
      </c>
      <c r="C18" s="15">
        <v>467630</v>
      </c>
      <c r="D18" s="16"/>
      <c r="E18" s="15" t="s">
        <v>72</v>
      </c>
      <c r="F18" s="15" t="s">
        <v>79</v>
      </c>
      <c r="G18" s="15" t="s">
        <v>73</v>
      </c>
      <c r="H18" s="17" t="s">
        <v>8</v>
      </c>
      <c r="I18" s="17" t="s">
        <v>80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4</v>
      </c>
      <c r="AC18" s="17">
        <v>400</v>
      </c>
      <c r="AD18" s="17">
        <v>400</v>
      </c>
      <c r="AE18" s="17">
        <v>0</v>
      </c>
      <c r="AF18" s="17">
        <v>0</v>
      </c>
      <c r="AG18" s="17">
        <v>0</v>
      </c>
      <c r="AH18" s="17">
        <v>2</v>
      </c>
      <c r="AI18" s="17">
        <v>480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1</v>
      </c>
      <c r="AU18" s="17">
        <v>240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168</v>
      </c>
      <c r="BM18" s="21">
        <v>1520</v>
      </c>
      <c r="BN18" s="13">
        <f t="shared" si="2"/>
        <v>1352</v>
      </c>
      <c r="BO18" s="14">
        <f t="shared" si="3"/>
        <v>946.4</v>
      </c>
    </row>
    <row r="19" spans="1:67" ht="24">
      <c r="A19" s="5" t="s">
        <v>13</v>
      </c>
      <c r="B19" s="15" t="s">
        <v>84</v>
      </c>
      <c r="C19" s="15">
        <v>419155</v>
      </c>
      <c r="D19" s="16"/>
      <c r="E19" s="15" t="s">
        <v>72</v>
      </c>
      <c r="F19" s="15" t="s">
        <v>85</v>
      </c>
      <c r="G19" s="15" t="s">
        <v>73</v>
      </c>
      <c r="H19" s="17" t="s">
        <v>7</v>
      </c>
      <c r="I19" s="17" t="s">
        <v>86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2</v>
      </c>
      <c r="AI19" s="17">
        <v>720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216</v>
      </c>
      <c r="BM19" s="22">
        <v>720</v>
      </c>
      <c r="BN19" s="13">
        <f t="shared" ref="BN19:BN21" si="4">BM19-BL19</f>
        <v>504</v>
      </c>
      <c r="BO19" s="14">
        <f t="shared" ref="BO19:BO21" si="5">BN19*70%</f>
        <v>352.79999999999995</v>
      </c>
    </row>
    <row r="20" spans="1:67" ht="24">
      <c r="A20" s="5" t="s">
        <v>13</v>
      </c>
      <c r="B20" s="15" t="s">
        <v>76</v>
      </c>
      <c r="C20" s="15">
        <v>465461</v>
      </c>
      <c r="D20" s="16"/>
      <c r="E20" s="15" t="s">
        <v>72</v>
      </c>
      <c r="F20" s="15" t="s">
        <v>77</v>
      </c>
      <c r="G20" s="15" t="s">
        <v>73</v>
      </c>
      <c r="H20" s="17" t="s">
        <v>7</v>
      </c>
      <c r="I20" s="17" t="s">
        <v>97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1</v>
      </c>
      <c r="BA20" s="17">
        <v>240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14.4</v>
      </c>
      <c r="BM20" s="22">
        <v>240</v>
      </c>
      <c r="BN20" s="13">
        <f t="shared" si="4"/>
        <v>225.6</v>
      </c>
      <c r="BO20" s="14">
        <f t="shared" si="5"/>
        <v>157.91999999999999</v>
      </c>
    </row>
    <row r="21" spans="1:67" ht="24">
      <c r="A21" s="5" t="s">
        <v>13</v>
      </c>
      <c r="B21" s="15" t="s">
        <v>74</v>
      </c>
      <c r="C21" s="15">
        <v>435954</v>
      </c>
      <c r="D21" s="16"/>
      <c r="E21" s="15" t="s">
        <v>72</v>
      </c>
      <c r="F21" s="15" t="s">
        <v>75</v>
      </c>
      <c r="G21" s="15" t="s">
        <v>73</v>
      </c>
      <c r="H21" s="17" t="s">
        <v>7</v>
      </c>
      <c r="I21" s="17" t="s">
        <v>96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1</v>
      </c>
      <c r="AC21" s="17">
        <v>200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22">
        <v>200</v>
      </c>
      <c r="BN21" s="13">
        <f t="shared" si="4"/>
        <v>200</v>
      </c>
      <c r="BO21" s="14">
        <f t="shared" si="5"/>
        <v>140</v>
      </c>
    </row>
    <row r="22" spans="1:67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8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23"/>
      <c r="BO22" s="19">
        <f>SUM(BO2:BO21)</f>
        <v>35970.9</v>
      </c>
    </row>
    <row r="23" spans="1:67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8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23"/>
    </row>
    <row r="24" spans="1:67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23"/>
    </row>
    <row r="25" spans="1:67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23"/>
    </row>
    <row r="26" spans="1:67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8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23"/>
    </row>
    <row r="27" spans="1:67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23"/>
    </row>
    <row r="28" spans="1:67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23"/>
    </row>
    <row r="29" spans="1:67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8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23"/>
    </row>
    <row r="30" spans="1:67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8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23"/>
    </row>
    <row r="31" spans="1:67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23"/>
    </row>
    <row r="32" spans="1:67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8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23"/>
    </row>
    <row r="33" spans="1:65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8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23"/>
    </row>
    <row r="34" spans="1:65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23"/>
    </row>
    <row r="35" spans="1:65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23"/>
    </row>
    <row r="36" spans="1:65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8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23"/>
    </row>
    <row r="37" spans="1:65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23"/>
    </row>
    <row r="38" spans="1:65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23"/>
    </row>
    <row r="39" spans="1:65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23"/>
    </row>
    <row r="40" spans="1:65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23"/>
    </row>
    <row r="41" spans="1:65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23"/>
    </row>
    <row r="42" spans="1:65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7"/>
      <c r="AE42" s="7"/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23"/>
    </row>
    <row r="43" spans="1:65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23"/>
    </row>
    <row r="44" spans="1:65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23"/>
    </row>
    <row r="45" spans="1:65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23"/>
    </row>
    <row r="46" spans="1:65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23"/>
    </row>
    <row r="47" spans="1:65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23"/>
    </row>
    <row r="48" spans="1:65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23"/>
    </row>
    <row r="49" spans="1:65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23"/>
    </row>
    <row r="50" spans="1:65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23"/>
    </row>
    <row r="51" spans="1:65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8"/>
      <c r="AS51" s="8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23"/>
    </row>
    <row r="52" spans="1:65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23"/>
    </row>
    <row r="53" spans="1:65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23"/>
    </row>
    <row r="54" spans="1:65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23"/>
    </row>
    <row r="55" spans="1:65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23"/>
    </row>
    <row r="56" spans="1:65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23"/>
    </row>
    <row r="57" spans="1:65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23"/>
    </row>
    <row r="58" spans="1:65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23"/>
    </row>
    <row r="59" spans="1:65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23"/>
    </row>
    <row r="60" spans="1:65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23"/>
    </row>
    <row r="61" spans="1:65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23"/>
    </row>
    <row r="62" spans="1:65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23"/>
    </row>
    <row r="63" spans="1:65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23"/>
    </row>
    <row r="64" spans="1:65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23"/>
    </row>
    <row r="65" spans="1:65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23"/>
    </row>
    <row r="66" spans="1:65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23"/>
    </row>
    <row r="67" spans="1:65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23"/>
    </row>
    <row r="68" spans="1:65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24"/>
    </row>
    <row r="69" spans="1:65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24"/>
    </row>
    <row r="70" spans="1:65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24"/>
    </row>
    <row r="71" spans="1:65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24"/>
    </row>
    <row r="72" spans="1:65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24"/>
    </row>
    <row r="73" spans="1:65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24"/>
    </row>
    <row r="74" spans="1:65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24"/>
    </row>
    <row r="75" spans="1:65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24"/>
    </row>
    <row r="76" spans="1:65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24"/>
    </row>
    <row r="77" spans="1:65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24"/>
    </row>
    <row r="78" spans="1:65">
      <c r="A78" s="5"/>
      <c r="B78" s="5"/>
      <c r="C78" s="5"/>
      <c r="D78" s="6"/>
      <c r="E78" s="5"/>
      <c r="F78" s="5"/>
      <c r="G78" s="5"/>
      <c r="H78" s="7"/>
      <c r="I78" s="7"/>
      <c r="J78" s="7"/>
      <c r="K78" s="8"/>
      <c r="L78" s="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8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8"/>
      <c r="AR78" s="8"/>
      <c r="AS78" s="8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23"/>
    </row>
    <row r="79" spans="1:65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8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23"/>
    </row>
    <row r="80" spans="1:65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8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8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23"/>
    </row>
    <row r="81" spans="1:65">
      <c r="A81" s="5"/>
      <c r="B81" s="5"/>
      <c r="C81" s="5"/>
      <c r="D81" s="6"/>
      <c r="E81" s="5"/>
      <c r="F81" s="5"/>
      <c r="G81" s="5"/>
      <c r="H81" s="7"/>
      <c r="I81" s="7"/>
      <c r="J81" s="7"/>
      <c r="K81" s="8"/>
      <c r="L81" s="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8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23"/>
    </row>
    <row r="82" spans="1:65">
      <c r="A82" s="5"/>
      <c r="B82" s="5"/>
      <c r="C82" s="5"/>
      <c r="D82" s="6"/>
      <c r="E82" s="5"/>
      <c r="F82" s="5"/>
      <c r="G82" s="5"/>
      <c r="H82" s="7"/>
      <c r="I82" s="7"/>
      <c r="J82" s="8"/>
      <c r="K82" s="8"/>
      <c r="L82" s="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23"/>
    </row>
    <row r="83" spans="1:65">
      <c r="A83" s="5"/>
      <c r="B83" s="5"/>
      <c r="C83" s="5"/>
      <c r="D83" s="6"/>
      <c r="E83" s="5"/>
      <c r="F83" s="5"/>
      <c r="G83" s="5"/>
      <c r="H83" s="7"/>
      <c r="I83" s="7"/>
      <c r="J83" s="7"/>
      <c r="K83" s="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8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23"/>
    </row>
    <row r="84" spans="1:65">
      <c r="A84" s="5"/>
      <c r="B84" s="5"/>
      <c r="C84" s="5"/>
      <c r="D84" s="6"/>
      <c r="E84" s="5"/>
      <c r="F84" s="5"/>
      <c r="G84" s="5"/>
      <c r="H84" s="7"/>
      <c r="I84" s="7"/>
      <c r="J84" s="7"/>
      <c r="K84" s="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8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23"/>
    </row>
    <row r="85" spans="1:65">
      <c r="A85" s="5"/>
      <c r="B85" s="5"/>
      <c r="C85" s="5"/>
      <c r="D85" s="6"/>
      <c r="E85" s="5"/>
      <c r="F85" s="5"/>
      <c r="G85" s="5"/>
      <c r="H85" s="7"/>
      <c r="I85" s="7"/>
      <c r="J85" s="7"/>
      <c r="K85" s="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8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23"/>
    </row>
    <row r="86" spans="1:65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8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8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23"/>
    </row>
    <row r="87" spans="1:65">
      <c r="A87" s="5"/>
      <c r="B87" s="5"/>
      <c r="C87" s="5"/>
      <c r="D87" s="6"/>
      <c r="E87" s="5"/>
      <c r="F87" s="5"/>
      <c r="G87" s="5"/>
      <c r="H87" s="7"/>
      <c r="I87" s="7"/>
      <c r="J87" s="7"/>
      <c r="K87" s="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8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23"/>
    </row>
    <row r="88" spans="1:65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8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8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23"/>
    </row>
    <row r="89" spans="1:65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23"/>
    </row>
    <row r="90" spans="1:65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23"/>
    </row>
    <row r="91" spans="1:65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8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23"/>
    </row>
    <row r="92" spans="1:65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23"/>
    </row>
    <row r="93" spans="1:65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23"/>
    </row>
    <row r="94" spans="1:65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23"/>
    </row>
    <row r="95" spans="1:65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23"/>
    </row>
    <row r="96" spans="1:65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23"/>
    </row>
    <row r="97" spans="1:65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23"/>
    </row>
    <row r="98" spans="1:65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23"/>
    </row>
    <row r="99" spans="1:65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8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8"/>
      <c r="AP99" s="8"/>
      <c r="AQ99" s="7"/>
      <c r="AR99" s="8"/>
      <c r="AS99" s="8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23"/>
    </row>
    <row r="100" spans="1:65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23"/>
    </row>
    <row r="101" spans="1:65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23"/>
    </row>
    <row r="102" spans="1:65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23"/>
    </row>
    <row r="103" spans="1:65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23"/>
    </row>
    <row r="104" spans="1:65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23"/>
    </row>
    <row r="105" spans="1:65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23"/>
    </row>
    <row r="106" spans="1:65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23"/>
    </row>
    <row r="107" spans="1:65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8"/>
      <c r="AD107" s="8"/>
      <c r="AE107" s="7"/>
      <c r="AF107" s="7"/>
      <c r="AG107" s="8"/>
      <c r="AH107" s="7"/>
      <c r="AI107" s="7"/>
      <c r="AJ107" s="7"/>
      <c r="AK107" s="7"/>
      <c r="AL107" s="7"/>
      <c r="AM107" s="7"/>
      <c r="AN107" s="7"/>
      <c r="AO107" s="8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23"/>
    </row>
    <row r="108" spans="1:65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23"/>
    </row>
    <row r="109" spans="1:65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23"/>
    </row>
    <row r="110" spans="1:65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23"/>
    </row>
    <row r="111" spans="1:65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23"/>
    </row>
    <row r="112" spans="1:65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23"/>
    </row>
    <row r="113" spans="1:65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23"/>
    </row>
    <row r="114" spans="1:65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23"/>
    </row>
    <row r="115" spans="1:65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23"/>
    </row>
    <row r="116" spans="1:65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23"/>
    </row>
    <row r="117" spans="1:65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23"/>
    </row>
    <row r="118" spans="1:65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23"/>
    </row>
    <row r="119" spans="1:65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23"/>
    </row>
    <row r="120" spans="1:65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23"/>
    </row>
    <row r="121" spans="1:65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23"/>
    </row>
    <row r="122" spans="1:65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23"/>
    </row>
    <row r="123" spans="1:65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23"/>
    </row>
    <row r="124" spans="1:65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23"/>
    </row>
    <row r="125" spans="1:65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23"/>
    </row>
    <row r="126" spans="1:65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23"/>
    </row>
    <row r="127" spans="1:65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23"/>
    </row>
    <row r="128" spans="1:65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23"/>
    </row>
    <row r="129" spans="1:65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8"/>
      <c r="AD129" s="8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23"/>
    </row>
    <row r="130" spans="1:65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23"/>
    </row>
    <row r="131" spans="1:65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23"/>
    </row>
    <row r="132" spans="1:65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23"/>
    </row>
    <row r="133" spans="1:65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23"/>
    </row>
    <row r="134" spans="1:65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23"/>
    </row>
    <row r="135" spans="1:65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23"/>
    </row>
    <row r="136" spans="1:65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23"/>
    </row>
    <row r="137" spans="1:65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23"/>
    </row>
    <row r="138" spans="1:65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23"/>
    </row>
    <row r="139" spans="1:65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23"/>
    </row>
    <row r="140" spans="1:65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23"/>
    </row>
    <row r="141" spans="1:65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23"/>
    </row>
    <row r="142" spans="1:65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23"/>
    </row>
    <row r="143" spans="1:65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23"/>
    </row>
    <row r="144" spans="1:65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23"/>
    </row>
    <row r="145" spans="1:65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23"/>
    </row>
    <row r="146" spans="1:65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23"/>
    </row>
    <row r="147" spans="1:65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23"/>
    </row>
    <row r="148" spans="1:65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23"/>
    </row>
    <row r="149" spans="1:65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23"/>
    </row>
    <row r="150" spans="1:65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23"/>
    </row>
    <row r="151" spans="1:65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23"/>
    </row>
    <row r="152" spans="1:65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23"/>
    </row>
    <row r="153" spans="1:65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23"/>
    </row>
    <row r="154" spans="1:65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23"/>
    </row>
    <row r="155" spans="1:65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23"/>
    </row>
    <row r="156" spans="1:65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23"/>
    </row>
    <row r="157" spans="1:65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23"/>
    </row>
    <row r="158" spans="1:65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23"/>
    </row>
    <row r="159" spans="1:65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23"/>
    </row>
    <row r="160" spans="1:65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23"/>
    </row>
    <row r="161" spans="1:65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23"/>
    </row>
    <row r="162" spans="1:65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23"/>
    </row>
    <row r="163" spans="1:65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23"/>
    </row>
    <row r="164" spans="1:65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23"/>
    </row>
    <row r="165" spans="1:65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8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23"/>
    </row>
    <row r="166" spans="1:65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23"/>
    </row>
    <row r="167" spans="1:65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23"/>
    </row>
    <row r="168" spans="1:65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23"/>
    </row>
    <row r="169" spans="1:65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23"/>
    </row>
    <row r="170" spans="1:65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23"/>
    </row>
    <row r="171" spans="1:65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23"/>
    </row>
    <row r="172" spans="1:65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23"/>
    </row>
    <row r="173" spans="1:65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23"/>
    </row>
    <row r="174" spans="1:65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23"/>
    </row>
    <row r="175" spans="1:65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23"/>
    </row>
    <row r="176" spans="1:65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23"/>
    </row>
    <row r="177" spans="1:65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23"/>
    </row>
    <row r="178" spans="1:65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23"/>
    </row>
    <row r="179" spans="1:65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23"/>
    </row>
    <row r="180" spans="1:65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23"/>
    </row>
    <row r="181" spans="1:65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23"/>
    </row>
    <row r="182" spans="1:65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23"/>
    </row>
    <row r="183" spans="1:65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23"/>
    </row>
    <row r="184" spans="1:65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23"/>
    </row>
    <row r="185" spans="1:65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23"/>
    </row>
    <row r="186" spans="1:65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23"/>
    </row>
    <row r="187" spans="1:65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23"/>
    </row>
    <row r="188" spans="1:65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23"/>
    </row>
    <row r="189" spans="1:65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23"/>
    </row>
    <row r="190" spans="1:65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23"/>
    </row>
    <row r="191" spans="1:65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23"/>
    </row>
    <row r="192" spans="1:65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23"/>
    </row>
    <row r="193" spans="1:65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23"/>
    </row>
    <row r="194" spans="1:65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23"/>
    </row>
    <row r="195" spans="1:65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23"/>
    </row>
    <row r="196" spans="1:65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23"/>
    </row>
    <row r="197" spans="1:65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23"/>
    </row>
    <row r="198" spans="1:65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23"/>
    </row>
    <row r="199" spans="1:65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23"/>
    </row>
    <row r="200" spans="1:65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23"/>
    </row>
    <row r="201" spans="1:65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23"/>
    </row>
    <row r="202" spans="1:65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23"/>
    </row>
    <row r="203" spans="1:65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8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23"/>
    </row>
    <row r="204" spans="1:65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23"/>
    </row>
    <row r="205" spans="1:65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23"/>
    </row>
    <row r="206" spans="1:65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23"/>
    </row>
    <row r="207" spans="1:65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23"/>
    </row>
    <row r="208" spans="1:65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23"/>
    </row>
    <row r="209" spans="1:65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23"/>
    </row>
    <row r="210" spans="1:65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23"/>
    </row>
    <row r="211" spans="1:65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23"/>
    </row>
    <row r="212" spans="1:65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23"/>
    </row>
    <row r="213" spans="1:65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23"/>
    </row>
    <row r="214" spans="1:65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23"/>
    </row>
    <row r="215" spans="1:65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23"/>
    </row>
    <row r="216" spans="1:65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23"/>
    </row>
    <row r="217" spans="1:65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23"/>
    </row>
    <row r="218" spans="1:65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23"/>
    </row>
    <row r="219" spans="1:65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23"/>
    </row>
    <row r="220" spans="1:65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23"/>
    </row>
    <row r="221" spans="1:65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24"/>
    </row>
    <row r="222" spans="1:65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24"/>
    </row>
    <row r="223" spans="1:65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24"/>
    </row>
    <row r="224" spans="1:65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24"/>
    </row>
    <row r="225" spans="1:65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24"/>
    </row>
    <row r="226" spans="1:65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24"/>
    </row>
    <row r="227" spans="1:65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24"/>
    </row>
    <row r="228" spans="1:65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24"/>
    </row>
    <row r="229" spans="1:65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24"/>
    </row>
    <row r="230" spans="1:65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24"/>
    </row>
    <row r="231" spans="1:65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24"/>
    </row>
    <row r="232" spans="1:65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24"/>
    </row>
    <row r="233" spans="1:65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24"/>
    </row>
    <row r="234" spans="1:65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24"/>
    </row>
    <row r="235" spans="1:65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24"/>
    </row>
    <row r="236" spans="1:65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24"/>
    </row>
    <row r="237" spans="1:65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24"/>
    </row>
    <row r="238" spans="1:65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24"/>
    </row>
    <row r="239" spans="1:65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24"/>
    </row>
    <row r="240" spans="1:65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24"/>
    </row>
    <row r="241" spans="1:65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24"/>
    </row>
    <row r="242" spans="1:65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24"/>
    </row>
    <row r="243" spans="1:65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24"/>
    </row>
    <row r="244" spans="1:65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24"/>
    </row>
    <row r="245" spans="1:65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24"/>
    </row>
    <row r="246" spans="1:65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24"/>
    </row>
    <row r="247" spans="1:65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24"/>
    </row>
    <row r="248" spans="1:65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24"/>
    </row>
    <row r="249" spans="1:65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8"/>
      <c r="L249" s="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8"/>
      <c r="AG249" s="8"/>
      <c r="AH249" s="7"/>
      <c r="AI249" s="7"/>
      <c r="AJ249" s="7"/>
      <c r="AK249" s="8"/>
      <c r="AL249" s="8"/>
      <c r="AM249" s="8"/>
      <c r="AN249" s="7"/>
      <c r="AO249" s="7"/>
      <c r="AP249" s="7"/>
      <c r="AQ249" s="8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23"/>
    </row>
    <row r="250" spans="1:65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8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8"/>
      <c r="AF250" s="8"/>
      <c r="AG250" s="8"/>
      <c r="AH250" s="7"/>
      <c r="AI250" s="7"/>
      <c r="AJ250" s="7"/>
      <c r="AK250" s="8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23"/>
    </row>
    <row r="251" spans="1:65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8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8"/>
      <c r="AR251" s="8"/>
      <c r="AS251" s="8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23"/>
    </row>
    <row r="252" spans="1:65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8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23"/>
    </row>
    <row r="253" spans="1:65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8"/>
      <c r="AH253" s="7"/>
      <c r="AI253" s="7"/>
      <c r="AJ253" s="7"/>
      <c r="AK253" s="7"/>
      <c r="AL253" s="8"/>
      <c r="AM253" s="8"/>
      <c r="AN253" s="7"/>
      <c r="AO253" s="7"/>
      <c r="AP253" s="7"/>
      <c r="AQ253" s="7"/>
      <c r="AR253" s="8"/>
      <c r="AS253" s="8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23"/>
    </row>
    <row r="254" spans="1:65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8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8"/>
      <c r="AG254" s="8"/>
      <c r="AH254" s="7"/>
      <c r="AI254" s="7"/>
      <c r="AJ254" s="7"/>
      <c r="AK254" s="8"/>
      <c r="AL254" s="8"/>
      <c r="AM254" s="8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23"/>
    </row>
    <row r="255" spans="1:65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8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8"/>
      <c r="AF255" s="8"/>
      <c r="AG255" s="8"/>
      <c r="AH255" s="7"/>
      <c r="AI255" s="7"/>
      <c r="AJ255" s="7"/>
      <c r="AK255" s="8"/>
      <c r="AL255" s="8"/>
      <c r="AM255" s="8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23"/>
    </row>
    <row r="256" spans="1:65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  <c r="AF256" s="8"/>
      <c r="AG256" s="8"/>
      <c r="AH256" s="7"/>
      <c r="AI256" s="7"/>
      <c r="AJ256" s="7"/>
      <c r="AK256" s="8"/>
      <c r="AL256" s="8"/>
      <c r="AM256" s="8"/>
      <c r="AN256" s="7"/>
      <c r="AO256" s="7"/>
      <c r="AP256" s="7"/>
      <c r="AQ256" s="7"/>
      <c r="AR256" s="8"/>
      <c r="AS256" s="8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23"/>
    </row>
    <row r="257" spans="1:65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8"/>
      <c r="L257" s="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8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7"/>
      <c r="AR257" s="8"/>
      <c r="AS257" s="8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23"/>
    </row>
    <row r="258" spans="1:65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  <c r="AF258" s="8"/>
      <c r="AG258" s="8"/>
      <c r="AH258" s="7"/>
      <c r="AI258" s="7"/>
      <c r="AJ258" s="7"/>
      <c r="AK258" s="8"/>
      <c r="AL258" s="8"/>
      <c r="AM258" s="8"/>
      <c r="AN258" s="7"/>
      <c r="AO258" s="7"/>
      <c r="AP258" s="7"/>
      <c r="AQ258" s="7"/>
      <c r="AR258" s="8"/>
      <c r="AS258" s="8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23"/>
    </row>
    <row r="259" spans="1:65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8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8"/>
      <c r="AF259" s="8"/>
      <c r="AG259" s="8"/>
      <c r="AH259" s="7"/>
      <c r="AI259" s="7"/>
      <c r="AJ259" s="7"/>
      <c r="AK259" s="8"/>
      <c r="AL259" s="8"/>
      <c r="AM259" s="8"/>
      <c r="AN259" s="7"/>
      <c r="AO259" s="7"/>
      <c r="AP259" s="7"/>
      <c r="AQ259" s="7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23"/>
    </row>
    <row r="260" spans="1:65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8"/>
      <c r="AH260" s="7"/>
      <c r="AI260" s="7"/>
      <c r="AJ260" s="7"/>
      <c r="AK260" s="8"/>
      <c r="AL260" s="8"/>
      <c r="AM260" s="8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23"/>
    </row>
    <row r="261" spans="1:65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8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23"/>
    </row>
    <row r="262" spans="1:65">
      <c r="A262" s="5"/>
      <c r="B262" s="5"/>
      <c r="C262" s="5"/>
      <c r="D262" s="6"/>
      <c r="E262" s="5"/>
      <c r="F262" s="5"/>
      <c r="G262" s="5"/>
      <c r="H262" s="7"/>
      <c r="I262" s="7"/>
      <c r="J262" s="8"/>
      <c r="K262" s="7"/>
      <c r="L262" s="8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7"/>
      <c r="AL262" s="8"/>
      <c r="AM262" s="8"/>
      <c r="AN262" s="7"/>
      <c r="AO262" s="7"/>
      <c r="AP262" s="7"/>
      <c r="AQ262" s="7"/>
      <c r="AR262" s="8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23"/>
    </row>
    <row r="263" spans="1:65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8"/>
      <c r="AM263" s="8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23"/>
    </row>
    <row r="264" spans="1:65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8"/>
      <c r="AS264" s="8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23"/>
    </row>
    <row r="265" spans="1:65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8"/>
      <c r="AH265" s="7"/>
      <c r="AI265" s="7"/>
      <c r="AJ265" s="7"/>
      <c r="AK265" s="7"/>
      <c r="AL265" s="8"/>
      <c r="AM265" s="8"/>
      <c r="AN265" s="7"/>
      <c r="AO265" s="7"/>
      <c r="AP265" s="7"/>
      <c r="AQ265" s="7"/>
      <c r="AR265" s="8"/>
      <c r="AS265" s="8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23"/>
    </row>
    <row r="266" spans="1:65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8"/>
      <c r="AJ266" s="8"/>
      <c r="AK266" s="7"/>
      <c r="AL266" s="7"/>
      <c r="AM266" s="7"/>
      <c r="AN266" s="7"/>
      <c r="AO266" s="7"/>
      <c r="AP266" s="7"/>
      <c r="AQ266" s="7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23"/>
    </row>
    <row r="267" spans="1:65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8"/>
      <c r="AN267" s="7"/>
      <c r="AO267" s="7"/>
      <c r="AP267" s="7"/>
      <c r="AQ267" s="7"/>
      <c r="AR267" s="8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23"/>
    </row>
    <row r="268" spans="1:65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8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23"/>
    </row>
    <row r="269" spans="1:65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8"/>
      <c r="AS269" s="8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23"/>
    </row>
    <row r="270" spans="1:65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23"/>
    </row>
    <row r="271" spans="1:65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23"/>
    </row>
    <row r="272" spans="1:65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23"/>
    </row>
    <row r="273" spans="1:65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23"/>
    </row>
    <row r="274" spans="1:65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23"/>
    </row>
    <row r="275" spans="1:65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8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23"/>
    </row>
    <row r="276" spans="1:65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8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23"/>
    </row>
    <row r="277" spans="1:65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23"/>
    </row>
    <row r="278" spans="1:65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23"/>
    </row>
    <row r="279" spans="1:65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23"/>
    </row>
    <row r="280" spans="1:65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8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23"/>
    </row>
    <row r="281" spans="1:65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8"/>
      <c r="AH281" s="7"/>
      <c r="AI281" s="7"/>
      <c r="AJ281" s="7"/>
      <c r="AK281" s="7"/>
      <c r="AL281" s="8"/>
      <c r="AM281" s="8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23"/>
    </row>
    <row r="282" spans="1:65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8"/>
      <c r="AN282" s="7"/>
      <c r="AO282" s="7"/>
      <c r="AP282" s="7"/>
      <c r="AQ282" s="7"/>
      <c r="AR282" s="8"/>
      <c r="AS282" s="8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23"/>
    </row>
    <row r="283" spans="1:65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8"/>
      <c r="AH283" s="7"/>
      <c r="AI283" s="7"/>
      <c r="AJ283" s="7"/>
      <c r="AK283" s="7"/>
      <c r="AL283" s="8"/>
      <c r="AM283" s="8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23"/>
    </row>
    <row r="284" spans="1:65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23"/>
    </row>
    <row r="285" spans="1:65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23"/>
    </row>
    <row r="286" spans="1:65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23"/>
    </row>
    <row r="287" spans="1:65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8"/>
      <c r="AM287" s="8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23"/>
    </row>
    <row r="288" spans="1:65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23"/>
    </row>
    <row r="289" spans="1:65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23"/>
    </row>
    <row r="290" spans="1:65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23"/>
    </row>
    <row r="291" spans="1:65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23"/>
    </row>
    <row r="292" spans="1:65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23"/>
    </row>
    <row r="293" spans="1:65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8"/>
      <c r="AM293" s="8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23"/>
    </row>
    <row r="294" spans="1:65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8"/>
      <c r="AM294" s="8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23"/>
    </row>
    <row r="295" spans="1:65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8"/>
      <c r="AJ295" s="7"/>
      <c r="AK295" s="7"/>
      <c r="AL295" s="8"/>
      <c r="AM295" s="7"/>
      <c r="AN295" s="7"/>
      <c r="AO295" s="8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23"/>
    </row>
    <row r="296" spans="1:65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23"/>
    </row>
    <row r="297" spans="1:65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23"/>
    </row>
    <row r="298" spans="1:65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23"/>
    </row>
    <row r="299" spans="1:65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8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23"/>
    </row>
    <row r="300" spans="1:65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23"/>
    </row>
    <row r="301" spans="1:65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8"/>
      <c r="AS301" s="8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23"/>
    </row>
    <row r="302" spans="1:65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23"/>
    </row>
    <row r="303" spans="1:65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8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23"/>
    </row>
    <row r="304" spans="1:65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7"/>
      <c r="AM304" s="8"/>
      <c r="AN304" s="7"/>
      <c r="AO304" s="7"/>
      <c r="AP304" s="7"/>
      <c r="AQ304" s="7"/>
      <c r="AR304" s="8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23"/>
    </row>
    <row r="305" spans="1:65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23"/>
    </row>
    <row r="306" spans="1:65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23"/>
    </row>
    <row r="307" spans="1:65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23"/>
    </row>
    <row r="308" spans="1:65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8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23"/>
    </row>
    <row r="309" spans="1:65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23"/>
    </row>
    <row r="310" spans="1:65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8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23"/>
    </row>
    <row r="311" spans="1:65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23"/>
    </row>
    <row r="312" spans="1:65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23"/>
    </row>
    <row r="313" spans="1:65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23"/>
    </row>
    <row r="314" spans="1:65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8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23"/>
    </row>
    <row r="315" spans="1:65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23"/>
    </row>
    <row r="316" spans="1:65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23"/>
    </row>
    <row r="317" spans="1:65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23"/>
    </row>
    <row r="318" spans="1:65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23"/>
    </row>
    <row r="319" spans="1:65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23"/>
    </row>
    <row r="320" spans="1:65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23"/>
    </row>
    <row r="321" spans="1:65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23"/>
    </row>
    <row r="322" spans="1:65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8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23"/>
    </row>
    <row r="323" spans="1:65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23"/>
    </row>
    <row r="324" spans="1:65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8"/>
      <c r="AH324" s="7"/>
      <c r="AI324" s="7"/>
      <c r="AJ324" s="7"/>
      <c r="AK324" s="7"/>
      <c r="AL324" s="7"/>
      <c r="AM324" s="8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23"/>
    </row>
    <row r="325" spans="1:65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8"/>
      <c r="AH325" s="7"/>
      <c r="AI325" s="7"/>
      <c r="AJ325" s="7"/>
      <c r="AK325" s="7"/>
      <c r="AL325" s="7"/>
      <c r="AM325" s="8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23"/>
    </row>
    <row r="326" spans="1:65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23"/>
    </row>
    <row r="327" spans="1:65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23"/>
    </row>
    <row r="328" spans="1:65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23"/>
    </row>
    <row r="329" spans="1:65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23"/>
    </row>
    <row r="330" spans="1:65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8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23"/>
    </row>
    <row r="331" spans="1:65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23"/>
    </row>
    <row r="332" spans="1:65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23"/>
    </row>
    <row r="333" spans="1:65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23"/>
    </row>
    <row r="334" spans="1:65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23"/>
    </row>
    <row r="335" spans="1:65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8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23"/>
    </row>
    <row r="336" spans="1:65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23"/>
    </row>
    <row r="337" spans="1:65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23"/>
    </row>
    <row r="338" spans="1:65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23"/>
    </row>
    <row r="339" spans="1:65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23"/>
    </row>
    <row r="340" spans="1:65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23"/>
    </row>
    <row r="341" spans="1:65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8"/>
      <c r="AH341" s="7"/>
      <c r="AI341" s="7"/>
      <c r="AJ341" s="7"/>
      <c r="AK341" s="7"/>
      <c r="AL341" s="7"/>
      <c r="AM341" s="8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23"/>
    </row>
    <row r="342" spans="1:65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23"/>
    </row>
    <row r="343" spans="1:65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23"/>
    </row>
    <row r="344" spans="1:65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8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23"/>
    </row>
    <row r="345" spans="1:65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23"/>
    </row>
    <row r="346" spans="1:65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23"/>
    </row>
    <row r="347" spans="1:65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23"/>
    </row>
    <row r="348" spans="1:65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23"/>
    </row>
    <row r="349" spans="1:65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23"/>
    </row>
    <row r="350" spans="1:65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8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23"/>
    </row>
    <row r="351" spans="1:65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8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23"/>
    </row>
    <row r="352" spans="1:65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23"/>
    </row>
    <row r="353" spans="1:65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23"/>
    </row>
    <row r="354" spans="1:65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23"/>
    </row>
    <row r="355" spans="1:65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23"/>
    </row>
    <row r="356" spans="1:65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23"/>
    </row>
    <row r="357" spans="1:65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23"/>
    </row>
    <row r="358" spans="1:65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8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23"/>
    </row>
    <row r="359" spans="1:65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23"/>
    </row>
    <row r="360" spans="1:65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23"/>
    </row>
    <row r="361" spans="1:65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23"/>
    </row>
    <row r="362" spans="1:65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23"/>
    </row>
    <row r="363" spans="1:65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23"/>
    </row>
    <row r="364" spans="1:65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24"/>
    </row>
    <row r="365" spans="1:65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24"/>
    </row>
    <row r="366" spans="1:65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24"/>
    </row>
    <row r="367" spans="1:65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24"/>
    </row>
    <row r="368" spans="1:65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24"/>
    </row>
    <row r="369" spans="1:65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24"/>
    </row>
    <row r="370" spans="1:65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24"/>
    </row>
    <row r="371" spans="1:65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24"/>
    </row>
    <row r="372" spans="1:65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24"/>
    </row>
    <row r="373" spans="1:65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24"/>
    </row>
    <row r="374" spans="1:65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24"/>
    </row>
    <row r="375" spans="1:65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24"/>
    </row>
    <row r="376" spans="1:65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24"/>
    </row>
    <row r="377" spans="1:65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24"/>
    </row>
    <row r="378" spans="1:65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24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2023-01-03T08:05:35Z</dcterms:modified>
</cp:coreProperties>
</file>