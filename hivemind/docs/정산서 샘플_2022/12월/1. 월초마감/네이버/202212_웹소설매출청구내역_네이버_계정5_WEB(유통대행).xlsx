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네이버\"/>
    </mc:Choice>
  </mc:AlternateContent>
  <bookViews>
    <workbookView xWindow="0" yWindow="0" windowWidth="23040" windowHeight="8955" tabRatio="766"/>
  </bookViews>
  <sheets>
    <sheet name="합계(12)" sheetId="412" r:id="rId1"/>
  </sheets>
  <definedNames>
    <definedName name="_xlnm._FilterDatabase" localSheetId="0" hidden="1">'합계(12)'!$A$1:$AM$1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BO83" i="412" l="1"/>
  <c r="BN82" i="412" l="1"/>
  <c r="BO82" i="412" s="1"/>
  <c r="BN81" i="412"/>
  <c r="BO81" i="412" s="1"/>
  <c r="BN80" i="412"/>
  <c r="BO80" i="412" s="1"/>
  <c r="BN79" i="412"/>
  <c r="BO79" i="412" s="1"/>
  <c r="BN78" i="412"/>
  <c r="BO78" i="412" s="1"/>
  <c r="BN77" i="412"/>
  <c r="BO77" i="412" s="1"/>
  <c r="BN76" i="412"/>
  <c r="BO76" i="412" s="1"/>
  <c r="BN75" i="412"/>
  <c r="BO75" i="412" s="1"/>
  <c r="BN74" i="412"/>
  <c r="BO74" i="412" s="1"/>
  <c r="BN73" i="412"/>
  <c r="BO73" i="412" s="1"/>
  <c r="BN72" i="412"/>
  <c r="BO72" i="412" s="1"/>
  <c r="BN71" i="412"/>
  <c r="BO71" i="412" s="1"/>
  <c r="BN70" i="412"/>
  <c r="BO70" i="412" s="1"/>
  <c r="BN69" i="412"/>
  <c r="BO69" i="412" s="1"/>
  <c r="BN68" i="412"/>
  <c r="BO68" i="412" s="1"/>
  <c r="BN67" i="412"/>
  <c r="BO67" i="412" s="1"/>
  <c r="BN66" i="412"/>
  <c r="BO66" i="412" s="1"/>
  <c r="BN65" i="412"/>
  <c r="BO65" i="412" s="1"/>
  <c r="BN64" i="412"/>
  <c r="BO64" i="412" s="1"/>
  <c r="BN63" i="412"/>
  <c r="BO63" i="412" s="1"/>
  <c r="BN27" i="412" l="1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" i="412" l="1"/>
  <c r="BO2" i="412" l="1"/>
</calcChain>
</file>

<file path=xl/sharedStrings.xml><?xml version="1.0" encoding="utf-8"?>
<sst xmlns="http://schemas.openxmlformats.org/spreadsheetml/2006/main" count="636" uniqueCount="211">
  <si>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</si>
  <si>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</si>
  <si>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</si>
  <si>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</si>
  <si>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</si>
  <si>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</si>
  <si>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</si>
  <si>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</si>
  <si>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</si>
  <si>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</si>
  <si>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합계</t>
  </si>
  <si>
    <t>앱마켓수수료</t>
  </si>
  <si>
    <t>2022.03.16</t>
  </si>
  <si>
    <t>스토리위즈_2</t>
  </si>
  <si>
    <t>백범(白帆)</t>
  </si>
  <si>
    <t>에필로그</t>
  </si>
  <si>
    <t>법보다 주먹</t>
  </si>
  <si>
    <t>일교차 [단행본]</t>
  </si>
  <si>
    <t>해화</t>
  </si>
  <si>
    <t>밀리오리지널</t>
  </si>
  <si>
    <t>2022.04.08</t>
  </si>
  <si>
    <t>19세 이상 이용가능</t>
  </si>
  <si>
    <t>용가리맛쿠키</t>
  </si>
  <si>
    <t>블러쉬</t>
  </si>
  <si>
    <t>최재봉</t>
  </si>
  <si>
    <t>협행마</t>
  </si>
  <si>
    <t>너만 보면 두근두근 [단행본]</t>
  </si>
  <si>
    <t>정경하</t>
  </si>
  <si>
    <t>2022.01.14</t>
  </si>
  <si>
    <t>더티독 [BL][단행본]</t>
  </si>
  <si>
    <t>2020.04.09</t>
  </si>
  <si>
    <t>마뇽</t>
  </si>
  <si>
    <t>무심코 [단행본]</t>
  </si>
  <si>
    <t>달로</t>
  </si>
  <si>
    <t>2022.06.03</t>
  </si>
  <si>
    <t>송여희</t>
  </si>
  <si>
    <t>공호</t>
  </si>
  <si>
    <t>남창목가 [단행본]</t>
  </si>
  <si>
    <t>2020.05.18</t>
  </si>
  <si>
    <t>근수저 오크는 근손실이 싫다 [독점]</t>
  </si>
  <si>
    <t>ARC곽도우</t>
  </si>
  <si>
    <t>스토리아크</t>
  </si>
  <si>
    <t>N스토어(PC)</t>
    <phoneticPr fontId="20" type="noConversion"/>
  </si>
  <si>
    <t>N스토어(MW)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</si>
  <si>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</si>
  <si>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</si>
  <si>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</si>
  <si>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</si>
  <si>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</si>
  <si>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</si>
  <si>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</si>
  <si>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</si>
  <si>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</si>
  <si>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</si>
  <si>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</si>
  <si>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</si>
  <si>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</si>
  <si>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</si>
  <si>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</si>
  <si>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</si>
  <si>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</si>
  <si>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</si>
  <si>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</si>
  <si>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</si>
  <si>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</si>
  <si>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</si>
  <si>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</si>
  <si>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</si>
  <si>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</si>
  <si>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</si>
  <si>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</si>
  <si>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</si>
  <si>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</si>
  <si>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</si>
  <si>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</si>
  <si>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</si>
  <si>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</si>
  <si>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</si>
  <si>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</si>
  <si>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</si>
  <si>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</si>
  <si>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</si>
  <si>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</si>
  <si>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</si>
  <si>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</si>
  <si>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</si>
  <si>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</si>
  <si>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</si>
  <si>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</si>
  <si>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</si>
  <si>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</si>
  <si>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</si>
  <si>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</si>
  <si>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</si>
  <si>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</si>
  <si>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</si>
  <si>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</si>
  <si>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</si>
  <si>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</si>
  <si>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</si>
  <si>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</si>
  <si>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</si>
  <si>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차크</t>
  </si>
  <si>
    <t>PC 뷰어(PC)</t>
    <phoneticPr fontId="20" type="noConversion"/>
  </si>
  <si>
    <t>2022.08.11</t>
  </si>
  <si>
    <t>강호, 미치다</t>
  </si>
  <si>
    <t>2019.09.18</t>
  </si>
  <si>
    <t>작열감 [단행본]</t>
  </si>
  <si>
    <t>리밀</t>
  </si>
  <si>
    <t>연애의 시작 [단행본]</t>
  </si>
  <si>
    <t>2022.02.18</t>
  </si>
  <si>
    <t>N스토어(PC)</t>
    <phoneticPr fontId="20" type="noConversion"/>
  </si>
  <si>
    <t>PC 뷰어(PC)</t>
    <phoneticPr fontId="20" type="noConversion"/>
  </si>
  <si>
    <t>PC 뷰어(PC)</t>
    <phoneticPr fontId="20" type="noConversion"/>
  </si>
  <si>
    <t>브레이크 어웨이(Break Away) [단행본]</t>
  </si>
  <si>
    <t>서정윤</t>
  </si>
  <si>
    <t>2022.05.23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</si>
  <si>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</si>
  <si>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</si>
  <si>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익스클루시브(Exclusive) [BL][단행본]</t>
  </si>
  <si>
    <t>사틴</t>
  </si>
  <si>
    <t>2021.08.13</t>
  </si>
  <si>
    <t>송민선</t>
  </si>
  <si>
    <t>바스락 [단행본]</t>
  </si>
  <si>
    <t>2022.10.12</t>
  </si>
  <si>
    <t>사내 연애의 끝 [단행본]</t>
  </si>
  <si>
    <t>라벤더블루</t>
  </si>
  <si>
    <t>2022.10.24</t>
  </si>
  <si>
    <t>이별하기 좋은 계절 [단행본]</t>
  </si>
  <si>
    <t>2022.10.06</t>
  </si>
  <si>
    <t>2022.10.21</t>
  </si>
  <si>
    <t>2022.10.19</t>
  </si>
  <si>
    <t>첫사랑을 종료하시겠습니까 [단행본]</t>
  </si>
  <si>
    <t>이파람</t>
  </si>
  <si>
    <t>여름, 밤의 사정 [단행본]</t>
  </si>
  <si>
    <t>춈춈</t>
  </si>
  <si>
    <t>2022.10.26</t>
  </si>
  <si>
    <t>꽃처럼 너를 안는다 [단행본]</t>
  </si>
  <si>
    <t>반지영</t>
  </si>
  <si>
    <t>낯선 밤에 마주친 [단행본]</t>
  </si>
  <si>
    <t>위사무적</t>
  </si>
  <si>
    <t>깊은 밤 너의 고백이 [단행본]</t>
  </si>
  <si>
    <t>이새인</t>
  </si>
  <si>
    <t>연애의 끝 [단행본]</t>
  </si>
  <si>
    <t>2022.07.28</t>
  </si>
  <si>
    <t>짝사랑 중입니다 [단행본]</t>
  </si>
  <si>
    <t>진양</t>
  </si>
  <si>
    <t>2022.06.27</t>
  </si>
  <si>
    <t>인턴사원 [단행본]</t>
  </si>
  <si>
    <t>트리플베리</t>
  </si>
  <si>
    <t>대공의 아내 [단행본]</t>
  </si>
  <si>
    <t>문시티</t>
  </si>
  <si>
    <t>쉬라즈</t>
  </si>
  <si>
    <t>2020.01.16</t>
  </si>
  <si>
    <t>붉은 정자-살라댕 [단행본]</t>
  </si>
  <si>
    <t>2022.01.10</t>
  </si>
  <si>
    <t>법보다 주먹 [단행본]</t>
  </si>
  <si>
    <t>2022.04.13</t>
  </si>
  <si>
    <t>스물한 송이 [단행본]</t>
  </si>
  <si>
    <t>2022.11.03</t>
  </si>
  <si>
    <t>무림병장 [단행본]</t>
  </si>
  <si>
    <t>2021.02.08</t>
  </si>
  <si>
    <t>너는 천사 [단행본]</t>
  </si>
  <si>
    <t>2022.08.25</t>
  </si>
  <si>
    <t>밤이 오는 소리 [단행본]</t>
  </si>
  <si>
    <t>2022.10.28</t>
  </si>
  <si>
    <t>운명과 복수 [단행본]</t>
  </si>
  <si>
    <t>2022.11.17</t>
  </si>
  <si>
    <t>설국연가 [단행본]</t>
  </si>
  <si>
    <t>2022.01.17</t>
  </si>
  <si>
    <t>나나코</t>
  </si>
  <si>
    <t>봄볕이 아른아른 [단행본]</t>
  </si>
  <si>
    <t>2022.07.07</t>
  </si>
  <si>
    <t>사제사죄 [단행본]</t>
  </si>
  <si>
    <t>시크</t>
  </si>
  <si>
    <t>2022.12.01</t>
  </si>
  <si>
    <t>나쁜 소년의 도시 [단행본]</t>
  </si>
  <si>
    <t>김빠</t>
  </si>
  <si>
    <t>2022.12.08</t>
  </si>
  <si>
    <t>강호, 미치다 [단행본]</t>
  </si>
  <si>
    <t>토요일의 남자 [단행본]</t>
  </si>
  <si>
    <t>알리시아</t>
  </si>
  <si>
    <t>2022.12.15</t>
  </si>
  <si>
    <t>슈크림 [단행본]</t>
  </si>
  <si>
    <t>2022.04.15</t>
  </si>
  <si>
    <t>빠져들다 [단행본]</t>
  </si>
  <si>
    <t>2022.07.21</t>
  </si>
  <si>
    <t>남창목가 [외전 독점]</t>
  </si>
  <si>
    <t>2019.11.18</t>
  </si>
  <si>
    <t>기획에 산다 [단행본]</t>
  </si>
  <si>
    <t>2021.12.15</t>
  </si>
  <si>
    <t>더 캡틴</t>
  </si>
  <si>
    <t>2022.01.21</t>
  </si>
  <si>
    <t>2023.01.03</t>
  </si>
  <si>
    <t>불건전한 수컷 [단행본]</t>
  </si>
  <si>
    <t>sJessi</t>
  </si>
  <si>
    <t>2020.10.31</t>
  </si>
  <si>
    <t>모어 댄 블루 (More than BLUE) [BL] [단행본]</t>
  </si>
  <si>
    <t>2018.07.02</t>
  </si>
  <si>
    <t>탈각 [단행본]</t>
  </si>
  <si>
    <t>2022.06.29</t>
  </si>
  <si>
    <t>깃들다 [단행본]</t>
  </si>
  <si>
    <t>현진서</t>
  </si>
  <si>
    <t>2022.06.22</t>
  </si>
  <si>
    <t>이번 생은 망한 줄 알았는데 [단행본]</t>
  </si>
  <si>
    <t>이윤미</t>
  </si>
  <si>
    <t>한 번은 이별하자 [단행본]</t>
  </si>
  <si>
    <t>서연</t>
  </si>
  <si>
    <t>2022.06.20</t>
  </si>
  <si>
    <t>무림병장 [독점]</t>
  </si>
  <si>
    <t>2020.08.29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</si>
</sst>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41" fontId="21" fillId="0" borderId="0" xfId="42" applyFont="1">
      <alignment vertical="center"/>
    </xf>
    <xf numFmtId="41" fontId="21" fillId="0" borderId="0" xfId="42" applyFont="1" applyFill="1">
      <alignment vertical="center"/>
    </xf>
    <xf numFmtId="0" fontId="21" fillId="0" borderId="0" xfId="0" applyFont="1">
      <alignment vertical="center"/>
    </xf>
    <xf numFmtId="41" fontId="23" fillId="34" borderId="0" xfId="42" applyFont="1" applyFill="1">
      <alignment vertical="center"/>
    </xf>
    <xf numFmtId="0" fontId="24" fillId="0" borderId="0" xfId="0" applyFont="1" applyAlignment="1">
      <alignment horizontal="left" vertical="center" wrapText="1"/>
    </xf>
    <xf numFmtId="49" fontId="24" fillId="0" borderId="0" xfId="0" applyNumberFormat="1" applyFont="1" applyAlignment="1">
      <alignment vertical="center" wrapText="1"/>
    </xf>
    <xf numFmtId="0" fontId="24" fillId="0" borderId="0" xfId="0" applyFont="1" applyAlignment="1">
      <alignment vertical="center" wrapText="1"/>
    </xf>
    <xf numFmtId="3" fontId="24" fillId="0" borderId="0" xfId="0" applyNumberFormat="1" applyFont="1" applyAlignment="1">
      <alignment vertical="center" wrapText="1"/>
    </xf>
    <xf numFmtId="4" fontId="24" fillId="0" borderId="0" xfId="0" applyNumberFormat="1" applyFont="1" applyAlignment="1">
      <alignment vertical="center" wrapText="1"/>
    </xf>
    <xf numFmtId="0" fontId="25" fillId="33" borderId="0" xfId="0" applyFont="1" applyFill="1" applyAlignment="1">
      <alignment horizontal="center" vertical="center" wrapText="1"/>
    </xf>
    <xf numFmtId="4" fontId="26" fillId="0" borderId="0" xfId="0" applyNumberFormat="1" applyFont="1" applyAlignment="1">
      <alignment vertical="center" wrapText="1"/>
    </xf>
    <xf numFmtId="0" fontId="26" fillId="0" borderId="0" xfId="0" applyFont="1" applyAlignment="1">
      <alignment vertical="center" wrapText="1"/>
    </xf>
    <xf numFmtId="4" fontId="27" fillId="0" borderId="0" xfId="0" applyNumberFormat="1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358"/>
  <sheetViews>
    <sheetView tabSelected="1" topLeftCell="AW76" zoomScaleNormal="100" workbookViewId="0">
      <selection activeCell="BM83" sqref="BM83"/>
    </sheetView>
  </sheetViews>
  <sheetFormatPr defaultRowHeight="16.5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style="26" bestFit="1" customWidth="1"/>
    <col min="66" max="66" width="13.5" style="14" bestFit="1" customWidth="1"/>
    <col min="67" max="67" width="13.375" style="12" customWidth="1"/>
  </cols>
  <sheetData>
    <row r="1" spans="1:69" ht="27" customHeight="1">
      <c r="A1" s="2" t="s">
        <v>44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45</v>
      </c>
      <c r="I1" s="11" t="s">
        <v>6</v>
      </c>
      <c r="J1" s="10" t="s">
        <v>46</v>
      </c>
      <c r="K1" s="10" t="s">
        <v>47</v>
      </c>
      <c r="L1" s="10" t="s">
        <v>48</v>
      </c>
      <c r="M1" s="10" t="s">
        <v>49</v>
      </c>
      <c r="N1" s="10" t="s">
        <v>50</v>
      </c>
      <c r="O1" s="10" t="s">
        <v>51</v>
      </c>
      <c r="P1" s="10" t="s">
        <v>52</v>
      </c>
      <c r="Q1" s="10" t="s">
        <v>53</v>
      </c>
      <c r="R1" s="10" t="s">
        <v>54</v>
      </c>
      <c r="S1" s="10" t="s">
        <v>55</v>
      </c>
      <c r="T1" s="10" t="s">
        <v>56</v>
      </c>
      <c r="U1" s="10" t="s">
        <v>57</v>
      </c>
      <c r="V1" s="10" t="s">
        <v>58</v>
      </c>
      <c r="W1" s="10" t="s">
        <v>59</v>
      </c>
      <c r="X1" s="10" t="s">
        <v>60</v>
      </c>
      <c r="Y1" s="10" t="s">
        <v>61</v>
      </c>
      <c r="Z1" s="10" t="s">
        <v>62</v>
      </c>
      <c r="AA1" s="10" t="s">
        <v>63</v>
      </c>
      <c r="AB1" s="10" t="s">
        <v>64</v>
      </c>
      <c r="AC1" s="10" t="s">
        <v>65</v>
      </c>
      <c r="AD1" s="10" t="s">
        <v>66</v>
      </c>
      <c r="AE1" s="10" t="s">
        <v>67</v>
      </c>
      <c r="AF1" s="10" t="s">
        <v>68</v>
      </c>
      <c r="AG1" s="10" t="s">
        <v>69</v>
      </c>
      <c r="AH1" s="10" t="s">
        <v>70</v>
      </c>
      <c r="AI1" s="10" t="s">
        <v>71</v>
      </c>
      <c r="AJ1" s="10" t="s">
        <v>72</v>
      </c>
      <c r="AK1" s="10" t="s">
        <v>73</v>
      </c>
      <c r="AL1" s="10" t="s">
        <v>74</v>
      </c>
      <c r="AM1" s="10" t="s">
        <v>75</v>
      </c>
      <c r="AN1" s="10" t="s">
        <v>76</v>
      </c>
      <c r="AO1" s="10" t="s">
        <v>77</v>
      </c>
      <c r="AP1" s="10" t="s">
        <v>78</v>
      </c>
      <c r="AQ1" s="10" t="s">
        <v>79</v>
      </c>
      <c r="AR1" s="10" t="s">
        <v>80</v>
      </c>
      <c r="AS1" s="10" t="s">
        <v>81</v>
      </c>
      <c r="AT1" s="10" t="s">
        <v>82</v>
      </c>
      <c r="AU1" s="10" t="s">
        <v>83</v>
      </c>
      <c r="AV1" s="10" t="s">
        <v>84</v>
      </c>
      <c r="AW1" s="10" t="s">
        <v>85</v>
      </c>
      <c r="AX1" s="10" t="s">
        <v>86</v>
      </c>
      <c r="AY1" s="10" t="s">
        <v>87</v>
      </c>
      <c r="AZ1" s="10" t="s">
        <v>88</v>
      </c>
      <c r="BA1" s="10" t="s">
        <v>89</v>
      </c>
      <c r="BB1" s="10" t="s">
        <v>90</v>
      </c>
      <c r="BC1" s="10" t="s">
        <v>91</v>
      </c>
      <c r="BD1" s="10" t="s">
        <v>92</v>
      </c>
      <c r="BE1" s="10" t="s">
        <v>93</v>
      </c>
      <c r="BF1" s="10" t="s">
        <v>94</v>
      </c>
      <c r="BG1" s="10" t="s">
        <v>95</v>
      </c>
      <c r="BH1" s="10" t="s">
        <v>96</v>
      </c>
      <c r="BI1" s="10" t="s">
        <v>97</v>
      </c>
      <c r="BJ1" s="10" t="s">
        <v>98</v>
      </c>
      <c r="BK1" s="10" t="s">
        <v>99</v>
      </c>
      <c r="BL1" s="10" t="s">
        <v>11</v>
      </c>
      <c r="BM1" s="21" t="s">
        <v>10</v>
      </c>
      <c r="BN1" s="10" t="s">
        <v>100</v>
      </c>
      <c r="BO1" s="10" t="s">
        <v>101</v>
      </c>
      <c r="BP1" s="10" t="s">
        <v>117</v>
      </c>
      <c r="BQ1" s="10" t="s">
        <v>118</v>
      </c>
    </row>
    <row r="2" spans="1:69" ht="24">
      <c r="A2" s="5" t="s">
        <v>42</v>
      </c>
      <c r="B2" s="16" t="s">
        <v>173</v>
      </c>
      <c r="C2" s="16">
        <v>488813</v>
      </c>
      <c r="D2" s="17"/>
      <c r="E2" s="16" t="s">
        <v>13</v>
      </c>
      <c r="F2" s="16" t="s">
        <v>174</v>
      </c>
      <c r="G2" s="16" t="s">
        <v>19</v>
      </c>
      <c r="H2" s="18" t="s">
        <v>21</v>
      </c>
      <c r="I2" s="18" t="s">
        <v>175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18">
        <v>0</v>
      </c>
      <c r="AE2" s="18">
        <v>5</v>
      </c>
      <c r="AF2" s="19">
        <v>12000</v>
      </c>
      <c r="AG2" s="19">
        <v>8000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8">
        <v>0</v>
      </c>
      <c r="AS2" s="18">
        <v>0</v>
      </c>
      <c r="AT2" s="18">
        <v>0</v>
      </c>
      <c r="AU2" s="18">
        <v>0</v>
      </c>
      <c r="AV2" s="18">
        <v>0</v>
      </c>
      <c r="AW2" s="18">
        <v>0</v>
      </c>
      <c r="AX2" s="18">
        <v>0</v>
      </c>
      <c r="AY2" s="18">
        <v>0</v>
      </c>
      <c r="AZ2" s="18">
        <v>0</v>
      </c>
      <c r="BA2" s="18">
        <v>0</v>
      </c>
      <c r="BB2" s="18">
        <v>0</v>
      </c>
      <c r="BC2" s="18">
        <v>0</v>
      </c>
      <c r="BD2" s="18">
        <v>0</v>
      </c>
      <c r="BE2" s="18">
        <v>0</v>
      </c>
      <c r="BF2" s="18">
        <v>0</v>
      </c>
      <c r="BG2" s="18">
        <v>0</v>
      </c>
      <c r="BH2" s="18">
        <v>0</v>
      </c>
      <c r="BI2" s="18">
        <v>0</v>
      </c>
      <c r="BJ2" s="18">
        <v>0</v>
      </c>
      <c r="BK2" s="18">
        <v>0</v>
      </c>
      <c r="BL2" s="18">
        <v>0</v>
      </c>
      <c r="BM2" s="22">
        <v>20000</v>
      </c>
      <c r="BN2" s="12">
        <f>BM2-BL2</f>
        <v>20000</v>
      </c>
      <c r="BO2" s="13">
        <f>BN2*70%</f>
        <v>14000</v>
      </c>
    </row>
    <row r="3" spans="1:69" ht="24">
      <c r="A3" s="5" t="s">
        <v>42</v>
      </c>
      <c r="B3" s="16" t="s">
        <v>105</v>
      </c>
      <c r="C3" s="16">
        <v>367415</v>
      </c>
      <c r="D3" s="17"/>
      <c r="E3" s="16" t="s">
        <v>13</v>
      </c>
      <c r="F3" s="16" t="s">
        <v>24</v>
      </c>
      <c r="G3" s="16" t="s">
        <v>15</v>
      </c>
      <c r="H3" s="18" t="s">
        <v>7</v>
      </c>
      <c r="I3" s="18" t="s">
        <v>106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121</v>
      </c>
      <c r="AF3" s="19">
        <v>12100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8">
        <v>0</v>
      </c>
      <c r="AS3" s="18">
        <v>0</v>
      </c>
      <c r="AT3" s="18">
        <v>0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8">
        <v>0</v>
      </c>
      <c r="BE3" s="18">
        <v>0</v>
      </c>
      <c r="BF3" s="18">
        <v>0</v>
      </c>
      <c r="BG3" s="18">
        <v>0</v>
      </c>
      <c r="BH3" s="18">
        <v>0</v>
      </c>
      <c r="BI3" s="18">
        <v>0</v>
      </c>
      <c r="BJ3" s="18">
        <v>0</v>
      </c>
      <c r="BK3" s="18">
        <v>0</v>
      </c>
      <c r="BL3" s="18">
        <v>0</v>
      </c>
      <c r="BM3" s="22">
        <v>12100</v>
      </c>
      <c r="BN3" s="12">
        <f t="shared" ref="BN3:BN26" si="0">BM3-BL3</f>
        <v>12100</v>
      </c>
      <c r="BO3" s="13">
        <f t="shared" ref="BO3:BO26" si="1">BN3*70%</f>
        <v>8470</v>
      </c>
    </row>
    <row r="4" spans="1:69" ht="24">
      <c r="A4" s="5" t="s">
        <v>42</v>
      </c>
      <c r="B4" s="16" t="s">
        <v>150</v>
      </c>
      <c r="C4" s="16">
        <v>387161</v>
      </c>
      <c r="D4" s="17"/>
      <c r="E4" s="16" t="s">
        <v>13</v>
      </c>
      <c r="F4" s="16" t="s">
        <v>151</v>
      </c>
      <c r="G4" s="16" t="s">
        <v>152</v>
      </c>
      <c r="H4" s="18" t="s">
        <v>21</v>
      </c>
      <c r="I4" s="18" t="s">
        <v>153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2</v>
      </c>
      <c r="AR4" s="19">
        <v>3200</v>
      </c>
      <c r="AS4" s="19">
        <v>3200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18">
        <v>0</v>
      </c>
      <c r="BH4" s="18">
        <v>0</v>
      </c>
      <c r="BI4" s="18">
        <v>0</v>
      </c>
      <c r="BJ4" s="18">
        <v>0</v>
      </c>
      <c r="BK4" s="18">
        <v>0</v>
      </c>
      <c r="BL4" s="18">
        <v>0</v>
      </c>
      <c r="BM4" s="22">
        <v>6400</v>
      </c>
      <c r="BN4" s="12">
        <f t="shared" si="0"/>
        <v>6400</v>
      </c>
      <c r="BO4" s="13">
        <f t="shared" si="1"/>
        <v>4480</v>
      </c>
    </row>
    <row r="5" spans="1:69" ht="24">
      <c r="A5" s="5" t="s">
        <v>42</v>
      </c>
      <c r="B5" s="16" t="s">
        <v>166</v>
      </c>
      <c r="C5" s="16">
        <v>485984</v>
      </c>
      <c r="D5" s="17"/>
      <c r="E5" s="16" t="s">
        <v>13</v>
      </c>
      <c r="F5" s="16" t="s">
        <v>149</v>
      </c>
      <c r="G5" s="16" t="s">
        <v>19</v>
      </c>
      <c r="H5" s="18" t="s">
        <v>21</v>
      </c>
      <c r="I5" s="18" t="s">
        <v>167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2</v>
      </c>
      <c r="AF5" s="19">
        <v>6400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22">
        <v>6400</v>
      </c>
      <c r="BN5" s="12">
        <f t="shared" si="0"/>
        <v>6400</v>
      </c>
      <c r="BO5" s="13">
        <f t="shared" si="1"/>
        <v>4480</v>
      </c>
    </row>
    <row r="6" spans="1:69" ht="24">
      <c r="A6" s="5" t="s">
        <v>42</v>
      </c>
      <c r="B6" s="16" t="s">
        <v>137</v>
      </c>
      <c r="C6" s="16">
        <v>464780</v>
      </c>
      <c r="D6" s="17"/>
      <c r="E6" s="16" t="s">
        <v>13</v>
      </c>
      <c r="F6" s="16" t="s">
        <v>138</v>
      </c>
      <c r="G6" s="16" t="s">
        <v>19</v>
      </c>
      <c r="H6" s="18" t="s">
        <v>21</v>
      </c>
      <c r="I6" s="18" t="s">
        <v>124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2</v>
      </c>
      <c r="AF6" s="19">
        <v>3600</v>
      </c>
      <c r="AG6" s="18">
        <v>200</v>
      </c>
      <c r="AH6" s="18">
        <v>0</v>
      </c>
      <c r="AI6" s="18">
        <v>0</v>
      </c>
      <c r="AJ6" s="18">
        <v>0</v>
      </c>
      <c r="AK6" s="18">
        <v>1</v>
      </c>
      <c r="AL6" s="18">
        <v>240</v>
      </c>
      <c r="AM6" s="18">
        <v>0</v>
      </c>
      <c r="AN6" s="18">
        <v>0</v>
      </c>
      <c r="AO6" s="18">
        <v>0</v>
      </c>
      <c r="AP6" s="18">
        <v>0</v>
      </c>
      <c r="AQ6" s="18">
        <v>1</v>
      </c>
      <c r="AR6" s="19">
        <v>2000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72</v>
      </c>
      <c r="BM6" s="22">
        <v>6040</v>
      </c>
      <c r="BN6" s="12">
        <f t="shared" si="0"/>
        <v>5968</v>
      </c>
      <c r="BO6" s="13">
        <f t="shared" si="1"/>
        <v>4177.5999999999995</v>
      </c>
    </row>
    <row r="7" spans="1:69" ht="24">
      <c r="A7" s="5" t="s">
        <v>111</v>
      </c>
      <c r="B7" s="16" t="s">
        <v>176</v>
      </c>
      <c r="C7" s="16">
        <v>488818</v>
      </c>
      <c r="D7" s="17"/>
      <c r="E7" s="16" t="s">
        <v>13</v>
      </c>
      <c r="F7" s="16" t="s">
        <v>177</v>
      </c>
      <c r="G7" s="16" t="s">
        <v>19</v>
      </c>
      <c r="H7" s="18" t="s">
        <v>21</v>
      </c>
      <c r="I7" s="18" t="s">
        <v>178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2</v>
      </c>
      <c r="AF7" s="19">
        <v>2500</v>
      </c>
      <c r="AG7" s="19">
        <v>2500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22">
        <v>5000</v>
      </c>
      <c r="BN7" s="12">
        <f t="shared" si="0"/>
        <v>5000</v>
      </c>
      <c r="BO7" s="13">
        <f t="shared" si="1"/>
        <v>3500</v>
      </c>
    </row>
    <row r="8" spans="1:69" ht="24">
      <c r="A8" s="5" t="s">
        <v>42</v>
      </c>
      <c r="B8" s="16" t="s">
        <v>17</v>
      </c>
      <c r="C8" s="16">
        <v>464786</v>
      </c>
      <c r="D8" s="17"/>
      <c r="E8" s="16" t="s">
        <v>13</v>
      </c>
      <c r="F8" s="16" t="s">
        <v>18</v>
      </c>
      <c r="G8" s="16" t="s">
        <v>19</v>
      </c>
      <c r="H8" s="18" t="s">
        <v>9</v>
      </c>
      <c r="I8" s="18" t="s">
        <v>20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2</v>
      </c>
      <c r="AF8" s="18">
        <v>500</v>
      </c>
      <c r="AG8" s="19">
        <v>4500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22">
        <v>5000</v>
      </c>
      <c r="BN8" s="12">
        <f t="shared" si="0"/>
        <v>5000</v>
      </c>
      <c r="BO8" s="13">
        <f t="shared" si="1"/>
        <v>3500</v>
      </c>
    </row>
    <row r="9" spans="1:69" ht="24">
      <c r="A9" s="5" t="s">
        <v>111</v>
      </c>
      <c r="B9" s="16" t="s">
        <v>164</v>
      </c>
      <c r="C9" s="16">
        <v>470423</v>
      </c>
      <c r="D9" s="17"/>
      <c r="E9" s="16" t="s">
        <v>13</v>
      </c>
      <c r="F9" s="16" t="s">
        <v>31</v>
      </c>
      <c r="G9" s="16" t="s">
        <v>19</v>
      </c>
      <c r="H9" s="18" t="s">
        <v>21</v>
      </c>
      <c r="I9" s="18" t="s">
        <v>165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1</v>
      </c>
      <c r="AF9" s="19">
        <v>2000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1</v>
      </c>
      <c r="AR9" s="19">
        <v>2000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22">
        <v>4000</v>
      </c>
      <c r="BN9" s="12">
        <f t="shared" si="0"/>
        <v>4000</v>
      </c>
      <c r="BO9" s="13">
        <f t="shared" si="1"/>
        <v>2800</v>
      </c>
    </row>
    <row r="10" spans="1:69" ht="24">
      <c r="A10" s="5" t="s">
        <v>111</v>
      </c>
      <c r="B10" s="16" t="s">
        <v>32</v>
      </c>
      <c r="C10" s="16">
        <v>470383</v>
      </c>
      <c r="D10" s="17"/>
      <c r="E10" s="16" t="s">
        <v>13</v>
      </c>
      <c r="F10" s="16" t="s">
        <v>33</v>
      </c>
      <c r="G10" s="16" t="s">
        <v>19</v>
      </c>
      <c r="H10" s="18" t="s">
        <v>21</v>
      </c>
      <c r="I10" s="18" t="s">
        <v>34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2</v>
      </c>
      <c r="AF10" s="19">
        <v>4000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22">
        <v>4000</v>
      </c>
      <c r="BN10" s="12">
        <f t="shared" si="0"/>
        <v>4000</v>
      </c>
      <c r="BO10" s="13">
        <f t="shared" si="1"/>
        <v>2800</v>
      </c>
    </row>
    <row r="11" spans="1:69" ht="24">
      <c r="A11" s="5" t="s">
        <v>111</v>
      </c>
      <c r="B11" s="16" t="s">
        <v>145</v>
      </c>
      <c r="C11" s="16">
        <v>472519</v>
      </c>
      <c r="D11" s="17"/>
      <c r="E11" s="16" t="s">
        <v>13</v>
      </c>
      <c r="F11" s="16" t="s">
        <v>146</v>
      </c>
      <c r="G11" s="16" t="s">
        <v>19</v>
      </c>
      <c r="H11" s="18" t="s">
        <v>7</v>
      </c>
      <c r="I11" s="18" t="s">
        <v>147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1</v>
      </c>
      <c r="AF11" s="19">
        <v>3600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22">
        <v>3600</v>
      </c>
      <c r="BN11" s="12">
        <f t="shared" si="0"/>
        <v>3600</v>
      </c>
      <c r="BO11" s="13">
        <f t="shared" si="1"/>
        <v>2520</v>
      </c>
    </row>
    <row r="12" spans="1:69" ht="24">
      <c r="A12" s="5" t="s">
        <v>42</v>
      </c>
      <c r="B12" s="16" t="s">
        <v>143</v>
      </c>
      <c r="C12" s="16">
        <v>474768</v>
      </c>
      <c r="D12" s="17"/>
      <c r="E12" s="16" t="s">
        <v>13</v>
      </c>
      <c r="F12" s="16" t="s">
        <v>102</v>
      </c>
      <c r="G12" s="16" t="s">
        <v>19</v>
      </c>
      <c r="H12" s="18" t="s">
        <v>21</v>
      </c>
      <c r="I12" s="18" t="s">
        <v>144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1</v>
      </c>
      <c r="AF12" s="19">
        <v>3500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22">
        <v>3500</v>
      </c>
      <c r="BN12" s="12">
        <f t="shared" si="0"/>
        <v>3500</v>
      </c>
      <c r="BO12" s="13">
        <f t="shared" si="1"/>
        <v>2450</v>
      </c>
    </row>
    <row r="13" spans="1:69" ht="24">
      <c r="A13" s="5" t="s">
        <v>42</v>
      </c>
      <c r="B13" s="16" t="s">
        <v>179</v>
      </c>
      <c r="C13" s="16">
        <v>367412</v>
      </c>
      <c r="D13" s="17"/>
      <c r="E13" s="16" t="s">
        <v>13</v>
      </c>
      <c r="F13" s="16" t="s">
        <v>24</v>
      </c>
      <c r="G13" s="16" t="s">
        <v>15</v>
      </c>
      <c r="H13" s="18" t="s">
        <v>7</v>
      </c>
      <c r="I13" s="18" t="s">
        <v>38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1</v>
      </c>
      <c r="AF13" s="19">
        <v>3200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22">
        <v>3200</v>
      </c>
      <c r="BN13" s="12">
        <f t="shared" si="0"/>
        <v>3200</v>
      </c>
      <c r="BO13" s="13">
        <f t="shared" si="1"/>
        <v>2240</v>
      </c>
    </row>
    <row r="14" spans="1:69" ht="24">
      <c r="A14" s="5" t="s">
        <v>42</v>
      </c>
      <c r="B14" s="16" t="s">
        <v>158</v>
      </c>
      <c r="C14" s="16">
        <v>485979</v>
      </c>
      <c r="D14" s="17"/>
      <c r="E14" s="16" t="s">
        <v>13</v>
      </c>
      <c r="F14" s="16" t="s">
        <v>115</v>
      </c>
      <c r="G14" s="16" t="s">
        <v>19</v>
      </c>
      <c r="H14" s="18" t="s">
        <v>7</v>
      </c>
      <c r="I14" s="18" t="s">
        <v>159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1</v>
      </c>
      <c r="AF14" s="19">
        <v>3000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22">
        <v>3000</v>
      </c>
      <c r="BN14" s="12">
        <f t="shared" si="0"/>
        <v>3000</v>
      </c>
      <c r="BO14" s="13">
        <f t="shared" si="1"/>
        <v>2100</v>
      </c>
    </row>
    <row r="15" spans="1:69" ht="24">
      <c r="A15" s="5" t="s">
        <v>111</v>
      </c>
      <c r="B15" s="16" t="s">
        <v>128</v>
      </c>
      <c r="C15" s="16">
        <v>483769</v>
      </c>
      <c r="D15" s="17"/>
      <c r="E15" s="16" t="s">
        <v>13</v>
      </c>
      <c r="F15" s="16" t="s">
        <v>122</v>
      </c>
      <c r="G15" s="16" t="s">
        <v>19</v>
      </c>
      <c r="H15" s="18" t="s">
        <v>8</v>
      </c>
      <c r="I15" s="18" t="s">
        <v>129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1</v>
      </c>
      <c r="AF15" s="19">
        <v>2500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22">
        <v>2500</v>
      </c>
      <c r="BN15" s="12">
        <f t="shared" si="0"/>
        <v>2500</v>
      </c>
      <c r="BO15" s="13">
        <f t="shared" si="1"/>
        <v>1750</v>
      </c>
    </row>
    <row r="16" spans="1:69" ht="24">
      <c r="A16" s="5" t="s">
        <v>111</v>
      </c>
      <c r="B16" s="16" t="s">
        <v>180</v>
      </c>
      <c r="C16" s="16">
        <v>488819</v>
      </c>
      <c r="D16" s="17"/>
      <c r="E16" s="16" t="s">
        <v>13</v>
      </c>
      <c r="F16" s="16" t="s">
        <v>181</v>
      </c>
      <c r="G16" s="16" t="s">
        <v>19</v>
      </c>
      <c r="H16" s="18" t="s">
        <v>21</v>
      </c>
      <c r="I16" s="18" t="s">
        <v>182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1</v>
      </c>
      <c r="AF16" s="19">
        <v>2500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22">
        <v>2500</v>
      </c>
      <c r="BN16" s="12">
        <f t="shared" si="0"/>
        <v>2500</v>
      </c>
      <c r="BO16" s="13">
        <f t="shared" si="1"/>
        <v>1750</v>
      </c>
    </row>
    <row r="17" spans="1:67" ht="24">
      <c r="A17" s="5" t="s">
        <v>111</v>
      </c>
      <c r="B17" s="16" t="s">
        <v>183</v>
      </c>
      <c r="C17" s="16">
        <v>464792</v>
      </c>
      <c r="D17" s="17"/>
      <c r="E17" s="16" t="s">
        <v>13</v>
      </c>
      <c r="F17" s="16" t="s">
        <v>122</v>
      </c>
      <c r="G17" s="16" t="s">
        <v>19</v>
      </c>
      <c r="H17" s="18" t="s">
        <v>21</v>
      </c>
      <c r="I17" s="18" t="s">
        <v>184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1</v>
      </c>
      <c r="AF17" s="19">
        <v>2500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22">
        <v>2500</v>
      </c>
      <c r="BN17" s="12">
        <f t="shared" si="0"/>
        <v>2500</v>
      </c>
      <c r="BO17" s="13">
        <f t="shared" si="1"/>
        <v>1750</v>
      </c>
    </row>
    <row r="18" spans="1:67" ht="24">
      <c r="A18" s="5" t="s">
        <v>111</v>
      </c>
      <c r="B18" s="16" t="s">
        <v>185</v>
      </c>
      <c r="C18" s="16">
        <v>474767</v>
      </c>
      <c r="D18" s="17"/>
      <c r="E18" s="16" t="s">
        <v>13</v>
      </c>
      <c r="F18" s="16" t="s">
        <v>181</v>
      </c>
      <c r="G18" s="16" t="s">
        <v>19</v>
      </c>
      <c r="H18" s="18" t="s">
        <v>21</v>
      </c>
      <c r="I18" s="18" t="s">
        <v>186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1</v>
      </c>
      <c r="AF18" s="19">
        <v>2500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22">
        <v>2500</v>
      </c>
      <c r="BN18" s="12">
        <f t="shared" si="0"/>
        <v>2500</v>
      </c>
      <c r="BO18" s="13">
        <f t="shared" si="1"/>
        <v>1750</v>
      </c>
    </row>
    <row r="19" spans="1:67" ht="24">
      <c r="A19" s="5" t="s">
        <v>111</v>
      </c>
      <c r="B19" s="16" t="s">
        <v>162</v>
      </c>
      <c r="C19" s="16">
        <v>477493</v>
      </c>
      <c r="D19" s="17"/>
      <c r="E19" s="16" t="s">
        <v>13</v>
      </c>
      <c r="F19" s="16" t="s">
        <v>27</v>
      </c>
      <c r="G19" s="16" t="s">
        <v>19</v>
      </c>
      <c r="H19" s="18" t="s">
        <v>7</v>
      </c>
      <c r="I19" s="18" t="s">
        <v>163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1</v>
      </c>
      <c r="AF19" s="19">
        <v>2400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22">
        <v>2400</v>
      </c>
      <c r="BN19" s="12">
        <f t="shared" si="0"/>
        <v>2400</v>
      </c>
      <c r="BO19" s="13">
        <f t="shared" si="1"/>
        <v>1680</v>
      </c>
    </row>
    <row r="20" spans="1:67" ht="24">
      <c r="A20" s="5" t="s">
        <v>111</v>
      </c>
      <c r="B20" s="16" t="s">
        <v>132</v>
      </c>
      <c r="C20" s="16">
        <v>467565</v>
      </c>
      <c r="D20" s="17"/>
      <c r="E20" s="16" t="s">
        <v>13</v>
      </c>
      <c r="F20" s="16" t="s">
        <v>133</v>
      </c>
      <c r="G20" s="16" t="s">
        <v>19</v>
      </c>
      <c r="H20" s="18" t="s">
        <v>21</v>
      </c>
      <c r="I20" s="18" t="s">
        <v>127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1</v>
      </c>
      <c r="AL20" s="18">
        <v>0</v>
      </c>
      <c r="AM20" s="19">
        <v>2000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22">
        <v>2000</v>
      </c>
      <c r="BN20" s="12">
        <f t="shared" si="0"/>
        <v>2000</v>
      </c>
      <c r="BO20" s="13">
        <f t="shared" si="1"/>
        <v>1400</v>
      </c>
    </row>
    <row r="21" spans="1:67" ht="24">
      <c r="A21" s="5" t="s">
        <v>111</v>
      </c>
      <c r="B21" s="16" t="s">
        <v>141</v>
      </c>
      <c r="C21" s="16">
        <v>467563</v>
      </c>
      <c r="D21" s="17"/>
      <c r="E21" s="16" t="s">
        <v>13</v>
      </c>
      <c r="F21" s="16" t="s">
        <v>142</v>
      </c>
      <c r="G21" s="16" t="s">
        <v>19</v>
      </c>
      <c r="H21" s="18" t="s">
        <v>21</v>
      </c>
      <c r="I21" s="18" t="s">
        <v>130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1</v>
      </c>
      <c r="AF21" s="19">
        <v>2000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22">
        <v>2000</v>
      </c>
      <c r="BN21" s="12">
        <f t="shared" si="0"/>
        <v>2000</v>
      </c>
      <c r="BO21" s="13">
        <f t="shared" si="1"/>
        <v>1400</v>
      </c>
    </row>
    <row r="22" spans="1:67" ht="24">
      <c r="A22" s="5" t="s">
        <v>111</v>
      </c>
      <c r="B22" s="16" t="s">
        <v>123</v>
      </c>
      <c r="C22" s="16">
        <v>461353</v>
      </c>
      <c r="D22" s="17"/>
      <c r="E22" s="16" t="s">
        <v>13</v>
      </c>
      <c r="F22" s="16" t="s">
        <v>33</v>
      </c>
      <c r="G22" s="16" t="s">
        <v>19</v>
      </c>
      <c r="H22" s="18" t="s">
        <v>21</v>
      </c>
      <c r="I22" s="18" t="s">
        <v>124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1</v>
      </c>
      <c r="AF22" s="19">
        <v>2000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22">
        <v>2000</v>
      </c>
      <c r="BN22" s="12">
        <f t="shared" si="0"/>
        <v>2000</v>
      </c>
      <c r="BO22" s="13">
        <f t="shared" si="1"/>
        <v>1400</v>
      </c>
    </row>
    <row r="23" spans="1:67" ht="24">
      <c r="A23" s="5" t="s">
        <v>111</v>
      </c>
      <c r="B23" s="16" t="s">
        <v>187</v>
      </c>
      <c r="C23" s="16">
        <v>369060</v>
      </c>
      <c r="D23" s="17"/>
      <c r="E23" s="16" t="s">
        <v>13</v>
      </c>
      <c r="F23" s="16" t="s">
        <v>24</v>
      </c>
      <c r="G23" s="16" t="s">
        <v>15</v>
      </c>
      <c r="H23" s="18" t="s">
        <v>7</v>
      </c>
      <c r="I23" s="18" t="s">
        <v>188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20</v>
      </c>
      <c r="AF23" s="19">
        <v>2000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22">
        <v>2000</v>
      </c>
      <c r="BN23" s="12">
        <f t="shared" si="0"/>
        <v>2000</v>
      </c>
      <c r="BO23" s="13">
        <f t="shared" si="1"/>
        <v>1400</v>
      </c>
    </row>
    <row r="24" spans="1:67" ht="24">
      <c r="A24" s="5" t="s">
        <v>111</v>
      </c>
      <c r="B24" s="16" t="s">
        <v>168</v>
      </c>
      <c r="C24" s="16">
        <v>457534</v>
      </c>
      <c r="D24" s="17"/>
      <c r="E24" s="16" t="s">
        <v>13</v>
      </c>
      <c r="F24" s="16" t="s">
        <v>31</v>
      </c>
      <c r="G24" s="16" t="s">
        <v>19</v>
      </c>
      <c r="H24" s="18" t="s">
        <v>21</v>
      </c>
      <c r="I24" s="18" t="s">
        <v>169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1</v>
      </c>
      <c r="AF24" s="19">
        <v>2000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22">
        <v>2000</v>
      </c>
      <c r="BN24" s="12">
        <f t="shared" si="0"/>
        <v>2000</v>
      </c>
      <c r="BO24" s="13">
        <f t="shared" si="1"/>
        <v>1400</v>
      </c>
    </row>
    <row r="25" spans="1:67" ht="24">
      <c r="A25" s="5" t="s">
        <v>111</v>
      </c>
      <c r="B25" s="16" t="s">
        <v>156</v>
      </c>
      <c r="C25" s="16">
        <v>465998</v>
      </c>
      <c r="D25" s="17"/>
      <c r="E25" s="16" t="s">
        <v>13</v>
      </c>
      <c r="F25" s="16" t="s">
        <v>14</v>
      </c>
      <c r="G25" s="16" t="s">
        <v>15</v>
      </c>
      <c r="H25" s="18" t="s">
        <v>9</v>
      </c>
      <c r="I25" s="18" t="s">
        <v>157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1</v>
      </c>
      <c r="AC25" s="18">
        <v>900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1</v>
      </c>
      <c r="AO25" s="18">
        <v>900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22">
        <v>1800</v>
      </c>
      <c r="BN25" s="12">
        <f t="shared" si="0"/>
        <v>1800</v>
      </c>
      <c r="BO25" s="13">
        <f t="shared" si="1"/>
        <v>1260</v>
      </c>
    </row>
    <row r="26" spans="1:67" ht="24">
      <c r="A26" s="5" t="s">
        <v>111</v>
      </c>
      <c r="B26" s="16" t="s">
        <v>189</v>
      </c>
      <c r="C26" s="16">
        <v>451972</v>
      </c>
      <c r="D26" s="17"/>
      <c r="E26" s="16" t="s">
        <v>13</v>
      </c>
      <c r="F26" s="16" t="s">
        <v>14</v>
      </c>
      <c r="G26" s="16" t="s">
        <v>15</v>
      </c>
      <c r="H26" s="18" t="s">
        <v>7</v>
      </c>
      <c r="I26" s="18" t="s">
        <v>190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1</v>
      </c>
      <c r="AC26" s="18">
        <v>900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23">
        <v>900</v>
      </c>
      <c r="BN26" s="12">
        <f t="shared" si="0"/>
        <v>900</v>
      </c>
      <c r="BO26" s="13">
        <f t="shared" si="1"/>
        <v>630</v>
      </c>
    </row>
    <row r="27" spans="1:67" ht="24">
      <c r="A27" s="5" t="s">
        <v>111</v>
      </c>
      <c r="B27" s="16" t="s">
        <v>160</v>
      </c>
      <c r="C27" s="16">
        <v>424315</v>
      </c>
      <c r="D27" s="17"/>
      <c r="E27" s="16" t="s">
        <v>13</v>
      </c>
      <c r="F27" s="16" t="s">
        <v>25</v>
      </c>
      <c r="G27" s="16" t="s">
        <v>15</v>
      </c>
      <c r="H27" s="18" t="s">
        <v>7</v>
      </c>
      <c r="I27" s="18" t="s">
        <v>161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1</v>
      </c>
      <c r="AC27" s="18">
        <v>900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23">
        <v>900</v>
      </c>
      <c r="BN27" s="12">
        <f t="shared" ref="BN27:BN82" si="2">BM27-BL27</f>
        <v>900</v>
      </c>
      <c r="BO27" s="13">
        <f t="shared" ref="BO27:BO82" si="3">BN27*70%</f>
        <v>630</v>
      </c>
    </row>
    <row r="28" spans="1:67" ht="24">
      <c r="A28" s="5" t="s">
        <v>111</v>
      </c>
      <c r="B28" s="16" t="s">
        <v>140</v>
      </c>
      <c r="C28" s="16">
        <v>408838</v>
      </c>
      <c r="D28" s="17"/>
      <c r="E28" s="16" t="s">
        <v>13</v>
      </c>
      <c r="F28" s="16" t="s">
        <v>25</v>
      </c>
      <c r="G28" s="16" t="s">
        <v>15</v>
      </c>
      <c r="H28" s="18" t="s">
        <v>7</v>
      </c>
      <c r="I28" s="18" t="s">
        <v>131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9</v>
      </c>
      <c r="AF28" s="18">
        <v>900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23">
        <v>900</v>
      </c>
      <c r="BN28" s="12">
        <f t="shared" si="2"/>
        <v>900</v>
      </c>
      <c r="BO28" s="13">
        <f t="shared" si="3"/>
        <v>630</v>
      </c>
    </row>
    <row r="29" spans="1:67" ht="24">
      <c r="A29" s="5" t="s">
        <v>111</v>
      </c>
      <c r="B29" s="16" t="s">
        <v>37</v>
      </c>
      <c r="C29" s="16">
        <v>380954</v>
      </c>
      <c r="D29" s="17"/>
      <c r="E29" s="16" t="s">
        <v>13</v>
      </c>
      <c r="F29" s="16" t="s">
        <v>24</v>
      </c>
      <c r="G29" s="16" t="s">
        <v>15</v>
      </c>
      <c r="H29" s="18" t="s">
        <v>7</v>
      </c>
      <c r="I29" s="18" t="s">
        <v>38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1</v>
      </c>
      <c r="AC29" s="18">
        <v>900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23">
        <v>900</v>
      </c>
      <c r="BN29" s="12">
        <f t="shared" si="2"/>
        <v>900</v>
      </c>
      <c r="BO29" s="13">
        <f t="shared" si="3"/>
        <v>630</v>
      </c>
    </row>
    <row r="30" spans="1:67" ht="24">
      <c r="A30" s="5" t="s">
        <v>111</v>
      </c>
      <c r="B30" s="16" t="s">
        <v>191</v>
      </c>
      <c r="C30" s="16">
        <v>455896</v>
      </c>
      <c r="D30" s="17"/>
      <c r="E30" s="16" t="s">
        <v>13</v>
      </c>
      <c r="F30" s="16" t="s">
        <v>14</v>
      </c>
      <c r="G30" s="16" t="s">
        <v>15</v>
      </c>
      <c r="H30" s="18" t="s">
        <v>7</v>
      </c>
      <c r="I30" s="18" t="s">
        <v>192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</v>
      </c>
      <c r="AF30" s="18">
        <v>100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23">
        <v>100</v>
      </c>
      <c r="BN30" s="12">
        <f t="shared" si="2"/>
        <v>100</v>
      </c>
      <c r="BO30" s="13">
        <f t="shared" si="3"/>
        <v>70</v>
      </c>
    </row>
    <row r="31" spans="1:67" ht="24">
      <c r="A31" s="5" t="s">
        <v>111</v>
      </c>
      <c r="B31" s="16" t="s">
        <v>16</v>
      </c>
      <c r="C31" s="16">
        <v>451051</v>
      </c>
      <c r="D31" s="17"/>
      <c r="E31" s="16" t="s">
        <v>13</v>
      </c>
      <c r="F31" s="16" t="s">
        <v>14</v>
      </c>
      <c r="G31" s="16" t="s">
        <v>15</v>
      </c>
      <c r="H31" s="18" t="s">
        <v>9</v>
      </c>
      <c r="I31" s="18" t="s">
        <v>12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1</v>
      </c>
      <c r="AF31" s="18">
        <v>100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23">
        <v>100</v>
      </c>
      <c r="BN31" s="12">
        <f t="shared" si="2"/>
        <v>100</v>
      </c>
      <c r="BO31" s="13">
        <f t="shared" si="3"/>
        <v>70</v>
      </c>
    </row>
    <row r="32" spans="1:67" ht="24">
      <c r="A32" s="5" t="s">
        <v>111</v>
      </c>
      <c r="B32" s="16" t="s">
        <v>39</v>
      </c>
      <c r="C32" s="16">
        <v>469971</v>
      </c>
      <c r="D32" s="17"/>
      <c r="E32" s="16" t="s">
        <v>13</v>
      </c>
      <c r="F32" s="16" t="s">
        <v>40</v>
      </c>
      <c r="G32" s="16" t="s">
        <v>41</v>
      </c>
      <c r="H32" s="18" t="s">
        <v>7</v>
      </c>
      <c r="I32" s="18" t="s">
        <v>193</v>
      </c>
      <c r="J32" s="18">
        <v>0</v>
      </c>
      <c r="K32" s="18">
        <v>5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1</v>
      </c>
      <c r="AR32" s="18">
        <v>100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23">
        <v>100</v>
      </c>
      <c r="BN32" s="12">
        <f t="shared" si="2"/>
        <v>100</v>
      </c>
      <c r="BO32" s="13">
        <f t="shared" si="3"/>
        <v>70</v>
      </c>
    </row>
    <row r="33" spans="1:67" ht="24">
      <c r="A33" s="5" t="s">
        <v>103</v>
      </c>
      <c r="B33" s="16" t="s">
        <v>179</v>
      </c>
      <c r="C33" s="16">
        <v>367412</v>
      </c>
      <c r="D33" s="17"/>
      <c r="E33" s="16" t="s">
        <v>13</v>
      </c>
      <c r="F33" s="16" t="s">
        <v>24</v>
      </c>
      <c r="G33" s="16" t="s">
        <v>15</v>
      </c>
      <c r="H33" s="18" t="s">
        <v>7</v>
      </c>
      <c r="I33" s="18" t="s">
        <v>38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10</v>
      </c>
      <c r="AF33" s="19">
        <v>32000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22">
        <v>32000</v>
      </c>
      <c r="BN33" s="12">
        <f t="shared" si="2"/>
        <v>32000</v>
      </c>
      <c r="BO33" s="13">
        <f t="shared" si="3"/>
        <v>22400</v>
      </c>
    </row>
    <row r="34" spans="1:67" ht="24">
      <c r="A34" s="5" t="s">
        <v>103</v>
      </c>
      <c r="B34" s="16" t="s">
        <v>156</v>
      </c>
      <c r="C34" s="16">
        <v>465998</v>
      </c>
      <c r="D34" s="17"/>
      <c r="E34" s="16" t="s">
        <v>13</v>
      </c>
      <c r="F34" s="16" t="s">
        <v>14</v>
      </c>
      <c r="G34" s="16" t="s">
        <v>15</v>
      </c>
      <c r="H34" s="18" t="s">
        <v>9</v>
      </c>
      <c r="I34" s="18" t="s">
        <v>157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15</v>
      </c>
      <c r="AC34" s="19">
        <v>13500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2</v>
      </c>
      <c r="AO34" s="19">
        <v>1800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1</v>
      </c>
      <c r="BG34" s="19">
        <v>1080</v>
      </c>
      <c r="BH34" s="18">
        <v>0</v>
      </c>
      <c r="BI34" s="18">
        <v>2</v>
      </c>
      <c r="BJ34" s="19">
        <v>4800</v>
      </c>
      <c r="BK34" s="18">
        <v>0</v>
      </c>
      <c r="BL34" s="18">
        <v>294</v>
      </c>
      <c r="BM34" s="22">
        <v>21180</v>
      </c>
      <c r="BN34" s="12">
        <f t="shared" si="2"/>
        <v>20886</v>
      </c>
      <c r="BO34" s="13">
        <f t="shared" si="3"/>
        <v>14620.199999999999</v>
      </c>
    </row>
    <row r="35" spans="1:67" ht="24">
      <c r="A35" s="5" t="s">
        <v>103</v>
      </c>
      <c r="B35" s="16" t="s">
        <v>187</v>
      </c>
      <c r="C35" s="16">
        <v>369060</v>
      </c>
      <c r="D35" s="17"/>
      <c r="E35" s="16" t="s">
        <v>13</v>
      </c>
      <c r="F35" s="16" t="s">
        <v>24</v>
      </c>
      <c r="G35" s="16" t="s">
        <v>15</v>
      </c>
      <c r="H35" s="18" t="s">
        <v>7</v>
      </c>
      <c r="I35" s="18" t="s">
        <v>188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172</v>
      </c>
      <c r="AF35" s="19">
        <v>17200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22">
        <v>17200</v>
      </c>
      <c r="BN35" s="12">
        <f t="shared" si="2"/>
        <v>17200</v>
      </c>
      <c r="BO35" s="13">
        <f t="shared" si="3"/>
        <v>12040</v>
      </c>
    </row>
    <row r="36" spans="1:67" ht="24">
      <c r="A36" s="5" t="s">
        <v>103</v>
      </c>
      <c r="B36" s="16" t="s">
        <v>105</v>
      </c>
      <c r="C36" s="16">
        <v>367415</v>
      </c>
      <c r="D36" s="17"/>
      <c r="E36" s="16" t="s">
        <v>13</v>
      </c>
      <c r="F36" s="16" t="s">
        <v>24</v>
      </c>
      <c r="G36" s="16" t="s">
        <v>15</v>
      </c>
      <c r="H36" s="18" t="s">
        <v>7</v>
      </c>
      <c r="I36" s="18" t="s">
        <v>106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107</v>
      </c>
      <c r="AF36" s="19">
        <v>10700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22">
        <v>10700</v>
      </c>
      <c r="BN36" s="12">
        <f t="shared" si="2"/>
        <v>10700</v>
      </c>
      <c r="BO36" s="13">
        <f t="shared" si="3"/>
        <v>7489.9999999999991</v>
      </c>
    </row>
    <row r="37" spans="1:67" ht="24">
      <c r="A37" s="5" t="s">
        <v>103</v>
      </c>
      <c r="B37" s="16" t="s">
        <v>150</v>
      </c>
      <c r="C37" s="16">
        <v>387161</v>
      </c>
      <c r="D37" s="17"/>
      <c r="E37" s="16" t="s">
        <v>13</v>
      </c>
      <c r="F37" s="16" t="s">
        <v>151</v>
      </c>
      <c r="G37" s="16" t="s">
        <v>152</v>
      </c>
      <c r="H37" s="18" t="s">
        <v>21</v>
      </c>
      <c r="I37" s="18" t="s">
        <v>153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2</v>
      </c>
      <c r="AR37" s="19">
        <v>3200</v>
      </c>
      <c r="AS37" s="19">
        <v>3200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22">
        <v>6400</v>
      </c>
      <c r="BN37" s="12">
        <f t="shared" si="2"/>
        <v>6400</v>
      </c>
      <c r="BO37" s="13">
        <f t="shared" si="3"/>
        <v>4480</v>
      </c>
    </row>
    <row r="38" spans="1:67" ht="24">
      <c r="A38" s="5" t="s">
        <v>112</v>
      </c>
      <c r="B38" s="16" t="s">
        <v>140</v>
      </c>
      <c r="C38" s="16">
        <v>408838</v>
      </c>
      <c r="D38" s="17"/>
      <c r="E38" s="16" t="s">
        <v>13</v>
      </c>
      <c r="F38" s="16" t="s">
        <v>25</v>
      </c>
      <c r="G38" s="16" t="s">
        <v>15</v>
      </c>
      <c r="H38" s="18" t="s">
        <v>7</v>
      </c>
      <c r="I38" s="18" t="s">
        <v>131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57</v>
      </c>
      <c r="AF38" s="19">
        <v>5700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22">
        <v>5700</v>
      </c>
      <c r="BN38" s="12">
        <f t="shared" si="2"/>
        <v>5700</v>
      </c>
      <c r="BO38" s="13">
        <f t="shared" si="3"/>
        <v>3989.9999999999995</v>
      </c>
    </row>
    <row r="39" spans="1:67" ht="24">
      <c r="A39" s="5" t="s">
        <v>113</v>
      </c>
      <c r="B39" s="16" t="s">
        <v>189</v>
      </c>
      <c r="C39" s="16">
        <v>451972</v>
      </c>
      <c r="D39" s="17"/>
      <c r="E39" s="16" t="s">
        <v>13</v>
      </c>
      <c r="F39" s="16" t="s">
        <v>14</v>
      </c>
      <c r="G39" s="16" t="s">
        <v>15</v>
      </c>
      <c r="H39" s="18" t="s">
        <v>7</v>
      </c>
      <c r="I39" s="18" t="s">
        <v>190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4</v>
      </c>
      <c r="AC39" s="19">
        <v>3600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22">
        <v>3600</v>
      </c>
      <c r="BN39" s="12">
        <f t="shared" si="2"/>
        <v>3600</v>
      </c>
      <c r="BO39" s="13">
        <f t="shared" si="3"/>
        <v>2520</v>
      </c>
    </row>
    <row r="40" spans="1:67" ht="24">
      <c r="A40" s="5" t="s">
        <v>113</v>
      </c>
      <c r="B40" s="16" t="s">
        <v>16</v>
      </c>
      <c r="C40" s="16">
        <v>451051</v>
      </c>
      <c r="D40" s="17"/>
      <c r="E40" s="16" t="s">
        <v>13</v>
      </c>
      <c r="F40" s="16" t="s">
        <v>14</v>
      </c>
      <c r="G40" s="16" t="s">
        <v>15</v>
      </c>
      <c r="H40" s="18" t="s">
        <v>9</v>
      </c>
      <c r="I40" s="18" t="s">
        <v>12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36</v>
      </c>
      <c r="AF40" s="19">
        <v>3600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22">
        <v>3600</v>
      </c>
      <c r="BN40" s="12">
        <f t="shared" si="2"/>
        <v>3600</v>
      </c>
      <c r="BO40" s="13">
        <f t="shared" si="3"/>
        <v>2520</v>
      </c>
    </row>
    <row r="41" spans="1:67" ht="24">
      <c r="A41" s="5" t="s">
        <v>113</v>
      </c>
      <c r="B41" s="16" t="s">
        <v>160</v>
      </c>
      <c r="C41" s="16">
        <v>424315</v>
      </c>
      <c r="D41" s="17"/>
      <c r="E41" s="16" t="s">
        <v>13</v>
      </c>
      <c r="F41" s="16" t="s">
        <v>25</v>
      </c>
      <c r="G41" s="16" t="s">
        <v>15</v>
      </c>
      <c r="H41" s="18" t="s">
        <v>7</v>
      </c>
      <c r="I41" s="18" t="s">
        <v>161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3</v>
      </c>
      <c r="AC41" s="19">
        <v>2700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22">
        <v>2700</v>
      </c>
      <c r="BN41" s="12">
        <f t="shared" si="2"/>
        <v>2700</v>
      </c>
      <c r="BO41" s="13">
        <f t="shared" si="3"/>
        <v>1889.9999999999998</v>
      </c>
    </row>
    <row r="42" spans="1:67" ht="24">
      <c r="A42" s="5" t="s">
        <v>103</v>
      </c>
      <c r="B42" s="16" t="s">
        <v>39</v>
      </c>
      <c r="C42" s="16">
        <v>469971</v>
      </c>
      <c r="D42" s="17"/>
      <c r="E42" s="16" t="s">
        <v>13</v>
      </c>
      <c r="F42" s="16" t="s">
        <v>40</v>
      </c>
      <c r="G42" s="16" t="s">
        <v>41</v>
      </c>
      <c r="H42" s="18" t="s">
        <v>7</v>
      </c>
      <c r="I42" s="18" t="s">
        <v>193</v>
      </c>
      <c r="J42" s="18">
        <v>0</v>
      </c>
      <c r="K42" s="18">
        <v>5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16</v>
      </c>
      <c r="AF42" s="19">
        <v>1600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22">
        <v>1600</v>
      </c>
      <c r="BN42" s="12">
        <f t="shared" si="2"/>
        <v>1600</v>
      </c>
      <c r="BO42" s="13">
        <f t="shared" si="3"/>
        <v>1120</v>
      </c>
    </row>
    <row r="43" spans="1:67" ht="24">
      <c r="A43" s="5" t="s">
        <v>113</v>
      </c>
      <c r="B43" s="16" t="s">
        <v>37</v>
      </c>
      <c r="C43" s="16">
        <v>380954</v>
      </c>
      <c r="D43" s="17"/>
      <c r="E43" s="16" t="s">
        <v>13</v>
      </c>
      <c r="F43" s="16" t="s">
        <v>24</v>
      </c>
      <c r="G43" s="16" t="s">
        <v>15</v>
      </c>
      <c r="H43" s="18" t="s">
        <v>7</v>
      </c>
      <c r="I43" s="18" t="s">
        <v>38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1</v>
      </c>
      <c r="AC43" s="18">
        <v>900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23">
        <v>900</v>
      </c>
      <c r="BN43" s="12">
        <f t="shared" si="2"/>
        <v>900</v>
      </c>
      <c r="BO43" s="13">
        <f t="shared" si="3"/>
        <v>630</v>
      </c>
    </row>
    <row r="44" spans="1:67" ht="24">
      <c r="A44" s="5" t="s">
        <v>113</v>
      </c>
      <c r="B44" s="16" t="s">
        <v>191</v>
      </c>
      <c r="C44" s="16">
        <v>455896</v>
      </c>
      <c r="D44" s="17"/>
      <c r="E44" s="16" t="s">
        <v>13</v>
      </c>
      <c r="F44" s="16" t="s">
        <v>14</v>
      </c>
      <c r="G44" s="16" t="s">
        <v>15</v>
      </c>
      <c r="H44" s="18" t="s">
        <v>7</v>
      </c>
      <c r="I44" s="18" t="s">
        <v>192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3</v>
      </c>
      <c r="AF44" s="18">
        <v>300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23">
        <v>300</v>
      </c>
      <c r="BN44" s="12">
        <f t="shared" si="2"/>
        <v>300</v>
      </c>
      <c r="BO44" s="13">
        <f t="shared" si="3"/>
        <v>210</v>
      </c>
    </row>
    <row r="45" spans="1:67" ht="24">
      <c r="A45" s="5" t="s">
        <v>43</v>
      </c>
      <c r="B45" s="16" t="s">
        <v>173</v>
      </c>
      <c r="C45" s="16">
        <v>488813</v>
      </c>
      <c r="D45" s="17"/>
      <c r="E45" s="16" t="s">
        <v>13</v>
      </c>
      <c r="F45" s="16" t="s">
        <v>174</v>
      </c>
      <c r="G45" s="16" t="s">
        <v>19</v>
      </c>
      <c r="H45" s="18" t="s">
        <v>21</v>
      </c>
      <c r="I45" s="18" t="s">
        <v>175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42</v>
      </c>
      <c r="AF45" s="19">
        <v>144760</v>
      </c>
      <c r="AG45" s="19">
        <v>17200</v>
      </c>
      <c r="AH45" s="18">
        <v>0</v>
      </c>
      <c r="AI45" s="18">
        <v>0</v>
      </c>
      <c r="AJ45" s="18">
        <v>0</v>
      </c>
      <c r="AK45" s="18">
        <v>4</v>
      </c>
      <c r="AL45" s="18">
        <v>0</v>
      </c>
      <c r="AM45" s="19">
        <v>14900</v>
      </c>
      <c r="AN45" s="18">
        <v>0</v>
      </c>
      <c r="AO45" s="18">
        <v>0</v>
      </c>
      <c r="AP45" s="18">
        <v>0</v>
      </c>
      <c r="AQ45" s="18">
        <v>2</v>
      </c>
      <c r="AR45" s="19">
        <v>8000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2</v>
      </c>
      <c r="BD45" s="19">
        <v>5040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302.39999999999998</v>
      </c>
      <c r="BM45" s="22">
        <v>189900</v>
      </c>
      <c r="BN45" s="12">
        <f t="shared" si="2"/>
        <v>189597.6</v>
      </c>
      <c r="BO45" s="13">
        <f t="shared" si="3"/>
        <v>132718.32</v>
      </c>
    </row>
    <row r="46" spans="1:67" ht="24">
      <c r="A46" s="5" t="s">
        <v>43</v>
      </c>
      <c r="B46" s="16" t="s">
        <v>176</v>
      </c>
      <c r="C46" s="16">
        <v>488818</v>
      </c>
      <c r="D46" s="17"/>
      <c r="E46" s="16" t="s">
        <v>13</v>
      </c>
      <c r="F46" s="16" t="s">
        <v>177</v>
      </c>
      <c r="G46" s="16" t="s">
        <v>19</v>
      </c>
      <c r="H46" s="18" t="s">
        <v>21</v>
      </c>
      <c r="I46" s="18" t="s">
        <v>178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12</v>
      </c>
      <c r="AF46" s="19">
        <v>7500</v>
      </c>
      <c r="AG46" s="19">
        <v>18900</v>
      </c>
      <c r="AH46" s="18">
        <v>0</v>
      </c>
      <c r="AI46" s="18">
        <v>0</v>
      </c>
      <c r="AJ46" s="18">
        <v>0</v>
      </c>
      <c r="AK46" s="18">
        <v>12</v>
      </c>
      <c r="AL46" s="18">
        <v>0</v>
      </c>
      <c r="AM46" s="19">
        <v>28600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22">
        <v>55000</v>
      </c>
      <c r="BN46" s="12">
        <f t="shared" si="2"/>
        <v>55000</v>
      </c>
      <c r="BO46" s="13">
        <f t="shared" si="3"/>
        <v>38500</v>
      </c>
    </row>
    <row r="47" spans="1:67" ht="24">
      <c r="A47" s="5" t="s">
        <v>43</v>
      </c>
      <c r="B47" s="16" t="s">
        <v>123</v>
      </c>
      <c r="C47" s="16">
        <v>461353</v>
      </c>
      <c r="D47" s="17"/>
      <c r="E47" s="16" t="s">
        <v>13</v>
      </c>
      <c r="F47" s="16" t="s">
        <v>33</v>
      </c>
      <c r="G47" s="16" t="s">
        <v>19</v>
      </c>
      <c r="H47" s="18" t="s">
        <v>21</v>
      </c>
      <c r="I47" s="18" t="s">
        <v>124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15</v>
      </c>
      <c r="AF47" s="19">
        <v>20000</v>
      </c>
      <c r="AG47" s="19">
        <v>8800</v>
      </c>
      <c r="AH47" s="18">
        <v>0</v>
      </c>
      <c r="AI47" s="18">
        <v>0</v>
      </c>
      <c r="AJ47" s="18">
        <v>0</v>
      </c>
      <c r="AK47" s="18">
        <v>4</v>
      </c>
      <c r="AL47" s="19">
        <v>2400</v>
      </c>
      <c r="AM47" s="19">
        <v>5200</v>
      </c>
      <c r="AN47" s="18">
        <v>0</v>
      </c>
      <c r="AO47" s="18">
        <v>0</v>
      </c>
      <c r="AP47" s="18">
        <v>0</v>
      </c>
      <c r="AQ47" s="18">
        <v>3</v>
      </c>
      <c r="AR47" s="19">
        <v>6000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1</v>
      </c>
      <c r="BD47" s="19">
        <v>2400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864</v>
      </c>
      <c r="BM47" s="22">
        <v>44800</v>
      </c>
      <c r="BN47" s="12">
        <f t="shared" si="2"/>
        <v>43936</v>
      </c>
      <c r="BO47" s="13">
        <f t="shared" si="3"/>
        <v>30755.199999999997</v>
      </c>
    </row>
    <row r="48" spans="1:67" ht="24">
      <c r="A48" s="5" t="s">
        <v>43</v>
      </c>
      <c r="B48" s="16" t="s">
        <v>32</v>
      </c>
      <c r="C48" s="16">
        <v>470383</v>
      </c>
      <c r="D48" s="17"/>
      <c r="E48" s="16" t="s">
        <v>13</v>
      </c>
      <c r="F48" s="16" t="s">
        <v>33</v>
      </c>
      <c r="G48" s="16" t="s">
        <v>19</v>
      </c>
      <c r="H48" s="18" t="s">
        <v>21</v>
      </c>
      <c r="I48" s="18" t="s">
        <v>34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11</v>
      </c>
      <c r="AF48" s="19">
        <v>20000</v>
      </c>
      <c r="AG48" s="19">
        <v>2000</v>
      </c>
      <c r="AH48" s="18">
        <v>0</v>
      </c>
      <c r="AI48" s="18">
        <v>0</v>
      </c>
      <c r="AJ48" s="18">
        <v>0</v>
      </c>
      <c r="AK48" s="18">
        <v>2</v>
      </c>
      <c r="AL48" s="18">
        <v>0</v>
      </c>
      <c r="AM48" s="19">
        <v>3000</v>
      </c>
      <c r="AN48" s="18">
        <v>0</v>
      </c>
      <c r="AO48" s="18">
        <v>0</v>
      </c>
      <c r="AP48" s="18">
        <v>0</v>
      </c>
      <c r="AQ48" s="18">
        <v>2</v>
      </c>
      <c r="AR48" s="19">
        <v>3000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22">
        <v>28000</v>
      </c>
      <c r="BN48" s="12">
        <f t="shared" si="2"/>
        <v>28000</v>
      </c>
      <c r="BO48" s="13">
        <f t="shared" si="3"/>
        <v>19600</v>
      </c>
    </row>
    <row r="49" spans="1:67" ht="24">
      <c r="A49" s="5" t="s">
        <v>43</v>
      </c>
      <c r="B49" s="16" t="s">
        <v>137</v>
      </c>
      <c r="C49" s="16">
        <v>464780</v>
      </c>
      <c r="D49" s="17"/>
      <c r="E49" s="16" t="s">
        <v>13</v>
      </c>
      <c r="F49" s="16" t="s">
        <v>138</v>
      </c>
      <c r="G49" s="16" t="s">
        <v>19</v>
      </c>
      <c r="H49" s="18" t="s">
        <v>21</v>
      </c>
      <c r="I49" s="18" t="s">
        <v>124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7</v>
      </c>
      <c r="AF49" s="19">
        <v>12400</v>
      </c>
      <c r="AG49" s="19">
        <v>2000</v>
      </c>
      <c r="AH49" s="18">
        <v>0</v>
      </c>
      <c r="AI49" s="18">
        <v>0</v>
      </c>
      <c r="AJ49" s="18">
        <v>0</v>
      </c>
      <c r="AK49" s="18">
        <v>3</v>
      </c>
      <c r="AL49" s="19">
        <v>2400</v>
      </c>
      <c r="AM49" s="19">
        <v>4000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1</v>
      </c>
      <c r="BD49" s="19">
        <v>2400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864</v>
      </c>
      <c r="BM49" s="22">
        <v>23200</v>
      </c>
      <c r="BN49" s="12">
        <f t="shared" si="2"/>
        <v>22336</v>
      </c>
      <c r="BO49" s="13">
        <f t="shared" si="3"/>
        <v>15635.199999999999</v>
      </c>
    </row>
    <row r="50" spans="1:67" ht="24">
      <c r="A50" s="5" t="s">
        <v>43</v>
      </c>
      <c r="B50" s="16" t="s">
        <v>180</v>
      </c>
      <c r="C50" s="16">
        <v>488819</v>
      </c>
      <c r="D50" s="17"/>
      <c r="E50" s="16" t="s">
        <v>13</v>
      </c>
      <c r="F50" s="16" t="s">
        <v>181</v>
      </c>
      <c r="G50" s="16" t="s">
        <v>19</v>
      </c>
      <c r="H50" s="18" t="s">
        <v>21</v>
      </c>
      <c r="I50" s="18" t="s">
        <v>182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6</v>
      </c>
      <c r="AF50" s="19">
        <v>15000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22">
        <v>15000</v>
      </c>
      <c r="BN50" s="12">
        <f t="shared" si="2"/>
        <v>15000</v>
      </c>
      <c r="BO50" s="13">
        <f t="shared" si="3"/>
        <v>10500</v>
      </c>
    </row>
    <row r="51" spans="1:67" ht="24">
      <c r="A51" s="5" t="s">
        <v>43</v>
      </c>
      <c r="B51" s="16" t="s">
        <v>17</v>
      </c>
      <c r="C51" s="16">
        <v>464786</v>
      </c>
      <c r="D51" s="17"/>
      <c r="E51" s="16" t="s">
        <v>13</v>
      </c>
      <c r="F51" s="16" t="s">
        <v>18</v>
      </c>
      <c r="G51" s="16" t="s">
        <v>19</v>
      </c>
      <c r="H51" s="18" t="s">
        <v>9</v>
      </c>
      <c r="I51" s="18" t="s">
        <v>20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4</v>
      </c>
      <c r="AF51" s="19">
        <v>8300</v>
      </c>
      <c r="AG51" s="19">
        <v>1700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1</v>
      </c>
      <c r="BD51" s="19">
        <v>3000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180</v>
      </c>
      <c r="BM51" s="22">
        <v>13000</v>
      </c>
      <c r="BN51" s="12">
        <f t="shared" si="2"/>
        <v>12820</v>
      </c>
      <c r="BO51" s="13">
        <f t="shared" si="3"/>
        <v>8974</v>
      </c>
    </row>
    <row r="52" spans="1:67" ht="24">
      <c r="A52" s="5" t="s">
        <v>43</v>
      </c>
      <c r="B52" s="16" t="s">
        <v>107</v>
      </c>
      <c r="C52" s="16">
        <v>477489</v>
      </c>
      <c r="D52" s="17"/>
      <c r="E52" s="16" t="s">
        <v>13</v>
      </c>
      <c r="F52" s="16" t="s">
        <v>108</v>
      </c>
      <c r="G52" s="16" t="s">
        <v>19</v>
      </c>
      <c r="H52" s="18" t="s">
        <v>21</v>
      </c>
      <c r="I52" s="18" t="s">
        <v>104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4</v>
      </c>
      <c r="AF52" s="19">
        <v>8000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1</v>
      </c>
      <c r="AR52" s="19">
        <v>2000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22">
        <v>10000</v>
      </c>
      <c r="BN52" s="12">
        <f t="shared" si="2"/>
        <v>10000</v>
      </c>
      <c r="BO52" s="13">
        <f t="shared" si="3"/>
        <v>7000</v>
      </c>
    </row>
    <row r="53" spans="1:67" ht="24">
      <c r="A53" s="5" t="s">
        <v>43</v>
      </c>
      <c r="B53" s="16" t="s">
        <v>134</v>
      </c>
      <c r="C53" s="16">
        <v>468590</v>
      </c>
      <c r="D53" s="17"/>
      <c r="E53" s="16" t="s">
        <v>13</v>
      </c>
      <c r="F53" s="16" t="s">
        <v>135</v>
      </c>
      <c r="G53" s="16" t="s">
        <v>19</v>
      </c>
      <c r="H53" s="18" t="s">
        <v>21</v>
      </c>
      <c r="I53" s="18" t="s">
        <v>136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4</v>
      </c>
      <c r="AF53" s="19">
        <v>8000</v>
      </c>
      <c r="AG53" s="18">
        <v>0</v>
      </c>
      <c r="AH53" s="18">
        <v>0</v>
      </c>
      <c r="AI53" s="18">
        <v>0</v>
      </c>
      <c r="AJ53" s="18">
        <v>0</v>
      </c>
      <c r="AK53" s="18">
        <v>1</v>
      </c>
      <c r="AL53" s="18">
        <v>0</v>
      </c>
      <c r="AM53" s="19">
        <v>2000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22">
        <v>10000</v>
      </c>
      <c r="BN53" s="12">
        <f t="shared" si="2"/>
        <v>10000</v>
      </c>
      <c r="BO53" s="13">
        <f t="shared" si="3"/>
        <v>7000</v>
      </c>
    </row>
    <row r="54" spans="1:67" ht="24">
      <c r="A54" s="5" t="s">
        <v>43</v>
      </c>
      <c r="B54" s="16" t="s">
        <v>150</v>
      </c>
      <c r="C54" s="16">
        <v>387161</v>
      </c>
      <c r="D54" s="17"/>
      <c r="E54" s="16" t="s">
        <v>13</v>
      </c>
      <c r="F54" s="16" t="s">
        <v>151</v>
      </c>
      <c r="G54" s="16" t="s">
        <v>152</v>
      </c>
      <c r="H54" s="18" t="s">
        <v>21</v>
      </c>
      <c r="I54" s="18" t="s">
        <v>153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3</v>
      </c>
      <c r="AF54" s="19">
        <v>6400</v>
      </c>
      <c r="AG54" s="19">
        <v>3200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22">
        <v>9600</v>
      </c>
      <c r="BN54" s="12">
        <f t="shared" si="2"/>
        <v>9600</v>
      </c>
      <c r="BO54" s="13">
        <f t="shared" si="3"/>
        <v>6720</v>
      </c>
    </row>
    <row r="55" spans="1:67" ht="24">
      <c r="A55" s="5" t="s">
        <v>43</v>
      </c>
      <c r="B55" s="16" t="s">
        <v>29</v>
      </c>
      <c r="C55" s="16">
        <v>395231</v>
      </c>
      <c r="D55" s="17"/>
      <c r="E55" s="16" t="s">
        <v>13</v>
      </c>
      <c r="F55" s="16" t="s">
        <v>22</v>
      </c>
      <c r="G55" s="16" t="s">
        <v>23</v>
      </c>
      <c r="H55" s="18" t="s">
        <v>21</v>
      </c>
      <c r="I55" s="18" t="s">
        <v>30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1</v>
      </c>
      <c r="AF55" s="18">
        <v>0</v>
      </c>
      <c r="AG55" s="19">
        <v>3500</v>
      </c>
      <c r="AH55" s="18">
        <v>0</v>
      </c>
      <c r="AI55" s="18">
        <v>0</v>
      </c>
      <c r="AJ55" s="18">
        <v>0</v>
      </c>
      <c r="AK55" s="18">
        <v>1</v>
      </c>
      <c r="AL55" s="19">
        <v>4095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20">
        <v>1228.5</v>
      </c>
      <c r="BM55" s="22">
        <v>7595</v>
      </c>
      <c r="BN55" s="12">
        <f t="shared" si="2"/>
        <v>6366.5</v>
      </c>
      <c r="BO55" s="13">
        <f t="shared" si="3"/>
        <v>4456.5499999999993</v>
      </c>
    </row>
    <row r="56" spans="1:67" ht="24">
      <c r="A56" s="5" t="s">
        <v>43</v>
      </c>
      <c r="B56" s="16" t="s">
        <v>166</v>
      </c>
      <c r="C56" s="16">
        <v>485984</v>
      </c>
      <c r="D56" s="17"/>
      <c r="E56" s="16" t="s">
        <v>13</v>
      </c>
      <c r="F56" s="16" t="s">
        <v>149</v>
      </c>
      <c r="G56" s="16" t="s">
        <v>19</v>
      </c>
      <c r="H56" s="18" t="s">
        <v>21</v>
      </c>
      <c r="I56" s="18" t="s">
        <v>167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1</v>
      </c>
      <c r="AF56" s="19">
        <v>3200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1</v>
      </c>
      <c r="AR56" s="19">
        <v>3200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22">
        <v>6400</v>
      </c>
      <c r="BN56" s="12">
        <f t="shared" si="2"/>
        <v>6400</v>
      </c>
      <c r="BO56" s="13">
        <f t="shared" si="3"/>
        <v>4480</v>
      </c>
    </row>
    <row r="57" spans="1:67" ht="24">
      <c r="A57" s="5" t="s">
        <v>43</v>
      </c>
      <c r="B57" s="16" t="s">
        <v>139</v>
      </c>
      <c r="C57" s="16">
        <v>457677</v>
      </c>
      <c r="D57" s="17"/>
      <c r="E57" s="16" t="s">
        <v>13</v>
      </c>
      <c r="F57" s="16" t="s">
        <v>135</v>
      </c>
      <c r="G57" s="16" t="s">
        <v>19</v>
      </c>
      <c r="H57" s="18" t="s">
        <v>21</v>
      </c>
      <c r="I57" s="18" t="s">
        <v>124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2</v>
      </c>
      <c r="AF57" s="19">
        <v>2500</v>
      </c>
      <c r="AG57" s="18">
        <v>0</v>
      </c>
      <c r="AH57" s="18">
        <v>0</v>
      </c>
      <c r="AI57" s="18">
        <v>0</v>
      </c>
      <c r="AJ57" s="18">
        <v>0</v>
      </c>
      <c r="AK57" s="18">
        <v>2</v>
      </c>
      <c r="AL57" s="19">
        <v>1800</v>
      </c>
      <c r="AM57" s="19">
        <v>2000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540</v>
      </c>
      <c r="BM57" s="22">
        <v>6300</v>
      </c>
      <c r="BN57" s="12">
        <f t="shared" si="2"/>
        <v>5760</v>
      </c>
      <c r="BO57" s="13">
        <f t="shared" si="3"/>
        <v>4031.9999999999995</v>
      </c>
    </row>
    <row r="58" spans="1:67" ht="24">
      <c r="A58" s="5" t="s">
        <v>43</v>
      </c>
      <c r="B58" s="16" t="s">
        <v>154</v>
      </c>
      <c r="C58" s="16">
        <v>457068</v>
      </c>
      <c r="D58" s="17"/>
      <c r="E58" s="16" t="s">
        <v>13</v>
      </c>
      <c r="F58" s="16" t="s">
        <v>126</v>
      </c>
      <c r="G58" s="16" t="s">
        <v>19</v>
      </c>
      <c r="H58" s="18" t="s">
        <v>21</v>
      </c>
      <c r="I58" s="18" t="s">
        <v>155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2</v>
      </c>
      <c r="AF58" s="19">
        <v>2500</v>
      </c>
      <c r="AG58" s="19">
        <v>2500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22">
        <v>5000</v>
      </c>
      <c r="BN58" s="12">
        <f t="shared" si="2"/>
        <v>5000</v>
      </c>
      <c r="BO58" s="13">
        <f t="shared" si="3"/>
        <v>3500</v>
      </c>
    </row>
    <row r="59" spans="1:67" ht="24">
      <c r="A59" s="5" t="s">
        <v>43</v>
      </c>
      <c r="B59" s="16" t="s">
        <v>164</v>
      </c>
      <c r="C59" s="16">
        <v>470423</v>
      </c>
      <c r="D59" s="17"/>
      <c r="E59" s="16" t="s">
        <v>13</v>
      </c>
      <c r="F59" s="16" t="s">
        <v>31</v>
      </c>
      <c r="G59" s="16" t="s">
        <v>19</v>
      </c>
      <c r="H59" s="18" t="s">
        <v>21</v>
      </c>
      <c r="I59" s="18" t="s">
        <v>165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1</v>
      </c>
      <c r="AF59" s="19">
        <v>2000</v>
      </c>
      <c r="AG59" s="18">
        <v>0</v>
      </c>
      <c r="AH59" s="18">
        <v>0</v>
      </c>
      <c r="AI59" s="18">
        <v>0</v>
      </c>
      <c r="AJ59" s="18">
        <v>0</v>
      </c>
      <c r="AK59" s="18">
        <v>1</v>
      </c>
      <c r="AL59" s="19">
        <v>2400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720</v>
      </c>
      <c r="BM59" s="22">
        <v>4400</v>
      </c>
      <c r="BN59" s="12">
        <f t="shared" si="2"/>
        <v>3680</v>
      </c>
      <c r="BO59" s="13">
        <f t="shared" si="3"/>
        <v>2576</v>
      </c>
    </row>
    <row r="60" spans="1:67" ht="24">
      <c r="A60" s="5" t="s">
        <v>43</v>
      </c>
      <c r="B60" s="16" t="s">
        <v>141</v>
      </c>
      <c r="C60" s="16">
        <v>467563</v>
      </c>
      <c r="D60" s="17"/>
      <c r="E60" s="16" t="s">
        <v>13</v>
      </c>
      <c r="F60" s="16" t="s">
        <v>142</v>
      </c>
      <c r="G60" s="16" t="s">
        <v>19</v>
      </c>
      <c r="H60" s="18" t="s">
        <v>21</v>
      </c>
      <c r="I60" s="18" t="s">
        <v>130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2</v>
      </c>
      <c r="AF60" s="19">
        <v>4000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0</v>
      </c>
      <c r="BM60" s="22">
        <v>4000</v>
      </c>
      <c r="BN60" s="12">
        <f t="shared" si="2"/>
        <v>4000</v>
      </c>
      <c r="BO60" s="13">
        <f t="shared" si="3"/>
        <v>2800</v>
      </c>
    </row>
    <row r="61" spans="1:67" ht="24">
      <c r="A61" s="5" t="s">
        <v>43</v>
      </c>
      <c r="B61" s="16" t="s">
        <v>143</v>
      </c>
      <c r="C61" s="16">
        <v>474768</v>
      </c>
      <c r="D61" s="17"/>
      <c r="E61" s="16" t="s">
        <v>13</v>
      </c>
      <c r="F61" s="16" t="s">
        <v>102</v>
      </c>
      <c r="G61" s="16" t="s">
        <v>19</v>
      </c>
      <c r="H61" s="18" t="s">
        <v>21</v>
      </c>
      <c r="I61" s="18" t="s">
        <v>144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1</v>
      </c>
      <c r="AF61" s="19">
        <v>3500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22">
        <v>3500</v>
      </c>
      <c r="BN61" s="12">
        <f t="shared" si="2"/>
        <v>3500</v>
      </c>
      <c r="BO61" s="13">
        <f t="shared" si="3"/>
        <v>2450</v>
      </c>
    </row>
    <row r="62" spans="1:67" ht="24">
      <c r="A62" s="5" t="s">
        <v>43</v>
      </c>
      <c r="B62" s="16" t="s">
        <v>194</v>
      </c>
      <c r="C62" s="16">
        <v>414543</v>
      </c>
      <c r="D62" s="17"/>
      <c r="E62" s="16" t="s">
        <v>13</v>
      </c>
      <c r="F62" s="16" t="s">
        <v>195</v>
      </c>
      <c r="G62" s="16" t="s">
        <v>152</v>
      </c>
      <c r="H62" s="18" t="s">
        <v>21</v>
      </c>
      <c r="I62" s="18" t="s">
        <v>196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1</v>
      </c>
      <c r="AF62" s="19">
        <v>3400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22">
        <v>3400</v>
      </c>
      <c r="BN62" s="12">
        <f t="shared" si="2"/>
        <v>3400</v>
      </c>
      <c r="BO62" s="13">
        <f t="shared" si="3"/>
        <v>2380</v>
      </c>
    </row>
    <row r="63" spans="1:67" ht="24">
      <c r="A63" s="5" t="s">
        <v>43</v>
      </c>
      <c r="B63" s="16" t="s">
        <v>148</v>
      </c>
      <c r="C63" s="16">
        <v>467552</v>
      </c>
      <c r="D63" s="17"/>
      <c r="E63" s="16" t="s">
        <v>13</v>
      </c>
      <c r="F63" s="16" t="s">
        <v>149</v>
      </c>
      <c r="G63" s="16" t="s">
        <v>19</v>
      </c>
      <c r="H63" s="18" t="s">
        <v>21</v>
      </c>
      <c r="I63" s="18" t="s">
        <v>130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1</v>
      </c>
      <c r="AF63" s="19">
        <v>3200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22">
        <v>3200</v>
      </c>
      <c r="BN63" s="12">
        <f t="shared" si="2"/>
        <v>3200</v>
      </c>
      <c r="BO63" s="13">
        <f t="shared" si="3"/>
        <v>2240</v>
      </c>
    </row>
    <row r="64" spans="1:67" ht="24">
      <c r="A64" s="5" t="s">
        <v>43</v>
      </c>
      <c r="B64" s="16" t="s">
        <v>197</v>
      </c>
      <c r="C64" s="16">
        <v>316013</v>
      </c>
      <c r="D64" s="17"/>
      <c r="E64" s="16" t="s">
        <v>13</v>
      </c>
      <c r="F64" s="16" t="s">
        <v>170</v>
      </c>
      <c r="G64" s="16" t="s">
        <v>23</v>
      </c>
      <c r="H64" s="18" t="s">
        <v>21</v>
      </c>
      <c r="I64" s="18" t="s">
        <v>198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1</v>
      </c>
      <c r="AF64" s="19">
        <v>3200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0</v>
      </c>
      <c r="BM64" s="22">
        <v>3200</v>
      </c>
      <c r="BN64" s="12">
        <f t="shared" si="2"/>
        <v>3200</v>
      </c>
      <c r="BO64" s="13">
        <f t="shared" si="3"/>
        <v>2240</v>
      </c>
    </row>
    <row r="65" spans="1:67" ht="24">
      <c r="A65" s="5" t="s">
        <v>43</v>
      </c>
      <c r="B65" s="16" t="s">
        <v>109</v>
      </c>
      <c r="C65" s="16">
        <v>459229</v>
      </c>
      <c r="D65" s="17"/>
      <c r="E65" s="16" t="s">
        <v>13</v>
      </c>
      <c r="F65" s="16" t="s">
        <v>102</v>
      </c>
      <c r="G65" s="16" t="s">
        <v>19</v>
      </c>
      <c r="H65" s="18" t="s">
        <v>21</v>
      </c>
      <c r="I65" s="18" t="s">
        <v>110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1</v>
      </c>
      <c r="AF65" s="19">
        <v>3000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22">
        <v>3000</v>
      </c>
      <c r="BN65" s="12">
        <f t="shared" si="2"/>
        <v>3000</v>
      </c>
      <c r="BO65" s="13">
        <f t="shared" si="3"/>
        <v>2100</v>
      </c>
    </row>
    <row r="66" spans="1:67" ht="24">
      <c r="A66" s="5" t="s">
        <v>43</v>
      </c>
      <c r="B66" s="16" t="s">
        <v>199</v>
      </c>
      <c r="C66" s="16">
        <v>472520</v>
      </c>
      <c r="D66" s="17"/>
      <c r="E66" s="16" t="s">
        <v>13</v>
      </c>
      <c r="F66" s="16" t="s">
        <v>36</v>
      </c>
      <c r="G66" s="16" t="s">
        <v>19</v>
      </c>
      <c r="H66" s="18" t="s">
        <v>21</v>
      </c>
      <c r="I66" s="18" t="s">
        <v>200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1</v>
      </c>
      <c r="AR66" s="19">
        <v>3000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22">
        <v>3000</v>
      </c>
      <c r="BN66" s="12">
        <f t="shared" si="2"/>
        <v>3000</v>
      </c>
      <c r="BO66" s="13">
        <f t="shared" si="3"/>
        <v>2100</v>
      </c>
    </row>
    <row r="67" spans="1:67" ht="24">
      <c r="A67" s="5" t="s">
        <v>43</v>
      </c>
      <c r="B67" s="16" t="s">
        <v>119</v>
      </c>
      <c r="C67" s="16">
        <v>442667</v>
      </c>
      <c r="D67" s="17"/>
      <c r="E67" s="16" t="s">
        <v>13</v>
      </c>
      <c r="F67" s="16" t="s">
        <v>120</v>
      </c>
      <c r="G67" s="16" t="s">
        <v>23</v>
      </c>
      <c r="H67" s="18" t="s">
        <v>21</v>
      </c>
      <c r="I67" s="18" t="s">
        <v>121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1</v>
      </c>
      <c r="AF67" s="19">
        <v>3000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22">
        <v>3000</v>
      </c>
      <c r="BN67" s="12">
        <f t="shared" si="2"/>
        <v>3000</v>
      </c>
      <c r="BO67" s="13">
        <f t="shared" si="3"/>
        <v>2100</v>
      </c>
    </row>
    <row r="68" spans="1:67" ht="24">
      <c r="A68" s="5" t="s">
        <v>43</v>
      </c>
      <c r="B68" s="16" t="s">
        <v>156</v>
      </c>
      <c r="C68" s="16">
        <v>465998</v>
      </c>
      <c r="D68" s="17"/>
      <c r="E68" s="16" t="s">
        <v>13</v>
      </c>
      <c r="F68" s="16" t="s">
        <v>14</v>
      </c>
      <c r="G68" s="16" t="s">
        <v>15</v>
      </c>
      <c r="H68" s="18" t="s">
        <v>9</v>
      </c>
      <c r="I68" s="18" t="s">
        <v>157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3</v>
      </c>
      <c r="AC68" s="19">
        <v>2700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22">
        <v>2700</v>
      </c>
      <c r="BN68" s="12">
        <f t="shared" si="2"/>
        <v>2700</v>
      </c>
      <c r="BO68" s="13">
        <f t="shared" si="3"/>
        <v>1889.9999999999998</v>
      </c>
    </row>
    <row r="69" spans="1:67" ht="24">
      <c r="A69" s="5" t="s">
        <v>43</v>
      </c>
      <c r="B69" s="16" t="s">
        <v>114</v>
      </c>
      <c r="C69" s="16">
        <v>468582</v>
      </c>
      <c r="D69" s="17"/>
      <c r="E69" s="16" t="s">
        <v>13</v>
      </c>
      <c r="F69" s="16" t="s">
        <v>115</v>
      </c>
      <c r="G69" s="16" t="s">
        <v>19</v>
      </c>
      <c r="H69" s="18" t="s">
        <v>9</v>
      </c>
      <c r="I69" s="18" t="s">
        <v>116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1</v>
      </c>
      <c r="AF69" s="18">
        <v>0</v>
      </c>
      <c r="AG69" s="19">
        <v>2500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22">
        <v>2500</v>
      </c>
      <c r="BN69" s="12">
        <f t="shared" si="2"/>
        <v>2500</v>
      </c>
      <c r="BO69" s="13">
        <f t="shared" si="3"/>
        <v>1750</v>
      </c>
    </row>
    <row r="70" spans="1:67" ht="24">
      <c r="A70" s="5" t="s">
        <v>43</v>
      </c>
      <c r="B70" s="16" t="s">
        <v>125</v>
      </c>
      <c r="C70" s="16">
        <v>468580</v>
      </c>
      <c r="D70" s="17"/>
      <c r="E70" s="16" t="s">
        <v>13</v>
      </c>
      <c r="F70" s="16" t="s">
        <v>126</v>
      </c>
      <c r="G70" s="16" t="s">
        <v>19</v>
      </c>
      <c r="H70" s="18" t="s">
        <v>21</v>
      </c>
      <c r="I70" s="18" t="s">
        <v>127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1</v>
      </c>
      <c r="AF70" s="19">
        <v>2500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22">
        <v>2500</v>
      </c>
      <c r="BN70" s="12">
        <f t="shared" si="2"/>
        <v>2500</v>
      </c>
      <c r="BO70" s="13">
        <f t="shared" si="3"/>
        <v>1750</v>
      </c>
    </row>
    <row r="71" spans="1:67" ht="24">
      <c r="A71" s="5" t="s">
        <v>43</v>
      </c>
      <c r="B71" s="16" t="s">
        <v>201</v>
      </c>
      <c r="C71" s="16">
        <v>472517</v>
      </c>
      <c r="D71" s="17"/>
      <c r="E71" s="16" t="s">
        <v>13</v>
      </c>
      <c r="F71" s="16" t="s">
        <v>202</v>
      </c>
      <c r="G71" s="16" t="s">
        <v>19</v>
      </c>
      <c r="H71" s="18" t="s">
        <v>21</v>
      </c>
      <c r="I71" s="18" t="s">
        <v>203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1</v>
      </c>
      <c r="AF71" s="19">
        <v>2500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22">
        <v>2500</v>
      </c>
      <c r="BN71" s="12">
        <f t="shared" si="2"/>
        <v>2500</v>
      </c>
      <c r="BO71" s="13">
        <f t="shared" si="3"/>
        <v>1750</v>
      </c>
    </row>
    <row r="72" spans="1:67" ht="24">
      <c r="A72" s="5" t="s">
        <v>43</v>
      </c>
      <c r="B72" s="16" t="s">
        <v>128</v>
      </c>
      <c r="C72" s="16">
        <v>483769</v>
      </c>
      <c r="D72" s="17"/>
      <c r="E72" s="16" t="s">
        <v>13</v>
      </c>
      <c r="F72" s="16" t="s">
        <v>122</v>
      </c>
      <c r="G72" s="16" t="s">
        <v>19</v>
      </c>
      <c r="H72" s="18" t="s">
        <v>8</v>
      </c>
      <c r="I72" s="18" t="s">
        <v>129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1</v>
      </c>
      <c r="AF72" s="19">
        <v>2500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22">
        <v>2500</v>
      </c>
      <c r="BN72" s="12">
        <f t="shared" si="2"/>
        <v>2500</v>
      </c>
      <c r="BO72" s="13">
        <f t="shared" si="3"/>
        <v>1750</v>
      </c>
    </row>
    <row r="73" spans="1:67" ht="24">
      <c r="A73" s="5" t="s">
        <v>43</v>
      </c>
      <c r="B73" s="16" t="s">
        <v>26</v>
      </c>
      <c r="C73" s="16">
        <v>457533</v>
      </c>
      <c r="D73" s="17"/>
      <c r="E73" s="16" t="s">
        <v>13</v>
      </c>
      <c r="F73" s="16" t="s">
        <v>27</v>
      </c>
      <c r="G73" s="16" t="s">
        <v>19</v>
      </c>
      <c r="H73" s="18" t="s">
        <v>21</v>
      </c>
      <c r="I73" s="18" t="s">
        <v>28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1</v>
      </c>
      <c r="AF73" s="19">
        <v>2500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22">
        <v>2500</v>
      </c>
      <c r="BN73" s="12">
        <f t="shared" si="2"/>
        <v>2500</v>
      </c>
      <c r="BO73" s="13">
        <f t="shared" si="3"/>
        <v>1750</v>
      </c>
    </row>
    <row r="74" spans="1:67" ht="24">
      <c r="A74" s="5" t="s">
        <v>43</v>
      </c>
      <c r="B74" s="16" t="s">
        <v>204</v>
      </c>
      <c r="C74" s="16">
        <v>468589</v>
      </c>
      <c r="D74" s="17"/>
      <c r="E74" s="16" t="s">
        <v>13</v>
      </c>
      <c r="F74" s="16" t="s">
        <v>205</v>
      </c>
      <c r="G74" s="16" t="s">
        <v>19</v>
      </c>
      <c r="H74" s="18" t="s">
        <v>9</v>
      </c>
      <c r="I74" s="18" t="s">
        <v>136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1</v>
      </c>
      <c r="AL74" s="18">
        <v>0</v>
      </c>
      <c r="AM74" s="19">
        <v>2500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22">
        <v>2500</v>
      </c>
      <c r="BN74" s="12">
        <f t="shared" si="2"/>
        <v>2500</v>
      </c>
      <c r="BO74" s="13">
        <f t="shared" si="3"/>
        <v>1750</v>
      </c>
    </row>
    <row r="75" spans="1:67" ht="24">
      <c r="A75" s="5" t="s">
        <v>43</v>
      </c>
      <c r="B75" s="16" t="s">
        <v>185</v>
      </c>
      <c r="C75" s="16">
        <v>474767</v>
      </c>
      <c r="D75" s="17"/>
      <c r="E75" s="16" t="s">
        <v>13</v>
      </c>
      <c r="F75" s="16" t="s">
        <v>181</v>
      </c>
      <c r="G75" s="16" t="s">
        <v>19</v>
      </c>
      <c r="H75" s="18" t="s">
        <v>21</v>
      </c>
      <c r="I75" s="18" t="s">
        <v>186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1</v>
      </c>
      <c r="AF75" s="19">
        <v>2500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22">
        <v>2500</v>
      </c>
      <c r="BN75" s="12">
        <f t="shared" si="2"/>
        <v>2500</v>
      </c>
      <c r="BO75" s="13">
        <f t="shared" si="3"/>
        <v>1750</v>
      </c>
    </row>
    <row r="76" spans="1:67" ht="24">
      <c r="A76" s="5" t="s">
        <v>43</v>
      </c>
      <c r="B76" s="16" t="s">
        <v>171</v>
      </c>
      <c r="C76" s="16">
        <v>474765</v>
      </c>
      <c r="D76" s="17"/>
      <c r="E76" s="16" t="s">
        <v>13</v>
      </c>
      <c r="F76" s="16" t="s">
        <v>35</v>
      </c>
      <c r="G76" s="16" t="s">
        <v>19</v>
      </c>
      <c r="H76" s="18" t="s">
        <v>21</v>
      </c>
      <c r="I76" s="18" t="s">
        <v>172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1</v>
      </c>
      <c r="AF76" s="19">
        <v>2000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22">
        <v>2000</v>
      </c>
      <c r="BN76" s="12">
        <f t="shared" si="2"/>
        <v>2000</v>
      </c>
      <c r="BO76" s="13">
        <f t="shared" si="3"/>
        <v>1400</v>
      </c>
    </row>
    <row r="77" spans="1:67" ht="24">
      <c r="A77" s="5" t="s">
        <v>43</v>
      </c>
      <c r="B77" s="16" t="s">
        <v>132</v>
      </c>
      <c r="C77" s="16">
        <v>467565</v>
      </c>
      <c r="D77" s="17"/>
      <c r="E77" s="16" t="s">
        <v>13</v>
      </c>
      <c r="F77" s="16" t="s">
        <v>133</v>
      </c>
      <c r="G77" s="16" t="s">
        <v>19</v>
      </c>
      <c r="H77" s="18" t="s">
        <v>21</v>
      </c>
      <c r="I77" s="18" t="s">
        <v>127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1</v>
      </c>
      <c r="AF77" s="19">
        <v>2000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22">
        <v>2000</v>
      </c>
      <c r="BN77" s="12">
        <f t="shared" si="2"/>
        <v>2000</v>
      </c>
      <c r="BO77" s="13">
        <f t="shared" si="3"/>
        <v>1400</v>
      </c>
    </row>
    <row r="78" spans="1:67" ht="24">
      <c r="A78" s="5" t="s">
        <v>43</v>
      </c>
      <c r="B78" s="16" t="s">
        <v>168</v>
      </c>
      <c r="C78" s="16">
        <v>457534</v>
      </c>
      <c r="D78" s="17"/>
      <c r="E78" s="16" t="s">
        <v>13</v>
      </c>
      <c r="F78" s="16" t="s">
        <v>31</v>
      </c>
      <c r="G78" s="16" t="s">
        <v>19</v>
      </c>
      <c r="H78" s="18" t="s">
        <v>21</v>
      </c>
      <c r="I78" s="18" t="s">
        <v>169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1</v>
      </c>
      <c r="AR78" s="19">
        <v>2000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22">
        <v>2000</v>
      </c>
      <c r="BN78" s="12">
        <f t="shared" si="2"/>
        <v>2000</v>
      </c>
      <c r="BO78" s="13">
        <f t="shared" si="3"/>
        <v>1400</v>
      </c>
    </row>
    <row r="79" spans="1:67" ht="24">
      <c r="A79" s="5" t="s">
        <v>43</v>
      </c>
      <c r="B79" s="16" t="s">
        <v>206</v>
      </c>
      <c r="C79" s="16">
        <v>472516</v>
      </c>
      <c r="D79" s="17"/>
      <c r="E79" s="16" t="s">
        <v>13</v>
      </c>
      <c r="F79" s="16" t="s">
        <v>207</v>
      </c>
      <c r="G79" s="16" t="s">
        <v>19</v>
      </c>
      <c r="H79" s="18" t="s">
        <v>21</v>
      </c>
      <c r="I79" s="18" t="s">
        <v>208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1</v>
      </c>
      <c r="AF79" s="18">
        <v>0</v>
      </c>
      <c r="AG79" s="18">
        <v>400</v>
      </c>
      <c r="AH79" s="18">
        <v>0</v>
      </c>
      <c r="AI79" s="18">
        <v>0</v>
      </c>
      <c r="AJ79" s="18">
        <v>0</v>
      </c>
      <c r="AK79" s="18">
        <v>1</v>
      </c>
      <c r="AL79" s="18">
        <v>0</v>
      </c>
      <c r="AM79" s="19">
        <v>1600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22">
        <v>2000</v>
      </c>
      <c r="BN79" s="12">
        <f t="shared" si="2"/>
        <v>2000</v>
      </c>
      <c r="BO79" s="13">
        <f t="shared" si="3"/>
        <v>1400</v>
      </c>
    </row>
    <row r="80" spans="1:67" ht="24">
      <c r="A80" s="5" t="s">
        <v>43</v>
      </c>
      <c r="B80" s="16" t="s">
        <v>162</v>
      </c>
      <c r="C80" s="16">
        <v>477493</v>
      </c>
      <c r="D80" s="17"/>
      <c r="E80" s="16" t="s">
        <v>13</v>
      </c>
      <c r="F80" s="16" t="s">
        <v>27</v>
      </c>
      <c r="G80" s="16" t="s">
        <v>19</v>
      </c>
      <c r="H80" s="18" t="s">
        <v>7</v>
      </c>
      <c r="I80" s="18" t="s">
        <v>163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1</v>
      </c>
      <c r="AF80" s="19">
        <v>2000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22">
        <v>2000</v>
      </c>
      <c r="BN80" s="12">
        <f t="shared" si="2"/>
        <v>2000</v>
      </c>
      <c r="BO80" s="13">
        <f t="shared" si="3"/>
        <v>1400</v>
      </c>
    </row>
    <row r="81" spans="1:67" ht="24">
      <c r="A81" s="5" t="s">
        <v>43</v>
      </c>
      <c r="B81" s="16" t="s">
        <v>209</v>
      </c>
      <c r="C81" s="16">
        <v>397687</v>
      </c>
      <c r="D81" s="17"/>
      <c r="E81" s="16" t="s">
        <v>13</v>
      </c>
      <c r="F81" s="16" t="s">
        <v>25</v>
      </c>
      <c r="G81" s="16" t="s">
        <v>15</v>
      </c>
      <c r="H81" s="18" t="s">
        <v>7</v>
      </c>
      <c r="I81" s="18" t="s">
        <v>210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1</v>
      </c>
      <c r="AF81" s="18">
        <v>100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23">
        <v>100</v>
      </c>
      <c r="BN81" s="12">
        <f t="shared" si="2"/>
        <v>100</v>
      </c>
      <c r="BO81" s="13">
        <f t="shared" si="3"/>
        <v>70</v>
      </c>
    </row>
    <row r="82" spans="1:67" ht="24">
      <c r="A82" s="5" t="s">
        <v>43</v>
      </c>
      <c r="B82" s="16" t="s">
        <v>187</v>
      </c>
      <c r="C82" s="16">
        <v>369060</v>
      </c>
      <c r="D82" s="17"/>
      <c r="E82" s="16" t="s">
        <v>13</v>
      </c>
      <c r="F82" s="16" t="s">
        <v>24</v>
      </c>
      <c r="G82" s="16" t="s">
        <v>15</v>
      </c>
      <c r="H82" s="18" t="s">
        <v>7</v>
      </c>
      <c r="I82" s="18" t="s">
        <v>188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1</v>
      </c>
      <c r="AF82" s="18">
        <v>100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23">
        <v>100</v>
      </c>
      <c r="BN82" s="12">
        <f t="shared" si="2"/>
        <v>100</v>
      </c>
      <c r="BO82" s="13">
        <f t="shared" si="3"/>
        <v>70</v>
      </c>
    </row>
    <row r="83" spans="1:67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8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24"/>
      <c r="BO83" s="15">
        <f>SUM(BO2:BO82)</f>
        <v>487235.07</v>
      </c>
    </row>
    <row r="84" spans="1:67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8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24"/>
    </row>
    <row r="85" spans="1:67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8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24"/>
    </row>
    <row r="86" spans="1:67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24"/>
    </row>
    <row r="87" spans="1:67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24"/>
    </row>
    <row r="88" spans="1:67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24"/>
    </row>
    <row r="89" spans="1:67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8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24"/>
    </row>
    <row r="90" spans="1:67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24"/>
    </row>
    <row r="91" spans="1:67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24"/>
    </row>
    <row r="92" spans="1:67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24"/>
    </row>
    <row r="93" spans="1:67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24"/>
    </row>
    <row r="94" spans="1:67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24"/>
    </row>
    <row r="95" spans="1:67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24"/>
    </row>
    <row r="96" spans="1:67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8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24"/>
    </row>
    <row r="97" spans="1:65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8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24"/>
    </row>
    <row r="98" spans="1:65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8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24"/>
    </row>
    <row r="99" spans="1:65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24"/>
    </row>
    <row r="100" spans="1:65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24"/>
    </row>
    <row r="101" spans="1:65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24"/>
    </row>
    <row r="102" spans="1:65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8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24"/>
    </row>
    <row r="103" spans="1:65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24"/>
    </row>
    <row r="104" spans="1:65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24"/>
    </row>
    <row r="105" spans="1:65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24"/>
    </row>
    <row r="106" spans="1:65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25"/>
    </row>
    <row r="107" spans="1:65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25"/>
    </row>
    <row r="108" spans="1:65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25"/>
    </row>
    <row r="109" spans="1:65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25"/>
    </row>
    <row r="110" spans="1:65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25"/>
    </row>
    <row r="111" spans="1:65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25"/>
    </row>
    <row r="112" spans="1:65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25"/>
    </row>
    <row r="113" spans="1:65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25"/>
    </row>
    <row r="114" spans="1:65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25"/>
    </row>
    <row r="115" spans="1:65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25"/>
    </row>
    <row r="116" spans="1:65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25"/>
    </row>
    <row r="117" spans="1:65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25"/>
    </row>
    <row r="118" spans="1:65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25"/>
    </row>
    <row r="119" spans="1:65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25"/>
    </row>
    <row r="120" spans="1:65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8"/>
      <c r="AH120" s="7"/>
      <c r="AI120" s="7"/>
      <c r="AJ120" s="7"/>
      <c r="AK120" s="7"/>
      <c r="AL120" s="8"/>
      <c r="AM120" s="8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9"/>
      <c r="BM120" s="24"/>
    </row>
    <row r="121" spans="1:65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8"/>
      <c r="AD121" s="7"/>
      <c r="AE121" s="7"/>
      <c r="AF121" s="7"/>
      <c r="AG121" s="7"/>
      <c r="AH121" s="7"/>
      <c r="AI121" s="8"/>
      <c r="AJ121" s="7"/>
      <c r="AK121" s="7"/>
      <c r="AL121" s="7"/>
      <c r="AM121" s="7"/>
      <c r="AN121" s="7"/>
      <c r="AO121" s="8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24"/>
    </row>
    <row r="122" spans="1:65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8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9"/>
      <c r="BM122" s="24"/>
    </row>
    <row r="123" spans="1:65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7"/>
      <c r="AH123" s="7"/>
      <c r="AI123" s="7"/>
      <c r="AJ123" s="7"/>
      <c r="AK123" s="7"/>
      <c r="AL123" s="8"/>
      <c r="AM123" s="8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9"/>
      <c r="BM123" s="24"/>
    </row>
    <row r="124" spans="1:65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8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9"/>
      <c r="BM124" s="24"/>
    </row>
    <row r="125" spans="1:65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7"/>
      <c r="AH125" s="7"/>
      <c r="AI125" s="7"/>
      <c r="AJ125" s="7"/>
      <c r="AK125" s="7"/>
      <c r="AL125" s="8"/>
      <c r="AM125" s="7"/>
      <c r="AN125" s="7"/>
      <c r="AO125" s="7"/>
      <c r="AP125" s="7"/>
      <c r="AQ125" s="7"/>
      <c r="AR125" s="8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9"/>
      <c r="BM125" s="24"/>
    </row>
    <row r="126" spans="1:65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8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24"/>
    </row>
    <row r="127" spans="1:65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8"/>
      <c r="AM127" s="8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24"/>
    </row>
    <row r="128" spans="1:65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7"/>
      <c r="AH128" s="7"/>
      <c r="AI128" s="7"/>
      <c r="AJ128" s="7"/>
      <c r="AK128" s="7"/>
      <c r="AL128" s="7"/>
      <c r="AM128" s="8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24"/>
    </row>
    <row r="129" spans="1:65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8"/>
      <c r="AM129" s="7"/>
      <c r="AN129" s="7"/>
      <c r="AO129" s="7"/>
      <c r="AP129" s="7"/>
      <c r="AQ129" s="7"/>
      <c r="AR129" s="8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24"/>
    </row>
    <row r="130" spans="1:65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8"/>
      <c r="AH130" s="7"/>
      <c r="AI130" s="7"/>
      <c r="AJ130" s="7"/>
      <c r="AK130" s="7"/>
      <c r="AL130" s="8"/>
      <c r="AM130" s="8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24"/>
    </row>
    <row r="131" spans="1:65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8"/>
      <c r="AM131" s="8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9"/>
      <c r="BM131" s="24"/>
    </row>
    <row r="132" spans="1:65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8"/>
      <c r="AM132" s="8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24"/>
    </row>
    <row r="133" spans="1:65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8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9"/>
      <c r="BM133" s="24"/>
    </row>
    <row r="134" spans="1:65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8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9"/>
      <c r="BM134" s="24"/>
    </row>
    <row r="135" spans="1:65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8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24"/>
    </row>
    <row r="136" spans="1:65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8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9"/>
      <c r="BM136" s="24"/>
    </row>
    <row r="137" spans="1:65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8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24"/>
    </row>
    <row r="138" spans="1:65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8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24"/>
    </row>
    <row r="139" spans="1:65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8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24"/>
    </row>
    <row r="140" spans="1:65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8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24"/>
    </row>
    <row r="141" spans="1:65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8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24"/>
    </row>
    <row r="142" spans="1:65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8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24"/>
    </row>
    <row r="143" spans="1:65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24"/>
    </row>
    <row r="144" spans="1:65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8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24"/>
    </row>
    <row r="145" spans="1:65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8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24"/>
    </row>
    <row r="146" spans="1:65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8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24"/>
    </row>
    <row r="147" spans="1:65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8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24"/>
    </row>
    <row r="148" spans="1:65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8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24"/>
    </row>
    <row r="149" spans="1:65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25"/>
    </row>
    <row r="150" spans="1:65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25"/>
    </row>
    <row r="151" spans="1:65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25"/>
    </row>
    <row r="152" spans="1:65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25"/>
    </row>
    <row r="153" spans="1:65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25"/>
    </row>
    <row r="154" spans="1:65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24"/>
    </row>
    <row r="155" spans="1:65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24"/>
    </row>
    <row r="156" spans="1:65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24"/>
    </row>
    <row r="157" spans="1:65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8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24"/>
    </row>
    <row r="158" spans="1:65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8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24"/>
    </row>
    <row r="159" spans="1:65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24"/>
    </row>
    <row r="160" spans="1:65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24"/>
    </row>
    <row r="161" spans="1:65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8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24"/>
    </row>
    <row r="162" spans="1:65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24"/>
    </row>
    <row r="163" spans="1:65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24"/>
    </row>
    <row r="164" spans="1:65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24"/>
    </row>
    <row r="165" spans="1:65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24"/>
    </row>
    <row r="166" spans="1:65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8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24"/>
    </row>
    <row r="167" spans="1:65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24"/>
    </row>
    <row r="168" spans="1:65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24"/>
    </row>
    <row r="169" spans="1:65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8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24"/>
    </row>
    <row r="170" spans="1:65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24"/>
    </row>
    <row r="171" spans="1:65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24"/>
    </row>
    <row r="172" spans="1:65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24"/>
    </row>
    <row r="173" spans="1:65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8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24"/>
    </row>
    <row r="174" spans="1:65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24"/>
    </row>
    <row r="175" spans="1:65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8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24"/>
    </row>
    <row r="176" spans="1:65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24"/>
    </row>
    <row r="177" spans="1:65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24"/>
    </row>
    <row r="178" spans="1:65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24"/>
    </row>
    <row r="179" spans="1:65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24"/>
    </row>
    <row r="180" spans="1:65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8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24"/>
    </row>
    <row r="181" spans="1:65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24"/>
    </row>
    <row r="182" spans="1:65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8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24"/>
    </row>
    <row r="183" spans="1:65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24"/>
    </row>
    <row r="184" spans="1:65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8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24"/>
    </row>
    <row r="185" spans="1:65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24"/>
    </row>
    <row r="186" spans="1:65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24"/>
    </row>
    <row r="187" spans="1:65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24"/>
    </row>
    <row r="188" spans="1:65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8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24"/>
    </row>
    <row r="189" spans="1:65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24"/>
    </row>
    <row r="190" spans="1:65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8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24"/>
    </row>
    <row r="191" spans="1:65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8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24"/>
    </row>
    <row r="192" spans="1:65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24"/>
    </row>
    <row r="193" spans="1:65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24"/>
    </row>
    <row r="194" spans="1:65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8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24"/>
    </row>
    <row r="195" spans="1:65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24"/>
    </row>
    <row r="196" spans="1:65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24"/>
    </row>
    <row r="197" spans="1:65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24"/>
    </row>
    <row r="198" spans="1:65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24"/>
    </row>
    <row r="199" spans="1:65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24"/>
    </row>
    <row r="200" spans="1:65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24"/>
    </row>
    <row r="201" spans="1:65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25"/>
    </row>
    <row r="202" spans="1:65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25"/>
    </row>
    <row r="203" spans="1:65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25"/>
    </row>
    <row r="204" spans="1:65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25"/>
    </row>
    <row r="205" spans="1:65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25"/>
    </row>
    <row r="206" spans="1:65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25"/>
    </row>
    <row r="207" spans="1:65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25"/>
    </row>
    <row r="208" spans="1:65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25"/>
    </row>
    <row r="209" spans="1:65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25"/>
    </row>
    <row r="210" spans="1:65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25"/>
    </row>
    <row r="211" spans="1:65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25"/>
    </row>
    <row r="212" spans="1:65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25"/>
    </row>
    <row r="213" spans="1:65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25"/>
    </row>
    <row r="214" spans="1:65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25"/>
    </row>
    <row r="215" spans="1:65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25"/>
    </row>
    <row r="216" spans="1:65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25"/>
    </row>
    <row r="217" spans="1:65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25"/>
    </row>
    <row r="218" spans="1:65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25"/>
    </row>
    <row r="219" spans="1:65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25"/>
    </row>
    <row r="220" spans="1:65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25"/>
    </row>
    <row r="221" spans="1:65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25"/>
    </row>
    <row r="222" spans="1:65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25"/>
    </row>
    <row r="223" spans="1:65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25"/>
    </row>
    <row r="224" spans="1:65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25"/>
    </row>
    <row r="225" spans="1:65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25"/>
    </row>
    <row r="226" spans="1:65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25"/>
    </row>
    <row r="227" spans="1:65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25"/>
    </row>
    <row r="228" spans="1:65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25"/>
    </row>
    <row r="229" spans="1:65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8"/>
      <c r="L229" s="8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8"/>
      <c r="AF229" s="8"/>
      <c r="AG229" s="8"/>
      <c r="AH229" s="7"/>
      <c r="AI229" s="7"/>
      <c r="AJ229" s="7"/>
      <c r="AK229" s="8"/>
      <c r="AL229" s="8"/>
      <c r="AM229" s="8"/>
      <c r="AN229" s="7"/>
      <c r="AO229" s="7"/>
      <c r="AP229" s="7"/>
      <c r="AQ229" s="8"/>
      <c r="AR229" s="8"/>
      <c r="AS229" s="8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9"/>
      <c r="BM229" s="24"/>
    </row>
    <row r="230" spans="1:65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8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8"/>
      <c r="AF230" s="8"/>
      <c r="AG230" s="8"/>
      <c r="AH230" s="7"/>
      <c r="AI230" s="7"/>
      <c r="AJ230" s="7"/>
      <c r="AK230" s="8"/>
      <c r="AL230" s="8"/>
      <c r="AM230" s="8"/>
      <c r="AN230" s="7"/>
      <c r="AO230" s="7"/>
      <c r="AP230" s="7"/>
      <c r="AQ230" s="7"/>
      <c r="AR230" s="8"/>
      <c r="AS230" s="8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9"/>
      <c r="BM230" s="24"/>
    </row>
    <row r="231" spans="1:65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8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8"/>
      <c r="AF231" s="8"/>
      <c r="AG231" s="8"/>
      <c r="AH231" s="7"/>
      <c r="AI231" s="7"/>
      <c r="AJ231" s="7"/>
      <c r="AK231" s="8"/>
      <c r="AL231" s="8"/>
      <c r="AM231" s="8"/>
      <c r="AN231" s="7"/>
      <c r="AO231" s="7"/>
      <c r="AP231" s="7"/>
      <c r="AQ231" s="8"/>
      <c r="AR231" s="8"/>
      <c r="AS231" s="8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9"/>
      <c r="BM231" s="24"/>
    </row>
    <row r="232" spans="1:65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8"/>
      <c r="AF232" s="8"/>
      <c r="AG232" s="8"/>
      <c r="AH232" s="7"/>
      <c r="AI232" s="7"/>
      <c r="AJ232" s="7"/>
      <c r="AK232" s="8"/>
      <c r="AL232" s="8"/>
      <c r="AM232" s="8"/>
      <c r="AN232" s="7"/>
      <c r="AO232" s="7"/>
      <c r="AP232" s="7"/>
      <c r="AQ232" s="8"/>
      <c r="AR232" s="8"/>
      <c r="AS232" s="8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9"/>
      <c r="BM232" s="24"/>
    </row>
    <row r="233" spans="1:65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8"/>
      <c r="AH233" s="7"/>
      <c r="AI233" s="7"/>
      <c r="AJ233" s="7"/>
      <c r="AK233" s="7"/>
      <c r="AL233" s="8"/>
      <c r="AM233" s="8"/>
      <c r="AN233" s="7"/>
      <c r="AO233" s="7"/>
      <c r="AP233" s="7"/>
      <c r="AQ233" s="7"/>
      <c r="AR233" s="8"/>
      <c r="AS233" s="8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9"/>
      <c r="BM233" s="24"/>
    </row>
    <row r="234" spans="1:65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8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8"/>
      <c r="AF234" s="8"/>
      <c r="AG234" s="8"/>
      <c r="AH234" s="7"/>
      <c r="AI234" s="7"/>
      <c r="AJ234" s="7"/>
      <c r="AK234" s="8"/>
      <c r="AL234" s="8"/>
      <c r="AM234" s="8"/>
      <c r="AN234" s="7"/>
      <c r="AO234" s="7"/>
      <c r="AP234" s="7"/>
      <c r="AQ234" s="7"/>
      <c r="AR234" s="8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9"/>
      <c r="BM234" s="24"/>
    </row>
    <row r="235" spans="1:65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8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8"/>
      <c r="AF235" s="8"/>
      <c r="AG235" s="8"/>
      <c r="AH235" s="7"/>
      <c r="AI235" s="7"/>
      <c r="AJ235" s="7"/>
      <c r="AK235" s="8"/>
      <c r="AL235" s="8"/>
      <c r="AM235" s="8"/>
      <c r="AN235" s="7"/>
      <c r="AO235" s="7"/>
      <c r="AP235" s="7"/>
      <c r="AQ235" s="7"/>
      <c r="AR235" s="8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9"/>
      <c r="BM235" s="24"/>
    </row>
    <row r="236" spans="1:65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8"/>
      <c r="AF236" s="8"/>
      <c r="AG236" s="8"/>
      <c r="AH236" s="7"/>
      <c r="AI236" s="7"/>
      <c r="AJ236" s="7"/>
      <c r="AK236" s="8"/>
      <c r="AL236" s="8"/>
      <c r="AM236" s="8"/>
      <c r="AN236" s="7"/>
      <c r="AO236" s="7"/>
      <c r="AP236" s="7"/>
      <c r="AQ236" s="7"/>
      <c r="AR236" s="8"/>
      <c r="AS236" s="8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9"/>
      <c r="BM236" s="24"/>
    </row>
    <row r="237" spans="1:65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8"/>
      <c r="L237" s="8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8"/>
      <c r="AF237" s="8"/>
      <c r="AG237" s="8"/>
      <c r="AH237" s="7"/>
      <c r="AI237" s="7"/>
      <c r="AJ237" s="7"/>
      <c r="AK237" s="8"/>
      <c r="AL237" s="8"/>
      <c r="AM237" s="8"/>
      <c r="AN237" s="7"/>
      <c r="AO237" s="7"/>
      <c r="AP237" s="7"/>
      <c r="AQ237" s="7"/>
      <c r="AR237" s="8"/>
      <c r="AS237" s="8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9"/>
      <c r="BM237" s="24"/>
    </row>
    <row r="238" spans="1:65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8"/>
      <c r="AF238" s="8"/>
      <c r="AG238" s="8"/>
      <c r="AH238" s="7"/>
      <c r="AI238" s="7"/>
      <c r="AJ238" s="7"/>
      <c r="AK238" s="8"/>
      <c r="AL238" s="8"/>
      <c r="AM238" s="8"/>
      <c r="AN238" s="7"/>
      <c r="AO238" s="7"/>
      <c r="AP238" s="7"/>
      <c r="AQ238" s="7"/>
      <c r="AR238" s="8"/>
      <c r="AS238" s="8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9"/>
      <c r="BM238" s="24"/>
    </row>
    <row r="239" spans="1:65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8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8"/>
      <c r="AF239" s="8"/>
      <c r="AG239" s="8"/>
      <c r="AH239" s="7"/>
      <c r="AI239" s="7"/>
      <c r="AJ239" s="7"/>
      <c r="AK239" s="8"/>
      <c r="AL239" s="8"/>
      <c r="AM239" s="8"/>
      <c r="AN239" s="7"/>
      <c r="AO239" s="7"/>
      <c r="AP239" s="7"/>
      <c r="AQ239" s="7"/>
      <c r="AR239" s="8"/>
      <c r="AS239" s="8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9"/>
      <c r="BM239" s="24"/>
    </row>
    <row r="240" spans="1:65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8"/>
      <c r="AG240" s="8"/>
      <c r="AH240" s="7"/>
      <c r="AI240" s="7"/>
      <c r="AJ240" s="7"/>
      <c r="AK240" s="8"/>
      <c r="AL240" s="8"/>
      <c r="AM240" s="8"/>
      <c r="AN240" s="7"/>
      <c r="AO240" s="7"/>
      <c r="AP240" s="7"/>
      <c r="AQ240" s="7"/>
      <c r="AR240" s="8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9"/>
      <c r="BM240" s="24"/>
    </row>
    <row r="241" spans="1:65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8"/>
      <c r="AG241" s="8"/>
      <c r="AH241" s="7"/>
      <c r="AI241" s="7"/>
      <c r="AJ241" s="7"/>
      <c r="AK241" s="7"/>
      <c r="AL241" s="8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9"/>
      <c r="BM241" s="24"/>
    </row>
    <row r="242" spans="1:65">
      <c r="A242" s="5"/>
      <c r="B242" s="5"/>
      <c r="C242" s="5"/>
      <c r="D242" s="6"/>
      <c r="E242" s="5"/>
      <c r="F242" s="5"/>
      <c r="G242" s="5"/>
      <c r="H242" s="7"/>
      <c r="I242" s="7"/>
      <c r="J242" s="8"/>
      <c r="K242" s="7"/>
      <c r="L242" s="8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8"/>
      <c r="AH242" s="7"/>
      <c r="AI242" s="7"/>
      <c r="AJ242" s="7"/>
      <c r="AK242" s="7"/>
      <c r="AL242" s="8"/>
      <c r="AM242" s="8"/>
      <c r="AN242" s="7"/>
      <c r="AO242" s="7"/>
      <c r="AP242" s="7"/>
      <c r="AQ242" s="7"/>
      <c r="AR242" s="8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9"/>
      <c r="BM242" s="24"/>
    </row>
    <row r="243" spans="1:65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8"/>
      <c r="AM243" s="8"/>
      <c r="AN243" s="7"/>
      <c r="AO243" s="7"/>
      <c r="AP243" s="7"/>
      <c r="AQ243" s="7"/>
      <c r="AR243" s="8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9"/>
      <c r="BM243" s="24"/>
    </row>
    <row r="244" spans="1:65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7"/>
      <c r="AH244" s="7"/>
      <c r="AI244" s="7"/>
      <c r="AJ244" s="7"/>
      <c r="AK244" s="7"/>
      <c r="AL244" s="8"/>
      <c r="AM244" s="8"/>
      <c r="AN244" s="7"/>
      <c r="AO244" s="7"/>
      <c r="AP244" s="7"/>
      <c r="AQ244" s="7"/>
      <c r="AR244" s="8"/>
      <c r="AS244" s="8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9"/>
      <c r="BM244" s="24"/>
    </row>
    <row r="245" spans="1:65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8"/>
      <c r="AH245" s="7"/>
      <c r="AI245" s="7"/>
      <c r="AJ245" s="7"/>
      <c r="AK245" s="7"/>
      <c r="AL245" s="8"/>
      <c r="AM245" s="8"/>
      <c r="AN245" s="7"/>
      <c r="AO245" s="7"/>
      <c r="AP245" s="7"/>
      <c r="AQ245" s="7"/>
      <c r="AR245" s="8"/>
      <c r="AS245" s="8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9"/>
      <c r="BM245" s="24"/>
    </row>
    <row r="246" spans="1:65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8"/>
      <c r="AJ246" s="8"/>
      <c r="AK246" s="7"/>
      <c r="AL246" s="7"/>
      <c r="AM246" s="7"/>
      <c r="AN246" s="7"/>
      <c r="AO246" s="7"/>
      <c r="AP246" s="7"/>
      <c r="AQ246" s="7"/>
      <c r="AR246" s="8"/>
      <c r="AS246" s="8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9"/>
      <c r="BM246" s="24"/>
    </row>
    <row r="247" spans="1:65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8"/>
      <c r="AM247" s="8"/>
      <c r="AN247" s="7"/>
      <c r="AO247" s="7"/>
      <c r="AP247" s="7"/>
      <c r="AQ247" s="7"/>
      <c r="AR247" s="8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9"/>
      <c r="BM247" s="24"/>
    </row>
    <row r="248" spans="1:65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8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8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24"/>
    </row>
    <row r="249" spans="1:65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8"/>
      <c r="AM249" s="7"/>
      <c r="AN249" s="7"/>
      <c r="AO249" s="7"/>
      <c r="AP249" s="7"/>
      <c r="AQ249" s="7"/>
      <c r="AR249" s="8"/>
      <c r="AS249" s="8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9"/>
      <c r="BM249" s="24"/>
    </row>
    <row r="250" spans="1:65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8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24"/>
    </row>
    <row r="251" spans="1:65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8"/>
      <c r="AM251" s="7"/>
      <c r="AN251" s="7"/>
      <c r="AO251" s="7"/>
      <c r="AP251" s="7"/>
      <c r="AQ251" s="7"/>
      <c r="AR251" s="8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9"/>
      <c r="BM251" s="24"/>
    </row>
    <row r="252" spans="1:65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8"/>
      <c r="AM252" s="7"/>
      <c r="AN252" s="7"/>
      <c r="AO252" s="7"/>
      <c r="AP252" s="7"/>
      <c r="AQ252" s="7"/>
      <c r="AR252" s="8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9"/>
      <c r="BM252" s="24"/>
    </row>
    <row r="253" spans="1:65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8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24"/>
    </row>
    <row r="254" spans="1:65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8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9"/>
      <c r="BM254" s="24"/>
    </row>
    <row r="255" spans="1:65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8"/>
      <c r="AM255" s="8"/>
      <c r="AN255" s="7"/>
      <c r="AO255" s="7"/>
      <c r="AP255" s="7"/>
      <c r="AQ255" s="7"/>
      <c r="AR255" s="8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9"/>
      <c r="BM255" s="24"/>
    </row>
    <row r="256" spans="1:65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8"/>
      <c r="AH256" s="7"/>
      <c r="AI256" s="7"/>
      <c r="AJ256" s="7"/>
      <c r="AK256" s="7"/>
      <c r="AL256" s="8"/>
      <c r="AM256" s="8"/>
      <c r="AN256" s="7"/>
      <c r="AO256" s="7"/>
      <c r="AP256" s="7"/>
      <c r="AQ256" s="7"/>
      <c r="AR256" s="8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9"/>
      <c r="BM256" s="24"/>
    </row>
    <row r="257" spans="1:65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8"/>
      <c r="AM257" s="7"/>
      <c r="AN257" s="7"/>
      <c r="AO257" s="7"/>
      <c r="AP257" s="7"/>
      <c r="AQ257" s="7"/>
      <c r="AR257" s="8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9"/>
      <c r="BM257" s="24"/>
    </row>
    <row r="258" spans="1:65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8"/>
      <c r="AM258" s="7"/>
      <c r="AN258" s="7"/>
      <c r="AO258" s="7"/>
      <c r="AP258" s="7"/>
      <c r="AQ258" s="7"/>
      <c r="AR258" s="8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9"/>
      <c r="BM258" s="24"/>
    </row>
    <row r="259" spans="1:65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8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9"/>
      <c r="BM259" s="24"/>
    </row>
    <row r="260" spans="1:65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8"/>
      <c r="AH260" s="7"/>
      <c r="AI260" s="7"/>
      <c r="AJ260" s="7"/>
      <c r="AK260" s="7"/>
      <c r="AL260" s="8"/>
      <c r="AM260" s="8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9"/>
      <c r="BM260" s="24"/>
    </row>
    <row r="261" spans="1:65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8"/>
      <c r="AH261" s="7"/>
      <c r="AI261" s="7"/>
      <c r="AJ261" s="7"/>
      <c r="AK261" s="7"/>
      <c r="AL261" s="8"/>
      <c r="AM261" s="8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24"/>
    </row>
    <row r="262" spans="1:65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8"/>
      <c r="AM262" s="8"/>
      <c r="AN262" s="7"/>
      <c r="AO262" s="7"/>
      <c r="AP262" s="7"/>
      <c r="AQ262" s="7"/>
      <c r="AR262" s="8"/>
      <c r="AS262" s="8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9"/>
      <c r="BM262" s="24"/>
    </row>
    <row r="263" spans="1:65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8"/>
      <c r="AH263" s="7"/>
      <c r="AI263" s="7"/>
      <c r="AJ263" s="7"/>
      <c r="AK263" s="7"/>
      <c r="AL263" s="8"/>
      <c r="AM263" s="8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9"/>
      <c r="BM263" s="24"/>
    </row>
    <row r="264" spans="1:65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8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9"/>
      <c r="BM264" s="24"/>
    </row>
    <row r="265" spans="1:65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24"/>
    </row>
    <row r="266" spans="1:65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8"/>
      <c r="AM266" s="7"/>
      <c r="AN266" s="7"/>
      <c r="AO266" s="7"/>
      <c r="AP266" s="7"/>
      <c r="AQ266" s="7"/>
      <c r="AR266" s="8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9"/>
      <c r="BM266" s="24"/>
    </row>
    <row r="267" spans="1:65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8"/>
      <c r="AM267" s="8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9"/>
      <c r="BM267" s="24"/>
    </row>
    <row r="268" spans="1:65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8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9"/>
      <c r="BM268" s="24"/>
    </row>
    <row r="269" spans="1:65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8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24"/>
    </row>
    <row r="270" spans="1:65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8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24"/>
    </row>
    <row r="271" spans="1:65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8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9"/>
      <c r="BM271" s="24"/>
    </row>
    <row r="272" spans="1:65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24"/>
    </row>
    <row r="273" spans="1:65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8"/>
      <c r="AM273" s="8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9"/>
      <c r="BM273" s="24"/>
    </row>
    <row r="274" spans="1:65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8"/>
      <c r="AM274" s="8"/>
      <c r="AN274" s="7"/>
      <c r="AO274" s="7"/>
      <c r="AP274" s="7"/>
      <c r="AQ274" s="7"/>
      <c r="AR274" s="8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24"/>
    </row>
    <row r="275" spans="1:65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8"/>
      <c r="AJ275" s="7"/>
      <c r="AK275" s="7"/>
      <c r="AL275" s="8"/>
      <c r="AM275" s="7"/>
      <c r="AN275" s="7"/>
      <c r="AO275" s="8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9"/>
      <c r="BM275" s="24"/>
    </row>
    <row r="276" spans="1:65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8"/>
      <c r="AM276" s="8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9"/>
      <c r="BM276" s="24"/>
    </row>
    <row r="277" spans="1:65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7"/>
      <c r="AI277" s="7"/>
      <c r="AJ277" s="7"/>
      <c r="AK277" s="7"/>
      <c r="AL277" s="8"/>
      <c r="AM277" s="7"/>
      <c r="AN277" s="7"/>
      <c r="AO277" s="7"/>
      <c r="AP277" s="7"/>
      <c r="AQ277" s="7"/>
      <c r="AR277" s="8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9"/>
      <c r="BM277" s="24"/>
    </row>
    <row r="278" spans="1:65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8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9"/>
      <c r="BM278" s="24"/>
    </row>
    <row r="279" spans="1:65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8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24"/>
    </row>
    <row r="280" spans="1:65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8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9"/>
      <c r="BM280" s="24"/>
    </row>
    <row r="281" spans="1:65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8"/>
      <c r="AS281" s="8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24"/>
    </row>
    <row r="282" spans="1:65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8"/>
      <c r="AM282" s="8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9"/>
      <c r="BM282" s="24"/>
    </row>
    <row r="283" spans="1:65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8"/>
      <c r="AM283" s="8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9"/>
      <c r="BM283" s="24"/>
    </row>
    <row r="284" spans="1:65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7"/>
      <c r="AH284" s="7"/>
      <c r="AI284" s="7"/>
      <c r="AJ284" s="7"/>
      <c r="AK284" s="7"/>
      <c r="AL284" s="7"/>
      <c r="AM284" s="8"/>
      <c r="AN284" s="7"/>
      <c r="AO284" s="7"/>
      <c r="AP284" s="7"/>
      <c r="AQ284" s="7"/>
      <c r="AR284" s="8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24"/>
    </row>
    <row r="285" spans="1:65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8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9"/>
      <c r="BM285" s="24"/>
    </row>
    <row r="286" spans="1:65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8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9"/>
      <c r="BM286" s="24"/>
    </row>
    <row r="287" spans="1:65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8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9"/>
      <c r="BM287" s="24"/>
    </row>
    <row r="288" spans="1:65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8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24"/>
    </row>
    <row r="289" spans="1:65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7"/>
      <c r="AH289" s="7"/>
      <c r="AI289" s="7"/>
      <c r="AJ289" s="7"/>
      <c r="AK289" s="7"/>
      <c r="AL289" s="8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9"/>
      <c r="BM289" s="24"/>
    </row>
    <row r="290" spans="1:65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8"/>
      <c r="AN290" s="7"/>
      <c r="AO290" s="7"/>
      <c r="AP290" s="7"/>
      <c r="AQ290" s="7"/>
      <c r="AR290" s="8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24"/>
    </row>
    <row r="291" spans="1:65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7"/>
      <c r="AH291" s="7"/>
      <c r="AI291" s="7"/>
      <c r="AJ291" s="7"/>
      <c r="AK291" s="7"/>
      <c r="AL291" s="8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24"/>
    </row>
    <row r="292" spans="1:65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8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9"/>
      <c r="BM292" s="24"/>
    </row>
    <row r="293" spans="1:65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8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24"/>
    </row>
    <row r="294" spans="1:65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8"/>
      <c r="AG294" s="8"/>
      <c r="AH294" s="7"/>
      <c r="AI294" s="7"/>
      <c r="AJ294" s="7"/>
      <c r="AK294" s="7"/>
      <c r="AL294" s="8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24"/>
    </row>
    <row r="295" spans="1:65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8"/>
      <c r="AM295" s="7"/>
      <c r="AN295" s="7"/>
      <c r="AO295" s="7"/>
      <c r="AP295" s="7"/>
      <c r="AQ295" s="7"/>
      <c r="AR295" s="8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24"/>
    </row>
    <row r="296" spans="1:65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8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9"/>
      <c r="BM296" s="24"/>
    </row>
    <row r="297" spans="1:65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8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9"/>
      <c r="BM297" s="24"/>
    </row>
    <row r="298" spans="1:65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8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8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24"/>
    </row>
    <row r="299" spans="1:65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7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24"/>
    </row>
    <row r="300" spans="1:65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8"/>
      <c r="AG300" s="7"/>
      <c r="AH300" s="7"/>
      <c r="AI300" s="7"/>
      <c r="AJ300" s="7"/>
      <c r="AK300" s="7"/>
      <c r="AL300" s="8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24"/>
    </row>
    <row r="301" spans="1:65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8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9"/>
      <c r="BM301" s="24"/>
    </row>
    <row r="302" spans="1:65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8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24"/>
    </row>
    <row r="303" spans="1:65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8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24"/>
    </row>
    <row r="304" spans="1:65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8"/>
      <c r="AH304" s="7"/>
      <c r="AI304" s="7"/>
      <c r="AJ304" s="7"/>
      <c r="AK304" s="7"/>
      <c r="AL304" s="7"/>
      <c r="AM304" s="8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24"/>
    </row>
    <row r="305" spans="1:65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8"/>
      <c r="AH305" s="7"/>
      <c r="AI305" s="7"/>
      <c r="AJ305" s="7"/>
      <c r="AK305" s="7"/>
      <c r="AL305" s="7"/>
      <c r="AM305" s="8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24"/>
    </row>
    <row r="306" spans="1:65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8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24"/>
    </row>
    <row r="307" spans="1:65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8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24"/>
    </row>
    <row r="308" spans="1:65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9"/>
      <c r="BM308" s="24"/>
    </row>
    <row r="309" spans="1:65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8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24"/>
    </row>
    <row r="310" spans="1:65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8"/>
      <c r="AM310" s="8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24"/>
    </row>
    <row r="311" spans="1:65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8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24"/>
    </row>
    <row r="312" spans="1:65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24"/>
    </row>
    <row r="313" spans="1:65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8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24"/>
    </row>
    <row r="314" spans="1:65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8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24"/>
    </row>
    <row r="315" spans="1:65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8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24"/>
    </row>
    <row r="316" spans="1:65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8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24"/>
    </row>
    <row r="317" spans="1:65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8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24"/>
    </row>
    <row r="318" spans="1:65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8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24"/>
    </row>
    <row r="319" spans="1:65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24"/>
    </row>
    <row r="320" spans="1:65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8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24"/>
    </row>
    <row r="321" spans="1:65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8"/>
      <c r="AH321" s="7"/>
      <c r="AI321" s="7"/>
      <c r="AJ321" s="7"/>
      <c r="AK321" s="7"/>
      <c r="AL321" s="7"/>
      <c r="AM321" s="8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24"/>
    </row>
    <row r="322" spans="1:65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24"/>
    </row>
    <row r="323" spans="1:65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8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24"/>
    </row>
    <row r="324" spans="1:65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8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24"/>
    </row>
    <row r="325" spans="1:65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8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24"/>
    </row>
    <row r="326" spans="1:65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8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24"/>
    </row>
    <row r="327" spans="1:65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24"/>
    </row>
    <row r="328" spans="1:65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8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24"/>
    </row>
    <row r="329" spans="1:65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8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24"/>
    </row>
    <row r="330" spans="1:65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7"/>
      <c r="AH330" s="7"/>
      <c r="AI330" s="7"/>
      <c r="AJ330" s="7"/>
      <c r="AK330" s="7"/>
      <c r="AL330" s="7"/>
      <c r="AM330" s="8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24"/>
    </row>
    <row r="331" spans="1:65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7"/>
      <c r="AH331" s="7"/>
      <c r="AI331" s="7"/>
      <c r="AJ331" s="7"/>
      <c r="AK331" s="7"/>
      <c r="AL331" s="7"/>
      <c r="AM331" s="8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24"/>
    </row>
    <row r="332" spans="1:65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24"/>
    </row>
    <row r="333" spans="1:65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24"/>
    </row>
    <row r="334" spans="1:65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24"/>
    </row>
    <row r="335" spans="1:65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24"/>
    </row>
    <row r="336" spans="1:65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24"/>
    </row>
    <row r="337" spans="1:65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24"/>
    </row>
    <row r="338" spans="1:65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8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24"/>
    </row>
    <row r="339" spans="1:65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24"/>
    </row>
    <row r="340" spans="1:65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24"/>
    </row>
    <row r="341" spans="1:65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24"/>
    </row>
    <row r="342" spans="1:65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24"/>
    </row>
    <row r="343" spans="1:65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8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24"/>
    </row>
    <row r="344" spans="1:65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25"/>
    </row>
    <row r="345" spans="1:65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25"/>
    </row>
    <row r="346" spans="1:65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25"/>
    </row>
    <row r="347" spans="1:65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25"/>
    </row>
    <row r="348" spans="1:65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25"/>
    </row>
    <row r="349" spans="1:65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25"/>
    </row>
    <row r="350" spans="1:65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25"/>
    </row>
    <row r="351" spans="1:65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25"/>
    </row>
    <row r="352" spans="1:65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25"/>
    </row>
    <row r="353" spans="1:65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25"/>
    </row>
    <row r="354" spans="1:65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25"/>
    </row>
    <row r="355" spans="1:65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25"/>
    </row>
    <row r="356" spans="1:65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25"/>
    </row>
    <row r="357" spans="1:65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25"/>
    </row>
    <row r="358" spans="1:65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25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2023-01-03T08:04:27Z</dcterms:modified>
</cp:coreProperties>
</file>