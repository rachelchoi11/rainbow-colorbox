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네이버\"/>
    </mc:Choice>
  </mc:AlternateContent>
  <bookViews>
    <workbookView xWindow="0" yWindow="0" windowWidth="23040" windowHeight="8955" tabRatio="766"/>
  </bookViews>
  <sheets>
    <sheet name="합계(12)" sheetId="412" r:id="rId1"/>
  </sheets>
  <definedNames>
    <definedName name="_xlnm._FilterDatabase" localSheetId="0" hidden="1">'합계(12)'!$A$1:$BQ$32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BO80" i="412" l="1"/>
  <c r="BN79" i="412"/>
  <c r="BO79" i="412" s="1"/>
  <c r="BN78" i="412"/>
  <c r="BO78" i="412" s="1"/>
  <c r="BN77" i="412"/>
  <c r="BO77" i="412" s="1"/>
  <c r="BO76" i="412"/>
  <c r="BN76" i="412"/>
  <c r="BN75" i="412"/>
  <c r="BO75" i="412" s="1"/>
  <c r="BN74" i="412"/>
  <c r="BO74" i="412" s="1"/>
  <c r="BN73" i="412"/>
  <c r="BO73" i="412" s="1"/>
  <c r="BO72" i="412"/>
  <c r="BN72" i="412"/>
  <c r="BN71" i="412"/>
  <c r="BO71" i="412" s="1"/>
  <c r="BN70" i="412"/>
  <c r="BO70" i="412" s="1"/>
  <c r="BN69" i="412"/>
  <c r="BO69" i="412" s="1"/>
  <c r="BO68" i="412"/>
  <c r="BN68" i="412"/>
  <c r="BN67" i="412"/>
  <c r="BO67" i="412" s="1"/>
  <c r="BN66" i="412"/>
  <c r="BO66" i="412" s="1"/>
  <c r="BN65" i="412" l="1"/>
  <c r="BO65" i="412" s="1"/>
  <c r="BN64" i="412" l="1"/>
  <c r="BO64" i="412" s="1"/>
  <c r="BN33" i="412" l="1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32" i="412"/>
  <c r="BO32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2" i="412"/>
  <c r="BO2" i="412" s="1"/>
</calcChain>
</file>

<file path=xl/sharedStrings.xml><?xml version="1.0" encoding="utf-8"?>
<sst xmlns="http://schemas.openxmlformats.org/spreadsheetml/2006/main" count="615" uniqueCount="178">
  <si>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</si>
  <si>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</si>
  <si>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</si>
  <si>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</si>
  <si>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</si>
  <si>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</si>
  <si>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</si>
  <si>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</si>
  <si>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</si>
  <si>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</si>
  <si>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합계</t>
  </si>
  <si>
    <t>앱마켓수수료</t>
  </si>
  <si>
    <t>2022.03.16</t>
  </si>
  <si>
    <t>시리즈(APP)</t>
    <phoneticPr fontId="20" type="noConversion"/>
  </si>
  <si>
    <t>시리즈 완전판(APP)</t>
    <phoneticPr fontId="20" type="noConversion"/>
  </si>
  <si>
    <t>시리즈(iOS)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</si>
  <si>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</si>
  <si>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</si>
  <si>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</si>
  <si>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</si>
  <si>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</si>
  <si>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</si>
  <si>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</si>
  <si>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</si>
  <si>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</si>
  <si>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</si>
  <si>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</si>
  <si>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</si>
  <si>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</si>
  <si>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</si>
  <si>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</si>
  <si>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</si>
  <si>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</si>
  <si>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</si>
  <si>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</si>
  <si>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</si>
  <si>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</si>
  <si>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</si>
  <si>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</si>
  <si>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</si>
  <si>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</si>
  <si>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</si>
  <si>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</si>
  <si>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</si>
  <si>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</si>
  <si>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</si>
  <si>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</si>
  <si>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</si>
  <si>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</si>
  <si>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</si>
  <si>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</si>
  <si>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</si>
  <si>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</si>
  <si>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</si>
  <si>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</si>
  <si>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</si>
  <si>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</si>
  <si>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</si>
  <si>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</si>
  <si>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</si>
  <si>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</si>
  <si>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</si>
  <si>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</si>
  <si>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</si>
  <si>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</si>
  <si>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</si>
  <si>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</si>
  <si>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</si>
  <si>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</si>
  <si>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</si>
  <si>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</si>
  <si>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</si>
  <si>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</si>
  <si>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</si>
  <si>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2022.09.02</t>
  </si>
  <si>
    <t>별빛 아래 우리</t>
  </si>
  <si>
    <t>스토리위즈_만화</t>
  </si>
  <si>
    <t>건일</t>
  </si>
  <si>
    <t>스토리위즈</t>
  </si>
  <si>
    <t>가출천사 육성계약</t>
  </si>
  <si>
    <t>Bae.C, 조우</t>
  </si>
  <si>
    <t>악역이지만, 남주는 꼬시지 않아요</t>
  </si>
  <si>
    <t>kuri</t>
  </si>
  <si>
    <t>공주전쟁</t>
  </si>
  <si>
    <t>Luojie</t>
  </si>
  <si>
    <t>폐하, 옥체 보존하세요!</t>
  </si>
  <si>
    <t>IvyeqianheXyouzhijiaozi</t>
  </si>
  <si>
    <t>2020.07.13</t>
  </si>
  <si>
    <t>개천고 세계편</t>
  </si>
  <si>
    <t>채준</t>
  </si>
  <si>
    <t>2022.05.02</t>
  </si>
  <si>
    <t>최애에게 들켜버렸다</t>
  </si>
  <si>
    <t>Lv</t>
  </si>
  <si>
    <t>결혼전쟁</t>
  </si>
  <si>
    <t>성c네</t>
  </si>
  <si>
    <t>2018.09.30</t>
  </si>
  <si>
    <t>이세계 소환은 두 번째라구요</t>
  </si>
  <si>
    <t>Arashiyama</t>
  </si>
  <si>
    <t>2021.07.23</t>
  </si>
  <si>
    <t>계약연애, 오늘부터 1일</t>
  </si>
  <si>
    <t>원기공장</t>
  </si>
  <si>
    <t>2019.03.11</t>
  </si>
  <si>
    <t>그남자의 사랑방식 [BL]</t>
  </si>
  <si>
    <t>원색동만</t>
  </si>
  <si>
    <t>2020.02.01</t>
  </si>
  <si>
    <t>역전의★샤이닝스타</t>
  </si>
  <si>
    <t>등광&amp;낙생</t>
  </si>
  <si>
    <t>2018.12.15</t>
  </si>
  <si>
    <t>마스코마스코 [독점]</t>
  </si>
  <si>
    <t>남정훈</t>
  </si>
  <si>
    <t>2021.10.25</t>
  </si>
  <si>
    <t>요괴님은 수련중</t>
  </si>
  <si>
    <t>망북</t>
  </si>
  <si>
    <t>보스 오빠, 살살!</t>
  </si>
  <si>
    <t>웹티, 올코</t>
  </si>
  <si>
    <t>2021.12.04</t>
  </si>
  <si>
    <t>달콤한 결혼</t>
  </si>
  <si>
    <t>낙신동만</t>
  </si>
  <si>
    <t>2019.02.10</t>
  </si>
  <si>
    <t>폭군의 눈물</t>
  </si>
  <si>
    <t>Ice×FANFAN COMIC</t>
  </si>
  <si>
    <t>백스테이지 키스신</t>
  </si>
  <si>
    <t>수정과</t>
  </si>
  <si>
    <t>2019.12.07</t>
  </si>
  <si>
    <t>커피여우 김삼월</t>
  </si>
  <si>
    <t>A.Noa, RK Studio</t>
  </si>
  <si>
    <t>천년의 사랑</t>
  </si>
  <si>
    <t>2019.10.05</t>
  </si>
  <si>
    <t>내 남편의 스토커</t>
  </si>
  <si>
    <t>혜원</t>
  </si>
  <si>
    <t>예쁜 남자 잘생긴 여자</t>
  </si>
  <si>
    <t>웹티,올코</t>
  </si>
  <si>
    <t>2020.08.24</t>
  </si>
  <si>
    <t>달콤한 그와 결혼했습니다</t>
  </si>
  <si>
    <t>2020.05.25</t>
  </si>
  <si>
    <t>사랑을 찾아서</t>
  </si>
  <si>
    <t>웹툰TV</t>
  </si>
  <si>
    <t>2020.04.01</t>
  </si>
  <si>
    <t>웹툰앤엔드(IOS)</t>
    <phoneticPr fontId="20" type="noConversion"/>
  </si>
  <si>
    <t>2022.09.21</t>
  </si>
  <si>
    <t>윤's 커피</t>
  </si>
  <si>
    <t>올코,세븐영</t>
  </si>
  <si>
    <t>웹툰앤엔드APP</t>
    <phoneticPr fontId="20" type="noConversion"/>
  </si>
  <si>
    <t>출판사</t>
    <phoneticPr fontId="20" type="noConversion"/>
  </si>
  <si>
    <t>작가 CP</t>
    <phoneticPr fontId="20" type="noConversion"/>
  </si>
  <si>
    <t>옹주의 호위무사</t>
  </si>
  <si>
    <t>수국</t>
  </si>
  <si>
    <t>2022.10.17</t>
  </si>
  <si>
    <t>일월성신</t>
  </si>
  <si>
    <t>이름표</t>
  </si>
  <si>
    <t>지금은 여장중!</t>
  </si>
  <si>
    <t>CF·성C네</t>
  </si>
  <si>
    <t>2019.09.14</t>
  </si>
  <si>
    <t>대표님과 연애를 시작했습니다</t>
  </si>
  <si>
    <t>YQ</t>
  </si>
  <si>
    <t>2022.12.29</t>
  </si>
  <si>
    <t>2022.12.30</t>
  </si>
  <si>
    <t>2022.12.07</t>
  </si>
  <si>
    <t>황제의 사랑방식[BL]</t>
  </si>
  <si>
    <t>T.M, 올코</t>
  </si>
  <si>
    <t>2020.03.08</t>
  </si>
  <si>
    <t>구름의 연인</t>
  </si>
  <si>
    <t>2022.04.02</t>
  </si>
  <si>
    <t>바람의 전설</t>
  </si>
  <si>
    <t>성준(聖俊)</t>
  </si>
  <si>
    <t>2019.06.08</t>
  </si>
  <si>
    <t>2023.01.02</t>
  </si>
  <si>
    <t>엔젤일진</t>
  </si>
  <si>
    <t>대운</t>
  </si>
  <si>
    <t>2022.05.08</t>
  </si>
  <si>
    <t>이웃집 아이돌</t>
  </si>
  <si>
    <t>2020.04.26</t>
  </si>
  <si>
    <t>대표님, 디저트론 저를 드세요 ~유통기한은 3개월~ [단행본]</t>
  </si>
  <si>
    <t>KASANE KATSUMOTO</t>
  </si>
  <si>
    <t>19세 이상 이용가능</t>
  </si>
  <si>
    <t>2022.12.27</t>
  </si>
  <si>
    <t>음락도 ~에로틱 아일랜드~ [단행본]</t>
  </si>
  <si>
    <t>NAMI AKIMOTO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</si>
</sst>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1" fillId="0" borderId="0" xfId="42" applyFont="1">
      <alignment vertical="center"/>
    </xf>
    <xf numFmtId="41" fontId="21" fillId="0" borderId="0" xfId="42" applyFont="1" applyFill="1">
      <alignment vertical="center"/>
    </xf>
    <xf numFmtId="0" fontId="21" fillId="0" borderId="0" xfId="0" applyFont="1">
      <alignment vertical="center"/>
    </xf>
    <xf numFmtId="43" fontId="21" fillId="0" borderId="0" xfId="42" applyNumberFormat="1" applyFont="1" applyFill="1">
      <alignment vertical="center"/>
    </xf>
    <xf numFmtId="0" fontId="22" fillId="0" borderId="0" xfId="0" applyFont="1" applyAlignment="1">
      <alignment horizontal="left" vertical="center" wrapText="1"/>
    </xf>
    <xf numFmtId="49" fontId="22" fillId="0" borderId="0" xfId="0" applyNumberFormat="1" applyFont="1" applyAlignment="1">
      <alignment vertical="center" wrapText="1"/>
    </xf>
    <xf numFmtId="0" fontId="22" fillId="0" borderId="0" xfId="0" applyFont="1" applyAlignment="1">
      <alignment vertical="center" wrapText="1"/>
    </xf>
    <xf numFmtId="3" fontId="22" fillId="0" borderId="0" xfId="0" applyNumberFormat="1" applyFont="1" applyAlignment="1">
      <alignment vertical="center" wrapText="1"/>
    </xf>
    <xf numFmtId="4" fontId="22" fillId="0" borderId="0" xfId="0" applyNumberFormat="1" applyFont="1" applyAlignment="1">
      <alignment vertical="center" wrapText="1"/>
    </xf>
    <xf numFmtId="41" fontId="23" fillId="34" borderId="0" xfId="42" applyFont="1" applyFill="1">
      <alignment vertical="center"/>
    </xf>
    <xf numFmtId="0" fontId="24" fillId="33" borderId="0" xfId="0" applyFont="1" applyFill="1" applyAlignment="1">
      <alignment horizontal="center" vertical="center" wrapText="1"/>
    </xf>
    <xf numFmtId="4" fontId="25" fillId="0" borderId="0" xfId="0" applyNumberFormat="1" applyFont="1" applyAlignment="1">
      <alignment vertical="center" wrapText="1"/>
    </xf>
    <xf numFmtId="0" fontId="25" fillId="0" borderId="0" xfId="0" applyFont="1" applyAlignment="1">
      <alignment vertical="center" wrapText="1"/>
    </xf>
    <xf numFmtId="4" fontId="26" fillId="0" borderId="0" xfId="0" applyNumberFormat="1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7" fillId="0" borderId="0" xfId="0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273"/>
  <sheetViews>
    <sheetView tabSelected="1" topLeftCell="AX65" zoomScaleNormal="100" workbookViewId="0">
      <selection activeCell="BG68" sqref="BG68"/>
    </sheetView>
  </sheetViews>
  <sheetFormatPr defaultRowHeight="16.5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style="28" bestFit="1" customWidth="1"/>
    <col min="66" max="66" width="17.75" style="11" customWidth="1"/>
    <col min="67" max="67" width="16.75" style="11" customWidth="1"/>
  </cols>
  <sheetData>
    <row r="1" spans="1:69" ht="27" customHeight="1">
      <c r="A1" s="2" t="s">
        <v>16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17</v>
      </c>
      <c r="I1" s="12" t="s">
        <v>6</v>
      </c>
      <c r="J1" s="10" t="s">
        <v>18</v>
      </c>
      <c r="K1" s="10" t="s">
        <v>19</v>
      </c>
      <c r="L1" s="10" t="s">
        <v>20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10" t="s">
        <v>26</v>
      </c>
      <c r="S1" s="10" t="s">
        <v>27</v>
      </c>
      <c r="T1" s="10" t="s">
        <v>28</v>
      </c>
      <c r="U1" s="10" t="s">
        <v>29</v>
      </c>
      <c r="V1" s="10" t="s">
        <v>30</v>
      </c>
      <c r="W1" s="10" t="s">
        <v>31</v>
      </c>
      <c r="X1" s="10" t="s">
        <v>32</v>
      </c>
      <c r="Y1" s="10" t="s">
        <v>33</v>
      </c>
      <c r="Z1" s="10" t="s">
        <v>34</v>
      </c>
      <c r="AA1" s="10" t="s">
        <v>35</v>
      </c>
      <c r="AB1" s="10" t="s">
        <v>36</v>
      </c>
      <c r="AC1" s="10" t="s">
        <v>37</v>
      </c>
      <c r="AD1" s="10" t="s">
        <v>38</v>
      </c>
      <c r="AE1" s="10" t="s">
        <v>39</v>
      </c>
      <c r="AF1" s="10" t="s">
        <v>40</v>
      </c>
      <c r="AG1" s="10" t="s">
        <v>41</v>
      </c>
      <c r="AH1" s="10" t="s">
        <v>42</v>
      </c>
      <c r="AI1" s="10" t="s">
        <v>43</v>
      </c>
      <c r="AJ1" s="10" t="s">
        <v>44</v>
      </c>
      <c r="AK1" s="10" t="s">
        <v>45</v>
      </c>
      <c r="AL1" s="10" t="s">
        <v>46</v>
      </c>
      <c r="AM1" s="10" t="s">
        <v>47</v>
      </c>
      <c r="AN1" s="10" t="s">
        <v>48</v>
      </c>
      <c r="AO1" s="10" t="s">
        <v>49</v>
      </c>
      <c r="AP1" s="10" t="s">
        <v>50</v>
      </c>
      <c r="AQ1" s="10" t="s">
        <v>51</v>
      </c>
      <c r="AR1" s="10" t="s">
        <v>52</v>
      </c>
      <c r="AS1" s="10" t="s">
        <v>53</v>
      </c>
      <c r="AT1" s="10" t="s">
        <v>54</v>
      </c>
      <c r="AU1" s="10" t="s">
        <v>55</v>
      </c>
      <c r="AV1" s="10" t="s">
        <v>56</v>
      </c>
      <c r="AW1" s="10" t="s">
        <v>57</v>
      </c>
      <c r="AX1" s="10" t="s">
        <v>58</v>
      </c>
      <c r="AY1" s="10" t="s">
        <v>59</v>
      </c>
      <c r="AZ1" s="10" t="s">
        <v>60</v>
      </c>
      <c r="BA1" s="10" t="s">
        <v>61</v>
      </c>
      <c r="BB1" s="10" t="s">
        <v>62</v>
      </c>
      <c r="BC1" s="10" t="s">
        <v>63</v>
      </c>
      <c r="BD1" s="10" t="s">
        <v>64</v>
      </c>
      <c r="BE1" s="10" t="s">
        <v>65</v>
      </c>
      <c r="BF1" s="10" t="s">
        <v>66</v>
      </c>
      <c r="BG1" s="10" t="s">
        <v>67</v>
      </c>
      <c r="BH1" s="10" t="s">
        <v>68</v>
      </c>
      <c r="BI1" s="10" t="s">
        <v>69</v>
      </c>
      <c r="BJ1" s="10" t="s">
        <v>70</v>
      </c>
      <c r="BK1" s="10" t="s">
        <v>71</v>
      </c>
      <c r="BL1" s="10" t="s">
        <v>11</v>
      </c>
      <c r="BM1" s="23" t="s">
        <v>10</v>
      </c>
      <c r="BN1" s="10" t="s">
        <v>72</v>
      </c>
      <c r="BO1" s="10" t="s">
        <v>73</v>
      </c>
      <c r="BP1" s="10" t="s">
        <v>143</v>
      </c>
      <c r="BQ1" s="10" t="s">
        <v>144</v>
      </c>
    </row>
    <row r="2" spans="1:69" ht="24">
      <c r="A2" s="5" t="s">
        <v>13</v>
      </c>
      <c r="B2" s="17" t="s">
        <v>75</v>
      </c>
      <c r="C2" s="17">
        <v>435954</v>
      </c>
      <c r="D2" s="18"/>
      <c r="E2" s="17" t="s">
        <v>76</v>
      </c>
      <c r="F2" s="17" t="s">
        <v>77</v>
      </c>
      <c r="G2" s="17" t="s">
        <v>78</v>
      </c>
      <c r="H2" s="19" t="s">
        <v>7</v>
      </c>
      <c r="I2" s="19" t="s">
        <v>155</v>
      </c>
      <c r="J2" s="19">
        <v>1</v>
      </c>
      <c r="K2" s="20">
        <v>8618</v>
      </c>
      <c r="L2" s="19">
        <v>200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9">
        <v>2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318</v>
      </c>
      <c r="AC2" s="20">
        <v>11120</v>
      </c>
      <c r="AD2" s="20">
        <v>52400</v>
      </c>
      <c r="AE2" s="19">
        <v>42</v>
      </c>
      <c r="AF2" s="20">
        <v>12700</v>
      </c>
      <c r="AG2" s="20">
        <v>3800</v>
      </c>
      <c r="AH2" s="19">
        <v>4</v>
      </c>
      <c r="AI2" s="19">
        <v>0</v>
      </c>
      <c r="AJ2" s="19">
        <v>700</v>
      </c>
      <c r="AK2" s="19">
        <v>0</v>
      </c>
      <c r="AL2" s="19">
        <v>0</v>
      </c>
      <c r="AM2" s="19">
        <v>0</v>
      </c>
      <c r="AN2" s="19">
        <v>50</v>
      </c>
      <c r="AO2" s="20">
        <v>9500</v>
      </c>
      <c r="AP2" s="19">
        <v>400</v>
      </c>
      <c r="AQ2" s="19">
        <v>23</v>
      </c>
      <c r="AR2" s="20">
        <v>9200</v>
      </c>
      <c r="AS2" s="19">
        <v>0</v>
      </c>
      <c r="AT2" s="19">
        <v>107</v>
      </c>
      <c r="AU2" s="20">
        <v>25680</v>
      </c>
      <c r="AV2" s="19">
        <v>0</v>
      </c>
      <c r="AW2" s="19">
        <v>53</v>
      </c>
      <c r="AX2" s="20">
        <v>24720</v>
      </c>
      <c r="AY2" s="19">
        <v>500</v>
      </c>
      <c r="AZ2" s="19">
        <v>700</v>
      </c>
      <c r="BA2" s="20">
        <v>167880</v>
      </c>
      <c r="BB2" s="19">
        <v>0</v>
      </c>
      <c r="BC2" s="19">
        <v>7</v>
      </c>
      <c r="BD2" s="20">
        <v>3360</v>
      </c>
      <c r="BE2" s="19">
        <v>0</v>
      </c>
      <c r="BF2" s="19">
        <v>0</v>
      </c>
      <c r="BG2" s="19">
        <v>0</v>
      </c>
      <c r="BH2" s="19">
        <v>0</v>
      </c>
      <c r="BI2" s="19">
        <v>0</v>
      </c>
      <c r="BJ2" s="19">
        <v>0</v>
      </c>
      <c r="BK2" s="19">
        <v>0</v>
      </c>
      <c r="BL2" s="21">
        <v>15314.4</v>
      </c>
      <c r="BM2" s="24">
        <v>322160</v>
      </c>
      <c r="BN2" s="13">
        <f>BM2-BL2</f>
        <v>306845.59999999998</v>
      </c>
      <c r="BO2" s="16">
        <f>BN2*70%</f>
        <v>214791.91999999998</v>
      </c>
      <c r="BP2" s="15"/>
      <c r="BQ2" s="15"/>
    </row>
    <row r="3" spans="1:69" ht="24">
      <c r="A3" s="5" t="s">
        <v>13</v>
      </c>
      <c r="B3" s="17" t="s">
        <v>81</v>
      </c>
      <c r="C3" s="17">
        <v>465461</v>
      </c>
      <c r="D3" s="18"/>
      <c r="E3" s="17" t="s">
        <v>76</v>
      </c>
      <c r="F3" s="17" t="s">
        <v>82</v>
      </c>
      <c r="G3" s="17" t="s">
        <v>78</v>
      </c>
      <c r="H3" s="19" t="s">
        <v>7</v>
      </c>
      <c r="I3" s="19" t="s">
        <v>156</v>
      </c>
      <c r="J3" s="19">
        <v>0</v>
      </c>
      <c r="K3" s="19">
        <v>4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145</v>
      </c>
      <c r="AC3" s="20">
        <v>16400</v>
      </c>
      <c r="AD3" s="20">
        <v>12800</v>
      </c>
      <c r="AE3" s="19">
        <v>34</v>
      </c>
      <c r="AF3" s="20">
        <v>8400</v>
      </c>
      <c r="AG3" s="20">
        <v>5200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28</v>
      </c>
      <c r="AO3" s="20">
        <v>5400</v>
      </c>
      <c r="AP3" s="19">
        <v>200</v>
      </c>
      <c r="AQ3" s="19">
        <v>7</v>
      </c>
      <c r="AR3" s="20">
        <v>2800</v>
      </c>
      <c r="AS3" s="19">
        <v>0</v>
      </c>
      <c r="AT3" s="19">
        <v>86</v>
      </c>
      <c r="AU3" s="20">
        <v>20392</v>
      </c>
      <c r="AV3" s="19">
        <v>0</v>
      </c>
      <c r="AW3" s="19">
        <v>8</v>
      </c>
      <c r="AX3" s="20">
        <v>3840</v>
      </c>
      <c r="AY3" s="19">
        <v>0</v>
      </c>
      <c r="AZ3" s="19">
        <v>47</v>
      </c>
      <c r="BA3" s="20">
        <v>11160</v>
      </c>
      <c r="BB3" s="19">
        <v>0</v>
      </c>
      <c r="BC3" s="19">
        <v>20</v>
      </c>
      <c r="BD3" s="20">
        <v>9600</v>
      </c>
      <c r="BE3" s="19">
        <v>0</v>
      </c>
      <c r="BF3" s="19">
        <v>0</v>
      </c>
      <c r="BG3" s="19">
        <v>0</v>
      </c>
      <c r="BH3" s="19">
        <v>0</v>
      </c>
      <c r="BI3" s="19">
        <v>0</v>
      </c>
      <c r="BJ3" s="19">
        <v>0</v>
      </c>
      <c r="BK3" s="19">
        <v>0</v>
      </c>
      <c r="BL3" s="21">
        <v>3668.8</v>
      </c>
      <c r="BM3" s="24">
        <v>96192</v>
      </c>
      <c r="BN3" s="13">
        <f t="shared" ref="BN3:BN31" si="0">BM3-BL3</f>
        <v>92523.199999999997</v>
      </c>
      <c r="BO3" s="14">
        <f t="shared" ref="BO3:BO31" si="1">BN3*70%</f>
        <v>64766.239999999991</v>
      </c>
      <c r="BP3" s="15"/>
      <c r="BQ3" s="15"/>
    </row>
    <row r="4" spans="1:69" ht="24">
      <c r="A4" s="5" t="s">
        <v>13</v>
      </c>
      <c r="B4" s="17" t="s">
        <v>124</v>
      </c>
      <c r="C4" s="17">
        <v>464964</v>
      </c>
      <c r="D4" s="18"/>
      <c r="E4" s="17" t="s">
        <v>76</v>
      </c>
      <c r="F4" s="17" t="s">
        <v>125</v>
      </c>
      <c r="G4" s="17" t="s">
        <v>78</v>
      </c>
      <c r="H4" s="19" t="s">
        <v>7</v>
      </c>
      <c r="I4" s="19" t="s">
        <v>157</v>
      </c>
      <c r="J4" s="19">
        <v>0</v>
      </c>
      <c r="K4" s="19">
        <v>7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86</v>
      </c>
      <c r="AC4" s="20">
        <v>8800</v>
      </c>
      <c r="AD4" s="20">
        <v>8800</v>
      </c>
      <c r="AE4" s="19">
        <v>1</v>
      </c>
      <c r="AF4" s="19">
        <v>500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59</v>
      </c>
      <c r="AU4" s="20">
        <v>14160</v>
      </c>
      <c r="AV4" s="19">
        <v>0</v>
      </c>
      <c r="AW4" s="19">
        <v>0</v>
      </c>
      <c r="AX4" s="19">
        <v>0</v>
      </c>
      <c r="AY4" s="19">
        <v>0</v>
      </c>
      <c r="AZ4" s="19">
        <v>128</v>
      </c>
      <c r="BA4" s="20">
        <v>30720</v>
      </c>
      <c r="BB4" s="19">
        <v>0</v>
      </c>
      <c r="BC4" s="19">
        <v>0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  <c r="BL4" s="21">
        <v>3259.2</v>
      </c>
      <c r="BM4" s="24">
        <v>62980</v>
      </c>
      <c r="BN4" s="13">
        <f t="shared" si="0"/>
        <v>59720.800000000003</v>
      </c>
      <c r="BO4" s="14">
        <f t="shared" si="1"/>
        <v>41804.559999999998</v>
      </c>
      <c r="BP4" s="15"/>
      <c r="BQ4" s="15"/>
    </row>
    <row r="5" spans="1:69" ht="24">
      <c r="A5" s="5" t="s">
        <v>13</v>
      </c>
      <c r="B5" s="17" t="s">
        <v>85</v>
      </c>
      <c r="C5" s="17">
        <v>380491</v>
      </c>
      <c r="D5" s="18"/>
      <c r="E5" s="17" t="s">
        <v>76</v>
      </c>
      <c r="F5" s="17" t="s">
        <v>86</v>
      </c>
      <c r="G5" s="17" t="s">
        <v>78</v>
      </c>
      <c r="H5" s="19" t="s">
        <v>7</v>
      </c>
      <c r="I5" s="19" t="s">
        <v>87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16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1</v>
      </c>
      <c r="AC5" s="19">
        <v>0</v>
      </c>
      <c r="AD5" s="19">
        <v>100</v>
      </c>
      <c r="AE5" s="19">
        <v>158</v>
      </c>
      <c r="AF5" s="20">
        <v>30200</v>
      </c>
      <c r="AG5" s="20">
        <v>1400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173</v>
      </c>
      <c r="BA5" s="20">
        <v>20760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  <c r="BK5" s="19">
        <v>0</v>
      </c>
      <c r="BL5" s="21">
        <v>1245.5999999999999</v>
      </c>
      <c r="BM5" s="24">
        <v>52460</v>
      </c>
      <c r="BN5" s="13">
        <f t="shared" si="0"/>
        <v>51214.400000000001</v>
      </c>
      <c r="BO5" s="14">
        <f t="shared" si="1"/>
        <v>35850.080000000002</v>
      </c>
      <c r="BP5" s="15"/>
      <c r="BQ5" s="15"/>
    </row>
    <row r="6" spans="1:69" ht="24">
      <c r="A6" s="5" t="s">
        <v>13</v>
      </c>
      <c r="B6" s="17" t="s">
        <v>79</v>
      </c>
      <c r="C6" s="17">
        <v>465463</v>
      </c>
      <c r="D6" s="18"/>
      <c r="E6" s="17" t="s">
        <v>76</v>
      </c>
      <c r="F6" s="17" t="s">
        <v>80</v>
      </c>
      <c r="G6" s="17" t="s">
        <v>78</v>
      </c>
      <c r="H6" s="19" t="s">
        <v>9</v>
      </c>
      <c r="I6" s="19" t="s">
        <v>139</v>
      </c>
      <c r="J6" s="19">
        <v>7</v>
      </c>
      <c r="K6" s="19">
        <v>0</v>
      </c>
      <c r="L6" s="20">
        <v>1400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8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4</v>
      </c>
      <c r="AC6" s="19">
        <v>0</v>
      </c>
      <c r="AD6" s="19">
        <v>800</v>
      </c>
      <c r="AE6" s="19">
        <v>4</v>
      </c>
      <c r="AF6" s="19">
        <v>0</v>
      </c>
      <c r="AG6" s="20">
        <v>1200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2</v>
      </c>
      <c r="AO6" s="19">
        <v>400</v>
      </c>
      <c r="AP6" s="19">
        <v>0</v>
      </c>
      <c r="AQ6" s="19">
        <v>0</v>
      </c>
      <c r="AR6" s="19">
        <v>0</v>
      </c>
      <c r="AS6" s="19">
        <v>0</v>
      </c>
      <c r="AT6" s="19">
        <v>1</v>
      </c>
      <c r="AU6" s="19">
        <v>240</v>
      </c>
      <c r="AV6" s="19">
        <v>0</v>
      </c>
      <c r="AW6" s="19">
        <v>71</v>
      </c>
      <c r="AX6" s="20">
        <v>33600</v>
      </c>
      <c r="AY6" s="19">
        <v>0</v>
      </c>
      <c r="AZ6" s="19">
        <v>36</v>
      </c>
      <c r="BA6" s="20">
        <v>8640</v>
      </c>
      <c r="BB6" s="19">
        <v>0</v>
      </c>
      <c r="BC6" s="19">
        <v>2</v>
      </c>
      <c r="BD6" s="19">
        <v>960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21">
        <v>3960</v>
      </c>
      <c r="BM6" s="24">
        <v>47240</v>
      </c>
      <c r="BN6" s="13">
        <f t="shared" si="0"/>
        <v>43280</v>
      </c>
      <c r="BO6" s="14">
        <f t="shared" si="1"/>
        <v>30295.999999999996</v>
      </c>
      <c r="BP6" s="15"/>
      <c r="BQ6" s="15"/>
    </row>
    <row r="7" spans="1:69" ht="24">
      <c r="A7" s="5" t="s">
        <v>13</v>
      </c>
      <c r="B7" s="17" t="s">
        <v>93</v>
      </c>
      <c r="C7" s="17">
        <v>307024</v>
      </c>
      <c r="D7" s="18"/>
      <c r="E7" s="17" t="s">
        <v>76</v>
      </c>
      <c r="F7" s="17" t="s">
        <v>94</v>
      </c>
      <c r="G7" s="17" t="s">
        <v>78</v>
      </c>
      <c r="H7" s="19" t="s">
        <v>7</v>
      </c>
      <c r="I7" s="19" t="s">
        <v>95</v>
      </c>
      <c r="J7" s="19">
        <v>0</v>
      </c>
      <c r="K7" s="19">
        <v>17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94</v>
      </c>
      <c r="AC7" s="20">
        <v>5760</v>
      </c>
      <c r="AD7" s="20">
        <v>4600</v>
      </c>
      <c r="AE7" s="19">
        <v>2</v>
      </c>
      <c r="AF7" s="19">
        <v>400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137</v>
      </c>
      <c r="AO7" s="20">
        <v>13500</v>
      </c>
      <c r="AP7" s="19">
        <v>200</v>
      </c>
      <c r="AQ7" s="19">
        <v>0</v>
      </c>
      <c r="AR7" s="19">
        <v>0</v>
      </c>
      <c r="AS7" s="19">
        <v>0</v>
      </c>
      <c r="AT7" s="19">
        <v>37</v>
      </c>
      <c r="AU7" s="20">
        <v>4440</v>
      </c>
      <c r="AV7" s="19">
        <v>0</v>
      </c>
      <c r="AW7" s="19">
        <v>0</v>
      </c>
      <c r="AX7" s="19">
        <v>0</v>
      </c>
      <c r="AY7" s="19">
        <v>0</v>
      </c>
      <c r="AZ7" s="19">
        <v>140</v>
      </c>
      <c r="BA7" s="20">
        <v>16800</v>
      </c>
      <c r="BB7" s="19">
        <v>0</v>
      </c>
      <c r="BC7" s="19">
        <v>4</v>
      </c>
      <c r="BD7" s="19">
        <v>960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21">
        <v>1509.6</v>
      </c>
      <c r="BM7" s="24">
        <v>46660</v>
      </c>
      <c r="BN7" s="13">
        <f t="shared" si="0"/>
        <v>45150.400000000001</v>
      </c>
      <c r="BO7" s="14">
        <f t="shared" si="1"/>
        <v>31605.279999999999</v>
      </c>
      <c r="BP7" s="15"/>
      <c r="BQ7" s="15"/>
    </row>
    <row r="8" spans="1:69" ht="24">
      <c r="A8" s="5" t="s">
        <v>13</v>
      </c>
      <c r="B8" s="17" t="s">
        <v>96</v>
      </c>
      <c r="C8" s="17">
        <v>419155</v>
      </c>
      <c r="D8" s="18"/>
      <c r="E8" s="17" t="s">
        <v>76</v>
      </c>
      <c r="F8" s="17" t="s">
        <v>97</v>
      </c>
      <c r="G8" s="17" t="s">
        <v>78</v>
      </c>
      <c r="H8" s="19" t="s">
        <v>7</v>
      </c>
      <c r="I8" s="19" t="s">
        <v>98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6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1</v>
      </c>
      <c r="AF8" s="19">
        <v>0</v>
      </c>
      <c r="AG8" s="19">
        <v>500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1</v>
      </c>
      <c r="AO8" s="19">
        <v>300</v>
      </c>
      <c r="AP8" s="19">
        <v>0</v>
      </c>
      <c r="AQ8" s="19">
        <v>0</v>
      </c>
      <c r="AR8" s="19">
        <v>0</v>
      </c>
      <c r="AS8" s="19">
        <v>0</v>
      </c>
      <c r="AT8" s="19">
        <v>51</v>
      </c>
      <c r="AU8" s="20">
        <v>18360</v>
      </c>
      <c r="AV8" s="19">
        <v>0</v>
      </c>
      <c r="AW8" s="19">
        <v>0</v>
      </c>
      <c r="AX8" s="19">
        <v>0</v>
      </c>
      <c r="AY8" s="19">
        <v>0</v>
      </c>
      <c r="AZ8" s="19">
        <v>6</v>
      </c>
      <c r="BA8" s="20">
        <v>2160</v>
      </c>
      <c r="BB8" s="19">
        <v>0</v>
      </c>
      <c r="BC8" s="19">
        <v>28</v>
      </c>
      <c r="BD8" s="20">
        <v>16800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21">
        <v>2973.6</v>
      </c>
      <c r="BM8" s="24">
        <v>38120</v>
      </c>
      <c r="BN8" s="13">
        <f t="shared" si="0"/>
        <v>35146.400000000001</v>
      </c>
      <c r="BO8" s="14">
        <f t="shared" si="1"/>
        <v>24602.48</v>
      </c>
      <c r="BP8" s="15"/>
      <c r="BQ8" s="15"/>
    </row>
    <row r="9" spans="1:69" ht="24">
      <c r="A9" s="5" t="s">
        <v>13</v>
      </c>
      <c r="B9" s="17" t="s">
        <v>91</v>
      </c>
      <c r="C9" s="17">
        <v>432749</v>
      </c>
      <c r="D9" s="18"/>
      <c r="E9" s="17" t="s">
        <v>76</v>
      </c>
      <c r="F9" s="17" t="s">
        <v>92</v>
      </c>
      <c r="G9" s="17" t="s">
        <v>78</v>
      </c>
      <c r="H9" s="19" t="s">
        <v>7</v>
      </c>
      <c r="I9" s="19" t="s">
        <v>155</v>
      </c>
      <c r="J9" s="19">
        <v>0</v>
      </c>
      <c r="K9" s="19">
        <v>3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53</v>
      </c>
      <c r="AC9" s="20">
        <v>5200</v>
      </c>
      <c r="AD9" s="20">
        <v>5300</v>
      </c>
      <c r="AE9" s="19">
        <v>5</v>
      </c>
      <c r="AF9" s="20">
        <v>2000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7</v>
      </c>
      <c r="AO9" s="20">
        <v>1400</v>
      </c>
      <c r="AP9" s="19">
        <v>0</v>
      </c>
      <c r="AQ9" s="19">
        <v>0</v>
      </c>
      <c r="AR9" s="19">
        <v>0</v>
      </c>
      <c r="AS9" s="19">
        <v>0</v>
      </c>
      <c r="AT9" s="19">
        <v>2</v>
      </c>
      <c r="AU9" s="19">
        <v>480</v>
      </c>
      <c r="AV9" s="19">
        <v>0</v>
      </c>
      <c r="AW9" s="19">
        <v>0</v>
      </c>
      <c r="AX9" s="19">
        <v>0</v>
      </c>
      <c r="AY9" s="19">
        <v>0</v>
      </c>
      <c r="AZ9" s="19">
        <v>30</v>
      </c>
      <c r="BA9" s="20">
        <v>7080</v>
      </c>
      <c r="BB9" s="19">
        <v>0</v>
      </c>
      <c r="BC9" s="19">
        <v>7</v>
      </c>
      <c r="BD9" s="20">
        <v>3360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674.4</v>
      </c>
      <c r="BM9" s="24">
        <v>24820</v>
      </c>
      <c r="BN9" s="13">
        <f t="shared" si="0"/>
        <v>24145.599999999999</v>
      </c>
      <c r="BO9" s="14">
        <f t="shared" si="1"/>
        <v>16901.919999999998</v>
      </c>
      <c r="BP9" s="15"/>
      <c r="BQ9" s="15"/>
    </row>
    <row r="10" spans="1:69" ht="24">
      <c r="A10" s="5" t="s">
        <v>13</v>
      </c>
      <c r="B10" s="17" t="s">
        <v>133</v>
      </c>
      <c r="C10" s="17">
        <v>398413</v>
      </c>
      <c r="D10" s="18"/>
      <c r="E10" s="17" t="s">
        <v>76</v>
      </c>
      <c r="F10" s="17" t="s">
        <v>131</v>
      </c>
      <c r="G10" s="17" t="s">
        <v>78</v>
      </c>
      <c r="H10" s="19" t="s">
        <v>8</v>
      </c>
      <c r="I10" s="19" t="s">
        <v>134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45</v>
      </c>
      <c r="AC10" s="20">
        <v>6280</v>
      </c>
      <c r="AD10" s="20">
        <v>2700</v>
      </c>
      <c r="AE10" s="19">
        <v>5</v>
      </c>
      <c r="AF10" s="20">
        <v>2700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3</v>
      </c>
      <c r="AO10" s="19">
        <v>600</v>
      </c>
      <c r="AP10" s="19">
        <v>0</v>
      </c>
      <c r="AQ10" s="19">
        <v>0</v>
      </c>
      <c r="AR10" s="19">
        <v>0</v>
      </c>
      <c r="AS10" s="19">
        <v>0</v>
      </c>
      <c r="AT10" s="19">
        <v>8</v>
      </c>
      <c r="AU10" s="20">
        <v>1920</v>
      </c>
      <c r="AV10" s="19">
        <v>0</v>
      </c>
      <c r="AW10" s="19">
        <v>0</v>
      </c>
      <c r="AX10" s="19">
        <v>0</v>
      </c>
      <c r="AY10" s="19">
        <v>0</v>
      </c>
      <c r="AZ10" s="19">
        <v>36</v>
      </c>
      <c r="BA10" s="20">
        <v>8520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703.2</v>
      </c>
      <c r="BM10" s="24">
        <v>22720</v>
      </c>
      <c r="BN10" s="13">
        <f t="shared" si="0"/>
        <v>22016.799999999999</v>
      </c>
      <c r="BO10" s="14">
        <f t="shared" si="1"/>
        <v>15411.759999999998</v>
      </c>
      <c r="BP10" s="15"/>
      <c r="BQ10" s="15"/>
    </row>
    <row r="11" spans="1:69" ht="24">
      <c r="A11" s="5" t="s">
        <v>13</v>
      </c>
      <c r="B11" s="17" t="s">
        <v>158</v>
      </c>
      <c r="C11" s="17">
        <v>366233</v>
      </c>
      <c r="D11" s="18"/>
      <c r="E11" s="17" t="s">
        <v>76</v>
      </c>
      <c r="F11" s="17" t="s">
        <v>159</v>
      </c>
      <c r="G11" s="17" t="s">
        <v>78</v>
      </c>
      <c r="H11" s="19" t="s">
        <v>7</v>
      </c>
      <c r="I11" s="19" t="s">
        <v>160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4</v>
      </c>
      <c r="AC11" s="19">
        <v>960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94</v>
      </c>
      <c r="AO11" s="20">
        <v>18400</v>
      </c>
      <c r="AP11" s="19">
        <v>400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24">
        <v>19760</v>
      </c>
      <c r="BN11" s="13">
        <f t="shared" si="0"/>
        <v>19760</v>
      </c>
      <c r="BO11" s="14">
        <f t="shared" si="1"/>
        <v>13832</v>
      </c>
      <c r="BP11" s="15"/>
      <c r="BQ11" s="15"/>
    </row>
    <row r="12" spans="1:69" ht="24">
      <c r="A12" s="5" t="s">
        <v>13</v>
      </c>
      <c r="B12" s="17" t="s">
        <v>88</v>
      </c>
      <c r="C12" s="17">
        <v>467630</v>
      </c>
      <c r="D12" s="18"/>
      <c r="E12" s="17" t="s">
        <v>76</v>
      </c>
      <c r="F12" s="17" t="s">
        <v>89</v>
      </c>
      <c r="G12" s="17" t="s">
        <v>78</v>
      </c>
      <c r="H12" s="19" t="s">
        <v>8</v>
      </c>
      <c r="I12" s="19" t="s">
        <v>90</v>
      </c>
      <c r="J12" s="19">
        <v>0</v>
      </c>
      <c r="K12" s="19">
        <v>3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53</v>
      </c>
      <c r="AC12" s="20">
        <v>10140</v>
      </c>
      <c r="AD12" s="19">
        <v>400</v>
      </c>
      <c r="AE12" s="19">
        <v>1</v>
      </c>
      <c r="AF12" s="19">
        <v>400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29</v>
      </c>
      <c r="AU12" s="20">
        <v>6840</v>
      </c>
      <c r="AV12" s="19">
        <v>0</v>
      </c>
      <c r="AW12" s="19">
        <v>2</v>
      </c>
      <c r="AX12" s="19">
        <v>960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780</v>
      </c>
      <c r="BM12" s="24">
        <v>18740</v>
      </c>
      <c r="BN12" s="13">
        <f t="shared" si="0"/>
        <v>17960</v>
      </c>
      <c r="BO12" s="14">
        <f t="shared" si="1"/>
        <v>12572</v>
      </c>
      <c r="BP12" s="15"/>
      <c r="BQ12" s="15"/>
    </row>
    <row r="13" spans="1:69" ht="24">
      <c r="A13" s="5" t="s">
        <v>13</v>
      </c>
      <c r="B13" s="17" t="s">
        <v>111</v>
      </c>
      <c r="C13" s="17">
        <v>465658</v>
      </c>
      <c r="D13" s="18"/>
      <c r="E13" s="17" t="s">
        <v>76</v>
      </c>
      <c r="F13" s="17" t="s">
        <v>112</v>
      </c>
      <c r="G13" s="17" t="s">
        <v>78</v>
      </c>
      <c r="H13" s="19" t="s">
        <v>7</v>
      </c>
      <c r="I13" s="19" t="s">
        <v>156</v>
      </c>
      <c r="J13" s="19">
        <v>0</v>
      </c>
      <c r="K13" s="19">
        <v>3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4</v>
      </c>
      <c r="AC13" s="19">
        <v>0</v>
      </c>
      <c r="AD13" s="19">
        <v>800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1</v>
      </c>
      <c r="AU13" s="19">
        <v>240</v>
      </c>
      <c r="AV13" s="19">
        <v>0</v>
      </c>
      <c r="AW13" s="19">
        <v>0</v>
      </c>
      <c r="AX13" s="19">
        <v>0</v>
      </c>
      <c r="AY13" s="19">
        <v>0</v>
      </c>
      <c r="AZ13" s="19">
        <v>58</v>
      </c>
      <c r="BA13" s="20">
        <v>13920</v>
      </c>
      <c r="BB13" s="19">
        <v>0</v>
      </c>
      <c r="BC13" s="19">
        <v>4</v>
      </c>
      <c r="BD13" s="20">
        <v>1920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974.4</v>
      </c>
      <c r="BM13" s="24">
        <v>16880</v>
      </c>
      <c r="BN13" s="13">
        <f t="shared" si="0"/>
        <v>15905.6</v>
      </c>
      <c r="BO13" s="14">
        <f t="shared" si="1"/>
        <v>11133.92</v>
      </c>
      <c r="BP13" s="15"/>
      <c r="BQ13" s="15"/>
    </row>
    <row r="14" spans="1:69" ht="24">
      <c r="A14" s="5" t="s">
        <v>13</v>
      </c>
      <c r="B14" s="17" t="s">
        <v>113</v>
      </c>
      <c r="C14" s="17">
        <v>436040</v>
      </c>
      <c r="D14" s="18"/>
      <c r="E14" s="17" t="s">
        <v>76</v>
      </c>
      <c r="F14" s="17" t="s">
        <v>114</v>
      </c>
      <c r="G14" s="17" t="s">
        <v>78</v>
      </c>
      <c r="H14" s="19" t="s">
        <v>8</v>
      </c>
      <c r="I14" s="19" t="s">
        <v>115</v>
      </c>
      <c r="J14" s="19">
        <v>0</v>
      </c>
      <c r="K14" s="20">
        <v>1361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16</v>
      </c>
      <c r="AC14" s="19">
        <v>0</v>
      </c>
      <c r="AD14" s="20">
        <v>3100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53</v>
      </c>
      <c r="BA14" s="20">
        <v>12600</v>
      </c>
      <c r="BB14" s="19">
        <v>0</v>
      </c>
      <c r="BC14" s="19">
        <v>1</v>
      </c>
      <c r="BD14" s="19">
        <v>600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792</v>
      </c>
      <c r="BM14" s="24">
        <v>16300</v>
      </c>
      <c r="BN14" s="13">
        <f t="shared" si="0"/>
        <v>15508</v>
      </c>
      <c r="BO14" s="14">
        <f t="shared" si="1"/>
        <v>10855.599999999999</v>
      </c>
      <c r="BP14" s="15"/>
      <c r="BQ14" s="15"/>
    </row>
    <row r="15" spans="1:69" ht="24">
      <c r="A15" s="5" t="s">
        <v>13</v>
      </c>
      <c r="B15" s="17" t="s">
        <v>108</v>
      </c>
      <c r="C15" s="17">
        <v>448747</v>
      </c>
      <c r="D15" s="18"/>
      <c r="E15" s="17" t="s">
        <v>76</v>
      </c>
      <c r="F15" s="17" t="s">
        <v>109</v>
      </c>
      <c r="G15" s="17" t="s">
        <v>78</v>
      </c>
      <c r="H15" s="19" t="s">
        <v>7</v>
      </c>
      <c r="I15" s="19" t="s">
        <v>110</v>
      </c>
      <c r="J15" s="19">
        <v>0</v>
      </c>
      <c r="K15" s="19">
        <v>9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81</v>
      </c>
      <c r="AO15" s="20">
        <v>16200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24">
        <v>16200</v>
      </c>
      <c r="BN15" s="13">
        <f t="shared" si="0"/>
        <v>16200</v>
      </c>
      <c r="BO15" s="14">
        <f t="shared" si="1"/>
        <v>11340</v>
      </c>
      <c r="BP15" s="15"/>
      <c r="BQ15" s="15"/>
    </row>
    <row r="16" spans="1:69" ht="24">
      <c r="A16" s="5" t="s">
        <v>13</v>
      </c>
      <c r="B16" s="17" t="s">
        <v>102</v>
      </c>
      <c r="C16" s="17">
        <v>336507</v>
      </c>
      <c r="D16" s="18"/>
      <c r="E16" s="17" t="s">
        <v>76</v>
      </c>
      <c r="F16" s="17" t="s">
        <v>103</v>
      </c>
      <c r="G16" s="17" t="s">
        <v>78</v>
      </c>
      <c r="H16" s="19" t="s">
        <v>8</v>
      </c>
      <c r="I16" s="19" t="s">
        <v>104</v>
      </c>
      <c r="J16" s="19">
        <v>2</v>
      </c>
      <c r="K16" s="19">
        <v>6</v>
      </c>
      <c r="L16" s="19">
        <v>400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54</v>
      </c>
      <c r="AU16" s="20">
        <v>12960</v>
      </c>
      <c r="AV16" s="19">
        <v>0</v>
      </c>
      <c r="AW16" s="19">
        <v>0</v>
      </c>
      <c r="AX16" s="19">
        <v>0</v>
      </c>
      <c r="AY16" s="19">
        <v>0</v>
      </c>
      <c r="AZ16" s="19">
        <v>7</v>
      </c>
      <c r="BA16" s="20">
        <v>1680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21">
        <v>1396.8</v>
      </c>
      <c r="BM16" s="24">
        <v>15040</v>
      </c>
      <c r="BN16" s="13">
        <f t="shared" si="0"/>
        <v>13643.2</v>
      </c>
      <c r="BO16" s="14">
        <f t="shared" si="1"/>
        <v>9550.24</v>
      </c>
      <c r="BP16" s="15"/>
      <c r="BQ16" s="15"/>
    </row>
    <row r="17" spans="1:69" ht="24">
      <c r="A17" s="5" t="s">
        <v>13</v>
      </c>
      <c r="B17" s="17" t="s">
        <v>99</v>
      </c>
      <c r="C17" s="17">
        <v>351846</v>
      </c>
      <c r="D17" s="18"/>
      <c r="E17" s="17" t="s">
        <v>76</v>
      </c>
      <c r="F17" s="17" t="s">
        <v>100</v>
      </c>
      <c r="G17" s="17" t="s">
        <v>78</v>
      </c>
      <c r="H17" s="19" t="s">
        <v>7</v>
      </c>
      <c r="I17" s="19" t="s">
        <v>101</v>
      </c>
      <c r="J17" s="19">
        <v>0</v>
      </c>
      <c r="K17" s="19">
        <v>10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2</v>
      </c>
      <c r="AC17" s="19">
        <v>0</v>
      </c>
      <c r="AD17" s="19">
        <v>200</v>
      </c>
      <c r="AE17" s="19">
        <v>7</v>
      </c>
      <c r="AF17" s="20">
        <v>1400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13</v>
      </c>
      <c r="AU17" s="20">
        <v>1560</v>
      </c>
      <c r="AV17" s="19">
        <v>0</v>
      </c>
      <c r="AW17" s="19">
        <v>0</v>
      </c>
      <c r="AX17" s="19">
        <v>0</v>
      </c>
      <c r="AY17" s="19">
        <v>0</v>
      </c>
      <c r="AZ17" s="19">
        <v>97</v>
      </c>
      <c r="BA17" s="20">
        <v>11640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854.4</v>
      </c>
      <c r="BM17" s="24">
        <v>14800</v>
      </c>
      <c r="BN17" s="13">
        <f t="shared" si="0"/>
        <v>13945.6</v>
      </c>
      <c r="BO17" s="14">
        <f t="shared" si="1"/>
        <v>9761.92</v>
      </c>
      <c r="BP17" s="15"/>
      <c r="BQ17" s="15"/>
    </row>
    <row r="18" spans="1:69" ht="24">
      <c r="A18" s="5" t="s">
        <v>13</v>
      </c>
      <c r="B18" s="17" t="s">
        <v>145</v>
      </c>
      <c r="C18" s="17">
        <v>484291</v>
      </c>
      <c r="D18" s="18"/>
      <c r="E18" s="17" t="s">
        <v>76</v>
      </c>
      <c r="F18" s="17" t="s">
        <v>146</v>
      </c>
      <c r="G18" s="17" t="s">
        <v>78</v>
      </c>
      <c r="H18" s="19" t="s">
        <v>7</v>
      </c>
      <c r="I18" s="19" t="s">
        <v>147</v>
      </c>
      <c r="J18" s="19">
        <v>0</v>
      </c>
      <c r="K18" s="19">
        <v>388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51</v>
      </c>
      <c r="AC18" s="19">
        <v>400</v>
      </c>
      <c r="AD18" s="20">
        <v>9800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8</v>
      </c>
      <c r="BA18" s="20">
        <v>1920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115.2</v>
      </c>
      <c r="BM18" s="24">
        <v>12120</v>
      </c>
      <c r="BN18" s="13">
        <f t="shared" si="0"/>
        <v>12004.8</v>
      </c>
      <c r="BO18" s="14">
        <f t="shared" si="1"/>
        <v>8403.3599999999988</v>
      </c>
      <c r="BP18" s="15"/>
      <c r="BQ18" s="15"/>
    </row>
    <row r="19" spans="1:69" ht="24">
      <c r="A19" s="5" t="s">
        <v>13</v>
      </c>
      <c r="B19" s="17" t="s">
        <v>83</v>
      </c>
      <c r="C19" s="17">
        <v>423525</v>
      </c>
      <c r="D19" s="18"/>
      <c r="E19" s="17" t="s">
        <v>76</v>
      </c>
      <c r="F19" s="17" t="s">
        <v>84</v>
      </c>
      <c r="G19" s="17" t="s">
        <v>78</v>
      </c>
      <c r="H19" s="19" t="s">
        <v>7</v>
      </c>
      <c r="I19" s="19" t="s">
        <v>74</v>
      </c>
      <c r="J19" s="19">
        <v>0</v>
      </c>
      <c r="K19" s="19">
        <v>3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5</v>
      </c>
      <c r="AC19" s="19">
        <v>0</v>
      </c>
      <c r="AD19" s="20">
        <v>1000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27</v>
      </c>
      <c r="BA19" s="20">
        <v>6480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388.8</v>
      </c>
      <c r="BM19" s="24">
        <v>7480</v>
      </c>
      <c r="BN19" s="13">
        <f t="shared" si="0"/>
        <v>7091.2</v>
      </c>
      <c r="BO19" s="14">
        <f t="shared" si="1"/>
        <v>4963.8399999999992</v>
      </c>
      <c r="BP19" s="15"/>
      <c r="BQ19" s="15"/>
    </row>
    <row r="20" spans="1:69" ht="24">
      <c r="A20" s="5" t="s">
        <v>13</v>
      </c>
      <c r="B20" s="17" t="s">
        <v>161</v>
      </c>
      <c r="C20" s="17">
        <v>463455</v>
      </c>
      <c r="D20" s="18"/>
      <c r="E20" s="17" t="s">
        <v>76</v>
      </c>
      <c r="F20" s="17" t="s">
        <v>131</v>
      </c>
      <c r="G20" s="17" t="s">
        <v>78</v>
      </c>
      <c r="H20" s="19" t="s">
        <v>7</v>
      </c>
      <c r="I20" s="19" t="s">
        <v>162</v>
      </c>
      <c r="J20" s="19">
        <v>0</v>
      </c>
      <c r="K20" s="19">
        <v>1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12</v>
      </c>
      <c r="AC20" s="19">
        <v>0</v>
      </c>
      <c r="AD20" s="20">
        <v>2400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13</v>
      </c>
      <c r="BA20" s="20">
        <v>3120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187.2</v>
      </c>
      <c r="BM20" s="24">
        <v>5520</v>
      </c>
      <c r="BN20" s="13">
        <f t="shared" si="0"/>
        <v>5332.8</v>
      </c>
      <c r="BO20" s="14">
        <f t="shared" si="1"/>
        <v>3732.96</v>
      </c>
      <c r="BP20" s="15"/>
      <c r="BQ20" s="15"/>
    </row>
    <row r="21" spans="1:69" ht="24">
      <c r="A21" s="5" t="s">
        <v>13</v>
      </c>
      <c r="B21" s="17" t="s">
        <v>119</v>
      </c>
      <c r="C21" s="17">
        <v>434897</v>
      </c>
      <c r="D21" s="18"/>
      <c r="E21" s="17" t="s">
        <v>76</v>
      </c>
      <c r="F21" s="17" t="s">
        <v>120</v>
      </c>
      <c r="G21" s="17" t="s">
        <v>78</v>
      </c>
      <c r="H21" s="19" t="s">
        <v>8</v>
      </c>
      <c r="I21" s="19" t="s">
        <v>12</v>
      </c>
      <c r="J21" s="19">
        <v>1</v>
      </c>
      <c r="K21" s="19">
        <v>0</v>
      </c>
      <c r="L21" s="19">
        <v>200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1</v>
      </c>
      <c r="AO21" s="19">
        <v>200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18</v>
      </c>
      <c r="BA21" s="20">
        <v>4320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259.2</v>
      </c>
      <c r="BM21" s="24">
        <v>4720</v>
      </c>
      <c r="BN21" s="13">
        <f t="shared" si="0"/>
        <v>4460.8</v>
      </c>
      <c r="BO21" s="14">
        <f t="shared" si="1"/>
        <v>3122.56</v>
      </c>
      <c r="BP21" s="15"/>
      <c r="BQ21" s="15"/>
    </row>
    <row r="22" spans="1:69" ht="24">
      <c r="A22" s="5" t="s">
        <v>13</v>
      </c>
      <c r="B22" s="17" t="s">
        <v>130</v>
      </c>
      <c r="C22" s="17">
        <v>406076</v>
      </c>
      <c r="D22" s="18"/>
      <c r="E22" s="17" t="s">
        <v>76</v>
      </c>
      <c r="F22" s="17" t="s">
        <v>131</v>
      </c>
      <c r="G22" s="17" t="s">
        <v>78</v>
      </c>
      <c r="H22" s="19" t="s">
        <v>8</v>
      </c>
      <c r="I22" s="19" t="s">
        <v>132</v>
      </c>
      <c r="J22" s="19">
        <v>0</v>
      </c>
      <c r="K22" s="19">
        <v>6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5</v>
      </c>
      <c r="AC22" s="19">
        <v>0</v>
      </c>
      <c r="AD22" s="19">
        <v>900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1</v>
      </c>
      <c r="AU22" s="19">
        <v>120</v>
      </c>
      <c r="AV22" s="19">
        <v>0</v>
      </c>
      <c r="AW22" s="19">
        <v>0</v>
      </c>
      <c r="AX22" s="19">
        <v>0</v>
      </c>
      <c r="AY22" s="19">
        <v>0</v>
      </c>
      <c r="AZ22" s="19">
        <v>16</v>
      </c>
      <c r="BA22" s="20">
        <v>3600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228</v>
      </c>
      <c r="BM22" s="24">
        <v>4620</v>
      </c>
      <c r="BN22" s="13">
        <f t="shared" si="0"/>
        <v>4392</v>
      </c>
      <c r="BO22" s="14">
        <f t="shared" si="1"/>
        <v>3074.3999999999996</v>
      </c>
      <c r="BP22" s="15"/>
      <c r="BQ22" s="15"/>
    </row>
    <row r="23" spans="1:69" ht="24">
      <c r="A23" s="5" t="s">
        <v>13</v>
      </c>
      <c r="B23" s="17" t="s">
        <v>128</v>
      </c>
      <c r="C23" s="17">
        <v>403837</v>
      </c>
      <c r="D23" s="18"/>
      <c r="E23" s="17" t="s">
        <v>76</v>
      </c>
      <c r="F23" s="17" t="s">
        <v>129</v>
      </c>
      <c r="G23" s="17" t="s">
        <v>78</v>
      </c>
      <c r="H23" s="19" t="s">
        <v>7</v>
      </c>
      <c r="I23" s="19" t="s">
        <v>87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8</v>
      </c>
      <c r="BA23" s="20">
        <v>1920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115.2</v>
      </c>
      <c r="BM23" s="24">
        <v>1920</v>
      </c>
      <c r="BN23" s="13">
        <f t="shared" si="0"/>
        <v>1804.8</v>
      </c>
      <c r="BO23" s="14">
        <f t="shared" si="1"/>
        <v>1263.3599999999999</v>
      </c>
      <c r="BP23" s="15"/>
      <c r="BQ23" s="15"/>
    </row>
    <row r="24" spans="1:69" ht="24">
      <c r="A24" s="5" t="s">
        <v>13</v>
      </c>
      <c r="B24" s="17" t="s">
        <v>121</v>
      </c>
      <c r="C24" s="17">
        <v>383201</v>
      </c>
      <c r="D24" s="18"/>
      <c r="E24" s="17" t="s">
        <v>76</v>
      </c>
      <c r="F24" s="17" t="s">
        <v>122</v>
      </c>
      <c r="G24" s="17" t="s">
        <v>78</v>
      </c>
      <c r="H24" s="19" t="s">
        <v>7</v>
      </c>
      <c r="I24" s="19" t="s">
        <v>123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8</v>
      </c>
      <c r="BA24" s="20">
        <v>1920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115.2</v>
      </c>
      <c r="BM24" s="24">
        <v>1920</v>
      </c>
      <c r="BN24" s="13">
        <f t="shared" si="0"/>
        <v>1804.8</v>
      </c>
      <c r="BO24" s="14">
        <f t="shared" si="1"/>
        <v>1263.3599999999999</v>
      </c>
      <c r="BP24" s="15"/>
      <c r="BQ24" s="15"/>
    </row>
    <row r="25" spans="1:69" ht="24">
      <c r="A25" s="5" t="s">
        <v>13</v>
      </c>
      <c r="B25" s="17" t="s">
        <v>116</v>
      </c>
      <c r="C25" s="17">
        <v>323829</v>
      </c>
      <c r="D25" s="18"/>
      <c r="E25" s="17" t="s">
        <v>76</v>
      </c>
      <c r="F25" s="17" t="s">
        <v>117</v>
      </c>
      <c r="G25" s="17" t="s">
        <v>78</v>
      </c>
      <c r="H25" s="19" t="s">
        <v>7</v>
      </c>
      <c r="I25" s="19" t="s">
        <v>118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1</v>
      </c>
      <c r="AC25" s="19">
        <v>0</v>
      </c>
      <c r="AD25" s="19">
        <v>100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3</v>
      </c>
      <c r="BD25" s="20">
        <v>1080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64.8</v>
      </c>
      <c r="BM25" s="24">
        <v>1180</v>
      </c>
      <c r="BN25" s="13">
        <f t="shared" si="0"/>
        <v>1115.2</v>
      </c>
      <c r="BO25" s="14">
        <f t="shared" si="1"/>
        <v>780.64</v>
      </c>
      <c r="BP25" s="15"/>
      <c r="BQ25" s="15"/>
    </row>
    <row r="26" spans="1:69" ht="24">
      <c r="A26" s="5" t="s">
        <v>13</v>
      </c>
      <c r="B26" s="17" t="s">
        <v>163</v>
      </c>
      <c r="C26" s="17">
        <v>308339</v>
      </c>
      <c r="D26" s="18"/>
      <c r="E26" s="17" t="s">
        <v>76</v>
      </c>
      <c r="F26" s="17" t="s">
        <v>164</v>
      </c>
      <c r="G26" s="17" t="s">
        <v>78</v>
      </c>
      <c r="H26" s="19" t="s">
        <v>7</v>
      </c>
      <c r="I26" s="19" t="s">
        <v>165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4</v>
      </c>
      <c r="AU26" s="19">
        <v>960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96</v>
      </c>
      <c r="BM26" s="25">
        <v>960</v>
      </c>
      <c r="BN26" s="13">
        <f t="shared" si="0"/>
        <v>864</v>
      </c>
      <c r="BO26" s="14">
        <f t="shared" si="1"/>
        <v>604.79999999999995</v>
      </c>
      <c r="BP26" s="15"/>
      <c r="BQ26" s="15"/>
    </row>
    <row r="27" spans="1:69" ht="24">
      <c r="A27" s="5" t="s">
        <v>13</v>
      </c>
      <c r="B27" s="17" t="s">
        <v>148</v>
      </c>
      <c r="C27" s="17">
        <v>483807</v>
      </c>
      <c r="D27" s="18"/>
      <c r="E27" s="17" t="s">
        <v>76</v>
      </c>
      <c r="F27" s="17" t="s">
        <v>149</v>
      </c>
      <c r="G27" s="17" t="s">
        <v>78</v>
      </c>
      <c r="H27" s="19" t="s">
        <v>7</v>
      </c>
      <c r="I27" s="19" t="s">
        <v>166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4</v>
      </c>
      <c r="AO27" s="19">
        <v>800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25">
        <v>800</v>
      </c>
      <c r="BN27" s="13">
        <f t="shared" si="0"/>
        <v>800</v>
      </c>
      <c r="BO27" s="14">
        <f t="shared" si="1"/>
        <v>560</v>
      </c>
      <c r="BP27" s="15"/>
      <c r="BQ27" s="15"/>
    </row>
    <row r="28" spans="1:69" ht="24">
      <c r="A28" s="5" t="s">
        <v>13</v>
      </c>
      <c r="B28" s="17" t="s">
        <v>135</v>
      </c>
      <c r="C28" s="17">
        <v>393567</v>
      </c>
      <c r="D28" s="18"/>
      <c r="E28" s="17" t="s">
        <v>76</v>
      </c>
      <c r="F28" s="17" t="s">
        <v>136</v>
      </c>
      <c r="G28" s="17" t="s">
        <v>78</v>
      </c>
      <c r="H28" s="19" t="s">
        <v>8</v>
      </c>
      <c r="I28" s="19" t="s">
        <v>137</v>
      </c>
      <c r="J28" s="19">
        <v>0</v>
      </c>
      <c r="K28" s="20">
        <v>1064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2</v>
      </c>
      <c r="AC28" s="19">
        <v>0</v>
      </c>
      <c r="AD28" s="19">
        <v>400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1</v>
      </c>
      <c r="BA28" s="19">
        <v>240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14.4</v>
      </c>
      <c r="BM28" s="25">
        <v>640</v>
      </c>
      <c r="BN28" s="13">
        <f t="shared" si="0"/>
        <v>625.6</v>
      </c>
      <c r="BO28" s="14">
        <f t="shared" si="1"/>
        <v>437.92</v>
      </c>
      <c r="BP28" s="15"/>
      <c r="BQ28" s="15"/>
    </row>
    <row r="29" spans="1:69" ht="24">
      <c r="A29" s="5" t="s">
        <v>13</v>
      </c>
      <c r="B29" s="17" t="s">
        <v>167</v>
      </c>
      <c r="C29" s="17">
        <v>463278</v>
      </c>
      <c r="D29" s="18"/>
      <c r="E29" s="17" t="s">
        <v>76</v>
      </c>
      <c r="F29" s="17" t="s">
        <v>168</v>
      </c>
      <c r="G29" s="17" t="s">
        <v>78</v>
      </c>
      <c r="H29" s="19" t="s">
        <v>7</v>
      </c>
      <c r="I29" s="19" t="s">
        <v>169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2</v>
      </c>
      <c r="BA29" s="19">
        <v>480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28.8</v>
      </c>
      <c r="BM29" s="25">
        <v>480</v>
      </c>
      <c r="BN29" s="13">
        <f t="shared" si="0"/>
        <v>451.2</v>
      </c>
      <c r="BO29" s="14">
        <f t="shared" si="1"/>
        <v>315.83999999999997</v>
      </c>
      <c r="BP29" s="15"/>
      <c r="BQ29" s="15"/>
    </row>
    <row r="30" spans="1:69" ht="24">
      <c r="A30" s="5" t="s">
        <v>13</v>
      </c>
      <c r="B30" s="17" t="s">
        <v>105</v>
      </c>
      <c r="C30" s="17">
        <v>319050</v>
      </c>
      <c r="D30" s="18"/>
      <c r="E30" s="17" t="s">
        <v>76</v>
      </c>
      <c r="F30" s="17" t="s">
        <v>106</v>
      </c>
      <c r="G30" s="17" t="s">
        <v>78</v>
      </c>
      <c r="H30" s="19" t="s">
        <v>7</v>
      </c>
      <c r="I30" s="19" t="s">
        <v>107</v>
      </c>
      <c r="J30" s="19">
        <v>2</v>
      </c>
      <c r="K30" s="19">
        <v>0</v>
      </c>
      <c r="L30" s="19">
        <v>400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25">
        <v>400</v>
      </c>
      <c r="BN30" s="13">
        <f t="shared" si="0"/>
        <v>400</v>
      </c>
      <c r="BO30" s="14">
        <f t="shared" si="1"/>
        <v>280</v>
      </c>
      <c r="BP30" s="15"/>
      <c r="BQ30" s="15"/>
    </row>
    <row r="31" spans="1:69" ht="24">
      <c r="A31" s="5" t="s">
        <v>13</v>
      </c>
      <c r="B31" s="17" t="s">
        <v>170</v>
      </c>
      <c r="C31" s="17">
        <v>394261</v>
      </c>
      <c r="D31" s="18"/>
      <c r="E31" s="17" t="s">
        <v>76</v>
      </c>
      <c r="F31" s="17" t="s">
        <v>114</v>
      </c>
      <c r="G31" s="17" t="s">
        <v>78</v>
      </c>
      <c r="H31" s="19" t="s">
        <v>7</v>
      </c>
      <c r="I31" s="19" t="s">
        <v>171</v>
      </c>
      <c r="J31" s="19">
        <v>0</v>
      </c>
      <c r="K31" s="19">
        <v>6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25">
        <v>0</v>
      </c>
      <c r="BN31" s="13">
        <f t="shared" si="0"/>
        <v>0</v>
      </c>
      <c r="BO31" s="14">
        <f t="shared" si="1"/>
        <v>0</v>
      </c>
      <c r="BP31" s="15"/>
      <c r="BQ31" s="15"/>
    </row>
    <row r="32" spans="1:69" ht="24">
      <c r="A32" s="5" t="s">
        <v>13</v>
      </c>
      <c r="B32" s="17" t="s">
        <v>153</v>
      </c>
      <c r="C32" s="17">
        <v>394045</v>
      </c>
      <c r="D32" s="18"/>
      <c r="E32" s="17" t="s">
        <v>76</v>
      </c>
      <c r="F32" s="17" t="s">
        <v>154</v>
      </c>
      <c r="G32" s="17" t="s">
        <v>78</v>
      </c>
      <c r="H32" s="19" t="s">
        <v>8</v>
      </c>
      <c r="I32" s="19" t="s">
        <v>137</v>
      </c>
      <c r="J32" s="19">
        <v>0</v>
      </c>
      <c r="K32" s="19">
        <v>4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25">
        <v>0</v>
      </c>
      <c r="BN32" s="13">
        <f t="shared" ref="BN32" si="2">BM32-BL32</f>
        <v>0</v>
      </c>
      <c r="BO32" s="14">
        <f>BN32*70%</f>
        <v>0</v>
      </c>
      <c r="BP32" s="15"/>
      <c r="BQ32" s="15"/>
    </row>
    <row r="33" spans="1:67" ht="24">
      <c r="A33" s="5" t="s">
        <v>14</v>
      </c>
      <c r="B33" s="17" t="s">
        <v>75</v>
      </c>
      <c r="C33" s="17">
        <v>435954</v>
      </c>
      <c r="D33" s="18"/>
      <c r="E33" s="17" t="s">
        <v>76</v>
      </c>
      <c r="F33" s="17" t="s">
        <v>77</v>
      </c>
      <c r="G33" s="17" t="s">
        <v>78</v>
      </c>
      <c r="H33" s="19" t="s">
        <v>7</v>
      </c>
      <c r="I33" s="19" t="s">
        <v>155</v>
      </c>
      <c r="J33" s="19">
        <v>0</v>
      </c>
      <c r="K33" s="20">
        <v>4087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2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366</v>
      </c>
      <c r="AC33" s="20">
        <v>57800</v>
      </c>
      <c r="AD33" s="20">
        <v>24400</v>
      </c>
      <c r="AE33" s="19">
        <v>19</v>
      </c>
      <c r="AF33" s="19">
        <v>100</v>
      </c>
      <c r="AG33" s="20">
        <v>7500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90</v>
      </c>
      <c r="AO33" s="20">
        <v>17800</v>
      </c>
      <c r="AP33" s="19">
        <v>200</v>
      </c>
      <c r="AQ33" s="19">
        <v>4</v>
      </c>
      <c r="AR33" s="20">
        <v>1400</v>
      </c>
      <c r="AS33" s="19">
        <v>200</v>
      </c>
      <c r="AT33" s="19">
        <v>88</v>
      </c>
      <c r="AU33" s="20">
        <v>21000</v>
      </c>
      <c r="AV33" s="19">
        <v>0</v>
      </c>
      <c r="AW33" s="19">
        <v>0</v>
      </c>
      <c r="AX33" s="19">
        <v>0</v>
      </c>
      <c r="AY33" s="19">
        <v>0</v>
      </c>
      <c r="AZ33" s="19">
        <v>11</v>
      </c>
      <c r="BA33" s="20">
        <v>2640</v>
      </c>
      <c r="BB33" s="19">
        <v>0</v>
      </c>
      <c r="BC33" s="19">
        <v>0</v>
      </c>
      <c r="BD33" s="19">
        <v>0</v>
      </c>
      <c r="BE33" s="19">
        <v>0</v>
      </c>
      <c r="BF33" s="19">
        <v>77</v>
      </c>
      <c r="BG33" s="20">
        <v>18480</v>
      </c>
      <c r="BH33" s="19">
        <v>0</v>
      </c>
      <c r="BI33" s="19">
        <v>6</v>
      </c>
      <c r="BJ33" s="20">
        <v>2880</v>
      </c>
      <c r="BK33" s="19">
        <v>0</v>
      </c>
      <c r="BL33" s="21">
        <v>3326.4</v>
      </c>
      <c r="BM33" s="24">
        <v>154400</v>
      </c>
      <c r="BN33" s="13">
        <f t="shared" ref="BN33:BN63" si="3">BM33-BL33</f>
        <v>151073.60000000001</v>
      </c>
      <c r="BO33" s="14">
        <f t="shared" ref="BO33:BO63" si="4">BN33*70%</f>
        <v>105751.52</v>
      </c>
    </row>
    <row r="34" spans="1:67" ht="24">
      <c r="A34" s="5" t="s">
        <v>14</v>
      </c>
      <c r="B34" s="17" t="s">
        <v>91</v>
      </c>
      <c r="C34" s="17">
        <v>432749</v>
      </c>
      <c r="D34" s="18"/>
      <c r="E34" s="17" t="s">
        <v>76</v>
      </c>
      <c r="F34" s="17" t="s">
        <v>92</v>
      </c>
      <c r="G34" s="17" t="s">
        <v>78</v>
      </c>
      <c r="H34" s="19" t="s">
        <v>7</v>
      </c>
      <c r="I34" s="19" t="s">
        <v>155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98</v>
      </c>
      <c r="AC34" s="20">
        <v>19160</v>
      </c>
      <c r="AD34" s="19">
        <v>800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4</v>
      </c>
      <c r="BJ34" s="20">
        <v>1920</v>
      </c>
      <c r="BK34" s="19">
        <v>0</v>
      </c>
      <c r="BL34" s="19">
        <v>96</v>
      </c>
      <c r="BM34" s="24">
        <v>21880</v>
      </c>
      <c r="BN34" s="13">
        <f t="shared" si="3"/>
        <v>21784</v>
      </c>
      <c r="BO34" s="14">
        <f t="shared" si="4"/>
        <v>15248.8</v>
      </c>
    </row>
    <row r="35" spans="1:67" ht="24">
      <c r="A35" s="5" t="s">
        <v>14</v>
      </c>
      <c r="B35" s="17" t="s">
        <v>85</v>
      </c>
      <c r="C35" s="17">
        <v>380491</v>
      </c>
      <c r="D35" s="18"/>
      <c r="E35" s="17" t="s">
        <v>76</v>
      </c>
      <c r="F35" s="17" t="s">
        <v>86</v>
      </c>
      <c r="G35" s="17" t="s">
        <v>78</v>
      </c>
      <c r="H35" s="19" t="s">
        <v>7</v>
      </c>
      <c r="I35" s="19" t="s">
        <v>87</v>
      </c>
      <c r="J35" s="19">
        <v>0</v>
      </c>
      <c r="K35" s="19">
        <v>16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39</v>
      </c>
      <c r="AC35" s="19">
        <v>0</v>
      </c>
      <c r="AD35" s="20">
        <v>3900</v>
      </c>
      <c r="AE35" s="19">
        <v>4</v>
      </c>
      <c r="AF35" s="19">
        <v>0</v>
      </c>
      <c r="AG35" s="19">
        <v>800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113</v>
      </c>
      <c r="AO35" s="20">
        <v>11300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24">
        <v>16000</v>
      </c>
      <c r="BN35" s="13">
        <f t="shared" si="3"/>
        <v>16000</v>
      </c>
      <c r="BO35" s="14">
        <f t="shared" si="4"/>
        <v>11200</v>
      </c>
    </row>
    <row r="36" spans="1:67" ht="24">
      <c r="A36" s="5" t="s">
        <v>14</v>
      </c>
      <c r="B36" s="17" t="s">
        <v>81</v>
      </c>
      <c r="C36" s="17">
        <v>465461</v>
      </c>
      <c r="D36" s="18"/>
      <c r="E36" s="17" t="s">
        <v>76</v>
      </c>
      <c r="F36" s="17" t="s">
        <v>82</v>
      </c>
      <c r="G36" s="17" t="s">
        <v>78</v>
      </c>
      <c r="H36" s="19" t="s">
        <v>7</v>
      </c>
      <c r="I36" s="19" t="s">
        <v>156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1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8</v>
      </c>
      <c r="AC36" s="19">
        <v>600</v>
      </c>
      <c r="AD36" s="20">
        <v>1000</v>
      </c>
      <c r="AE36" s="19">
        <v>9</v>
      </c>
      <c r="AF36" s="19">
        <v>0</v>
      </c>
      <c r="AG36" s="20">
        <v>3600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52</v>
      </c>
      <c r="AO36" s="20">
        <v>9900</v>
      </c>
      <c r="AP36" s="19">
        <v>500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24">
        <v>15600</v>
      </c>
      <c r="BN36" s="13">
        <f t="shared" si="3"/>
        <v>15600</v>
      </c>
      <c r="BO36" s="14">
        <f t="shared" si="4"/>
        <v>10920</v>
      </c>
    </row>
    <row r="37" spans="1:67" ht="36">
      <c r="A37" s="5" t="s">
        <v>14</v>
      </c>
      <c r="B37" s="17" t="s">
        <v>172</v>
      </c>
      <c r="C37" s="17">
        <v>491005</v>
      </c>
      <c r="D37" s="18"/>
      <c r="E37" s="17" t="s">
        <v>76</v>
      </c>
      <c r="F37" s="17" t="s">
        <v>173</v>
      </c>
      <c r="G37" s="17" t="s">
        <v>78</v>
      </c>
      <c r="H37" s="19" t="s">
        <v>174</v>
      </c>
      <c r="I37" s="19" t="s">
        <v>175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1</v>
      </c>
      <c r="AC37" s="20">
        <v>1800</v>
      </c>
      <c r="AD37" s="19">
        <v>0</v>
      </c>
      <c r="AE37" s="19">
        <v>2</v>
      </c>
      <c r="AF37" s="20">
        <v>2500</v>
      </c>
      <c r="AG37" s="20">
        <v>2500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1</v>
      </c>
      <c r="AR37" s="20">
        <v>2500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2</v>
      </c>
      <c r="BG37" s="20">
        <v>3600</v>
      </c>
      <c r="BH37" s="19">
        <v>0</v>
      </c>
      <c r="BI37" s="19">
        <v>0</v>
      </c>
      <c r="BJ37" s="19">
        <v>0</v>
      </c>
      <c r="BK37" s="19">
        <v>0</v>
      </c>
      <c r="BL37" s="19">
        <v>180</v>
      </c>
      <c r="BM37" s="24">
        <v>12900</v>
      </c>
      <c r="BN37" s="13">
        <f t="shared" si="3"/>
        <v>12720</v>
      </c>
      <c r="BO37" s="14">
        <f t="shared" si="4"/>
        <v>8904</v>
      </c>
    </row>
    <row r="38" spans="1:67" ht="24">
      <c r="A38" s="5" t="s">
        <v>14</v>
      </c>
      <c r="B38" s="17" t="s">
        <v>83</v>
      </c>
      <c r="C38" s="17">
        <v>423525</v>
      </c>
      <c r="D38" s="18"/>
      <c r="E38" s="17" t="s">
        <v>76</v>
      </c>
      <c r="F38" s="17" t="s">
        <v>84</v>
      </c>
      <c r="G38" s="17" t="s">
        <v>78</v>
      </c>
      <c r="H38" s="19" t="s">
        <v>7</v>
      </c>
      <c r="I38" s="19" t="s">
        <v>74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1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30</v>
      </c>
      <c r="AF38" s="19">
        <v>0</v>
      </c>
      <c r="AG38" s="20">
        <v>12000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24">
        <v>12000</v>
      </c>
      <c r="BN38" s="13">
        <f t="shared" si="3"/>
        <v>12000</v>
      </c>
      <c r="BO38" s="14">
        <f t="shared" si="4"/>
        <v>8400</v>
      </c>
    </row>
    <row r="39" spans="1:67" ht="24">
      <c r="A39" s="5" t="s">
        <v>14</v>
      </c>
      <c r="B39" s="17" t="s">
        <v>176</v>
      </c>
      <c r="C39" s="17">
        <v>490997</v>
      </c>
      <c r="D39" s="18"/>
      <c r="E39" s="17" t="s">
        <v>76</v>
      </c>
      <c r="F39" s="17" t="s">
        <v>177</v>
      </c>
      <c r="G39" s="17" t="s">
        <v>78</v>
      </c>
      <c r="H39" s="19" t="s">
        <v>174</v>
      </c>
      <c r="I39" s="19" t="s">
        <v>175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1</v>
      </c>
      <c r="AF39" s="20">
        <v>3000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1</v>
      </c>
      <c r="BA39" s="20">
        <v>1800</v>
      </c>
      <c r="BB39" s="19">
        <v>0</v>
      </c>
      <c r="BC39" s="19">
        <v>0</v>
      </c>
      <c r="BD39" s="19">
        <v>0</v>
      </c>
      <c r="BE39" s="19">
        <v>0</v>
      </c>
      <c r="BF39" s="19">
        <v>3</v>
      </c>
      <c r="BG39" s="20">
        <v>5400</v>
      </c>
      <c r="BH39" s="19">
        <v>0</v>
      </c>
      <c r="BI39" s="19">
        <v>0</v>
      </c>
      <c r="BJ39" s="19">
        <v>0</v>
      </c>
      <c r="BK39" s="19">
        <v>0</v>
      </c>
      <c r="BL39" s="19">
        <v>378</v>
      </c>
      <c r="BM39" s="24">
        <v>10200</v>
      </c>
      <c r="BN39" s="13">
        <f t="shared" si="3"/>
        <v>9822</v>
      </c>
      <c r="BO39" s="14">
        <f t="shared" si="4"/>
        <v>6875.4</v>
      </c>
    </row>
    <row r="40" spans="1:67" ht="24">
      <c r="A40" s="5" t="s">
        <v>14</v>
      </c>
      <c r="B40" s="17" t="s">
        <v>163</v>
      </c>
      <c r="C40" s="17">
        <v>308339</v>
      </c>
      <c r="D40" s="18"/>
      <c r="E40" s="17" t="s">
        <v>76</v>
      </c>
      <c r="F40" s="17" t="s">
        <v>164</v>
      </c>
      <c r="G40" s="17" t="s">
        <v>78</v>
      </c>
      <c r="H40" s="19" t="s">
        <v>7</v>
      </c>
      <c r="I40" s="19" t="s">
        <v>165</v>
      </c>
      <c r="J40" s="19">
        <v>0</v>
      </c>
      <c r="K40" s="19">
        <v>3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30</v>
      </c>
      <c r="BG40" s="20">
        <v>7200</v>
      </c>
      <c r="BH40" s="19">
        <v>0</v>
      </c>
      <c r="BI40" s="19">
        <v>0</v>
      </c>
      <c r="BJ40" s="19">
        <v>0</v>
      </c>
      <c r="BK40" s="19">
        <v>0</v>
      </c>
      <c r="BL40" s="19">
        <v>360</v>
      </c>
      <c r="BM40" s="24">
        <v>7200</v>
      </c>
      <c r="BN40" s="13">
        <f t="shared" si="3"/>
        <v>6840</v>
      </c>
      <c r="BO40" s="14">
        <f t="shared" si="4"/>
        <v>4788</v>
      </c>
    </row>
    <row r="41" spans="1:67" ht="24">
      <c r="A41" s="5" t="s">
        <v>14</v>
      </c>
      <c r="B41" s="17" t="s">
        <v>113</v>
      </c>
      <c r="C41" s="17">
        <v>436040</v>
      </c>
      <c r="D41" s="18"/>
      <c r="E41" s="17" t="s">
        <v>76</v>
      </c>
      <c r="F41" s="17" t="s">
        <v>114</v>
      </c>
      <c r="G41" s="17" t="s">
        <v>78</v>
      </c>
      <c r="H41" s="19" t="s">
        <v>8</v>
      </c>
      <c r="I41" s="19" t="s">
        <v>115</v>
      </c>
      <c r="J41" s="19">
        <v>0</v>
      </c>
      <c r="K41" s="19">
        <v>572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23</v>
      </c>
      <c r="AC41" s="20">
        <v>5000</v>
      </c>
      <c r="AD41" s="19">
        <v>400</v>
      </c>
      <c r="AE41" s="19">
        <v>1</v>
      </c>
      <c r="AF41" s="19">
        <v>600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2</v>
      </c>
      <c r="AO41" s="19">
        <v>400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24">
        <v>6400</v>
      </c>
      <c r="BN41" s="13">
        <f t="shared" si="3"/>
        <v>6400</v>
      </c>
      <c r="BO41" s="14">
        <f t="shared" si="4"/>
        <v>4480</v>
      </c>
    </row>
    <row r="42" spans="1:67" ht="24">
      <c r="A42" s="5" t="s">
        <v>14</v>
      </c>
      <c r="B42" s="17" t="s">
        <v>93</v>
      </c>
      <c r="C42" s="17">
        <v>307024</v>
      </c>
      <c r="D42" s="18"/>
      <c r="E42" s="17" t="s">
        <v>76</v>
      </c>
      <c r="F42" s="17" t="s">
        <v>94</v>
      </c>
      <c r="G42" s="17" t="s">
        <v>78</v>
      </c>
      <c r="H42" s="19" t="s">
        <v>7</v>
      </c>
      <c r="I42" s="19" t="s">
        <v>95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43</v>
      </c>
      <c r="BG42" s="20">
        <v>5160</v>
      </c>
      <c r="BH42" s="19">
        <v>0</v>
      </c>
      <c r="BI42" s="19">
        <v>0</v>
      </c>
      <c r="BJ42" s="19">
        <v>0</v>
      </c>
      <c r="BK42" s="19">
        <v>0</v>
      </c>
      <c r="BL42" s="19">
        <v>258</v>
      </c>
      <c r="BM42" s="24">
        <v>5160</v>
      </c>
      <c r="BN42" s="13">
        <f t="shared" si="3"/>
        <v>4902</v>
      </c>
      <c r="BO42" s="14">
        <f t="shared" si="4"/>
        <v>3431.3999999999996</v>
      </c>
    </row>
    <row r="43" spans="1:67" ht="24">
      <c r="A43" s="5" t="s">
        <v>14</v>
      </c>
      <c r="B43" s="17" t="s">
        <v>124</v>
      </c>
      <c r="C43" s="17">
        <v>464964</v>
      </c>
      <c r="D43" s="18"/>
      <c r="E43" s="17" t="s">
        <v>76</v>
      </c>
      <c r="F43" s="17" t="s">
        <v>125</v>
      </c>
      <c r="G43" s="17" t="s">
        <v>78</v>
      </c>
      <c r="H43" s="19" t="s">
        <v>7</v>
      </c>
      <c r="I43" s="19" t="s">
        <v>157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21</v>
      </c>
      <c r="AC43" s="19">
        <v>400</v>
      </c>
      <c r="AD43" s="20">
        <v>3800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1</v>
      </c>
      <c r="AO43" s="19">
        <v>200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3</v>
      </c>
      <c r="BG43" s="19">
        <v>720</v>
      </c>
      <c r="BH43" s="19">
        <v>0</v>
      </c>
      <c r="BI43" s="19">
        <v>0</v>
      </c>
      <c r="BJ43" s="19">
        <v>0</v>
      </c>
      <c r="BK43" s="19">
        <v>0</v>
      </c>
      <c r="BL43" s="19">
        <v>36</v>
      </c>
      <c r="BM43" s="24">
        <v>5120</v>
      </c>
      <c r="BN43" s="13">
        <f t="shared" si="3"/>
        <v>5084</v>
      </c>
      <c r="BO43" s="14">
        <f t="shared" si="4"/>
        <v>3558.7999999999997</v>
      </c>
    </row>
    <row r="44" spans="1:67" ht="24">
      <c r="A44" s="5" t="s">
        <v>14</v>
      </c>
      <c r="B44" s="17" t="s">
        <v>133</v>
      </c>
      <c r="C44" s="17">
        <v>398413</v>
      </c>
      <c r="D44" s="18"/>
      <c r="E44" s="17" t="s">
        <v>76</v>
      </c>
      <c r="F44" s="17" t="s">
        <v>131</v>
      </c>
      <c r="G44" s="17" t="s">
        <v>78</v>
      </c>
      <c r="H44" s="19" t="s">
        <v>8</v>
      </c>
      <c r="I44" s="19" t="s">
        <v>134</v>
      </c>
      <c r="J44" s="19">
        <v>0</v>
      </c>
      <c r="K44" s="19">
        <v>1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10</v>
      </c>
      <c r="BG44" s="20">
        <v>2400</v>
      </c>
      <c r="BH44" s="19">
        <v>0</v>
      </c>
      <c r="BI44" s="19">
        <v>0</v>
      </c>
      <c r="BJ44" s="19">
        <v>0</v>
      </c>
      <c r="BK44" s="19">
        <v>0</v>
      </c>
      <c r="BL44" s="19">
        <v>120</v>
      </c>
      <c r="BM44" s="24">
        <v>2400</v>
      </c>
      <c r="BN44" s="13">
        <f t="shared" si="3"/>
        <v>2280</v>
      </c>
      <c r="BO44" s="14">
        <f t="shared" si="4"/>
        <v>1596</v>
      </c>
    </row>
    <row r="45" spans="1:67" ht="24">
      <c r="A45" s="5" t="s">
        <v>14</v>
      </c>
      <c r="B45" s="17" t="s">
        <v>148</v>
      </c>
      <c r="C45" s="17">
        <v>483807</v>
      </c>
      <c r="D45" s="18"/>
      <c r="E45" s="17" t="s">
        <v>76</v>
      </c>
      <c r="F45" s="17" t="s">
        <v>149</v>
      </c>
      <c r="G45" s="17" t="s">
        <v>78</v>
      </c>
      <c r="H45" s="19" t="s">
        <v>7</v>
      </c>
      <c r="I45" s="19" t="s">
        <v>166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4</v>
      </c>
      <c r="BG45" s="19">
        <v>960</v>
      </c>
      <c r="BH45" s="19">
        <v>0</v>
      </c>
      <c r="BI45" s="19">
        <v>0</v>
      </c>
      <c r="BJ45" s="19">
        <v>0</v>
      </c>
      <c r="BK45" s="19">
        <v>0</v>
      </c>
      <c r="BL45" s="19">
        <v>48</v>
      </c>
      <c r="BM45" s="25">
        <v>960</v>
      </c>
      <c r="BN45" s="13">
        <f t="shared" si="3"/>
        <v>912</v>
      </c>
      <c r="BO45" s="14">
        <f t="shared" si="4"/>
        <v>638.4</v>
      </c>
    </row>
    <row r="46" spans="1:67" ht="24">
      <c r="A46" s="5" t="s">
        <v>14</v>
      </c>
      <c r="B46" s="17" t="s">
        <v>111</v>
      </c>
      <c r="C46" s="17">
        <v>465658</v>
      </c>
      <c r="D46" s="18"/>
      <c r="E46" s="17" t="s">
        <v>76</v>
      </c>
      <c r="F46" s="17" t="s">
        <v>112</v>
      </c>
      <c r="G46" s="17" t="s">
        <v>78</v>
      </c>
      <c r="H46" s="19" t="s">
        <v>7</v>
      </c>
      <c r="I46" s="19" t="s">
        <v>156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3</v>
      </c>
      <c r="AC46" s="19">
        <v>720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1</v>
      </c>
      <c r="BG46" s="19">
        <v>240</v>
      </c>
      <c r="BH46" s="19">
        <v>0</v>
      </c>
      <c r="BI46" s="19">
        <v>0</v>
      </c>
      <c r="BJ46" s="19">
        <v>0</v>
      </c>
      <c r="BK46" s="19">
        <v>0</v>
      </c>
      <c r="BL46" s="19">
        <v>12</v>
      </c>
      <c r="BM46" s="25">
        <v>960</v>
      </c>
      <c r="BN46" s="13">
        <f t="shared" si="3"/>
        <v>948</v>
      </c>
      <c r="BO46" s="14">
        <f t="shared" si="4"/>
        <v>663.59999999999991</v>
      </c>
    </row>
    <row r="47" spans="1:67" ht="24">
      <c r="A47" s="5" t="s">
        <v>14</v>
      </c>
      <c r="B47" s="17" t="s">
        <v>79</v>
      </c>
      <c r="C47" s="17">
        <v>465463</v>
      </c>
      <c r="D47" s="18"/>
      <c r="E47" s="17" t="s">
        <v>76</v>
      </c>
      <c r="F47" s="17" t="s">
        <v>80</v>
      </c>
      <c r="G47" s="17" t="s">
        <v>78</v>
      </c>
      <c r="H47" s="19" t="s">
        <v>9</v>
      </c>
      <c r="I47" s="19" t="s">
        <v>139</v>
      </c>
      <c r="J47" s="19">
        <v>2</v>
      </c>
      <c r="K47" s="19">
        <v>0</v>
      </c>
      <c r="L47" s="19">
        <v>400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2</v>
      </c>
      <c r="AC47" s="19">
        <v>0</v>
      </c>
      <c r="AD47" s="19">
        <v>300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1</v>
      </c>
      <c r="BG47" s="19">
        <v>120</v>
      </c>
      <c r="BH47" s="19">
        <v>0</v>
      </c>
      <c r="BI47" s="19">
        <v>0</v>
      </c>
      <c r="BJ47" s="19">
        <v>0</v>
      </c>
      <c r="BK47" s="19">
        <v>0</v>
      </c>
      <c r="BL47" s="19">
        <v>6</v>
      </c>
      <c r="BM47" s="25">
        <v>820</v>
      </c>
      <c r="BN47" s="13">
        <f t="shared" si="3"/>
        <v>814</v>
      </c>
      <c r="BO47" s="14">
        <f t="shared" si="4"/>
        <v>569.79999999999995</v>
      </c>
    </row>
    <row r="48" spans="1:67" ht="24">
      <c r="A48" s="5" t="s">
        <v>14</v>
      </c>
      <c r="B48" s="17" t="s">
        <v>145</v>
      </c>
      <c r="C48" s="17">
        <v>484291</v>
      </c>
      <c r="D48" s="18"/>
      <c r="E48" s="17" t="s">
        <v>76</v>
      </c>
      <c r="F48" s="17" t="s">
        <v>146</v>
      </c>
      <c r="G48" s="17" t="s">
        <v>78</v>
      </c>
      <c r="H48" s="19" t="s">
        <v>7</v>
      </c>
      <c r="I48" s="19" t="s">
        <v>147</v>
      </c>
      <c r="J48" s="19">
        <v>0</v>
      </c>
      <c r="K48" s="19">
        <v>331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1</v>
      </c>
      <c r="AO48" s="19">
        <v>200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2</v>
      </c>
      <c r="BG48" s="19">
        <v>480</v>
      </c>
      <c r="BH48" s="19">
        <v>0</v>
      </c>
      <c r="BI48" s="19">
        <v>0</v>
      </c>
      <c r="BJ48" s="19">
        <v>0</v>
      </c>
      <c r="BK48" s="19">
        <v>0</v>
      </c>
      <c r="BL48" s="19">
        <v>24</v>
      </c>
      <c r="BM48" s="25">
        <v>680</v>
      </c>
      <c r="BN48" s="13">
        <f t="shared" si="3"/>
        <v>656</v>
      </c>
      <c r="BO48" s="14">
        <f t="shared" si="4"/>
        <v>459.2</v>
      </c>
    </row>
    <row r="49" spans="1:67" ht="24">
      <c r="A49" s="5" t="s">
        <v>14</v>
      </c>
      <c r="B49" s="17" t="s">
        <v>105</v>
      </c>
      <c r="C49" s="17">
        <v>319050</v>
      </c>
      <c r="D49" s="18"/>
      <c r="E49" s="17" t="s">
        <v>76</v>
      </c>
      <c r="F49" s="17" t="s">
        <v>106</v>
      </c>
      <c r="G49" s="17" t="s">
        <v>78</v>
      </c>
      <c r="H49" s="19" t="s">
        <v>7</v>
      </c>
      <c r="I49" s="19" t="s">
        <v>107</v>
      </c>
      <c r="J49" s="19">
        <v>3</v>
      </c>
      <c r="K49" s="19">
        <v>0</v>
      </c>
      <c r="L49" s="19">
        <v>600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25">
        <v>600</v>
      </c>
      <c r="BN49" s="13">
        <f t="shared" si="3"/>
        <v>600</v>
      </c>
      <c r="BO49" s="14">
        <f t="shared" si="4"/>
        <v>420</v>
      </c>
    </row>
    <row r="50" spans="1:67" ht="24">
      <c r="A50" s="5" t="s">
        <v>14</v>
      </c>
      <c r="B50" s="17" t="s">
        <v>119</v>
      </c>
      <c r="C50" s="17">
        <v>434897</v>
      </c>
      <c r="D50" s="18"/>
      <c r="E50" s="17" t="s">
        <v>76</v>
      </c>
      <c r="F50" s="17" t="s">
        <v>120</v>
      </c>
      <c r="G50" s="17" t="s">
        <v>78</v>
      </c>
      <c r="H50" s="19" t="s">
        <v>8</v>
      </c>
      <c r="I50" s="19" t="s">
        <v>12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1</v>
      </c>
      <c r="AC50" s="19">
        <v>0</v>
      </c>
      <c r="AD50" s="19">
        <v>200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0</v>
      </c>
      <c r="BM50" s="25">
        <v>200</v>
      </c>
      <c r="BN50" s="13">
        <f t="shared" si="3"/>
        <v>200</v>
      </c>
      <c r="BO50" s="14">
        <f t="shared" si="4"/>
        <v>140</v>
      </c>
    </row>
    <row r="51" spans="1:67" ht="24">
      <c r="A51" s="5" t="s">
        <v>14</v>
      </c>
      <c r="B51" s="17" t="s">
        <v>150</v>
      </c>
      <c r="C51" s="17">
        <v>351760</v>
      </c>
      <c r="D51" s="18"/>
      <c r="E51" s="17" t="s">
        <v>76</v>
      </c>
      <c r="F51" s="17" t="s">
        <v>151</v>
      </c>
      <c r="G51" s="17" t="s">
        <v>78</v>
      </c>
      <c r="H51" s="19" t="s">
        <v>7</v>
      </c>
      <c r="I51" s="19" t="s">
        <v>152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1</v>
      </c>
      <c r="AC51" s="19">
        <v>0</v>
      </c>
      <c r="AD51" s="19">
        <v>200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0</v>
      </c>
      <c r="BM51" s="25">
        <v>200</v>
      </c>
      <c r="BN51" s="13">
        <f t="shared" si="3"/>
        <v>200</v>
      </c>
      <c r="BO51" s="14">
        <f t="shared" si="4"/>
        <v>140</v>
      </c>
    </row>
    <row r="52" spans="1:67" ht="24">
      <c r="A52" s="5" t="s">
        <v>14</v>
      </c>
      <c r="B52" s="17" t="s">
        <v>161</v>
      </c>
      <c r="C52" s="17">
        <v>463455</v>
      </c>
      <c r="D52" s="18"/>
      <c r="E52" s="17" t="s">
        <v>76</v>
      </c>
      <c r="F52" s="17" t="s">
        <v>131</v>
      </c>
      <c r="G52" s="17" t="s">
        <v>78</v>
      </c>
      <c r="H52" s="19" t="s">
        <v>7</v>
      </c>
      <c r="I52" s="19" t="s">
        <v>162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1</v>
      </c>
      <c r="AC52" s="19">
        <v>0</v>
      </c>
      <c r="AD52" s="19">
        <v>200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>
        <v>0</v>
      </c>
      <c r="BM52" s="25">
        <v>200</v>
      </c>
      <c r="BN52" s="13">
        <f t="shared" si="3"/>
        <v>200</v>
      </c>
      <c r="BO52" s="14">
        <f t="shared" si="4"/>
        <v>140</v>
      </c>
    </row>
    <row r="53" spans="1:67" ht="24">
      <c r="A53" s="5" t="s">
        <v>14</v>
      </c>
      <c r="B53" s="17" t="s">
        <v>135</v>
      </c>
      <c r="C53" s="17">
        <v>393567</v>
      </c>
      <c r="D53" s="18"/>
      <c r="E53" s="17" t="s">
        <v>76</v>
      </c>
      <c r="F53" s="17" t="s">
        <v>136</v>
      </c>
      <c r="G53" s="17" t="s">
        <v>78</v>
      </c>
      <c r="H53" s="19" t="s">
        <v>8</v>
      </c>
      <c r="I53" s="19" t="s">
        <v>137</v>
      </c>
      <c r="J53" s="19">
        <v>0</v>
      </c>
      <c r="K53" s="19">
        <v>496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1</v>
      </c>
      <c r="AC53" s="19">
        <v>0</v>
      </c>
      <c r="AD53" s="19">
        <v>200</v>
      </c>
      <c r="AE53" s="19">
        <v>0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9">
        <v>0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0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>
        <v>0</v>
      </c>
      <c r="BM53" s="25">
        <v>200</v>
      </c>
      <c r="BN53" s="13">
        <f t="shared" si="3"/>
        <v>200</v>
      </c>
      <c r="BO53" s="14">
        <f t="shared" si="4"/>
        <v>140</v>
      </c>
    </row>
    <row r="54" spans="1:67" ht="24">
      <c r="A54" s="5" t="s">
        <v>14</v>
      </c>
      <c r="B54" s="17" t="s">
        <v>99</v>
      </c>
      <c r="C54" s="17">
        <v>351846</v>
      </c>
      <c r="D54" s="18"/>
      <c r="E54" s="17" t="s">
        <v>76</v>
      </c>
      <c r="F54" s="17" t="s">
        <v>100</v>
      </c>
      <c r="G54" s="17" t="s">
        <v>78</v>
      </c>
      <c r="H54" s="19" t="s">
        <v>7</v>
      </c>
      <c r="I54" s="19" t="s">
        <v>101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I54" s="19">
        <v>0</v>
      </c>
      <c r="AJ54" s="19">
        <v>0</v>
      </c>
      <c r="AK54" s="19">
        <v>0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1</v>
      </c>
      <c r="BG54" s="19">
        <v>120</v>
      </c>
      <c r="BH54" s="19">
        <v>0</v>
      </c>
      <c r="BI54" s="19">
        <v>0</v>
      </c>
      <c r="BJ54" s="19">
        <v>0</v>
      </c>
      <c r="BK54" s="19">
        <v>0</v>
      </c>
      <c r="BL54" s="19">
        <v>6</v>
      </c>
      <c r="BM54" s="25">
        <v>120</v>
      </c>
      <c r="BN54" s="13">
        <f t="shared" si="3"/>
        <v>114</v>
      </c>
      <c r="BO54" s="14">
        <f t="shared" si="4"/>
        <v>79.8</v>
      </c>
    </row>
    <row r="55" spans="1:67" ht="24">
      <c r="A55" s="5" t="s">
        <v>14</v>
      </c>
      <c r="B55" s="17" t="s">
        <v>116</v>
      </c>
      <c r="C55" s="17">
        <v>323829</v>
      </c>
      <c r="D55" s="18"/>
      <c r="E55" s="17" t="s">
        <v>76</v>
      </c>
      <c r="F55" s="17" t="s">
        <v>117</v>
      </c>
      <c r="G55" s="17" t="s">
        <v>78</v>
      </c>
      <c r="H55" s="19" t="s">
        <v>7</v>
      </c>
      <c r="I55" s="19" t="s">
        <v>118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19">
        <v>0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1</v>
      </c>
      <c r="BG55" s="19">
        <v>120</v>
      </c>
      <c r="BH55" s="19">
        <v>0</v>
      </c>
      <c r="BI55" s="19">
        <v>0</v>
      </c>
      <c r="BJ55" s="19">
        <v>0</v>
      </c>
      <c r="BK55" s="19">
        <v>0</v>
      </c>
      <c r="BL55" s="19">
        <v>6</v>
      </c>
      <c r="BM55" s="25">
        <v>120</v>
      </c>
      <c r="BN55" s="13">
        <f t="shared" si="3"/>
        <v>114</v>
      </c>
      <c r="BO55" s="14">
        <f t="shared" si="4"/>
        <v>79.8</v>
      </c>
    </row>
    <row r="56" spans="1:67" ht="24">
      <c r="A56" s="5" t="s">
        <v>14</v>
      </c>
      <c r="B56" s="17" t="s">
        <v>153</v>
      </c>
      <c r="C56" s="17">
        <v>394045</v>
      </c>
      <c r="D56" s="18"/>
      <c r="E56" s="17" t="s">
        <v>76</v>
      </c>
      <c r="F56" s="17" t="s">
        <v>154</v>
      </c>
      <c r="G56" s="17" t="s">
        <v>78</v>
      </c>
      <c r="H56" s="19" t="s">
        <v>8</v>
      </c>
      <c r="I56" s="19" t="s">
        <v>137</v>
      </c>
      <c r="J56" s="19">
        <v>0</v>
      </c>
      <c r="K56" s="19">
        <v>18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</v>
      </c>
      <c r="AS56" s="19">
        <v>0</v>
      </c>
      <c r="AT56" s="19">
        <v>0</v>
      </c>
      <c r="AU56" s="19">
        <v>0</v>
      </c>
      <c r="AV56" s="19">
        <v>0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25">
        <v>0</v>
      </c>
      <c r="BN56" s="13">
        <f t="shared" si="3"/>
        <v>0</v>
      </c>
      <c r="BO56" s="14">
        <f t="shared" si="4"/>
        <v>0</v>
      </c>
    </row>
    <row r="57" spans="1:67" ht="24">
      <c r="A57" s="5" t="s">
        <v>14</v>
      </c>
      <c r="B57" s="17" t="s">
        <v>140</v>
      </c>
      <c r="C57" s="17">
        <v>393552</v>
      </c>
      <c r="D57" s="18"/>
      <c r="E57" s="17" t="s">
        <v>76</v>
      </c>
      <c r="F57" s="17" t="s">
        <v>141</v>
      </c>
      <c r="G57" s="17" t="s">
        <v>78</v>
      </c>
      <c r="H57" s="19" t="s">
        <v>7</v>
      </c>
      <c r="I57" s="19" t="s">
        <v>137</v>
      </c>
      <c r="J57" s="19">
        <v>0</v>
      </c>
      <c r="K57" s="19">
        <v>3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0</v>
      </c>
      <c r="AG57" s="19">
        <v>0</v>
      </c>
      <c r="AH57" s="19">
        <v>0</v>
      </c>
      <c r="AI57" s="19">
        <v>0</v>
      </c>
      <c r="AJ57" s="19">
        <v>0</v>
      </c>
      <c r="AK57" s="19">
        <v>0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>
        <v>0</v>
      </c>
      <c r="BM57" s="25">
        <v>0</v>
      </c>
      <c r="BN57" s="13">
        <f t="shared" si="3"/>
        <v>0</v>
      </c>
      <c r="BO57" s="14">
        <f t="shared" si="4"/>
        <v>0</v>
      </c>
    </row>
    <row r="58" spans="1:67" ht="24">
      <c r="A58" s="5" t="s">
        <v>15</v>
      </c>
      <c r="B58" s="17" t="s">
        <v>75</v>
      </c>
      <c r="C58" s="17">
        <v>435954</v>
      </c>
      <c r="D58" s="18"/>
      <c r="E58" s="17" t="s">
        <v>76</v>
      </c>
      <c r="F58" s="17" t="s">
        <v>77</v>
      </c>
      <c r="G58" s="17" t="s">
        <v>78</v>
      </c>
      <c r="H58" s="19" t="s">
        <v>7</v>
      </c>
      <c r="I58" s="19" t="s">
        <v>155</v>
      </c>
      <c r="J58" s="19">
        <v>0</v>
      </c>
      <c r="K58" s="20">
        <v>2215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2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156</v>
      </c>
      <c r="AC58" s="20">
        <v>27000</v>
      </c>
      <c r="AD58" s="20">
        <v>3900</v>
      </c>
      <c r="AE58" s="19">
        <v>44</v>
      </c>
      <c r="AF58" s="20">
        <v>11200</v>
      </c>
      <c r="AG58" s="20">
        <v>6200</v>
      </c>
      <c r="AH58" s="19">
        <v>664</v>
      </c>
      <c r="AI58" s="20">
        <v>98678</v>
      </c>
      <c r="AJ58" s="20">
        <v>50300</v>
      </c>
      <c r="AK58" s="19">
        <v>17</v>
      </c>
      <c r="AL58" s="20">
        <v>3108</v>
      </c>
      <c r="AM58" s="20">
        <v>3800</v>
      </c>
      <c r="AN58" s="19">
        <v>78</v>
      </c>
      <c r="AO58" s="20">
        <v>14700</v>
      </c>
      <c r="AP58" s="19">
        <v>900</v>
      </c>
      <c r="AQ58" s="19">
        <v>9</v>
      </c>
      <c r="AR58" s="20">
        <v>3200</v>
      </c>
      <c r="AS58" s="19">
        <v>400</v>
      </c>
      <c r="AT58" s="19">
        <v>1</v>
      </c>
      <c r="AU58" s="19">
        <v>224</v>
      </c>
      <c r="AV58" s="19">
        <v>0</v>
      </c>
      <c r="AW58" s="19">
        <v>0</v>
      </c>
      <c r="AX58" s="19">
        <v>0</v>
      </c>
      <c r="AY58" s="19">
        <v>0</v>
      </c>
      <c r="AZ58" s="19">
        <v>3</v>
      </c>
      <c r="BA58" s="19">
        <v>720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21">
        <v>30601.4</v>
      </c>
      <c r="BM58" s="24">
        <v>224330</v>
      </c>
      <c r="BN58" s="13">
        <f t="shared" si="3"/>
        <v>193728.6</v>
      </c>
      <c r="BO58" s="14">
        <f t="shared" si="4"/>
        <v>135610.01999999999</v>
      </c>
    </row>
    <row r="59" spans="1:67" ht="24">
      <c r="A59" s="5" t="s">
        <v>15</v>
      </c>
      <c r="B59" s="17" t="s">
        <v>81</v>
      </c>
      <c r="C59" s="17">
        <v>465461</v>
      </c>
      <c r="D59" s="18"/>
      <c r="E59" s="17" t="s">
        <v>76</v>
      </c>
      <c r="F59" s="17" t="s">
        <v>82</v>
      </c>
      <c r="G59" s="17" t="s">
        <v>78</v>
      </c>
      <c r="H59" s="19" t="s">
        <v>7</v>
      </c>
      <c r="I59" s="19" t="s">
        <v>156</v>
      </c>
      <c r="J59" s="19">
        <v>0</v>
      </c>
      <c r="K59" s="19">
        <v>3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51</v>
      </c>
      <c r="AC59" s="20">
        <v>10200</v>
      </c>
      <c r="AD59" s="19">
        <v>0</v>
      </c>
      <c r="AE59" s="19">
        <v>26</v>
      </c>
      <c r="AF59" s="20">
        <v>6400</v>
      </c>
      <c r="AG59" s="20">
        <v>3900</v>
      </c>
      <c r="AH59" s="19">
        <v>202</v>
      </c>
      <c r="AI59" s="20">
        <v>44784</v>
      </c>
      <c r="AJ59" s="20">
        <v>3100</v>
      </c>
      <c r="AK59" s="19">
        <v>8</v>
      </c>
      <c r="AL59" s="19">
        <v>960</v>
      </c>
      <c r="AM59" s="20">
        <v>2100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21">
        <v>13723.2</v>
      </c>
      <c r="BM59" s="24">
        <v>71444</v>
      </c>
      <c r="BN59" s="13">
        <f t="shared" si="3"/>
        <v>57720.800000000003</v>
      </c>
      <c r="BO59" s="14">
        <f t="shared" si="4"/>
        <v>40404.559999999998</v>
      </c>
    </row>
    <row r="60" spans="1:67" ht="24">
      <c r="A60" s="5" t="s">
        <v>15</v>
      </c>
      <c r="B60" s="17" t="s">
        <v>88</v>
      </c>
      <c r="C60" s="17">
        <v>467630</v>
      </c>
      <c r="D60" s="18"/>
      <c r="E60" s="17" t="s">
        <v>76</v>
      </c>
      <c r="F60" s="17" t="s">
        <v>89</v>
      </c>
      <c r="G60" s="17" t="s">
        <v>78</v>
      </c>
      <c r="H60" s="19" t="s">
        <v>8</v>
      </c>
      <c r="I60" s="19" t="s">
        <v>90</v>
      </c>
      <c r="J60" s="19">
        <v>0</v>
      </c>
      <c r="K60" s="19">
        <v>8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5</v>
      </c>
      <c r="AC60" s="19">
        <v>600</v>
      </c>
      <c r="AD60" s="19">
        <v>400</v>
      </c>
      <c r="AE60" s="19">
        <v>0</v>
      </c>
      <c r="AF60" s="19">
        <v>0</v>
      </c>
      <c r="AG60" s="19">
        <v>0</v>
      </c>
      <c r="AH60" s="19">
        <v>85</v>
      </c>
      <c r="AI60" s="20">
        <v>19920</v>
      </c>
      <c r="AJ60" s="19">
        <v>400</v>
      </c>
      <c r="AK60" s="19">
        <v>0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9">
        <v>0</v>
      </c>
      <c r="AT60" s="19">
        <v>0</v>
      </c>
      <c r="AU60" s="19">
        <v>0</v>
      </c>
      <c r="AV60" s="19">
        <v>0</v>
      </c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21">
        <v>5976</v>
      </c>
      <c r="BM60" s="24">
        <v>21320</v>
      </c>
      <c r="BN60" s="13">
        <f t="shared" si="3"/>
        <v>15344</v>
      </c>
      <c r="BO60" s="14">
        <f t="shared" si="4"/>
        <v>10740.8</v>
      </c>
    </row>
    <row r="61" spans="1:67" ht="24">
      <c r="A61" s="5" t="s">
        <v>15</v>
      </c>
      <c r="B61" s="17" t="s">
        <v>119</v>
      </c>
      <c r="C61" s="17">
        <v>434897</v>
      </c>
      <c r="D61" s="18"/>
      <c r="E61" s="17" t="s">
        <v>76</v>
      </c>
      <c r="F61" s="17" t="s">
        <v>120</v>
      </c>
      <c r="G61" s="17" t="s">
        <v>78</v>
      </c>
      <c r="H61" s="19" t="s">
        <v>8</v>
      </c>
      <c r="I61" s="19" t="s">
        <v>12</v>
      </c>
      <c r="J61" s="19">
        <v>4</v>
      </c>
      <c r="K61" s="19">
        <v>0</v>
      </c>
      <c r="L61" s="19">
        <v>800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1</v>
      </c>
      <c r="AC61" s="19">
        <v>100</v>
      </c>
      <c r="AD61" s="19">
        <v>0</v>
      </c>
      <c r="AE61" s="19">
        <v>0</v>
      </c>
      <c r="AF61" s="19">
        <v>0</v>
      </c>
      <c r="AG61" s="19">
        <v>0</v>
      </c>
      <c r="AH61" s="19">
        <v>91</v>
      </c>
      <c r="AI61" s="20">
        <v>12240</v>
      </c>
      <c r="AJ61" s="20">
        <v>7900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9">
        <v>0</v>
      </c>
      <c r="AU61" s="19">
        <v>0</v>
      </c>
      <c r="AV61" s="19">
        <v>0</v>
      </c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21">
        <v>3672</v>
      </c>
      <c r="BM61" s="24">
        <v>21040</v>
      </c>
      <c r="BN61" s="13">
        <f t="shared" si="3"/>
        <v>17368</v>
      </c>
      <c r="BO61" s="14">
        <f t="shared" si="4"/>
        <v>12157.599999999999</v>
      </c>
    </row>
    <row r="62" spans="1:67" ht="24">
      <c r="A62" s="5" t="s">
        <v>15</v>
      </c>
      <c r="B62" s="17" t="s">
        <v>145</v>
      </c>
      <c r="C62" s="17">
        <v>484291</v>
      </c>
      <c r="D62" s="18"/>
      <c r="E62" s="17" t="s">
        <v>76</v>
      </c>
      <c r="F62" s="17" t="s">
        <v>146</v>
      </c>
      <c r="G62" s="17" t="s">
        <v>78</v>
      </c>
      <c r="H62" s="19" t="s">
        <v>7</v>
      </c>
      <c r="I62" s="19" t="s">
        <v>147</v>
      </c>
      <c r="J62" s="19">
        <v>0</v>
      </c>
      <c r="K62" s="19">
        <v>82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57</v>
      </c>
      <c r="AI62" s="20">
        <v>13680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21">
        <v>4104</v>
      </c>
      <c r="BM62" s="24">
        <v>13680</v>
      </c>
      <c r="BN62" s="13">
        <f t="shared" si="3"/>
        <v>9576</v>
      </c>
      <c r="BO62" s="14">
        <f t="shared" si="4"/>
        <v>6703.2</v>
      </c>
    </row>
    <row r="63" spans="1:67" ht="24">
      <c r="A63" s="5" t="s">
        <v>15</v>
      </c>
      <c r="B63" s="17" t="s">
        <v>91</v>
      </c>
      <c r="C63" s="17">
        <v>432749</v>
      </c>
      <c r="D63" s="18"/>
      <c r="E63" s="17" t="s">
        <v>76</v>
      </c>
      <c r="F63" s="17" t="s">
        <v>92</v>
      </c>
      <c r="G63" s="17" t="s">
        <v>78</v>
      </c>
      <c r="H63" s="19" t="s">
        <v>7</v>
      </c>
      <c r="I63" s="19" t="s">
        <v>155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7</v>
      </c>
      <c r="AC63" s="20">
        <v>1200</v>
      </c>
      <c r="AD63" s="19">
        <v>200</v>
      </c>
      <c r="AE63" s="19">
        <v>8</v>
      </c>
      <c r="AF63" s="20">
        <v>3200</v>
      </c>
      <c r="AG63" s="19">
        <v>0</v>
      </c>
      <c r="AH63" s="19">
        <v>30</v>
      </c>
      <c r="AI63" s="19">
        <v>960</v>
      </c>
      <c r="AJ63" s="20">
        <v>5200</v>
      </c>
      <c r="AK63" s="19">
        <v>4</v>
      </c>
      <c r="AL63" s="19">
        <v>0</v>
      </c>
      <c r="AM63" s="20">
        <v>1600</v>
      </c>
      <c r="AN63" s="19">
        <v>4</v>
      </c>
      <c r="AO63" s="19">
        <v>800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288</v>
      </c>
      <c r="BM63" s="24">
        <v>13160</v>
      </c>
      <c r="BN63" s="13">
        <f t="shared" si="3"/>
        <v>12872</v>
      </c>
      <c r="BO63" s="14">
        <f t="shared" si="4"/>
        <v>9010.4</v>
      </c>
    </row>
    <row r="64" spans="1:67" ht="24">
      <c r="A64" s="5" t="s">
        <v>15</v>
      </c>
      <c r="B64" s="17" t="s">
        <v>79</v>
      </c>
      <c r="C64" s="17">
        <v>465463</v>
      </c>
      <c r="D64" s="18"/>
      <c r="E64" s="17" t="s">
        <v>76</v>
      </c>
      <c r="F64" s="17" t="s">
        <v>80</v>
      </c>
      <c r="G64" s="17" t="s">
        <v>78</v>
      </c>
      <c r="H64" s="19" t="s">
        <v>9</v>
      </c>
      <c r="I64" s="19" t="s">
        <v>139</v>
      </c>
      <c r="J64" s="19">
        <v>2</v>
      </c>
      <c r="K64" s="19">
        <v>0</v>
      </c>
      <c r="L64" s="19">
        <v>400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3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27</v>
      </c>
      <c r="AF64" s="20">
        <v>10800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1</v>
      </c>
      <c r="AO64" s="19">
        <v>200</v>
      </c>
      <c r="AP64" s="19">
        <v>0</v>
      </c>
      <c r="AQ64" s="19">
        <v>0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>
        <v>0</v>
      </c>
      <c r="BM64" s="24">
        <v>11400</v>
      </c>
      <c r="BN64" s="13">
        <f t="shared" ref="BN64:BN65" si="5">BM64-BL64</f>
        <v>11400</v>
      </c>
      <c r="BO64" s="14">
        <f t="shared" ref="BO64:BO65" si="6">BN64*70%</f>
        <v>7979.9999999999991</v>
      </c>
    </row>
    <row r="65" spans="1:67" ht="24">
      <c r="A65" s="5" t="s">
        <v>15</v>
      </c>
      <c r="B65" s="17" t="s">
        <v>93</v>
      </c>
      <c r="C65" s="17">
        <v>307024</v>
      </c>
      <c r="D65" s="18"/>
      <c r="E65" s="17" t="s">
        <v>76</v>
      </c>
      <c r="F65" s="17" t="s">
        <v>94</v>
      </c>
      <c r="G65" s="17" t="s">
        <v>78</v>
      </c>
      <c r="H65" s="19" t="s">
        <v>7</v>
      </c>
      <c r="I65" s="19" t="s">
        <v>95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28</v>
      </c>
      <c r="AC65" s="20">
        <v>2800</v>
      </c>
      <c r="AD65" s="19">
        <v>0</v>
      </c>
      <c r="AE65" s="19">
        <v>27</v>
      </c>
      <c r="AF65" s="20">
        <v>5400</v>
      </c>
      <c r="AG65" s="19">
        <v>0</v>
      </c>
      <c r="AH65" s="19">
        <v>1</v>
      </c>
      <c r="AI65" s="19">
        <v>120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>
        <v>36</v>
      </c>
      <c r="BM65" s="24">
        <v>8320</v>
      </c>
      <c r="BN65" s="13">
        <f t="shared" si="5"/>
        <v>8284</v>
      </c>
      <c r="BO65" s="14">
        <f t="shared" si="6"/>
        <v>5798.7999999999993</v>
      </c>
    </row>
    <row r="66" spans="1:67" ht="24">
      <c r="A66" s="5" t="s">
        <v>15</v>
      </c>
      <c r="B66" s="17" t="s">
        <v>96</v>
      </c>
      <c r="C66" s="17">
        <v>419155</v>
      </c>
      <c r="D66" s="18"/>
      <c r="E66" s="17" t="s">
        <v>76</v>
      </c>
      <c r="F66" s="17" t="s">
        <v>97</v>
      </c>
      <c r="G66" s="17" t="s">
        <v>78</v>
      </c>
      <c r="H66" s="19" t="s">
        <v>7</v>
      </c>
      <c r="I66" s="19" t="s">
        <v>98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0</v>
      </c>
      <c r="AH66" s="19">
        <v>22</v>
      </c>
      <c r="AI66" s="20">
        <v>7920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9">
        <v>0</v>
      </c>
      <c r="AU66" s="19">
        <v>0</v>
      </c>
      <c r="AV66" s="19">
        <v>0</v>
      </c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21">
        <v>2376</v>
      </c>
      <c r="BM66" s="24">
        <v>7920</v>
      </c>
      <c r="BN66" s="13">
        <f t="shared" ref="BN66:BN79" si="7">BM66-BL66</f>
        <v>5544</v>
      </c>
      <c r="BO66" s="14">
        <f t="shared" ref="BO66:BO79" si="8">BN66*70%</f>
        <v>3880.7999999999997</v>
      </c>
    </row>
    <row r="67" spans="1:67" ht="24">
      <c r="A67" s="5" t="s">
        <v>15</v>
      </c>
      <c r="B67" s="17" t="s">
        <v>111</v>
      </c>
      <c r="C67" s="17">
        <v>465658</v>
      </c>
      <c r="D67" s="18"/>
      <c r="E67" s="17" t="s">
        <v>76</v>
      </c>
      <c r="F67" s="17" t="s">
        <v>112</v>
      </c>
      <c r="G67" s="17" t="s">
        <v>78</v>
      </c>
      <c r="H67" s="19" t="s">
        <v>7</v>
      </c>
      <c r="I67" s="19" t="s">
        <v>156</v>
      </c>
      <c r="J67" s="19">
        <v>0</v>
      </c>
      <c r="K67" s="19">
        <v>3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39</v>
      </c>
      <c r="AC67" s="20">
        <v>7800</v>
      </c>
      <c r="AD67" s="19">
        <v>0</v>
      </c>
      <c r="AE67" s="19">
        <v>0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9">
        <v>0</v>
      </c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>
        <v>0</v>
      </c>
      <c r="BM67" s="24">
        <v>7800</v>
      </c>
      <c r="BN67" s="13">
        <f t="shared" si="7"/>
        <v>7800</v>
      </c>
      <c r="BO67" s="14">
        <f t="shared" si="8"/>
        <v>5460</v>
      </c>
    </row>
    <row r="68" spans="1:67" ht="24">
      <c r="A68" s="5" t="s">
        <v>15</v>
      </c>
      <c r="B68" s="17" t="s">
        <v>108</v>
      </c>
      <c r="C68" s="17">
        <v>448747</v>
      </c>
      <c r="D68" s="18"/>
      <c r="E68" s="17" t="s">
        <v>76</v>
      </c>
      <c r="F68" s="17" t="s">
        <v>109</v>
      </c>
      <c r="G68" s="17" t="s">
        <v>78</v>
      </c>
      <c r="H68" s="19" t="s">
        <v>7</v>
      </c>
      <c r="I68" s="19" t="s">
        <v>110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2</v>
      </c>
      <c r="AF68" s="19">
        <v>0</v>
      </c>
      <c r="AG68" s="19">
        <v>300</v>
      </c>
      <c r="AH68" s="19">
        <v>0</v>
      </c>
      <c r="AI68" s="19">
        <v>0</v>
      </c>
      <c r="AJ68" s="19">
        <v>0</v>
      </c>
      <c r="AK68" s="19">
        <v>14</v>
      </c>
      <c r="AL68" s="19">
        <v>0</v>
      </c>
      <c r="AM68" s="20">
        <v>5300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>
        <v>0</v>
      </c>
      <c r="BM68" s="24">
        <v>5600</v>
      </c>
      <c r="BN68" s="13">
        <f t="shared" si="7"/>
        <v>5600</v>
      </c>
      <c r="BO68" s="14">
        <f t="shared" si="8"/>
        <v>3919.9999999999995</v>
      </c>
    </row>
    <row r="69" spans="1:67" ht="24">
      <c r="A69" s="5" t="s">
        <v>15</v>
      </c>
      <c r="B69" s="17" t="s">
        <v>124</v>
      </c>
      <c r="C69" s="17">
        <v>464964</v>
      </c>
      <c r="D69" s="18"/>
      <c r="E69" s="17" t="s">
        <v>76</v>
      </c>
      <c r="F69" s="17" t="s">
        <v>125</v>
      </c>
      <c r="G69" s="17" t="s">
        <v>78</v>
      </c>
      <c r="H69" s="19" t="s">
        <v>7</v>
      </c>
      <c r="I69" s="19" t="s">
        <v>157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6</v>
      </c>
      <c r="AC69" s="20">
        <v>1200</v>
      </c>
      <c r="AD69" s="19">
        <v>0</v>
      </c>
      <c r="AE69" s="19">
        <v>0</v>
      </c>
      <c r="AF69" s="19">
        <v>0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3</v>
      </c>
      <c r="AR69" s="20">
        <v>1500</v>
      </c>
      <c r="AS69" s="19">
        <v>0</v>
      </c>
      <c r="AT69" s="19">
        <v>0</v>
      </c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>
        <v>0</v>
      </c>
      <c r="BC69" s="19">
        <v>0</v>
      </c>
      <c r="BD69" s="19">
        <v>0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>
        <v>0</v>
      </c>
      <c r="BM69" s="24">
        <v>2700</v>
      </c>
      <c r="BN69" s="13">
        <f t="shared" si="7"/>
        <v>2700</v>
      </c>
      <c r="BO69" s="14">
        <f t="shared" si="8"/>
        <v>1889.9999999999998</v>
      </c>
    </row>
    <row r="70" spans="1:67" ht="24">
      <c r="A70" s="5" t="s">
        <v>15</v>
      </c>
      <c r="B70" s="17" t="s">
        <v>133</v>
      </c>
      <c r="C70" s="17">
        <v>398413</v>
      </c>
      <c r="D70" s="18"/>
      <c r="E70" s="17" t="s">
        <v>76</v>
      </c>
      <c r="F70" s="17" t="s">
        <v>131</v>
      </c>
      <c r="G70" s="17" t="s">
        <v>78</v>
      </c>
      <c r="H70" s="19" t="s">
        <v>8</v>
      </c>
      <c r="I70" s="19" t="s">
        <v>134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5</v>
      </c>
      <c r="AC70" s="20">
        <v>1000</v>
      </c>
      <c r="AD70" s="19">
        <v>0</v>
      </c>
      <c r="AE70" s="19">
        <v>0</v>
      </c>
      <c r="AF70" s="19">
        <v>0</v>
      </c>
      <c r="AG70" s="19">
        <v>0</v>
      </c>
      <c r="AH70" s="19">
        <v>6</v>
      </c>
      <c r="AI70" s="20">
        <v>1200</v>
      </c>
      <c r="AJ70" s="19">
        <v>200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360</v>
      </c>
      <c r="BM70" s="24">
        <v>2400</v>
      </c>
      <c r="BN70" s="13">
        <f t="shared" si="7"/>
        <v>2040</v>
      </c>
      <c r="BO70" s="14">
        <f t="shared" si="8"/>
        <v>1428</v>
      </c>
    </row>
    <row r="71" spans="1:67" ht="24">
      <c r="A71" s="5" t="s">
        <v>15</v>
      </c>
      <c r="B71" s="17" t="s">
        <v>126</v>
      </c>
      <c r="C71" s="17">
        <v>330938</v>
      </c>
      <c r="D71" s="18"/>
      <c r="E71" s="17" t="s">
        <v>76</v>
      </c>
      <c r="F71" s="17" t="s">
        <v>103</v>
      </c>
      <c r="G71" s="17" t="s">
        <v>78</v>
      </c>
      <c r="H71" s="19" t="s">
        <v>7</v>
      </c>
      <c r="I71" s="19" t="s">
        <v>127</v>
      </c>
      <c r="J71" s="19">
        <v>0</v>
      </c>
      <c r="K71" s="19">
        <v>1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10</v>
      </c>
      <c r="AO71" s="20">
        <v>1800</v>
      </c>
      <c r="AP71" s="19">
        <v>200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>
        <v>0</v>
      </c>
      <c r="BM71" s="24">
        <v>2000</v>
      </c>
      <c r="BN71" s="13">
        <f t="shared" si="7"/>
        <v>2000</v>
      </c>
      <c r="BO71" s="14">
        <f t="shared" si="8"/>
        <v>1400</v>
      </c>
    </row>
    <row r="72" spans="1:67" ht="24">
      <c r="A72" s="5" t="s">
        <v>15</v>
      </c>
      <c r="B72" s="17" t="s">
        <v>116</v>
      </c>
      <c r="C72" s="17">
        <v>323829</v>
      </c>
      <c r="D72" s="18"/>
      <c r="E72" s="17" t="s">
        <v>76</v>
      </c>
      <c r="F72" s="17" t="s">
        <v>117</v>
      </c>
      <c r="G72" s="17" t="s">
        <v>78</v>
      </c>
      <c r="H72" s="19" t="s">
        <v>7</v>
      </c>
      <c r="I72" s="19" t="s">
        <v>118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7</v>
      </c>
      <c r="AO72" s="19">
        <v>700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>
        <v>0</v>
      </c>
      <c r="BM72" s="25">
        <v>700</v>
      </c>
      <c r="BN72" s="13">
        <f t="shared" si="7"/>
        <v>700</v>
      </c>
      <c r="BO72" s="14">
        <f t="shared" si="8"/>
        <v>489.99999999999994</v>
      </c>
    </row>
    <row r="73" spans="1:67" ht="24">
      <c r="A73" s="5" t="s">
        <v>15</v>
      </c>
      <c r="B73" s="17" t="s">
        <v>85</v>
      </c>
      <c r="C73" s="17">
        <v>380491</v>
      </c>
      <c r="D73" s="18"/>
      <c r="E73" s="17" t="s">
        <v>76</v>
      </c>
      <c r="F73" s="17" t="s">
        <v>86</v>
      </c>
      <c r="G73" s="17" t="s">
        <v>78</v>
      </c>
      <c r="H73" s="19" t="s">
        <v>7</v>
      </c>
      <c r="I73" s="19" t="s">
        <v>87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2</v>
      </c>
      <c r="AC73" s="19">
        <v>200</v>
      </c>
      <c r="AD73" s="19">
        <v>0</v>
      </c>
      <c r="AE73" s="19">
        <v>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>
        <v>0</v>
      </c>
      <c r="BM73" s="25">
        <v>200</v>
      </c>
      <c r="BN73" s="13">
        <f t="shared" si="7"/>
        <v>200</v>
      </c>
      <c r="BO73" s="14">
        <f t="shared" si="8"/>
        <v>140</v>
      </c>
    </row>
    <row r="74" spans="1:67" ht="24">
      <c r="A74" s="5" t="s">
        <v>15</v>
      </c>
      <c r="B74" s="17" t="s">
        <v>150</v>
      </c>
      <c r="C74" s="17">
        <v>351760</v>
      </c>
      <c r="D74" s="18"/>
      <c r="E74" s="17" t="s">
        <v>76</v>
      </c>
      <c r="F74" s="17" t="s">
        <v>151</v>
      </c>
      <c r="G74" s="17" t="s">
        <v>78</v>
      </c>
      <c r="H74" s="19" t="s">
        <v>7</v>
      </c>
      <c r="I74" s="19" t="s">
        <v>152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1</v>
      </c>
      <c r="AC74" s="19">
        <v>200</v>
      </c>
      <c r="AD74" s="19">
        <v>0</v>
      </c>
      <c r="AE74" s="19">
        <v>0</v>
      </c>
      <c r="AF74" s="19">
        <v>0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>
        <v>0</v>
      </c>
      <c r="BM74" s="25">
        <v>200</v>
      </c>
      <c r="BN74" s="13">
        <f t="shared" si="7"/>
        <v>200</v>
      </c>
      <c r="BO74" s="14">
        <f t="shared" si="8"/>
        <v>140</v>
      </c>
    </row>
    <row r="75" spans="1:67" ht="24">
      <c r="A75" s="5" t="s">
        <v>15</v>
      </c>
      <c r="B75" s="17" t="s">
        <v>135</v>
      </c>
      <c r="C75" s="17">
        <v>393567</v>
      </c>
      <c r="D75" s="18"/>
      <c r="E75" s="17" t="s">
        <v>76</v>
      </c>
      <c r="F75" s="17" t="s">
        <v>136</v>
      </c>
      <c r="G75" s="17" t="s">
        <v>78</v>
      </c>
      <c r="H75" s="19" t="s">
        <v>8</v>
      </c>
      <c r="I75" s="19" t="s">
        <v>137</v>
      </c>
      <c r="J75" s="19">
        <v>0</v>
      </c>
      <c r="K75" s="19">
        <v>258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>
        <v>0</v>
      </c>
      <c r="BM75" s="25">
        <v>0</v>
      </c>
      <c r="BN75" s="13">
        <f t="shared" si="7"/>
        <v>0</v>
      </c>
      <c r="BO75" s="14">
        <f t="shared" si="8"/>
        <v>0</v>
      </c>
    </row>
    <row r="76" spans="1:67" ht="24">
      <c r="A76" s="5" t="s">
        <v>15</v>
      </c>
      <c r="B76" s="17" t="s">
        <v>113</v>
      </c>
      <c r="C76" s="17">
        <v>436040</v>
      </c>
      <c r="D76" s="18"/>
      <c r="E76" s="17" t="s">
        <v>76</v>
      </c>
      <c r="F76" s="17" t="s">
        <v>114</v>
      </c>
      <c r="G76" s="17" t="s">
        <v>78</v>
      </c>
      <c r="H76" s="19" t="s">
        <v>8</v>
      </c>
      <c r="I76" s="19" t="s">
        <v>115</v>
      </c>
      <c r="J76" s="19">
        <v>0</v>
      </c>
      <c r="K76" s="19">
        <v>183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>
        <v>0</v>
      </c>
      <c r="BM76" s="25">
        <v>0</v>
      </c>
      <c r="BN76" s="13">
        <f t="shared" si="7"/>
        <v>0</v>
      </c>
      <c r="BO76" s="14">
        <f t="shared" si="8"/>
        <v>0</v>
      </c>
    </row>
    <row r="77" spans="1:67" ht="24">
      <c r="A77" s="5" t="s">
        <v>15</v>
      </c>
      <c r="B77" s="17" t="s">
        <v>130</v>
      </c>
      <c r="C77" s="17">
        <v>406076</v>
      </c>
      <c r="D77" s="18"/>
      <c r="E77" s="17" t="s">
        <v>76</v>
      </c>
      <c r="F77" s="17" t="s">
        <v>131</v>
      </c>
      <c r="G77" s="17" t="s">
        <v>78</v>
      </c>
      <c r="H77" s="19" t="s">
        <v>8</v>
      </c>
      <c r="I77" s="19" t="s">
        <v>132</v>
      </c>
      <c r="J77" s="19">
        <v>0</v>
      </c>
      <c r="K77" s="19">
        <v>2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>
        <v>0</v>
      </c>
      <c r="BM77" s="25">
        <v>0</v>
      </c>
      <c r="BN77" s="13">
        <f t="shared" si="7"/>
        <v>0</v>
      </c>
      <c r="BO77" s="14">
        <f t="shared" si="8"/>
        <v>0</v>
      </c>
    </row>
    <row r="78" spans="1:67" ht="24">
      <c r="A78" s="5" t="s">
        <v>142</v>
      </c>
      <c r="B78" s="17" t="s">
        <v>108</v>
      </c>
      <c r="C78" s="17">
        <v>448747</v>
      </c>
      <c r="D78" s="18"/>
      <c r="E78" s="17" t="s">
        <v>76</v>
      </c>
      <c r="F78" s="17" t="s">
        <v>109</v>
      </c>
      <c r="G78" s="17" t="s">
        <v>78</v>
      </c>
      <c r="H78" s="19" t="s">
        <v>7</v>
      </c>
      <c r="I78" s="19" t="s">
        <v>110</v>
      </c>
      <c r="J78" s="19">
        <v>0</v>
      </c>
      <c r="K78" s="19">
        <v>872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3</v>
      </c>
      <c r="AC78" s="19">
        <v>200</v>
      </c>
      <c r="AD78" s="19">
        <v>400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5</v>
      </c>
      <c r="AO78" s="20">
        <v>1000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16</v>
      </c>
      <c r="BA78" s="20">
        <v>3840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230.4</v>
      </c>
      <c r="BM78" s="24">
        <v>5440</v>
      </c>
      <c r="BN78" s="13">
        <f t="shared" si="7"/>
        <v>5209.6000000000004</v>
      </c>
      <c r="BO78" s="14">
        <f t="shared" si="8"/>
        <v>3646.72</v>
      </c>
    </row>
    <row r="79" spans="1:67" ht="24">
      <c r="A79" s="5" t="s">
        <v>138</v>
      </c>
      <c r="B79" s="17" t="s">
        <v>108</v>
      </c>
      <c r="C79" s="17">
        <v>448747</v>
      </c>
      <c r="D79" s="18"/>
      <c r="E79" s="17" t="s">
        <v>76</v>
      </c>
      <c r="F79" s="17" t="s">
        <v>109</v>
      </c>
      <c r="G79" s="17" t="s">
        <v>78</v>
      </c>
      <c r="H79" s="19" t="s">
        <v>7</v>
      </c>
      <c r="I79" s="19" t="s">
        <v>110</v>
      </c>
      <c r="J79" s="19">
        <v>0</v>
      </c>
      <c r="K79" s="19">
        <v>520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150</v>
      </c>
      <c r="AC79" s="20">
        <v>30000</v>
      </c>
      <c r="AD79" s="19">
        <v>0</v>
      </c>
      <c r="AE79" s="19">
        <v>0</v>
      </c>
      <c r="AF79" s="19">
        <v>0</v>
      </c>
      <c r="AG79" s="19">
        <v>0</v>
      </c>
      <c r="AH79" s="19">
        <v>50</v>
      </c>
      <c r="AI79" s="20">
        <v>12000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21">
        <v>3600</v>
      </c>
      <c r="BM79" s="24">
        <v>42000</v>
      </c>
      <c r="BN79" s="13">
        <f t="shared" si="7"/>
        <v>38400</v>
      </c>
      <c r="BO79" s="14">
        <f t="shared" si="8"/>
        <v>26880</v>
      </c>
    </row>
    <row r="80" spans="1:67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26"/>
      <c r="BO80" s="22">
        <f>SUM(BO2:BO79)</f>
        <v>1050184.3800000004</v>
      </c>
    </row>
    <row r="81" spans="1:65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8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26"/>
    </row>
    <row r="82" spans="1:65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26"/>
    </row>
    <row r="83" spans="1:65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26"/>
    </row>
    <row r="84" spans="1:65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8"/>
      <c r="AG84" s="8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26"/>
    </row>
    <row r="85" spans="1:65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26"/>
    </row>
    <row r="86" spans="1:65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8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26"/>
    </row>
    <row r="87" spans="1:65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26"/>
    </row>
    <row r="88" spans="1:65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8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26"/>
    </row>
    <row r="89" spans="1:65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26"/>
    </row>
    <row r="90" spans="1:65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8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8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26"/>
    </row>
    <row r="91" spans="1:65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26"/>
    </row>
    <row r="92" spans="1:65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8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26"/>
    </row>
    <row r="93" spans="1:65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26"/>
    </row>
    <row r="94" spans="1:65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26"/>
    </row>
    <row r="95" spans="1:65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8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26"/>
    </row>
    <row r="96" spans="1:65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26"/>
    </row>
    <row r="97" spans="1:65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8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26"/>
    </row>
    <row r="98" spans="1:65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8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26"/>
    </row>
    <row r="99" spans="1:65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8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26"/>
    </row>
    <row r="100" spans="1:65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26"/>
    </row>
    <row r="101" spans="1:65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8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26"/>
    </row>
    <row r="102" spans="1:65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26"/>
    </row>
    <row r="103" spans="1:65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8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8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26"/>
    </row>
    <row r="104" spans="1:65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26"/>
    </row>
    <row r="105" spans="1:65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8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26"/>
    </row>
    <row r="106" spans="1:65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8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26"/>
    </row>
    <row r="107" spans="1:65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26"/>
    </row>
    <row r="108" spans="1:65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26"/>
    </row>
    <row r="109" spans="1:65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8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26"/>
    </row>
    <row r="110" spans="1:65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26"/>
    </row>
    <row r="111" spans="1:65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26"/>
    </row>
    <row r="112" spans="1:65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26"/>
    </row>
    <row r="113" spans="1:65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26"/>
    </row>
    <row r="114" spans="1:65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26"/>
    </row>
    <row r="115" spans="1:65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26"/>
    </row>
    <row r="116" spans="1:65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27"/>
    </row>
    <row r="117" spans="1:65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27"/>
    </row>
    <row r="118" spans="1:65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27"/>
    </row>
    <row r="119" spans="1:65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27"/>
    </row>
    <row r="120" spans="1:65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27"/>
    </row>
    <row r="121" spans="1:65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27"/>
    </row>
    <row r="122" spans="1:65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27"/>
    </row>
    <row r="123" spans="1:65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27"/>
    </row>
    <row r="124" spans="1:65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27"/>
    </row>
    <row r="125" spans="1:65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27"/>
    </row>
    <row r="126" spans="1:65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27"/>
    </row>
    <row r="127" spans="1:65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27"/>
    </row>
    <row r="128" spans="1:65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27"/>
    </row>
    <row r="129" spans="1:65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27"/>
    </row>
    <row r="130" spans="1:65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27"/>
    </row>
    <row r="131" spans="1:65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27"/>
    </row>
    <row r="132" spans="1:65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27"/>
    </row>
    <row r="133" spans="1:65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27"/>
    </row>
    <row r="134" spans="1:65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27"/>
    </row>
    <row r="135" spans="1:65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27"/>
    </row>
    <row r="136" spans="1:65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27"/>
    </row>
    <row r="137" spans="1:65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27"/>
    </row>
    <row r="138" spans="1:65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27"/>
    </row>
    <row r="139" spans="1:65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27"/>
    </row>
    <row r="140" spans="1:65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27"/>
    </row>
    <row r="141" spans="1:65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27"/>
    </row>
    <row r="142" spans="1:65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27"/>
    </row>
    <row r="143" spans="1:65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27"/>
    </row>
    <row r="144" spans="1:65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8"/>
      <c r="L144" s="8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8"/>
      <c r="AF144" s="8"/>
      <c r="AG144" s="8"/>
      <c r="AH144" s="7"/>
      <c r="AI144" s="7"/>
      <c r="AJ144" s="7"/>
      <c r="AK144" s="8"/>
      <c r="AL144" s="8"/>
      <c r="AM144" s="8"/>
      <c r="AN144" s="7"/>
      <c r="AO144" s="7"/>
      <c r="AP144" s="7"/>
      <c r="AQ144" s="8"/>
      <c r="AR144" s="8"/>
      <c r="AS144" s="8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9"/>
      <c r="BM144" s="26"/>
    </row>
    <row r="145" spans="1:65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8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8"/>
      <c r="AF145" s="8"/>
      <c r="AG145" s="8"/>
      <c r="AH145" s="7"/>
      <c r="AI145" s="7"/>
      <c r="AJ145" s="7"/>
      <c r="AK145" s="8"/>
      <c r="AL145" s="8"/>
      <c r="AM145" s="8"/>
      <c r="AN145" s="7"/>
      <c r="AO145" s="7"/>
      <c r="AP145" s="7"/>
      <c r="AQ145" s="7"/>
      <c r="AR145" s="8"/>
      <c r="AS145" s="8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9"/>
      <c r="BM145" s="26"/>
    </row>
    <row r="146" spans="1:65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8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8"/>
      <c r="AF146" s="8"/>
      <c r="AG146" s="8"/>
      <c r="AH146" s="7"/>
      <c r="AI146" s="7"/>
      <c r="AJ146" s="7"/>
      <c r="AK146" s="8"/>
      <c r="AL146" s="8"/>
      <c r="AM146" s="8"/>
      <c r="AN146" s="7"/>
      <c r="AO146" s="7"/>
      <c r="AP146" s="7"/>
      <c r="AQ146" s="8"/>
      <c r="AR146" s="8"/>
      <c r="AS146" s="8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9"/>
      <c r="BM146" s="26"/>
    </row>
    <row r="147" spans="1:65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8"/>
      <c r="AF147" s="8"/>
      <c r="AG147" s="8"/>
      <c r="AH147" s="7"/>
      <c r="AI147" s="7"/>
      <c r="AJ147" s="7"/>
      <c r="AK147" s="8"/>
      <c r="AL147" s="8"/>
      <c r="AM147" s="8"/>
      <c r="AN147" s="7"/>
      <c r="AO147" s="7"/>
      <c r="AP147" s="7"/>
      <c r="AQ147" s="8"/>
      <c r="AR147" s="8"/>
      <c r="AS147" s="8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9"/>
      <c r="BM147" s="26"/>
    </row>
    <row r="148" spans="1:65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8"/>
      <c r="AG148" s="8"/>
      <c r="AH148" s="7"/>
      <c r="AI148" s="7"/>
      <c r="AJ148" s="7"/>
      <c r="AK148" s="7"/>
      <c r="AL148" s="8"/>
      <c r="AM148" s="8"/>
      <c r="AN148" s="7"/>
      <c r="AO148" s="7"/>
      <c r="AP148" s="7"/>
      <c r="AQ148" s="7"/>
      <c r="AR148" s="8"/>
      <c r="AS148" s="8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9"/>
      <c r="BM148" s="26"/>
    </row>
    <row r="149" spans="1:65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8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8"/>
      <c r="AF149" s="8"/>
      <c r="AG149" s="8"/>
      <c r="AH149" s="7"/>
      <c r="AI149" s="7"/>
      <c r="AJ149" s="7"/>
      <c r="AK149" s="8"/>
      <c r="AL149" s="8"/>
      <c r="AM149" s="8"/>
      <c r="AN149" s="7"/>
      <c r="AO149" s="7"/>
      <c r="AP149" s="7"/>
      <c r="AQ149" s="7"/>
      <c r="AR149" s="8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9"/>
      <c r="BM149" s="26"/>
    </row>
    <row r="150" spans="1:65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8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8"/>
      <c r="AF150" s="8"/>
      <c r="AG150" s="8"/>
      <c r="AH150" s="7"/>
      <c r="AI150" s="7"/>
      <c r="AJ150" s="7"/>
      <c r="AK150" s="8"/>
      <c r="AL150" s="8"/>
      <c r="AM150" s="8"/>
      <c r="AN150" s="7"/>
      <c r="AO150" s="7"/>
      <c r="AP150" s="7"/>
      <c r="AQ150" s="7"/>
      <c r="AR150" s="8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9"/>
      <c r="BM150" s="26"/>
    </row>
    <row r="151" spans="1:65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8"/>
      <c r="AF151" s="8"/>
      <c r="AG151" s="8"/>
      <c r="AH151" s="7"/>
      <c r="AI151" s="7"/>
      <c r="AJ151" s="7"/>
      <c r="AK151" s="8"/>
      <c r="AL151" s="8"/>
      <c r="AM151" s="8"/>
      <c r="AN151" s="7"/>
      <c r="AO151" s="7"/>
      <c r="AP151" s="7"/>
      <c r="AQ151" s="7"/>
      <c r="AR151" s="8"/>
      <c r="AS151" s="8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9"/>
      <c r="BM151" s="26"/>
    </row>
    <row r="152" spans="1:65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8"/>
      <c r="L152" s="8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8"/>
      <c r="AF152" s="8"/>
      <c r="AG152" s="8"/>
      <c r="AH152" s="7"/>
      <c r="AI152" s="7"/>
      <c r="AJ152" s="7"/>
      <c r="AK152" s="8"/>
      <c r="AL152" s="8"/>
      <c r="AM152" s="8"/>
      <c r="AN152" s="7"/>
      <c r="AO152" s="7"/>
      <c r="AP152" s="7"/>
      <c r="AQ152" s="7"/>
      <c r="AR152" s="8"/>
      <c r="AS152" s="8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9"/>
      <c r="BM152" s="26"/>
    </row>
    <row r="153" spans="1:65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8"/>
      <c r="AF153" s="8"/>
      <c r="AG153" s="8"/>
      <c r="AH153" s="7"/>
      <c r="AI153" s="7"/>
      <c r="AJ153" s="7"/>
      <c r="AK153" s="8"/>
      <c r="AL153" s="8"/>
      <c r="AM153" s="8"/>
      <c r="AN153" s="7"/>
      <c r="AO153" s="7"/>
      <c r="AP153" s="7"/>
      <c r="AQ153" s="7"/>
      <c r="AR153" s="8"/>
      <c r="AS153" s="8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9"/>
      <c r="BM153" s="26"/>
    </row>
    <row r="154" spans="1:65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8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8"/>
      <c r="AF154" s="8"/>
      <c r="AG154" s="8"/>
      <c r="AH154" s="7"/>
      <c r="AI154" s="7"/>
      <c r="AJ154" s="7"/>
      <c r="AK154" s="8"/>
      <c r="AL154" s="8"/>
      <c r="AM154" s="8"/>
      <c r="AN154" s="7"/>
      <c r="AO154" s="7"/>
      <c r="AP154" s="7"/>
      <c r="AQ154" s="7"/>
      <c r="AR154" s="8"/>
      <c r="AS154" s="8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9"/>
      <c r="BM154" s="26"/>
    </row>
    <row r="155" spans="1:65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8"/>
      <c r="AG155" s="8"/>
      <c r="AH155" s="7"/>
      <c r="AI155" s="7"/>
      <c r="AJ155" s="7"/>
      <c r="AK155" s="8"/>
      <c r="AL155" s="8"/>
      <c r="AM155" s="8"/>
      <c r="AN155" s="7"/>
      <c r="AO155" s="7"/>
      <c r="AP155" s="7"/>
      <c r="AQ155" s="7"/>
      <c r="AR155" s="8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9"/>
      <c r="BM155" s="26"/>
    </row>
    <row r="156" spans="1:65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8"/>
      <c r="AG156" s="8"/>
      <c r="AH156" s="7"/>
      <c r="AI156" s="7"/>
      <c r="AJ156" s="7"/>
      <c r="AK156" s="7"/>
      <c r="AL156" s="8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9"/>
      <c r="BM156" s="26"/>
    </row>
    <row r="157" spans="1:65">
      <c r="A157" s="5"/>
      <c r="B157" s="5"/>
      <c r="C157" s="5"/>
      <c r="D157" s="6"/>
      <c r="E157" s="5"/>
      <c r="F157" s="5"/>
      <c r="G157" s="5"/>
      <c r="H157" s="7"/>
      <c r="I157" s="7"/>
      <c r="J157" s="8"/>
      <c r="K157" s="7"/>
      <c r="L157" s="8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8"/>
      <c r="AG157" s="8"/>
      <c r="AH157" s="7"/>
      <c r="AI157" s="7"/>
      <c r="AJ157" s="7"/>
      <c r="AK157" s="7"/>
      <c r="AL157" s="8"/>
      <c r="AM157" s="8"/>
      <c r="AN157" s="7"/>
      <c r="AO157" s="7"/>
      <c r="AP157" s="7"/>
      <c r="AQ157" s="7"/>
      <c r="AR157" s="8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9"/>
      <c r="BM157" s="26"/>
    </row>
    <row r="158" spans="1:65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8"/>
      <c r="AG158" s="7"/>
      <c r="AH158" s="7"/>
      <c r="AI158" s="7"/>
      <c r="AJ158" s="7"/>
      <c r="AK158" s="7"/>
      <c r="AL158" s="8"/>
      <c r="AM158" s="8"/>
      <c r="AN158" s="7"/>
      <c r="AO158" s="7"/>
      <c r="AP158" s="7"/>
      <c r="AQ158" s="7"/>
      <c r="AR158" s="8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9"/>
      <c r="BM158" s="26"/>
    </row>
    <row r="159" spans="1:65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8"/>
      <c r="AG159" s="7"/>
      <c r="AH159" s="7"/>
      <c r="AI159" s="7"/>
      <c r="AJ159" s="7"/>
      <c r="AK159" s="7"/>
      <c r="AL159" s="8"/>
      <c r="AM159" s="8"/>
      <c r="AN159" s="7"/>
      <c r="AO159" s="7"/>
      <c r="AP159" s="7"/>
      <c r="AQ159" s="7"/>
      <c r="AR159" s="8"/>
      <c r="AS159" s="8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9"/>
      <c r="BM159" s="26"/>
    </row>
    <row r="160" spans="1:65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8"/>
      <c r="AG160" s="8"/>
      <c r="AH160" s="7"/>
      <c r="AI160" s="7"/>
      <c r="AJ160" s="7"/>
      <c r="AK160" s="7"/>
      <c r="AL160" s="8"/>
      <c r="AM160" s="8"/>
      <c r="AN160" s="7"/>
      <c r="AO160" s="7"/>
      <c r="AP160" s="7"/>
      <c r="AQ160" s="7"/>
      <c r="AR160" s="8"/>
      <c r="AS160" s="8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9"/>
      <c r="BM160" s="26"/>
    </row>
    <row r="161" spans="1:65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8"/>
      <c r="AG161" s="7"/>
      <c r="AH161" s="7"/>
      <c r="AI161" s="8"/>
      <c r="AJ161" s="8"/>
      <c r="AK161" s="7"/>
      <c r="AL161" s="7"/>
      <c r="AM161" s="7"/>
      <c r="AN161" s="7"/>
      <c r="AO161" s="7"/>
      <c r="AP161" s="7"/>
      <c r="AQ161" s="7"/>
      <c r="AR161" s="8"/>
      <c r="AS161" s="8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9"/>
      <c r="BM161" s="26"/>
    </row>
    <row r="162" spans="1:65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7"/>
      <c r="AH162" s="7"/>
      <c r="AI162" s="7"/>
      <c r="AJ162" s="7"/>
      <c r="AK162" s="7"/>
      <c r="AL162" s="8"/>
      <c r="AM162" s="8"/>
      <c r="AN162" s="7"/>
      <c r="AO162" s="7"/>
      <c r="AP162" s="7"/>
      <c r="AQ162" s="7"/>
      <c r="AR162" s="8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9"/>
      <c r="BM162" s="26"/>
    </row>
    <row r="163" spans="1:65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8"/>
      <c r="AG163" s="8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8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26"/>
    </row>
    <row r="164" spans="1:65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7"/>
      <c r="AH164" s="7"/>
      <c r="AI164" s="7"/>
      <c r="AJ164" s="7"/>
      <c r="AK164" s="7"/>
      <c r="AL164" s="8"/>
      <c r="AM164" s="7"/>
      <c r="AN164" s="7"/>
      <c r="AO164" s="7"/>
      <c r="AP164" s="7"/>
      <c r="AQ164" s="7"/>
      <c r="AR164" s="8"/>
      <c r="AS164" s="8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9"/>
      <c r="BM164" s="26"/>
    </row>
    <row r="165" spans="1:65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7"/>
      <c r="AH165" s="7"/>
      <c r="AI165" s="7"/>
      <c r="AJ165" s="7"/>
      <c r="AK165" s="7"/>
      <c r="AL165" s="8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26"/>
    </row>
    <row r="166" spans="1:65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7"/>
      <c r="AH166" s="7"/>
      <c r="AI166" s="7"/>
      <c r="AJ166" s="7"/>
      <c r="AK166" s="7"/>
      <c r="AL166" s="8"/>
      <c r="AM166" s="7"/>
      <c r="AN166" s="7"/>
      <c r="AO166" s="7"/>
      <c r="AP166" s="7"/>
      <c r="AQ166" s="7"/>
      <c r="AR166" s="8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9"/>
      <c r="BM166" s="26"/>
    </row>
    <row r="167" spans="1:65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7"/>
      <c r="AH167" s="7"/>
      <c r="AI167" s="7"/>
      <c r="AJ167" s="7"/>
      <c r="AK167" s="7"/>
      <c r="AL167" s="8"/>
      <c r="AM167" s="7"/>
      <c r="AN167" s="7"/>
      <c r="AO167" s="7"/>
      <c r="AP167" s="7"/>
      <c r="AQ167" s="7"/>
      <c r="AR167" s="8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9"/>
      <c r="BM167" s="26"/>
    </row>
    <row r="168" spans="1:65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8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26"/>
    </row>
    <row r="169" spans="1:65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7"/>
      <c r="AH169" s="7"/>
      <c r="AI169" s="7"/>
      <c r="AJ169" s="7"/>
      <c r="AK169" s="7"/>
      <c r="AL169" s="8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9"/>
      <c r="BM169" s="26"/>
    </row>
    <row r="170" spans="1:65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8"/>
      <c r="AM170" s="8"/>
      <c r="AN170" s="7"/>
      <c r="AO170" s="7"/>
      <c r="AP170" s="7"/>
      <c r="AQ170" s="7"/>
      <c r="AR170" s="8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9"/>
      <c r="BM170" s="26"/>
    </row>
    <row r="171" spans="1:65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8"/>
      <c r="AH171" s="7"/>
      <c r="AI171" s="7"/>
      <c r="AJ171" s="7"/>
      <c r="AK171" s="7"/>
      <c r="AL171" s="8"/>
      <c r="AM171" s="8"/>
      <c r="AN171" s="7"/>
      <c r="AO171" s="7"/>
      <c r="AP171" s="7"/>
      <c r="AQ171" s="7"/>
      <c r="AR171" s="8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9"/>
      <c r="BM171" s="26"/>
    </row>
    <row r="172" spans="1:65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7"/>
      <c r="AH172" s="7"/>
      <c r="AI172" s="7"/>
      <c r="AJ172" s="7"/>
      <c r="AK172" s="7"/>
      <c r="AL172" s="8"/>
      <c r="AM172" s="7"/>
      <c r="AN172" s="7"/>
      <c r="AO172" s="7"/>
      <c r="AP172" s="7"/>
      <c r="AQ172" s="7"/>
      <c r="AR172" s="8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9"/>
      <c r="BM172" s="26"/>
    </row>
    <row r="173" spans="1:65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7"/>
      <c r="AH173" s="7"/>
      <c r="AI173" s="7"/>
      <c r="AJ173" s="7"/>
      <c r="AK173" s="7"/>
      <c r="AL173" s="8"/>
      <c r="AM173" s="7"/>
      <c r="AN173" s="7"/>
      <c r="AO173" s="7"/>
      <c r="AP173" s="7"/>
      <c r="AQ173" s="7"/>
      <c r="AR173" s="8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9"/>
      <c r="BM173" s="26"/>
    </row>
    <row r="174" spans="1:65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8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9"/>
      <c r="BM174" s="26"/>
    </row>
    <row r="175" spans="1:65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8"/>
      <c r="AH175" s="7"/>
      <c r="AI175" s="7"/>
      <c r="AJ175" s="7"/>
      <c r="AK175" s="7"/>
      <c r="AL175" s="8"/>
      <c r="AM175" s="8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9"/>
      <c r="BM175" s="26"/>
    </row>
    <row r="176" spans="1:65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8"/>
      <c r="AH176" s="7"/>
      <c r="AI176" s="7"/>
      <c r="AJ176" s="7"/>
      <c r="AK176" s="7"/>
      <c r="AL176" s="8"/>
      <c r="AM176" s="8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26"/>
    </row>
    <row r="177" spans="1:65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8"/>
      <c r="AM177" s="8"/>
      <c r="AN177" s="7"/>
      <c r="AO177" s="7"/>
      <c r="AP177" s="7"/>
      <c r="AQ177" s="7"/>
      <c r="AR177" s="8"/>
      <c r="AS177" s="8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9"/>
      <c r="BM177" s="26"/>
    </row>
    <row r="178" spans="1:65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8"/>
      <c r="AH178" s="7"/>
      <c r="AI178" s="7"/>
      <c r="AJ178" s="7"/>
      <c r="AK178" s="7"/>
      <c r="AL178" s="8"/>
      <c r="AM178" s="8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9"/>
      <c r="BM178" s="26"/>
    </row>
    <row r="179" spans="1:65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8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9"/>
      <c r="BM179" s="26"/>
    </row>
    <row r="180" spans="1:65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26"/>
    </row>
    <row r="181" spans="1:65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7"/>
      <c r="AH181" s="7"/>
      <c r="AI181" s="7"/>
      <c r="AJ181" s="7"/>
      <c r="AK181" s="7"/>
      <c r="AL181" s="8"/>
      <c r="AM181" s="7"/>
      <c r="AN181" s="7"/>
      <c r="AO181" s="7"/>
      <c r="AP181" s="7"/>
      <c r="AQ181" s="7"/>
      <c r="AR181" s="8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9"/>
      <c r="BM181" s="26"/>
    </row>
    <row r="182" spans="1:65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8"/>
      <c r="AM182" s="8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9"/>
      <c r="BM182" s="26"/>
    </row>
    <row r="183" spans="1:65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8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9"/>
      <c r="BM183" s="26"/>
    </row>
    <row r="184" spans="1:65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8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26"/>
    </row>
    <row r="185" spans="1:65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8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26"/>
    </row>
    <row r="186" spans="1:65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8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9"/>
      <c r="BM186" s="26"/>
    </row>
    <row r="187" spans="1:65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26"/>
    </row>
    <row r="188" spans="1:65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7"/>
      <c r="AH188" s="7"/>
      <c r="AI188" s="7"/>
      <c r="AJ188" s="7"/>
      <c r="AK188" s="7"/>
      <c r="AL188" s="8"/>
      <c r="AM188" s="8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9"/>
      <c r="BM188" s="26"/>
    </row>
    <row r="189" spans="1:65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7"/>
      <c r="AH189" s="7"/>
      <c r="AI189" s="7"/>
      <c r="AJ189" s="7"/>
      <c r="AK189" s="7"/>
      <c r="AL189" s="8"/>
      <c r="AM189" s="8"/>
      <c r="AN189" s="7"/>
      <c r="AO189" s="7"/>
      <c r="AP189" s="7"/>
      <c r="AQ189" s="7"/>
      <c r="AR189" s="8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26"/>
    </row>
    <row r="190" spans="1:65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8"/>
      <c r="AJ190" s="7"/>
      <c r="AK190" s="7"/>
      <c r="AL190" s="8"/>
      <c r="AM190" s="7"/>
      <c r="AN190" s="7"/>
      <c r="AO190" s="8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9"/>
      <c r="BM190" s="26"/>
    </row>
    <row r="191" spans="1:65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8"/>
      <c r="AM191" s="8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9"/>
      <c r="BM191" s="26"/>
    </row>
    <row r="192" spans="1:65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7"/>
      <c r="AH192" s="7"/>
      <c r="AI192" s="7"/>
      <c r="AJ192" s="7"/>
      <c r="AK192" s="7"/>
      <c r="AL192" s="8"/>
      <c r="AM192" s="7"/>
      <c r="AN192" s="7"/>
      <c r="AO192" s="7"/>
      <c r="AP192" s="7"/>
      <c r="AQ192" s="7"/>
      <c r="AR192" s="8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9"/>
      <c r="BM192" s="26"/>
    </row>
    <row r="193" spans="1:65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8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9"/>
      <c r="BM193" s="26"/>
    </row>
    <row r="194" spans="1:65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8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26"/>
    </row>
    <row r="195" spans="1:65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8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9"/>
      <c r="BM195" s="26"/>
    </row>
    <row r="196" spans="1:65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8"/>
      <c r="AS196" s="8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26"/>
    </row>
    <row r="197" spans="1:65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8"/>
      <c r="AM197" s="8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9"/>
      <c r="BM197" s="26"/>
    </row>
    <row r="198" spans="1:65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8"/>
      <c r="AM198" s="8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9"/>
      <c r="BM198" s="26"/>
    </row>
    <row r="199" spans="1:65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8"/>
      <c r="AN199" s="7"/>
      <c r="AO199" s="7"/>
      <c r="AP199" s="7"/>
      <c r="AQ199" s="7"/>
      <c r="AR199" s="8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26"/>
    </row>
    <row r="200" spans="1:65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8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9"/>
      <c r="BM200" s="26"/>
    </row>
    <row r="201" spans="1:65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8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9"/>
      <c r="BM201" s="26"/>
    </row>
    <row r="202" spans="1:65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8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9"/>
      <c r="BM202" s="26"/>
    </row>
    <row r="203" spans="1:65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8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26"/>
    </row>
    <row r="204" spans="1:65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7"/>
      <c r="AH204" s="7"/>
      <c r="AI204" s="7"/>
      <c r="AJ204" s="7"/>
      <c r="AK204" s="7"/>
      <c r="AL204" s="8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9"/>
      <c r="BM204" s="26"/>
    </row>
    <row r="205" spans="1:65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8"/>
      <c r="AN205" s="7"/>
      <c r="AO205" s="7"/>
      <c r="AP205" s="7"/>
      <c r="AQ205" s="7"/>
      <c r="AR205" s="8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26"/>
    </row>
    <row r="206" spans="1:65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8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9"/>
      <c r="BM206" s="26"/>
    </row>
    <row r="207" spans="1:65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8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9"/>
      <c r="BM207" s="26"/>
    </row>
    <row r="208" spans="1:65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8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26"/>
    </row>
    <row r="209" spans="1:65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8"/>
      <c r="AH209" s="7"/>
      <c r="AI209" s="7"/>
      <c r="AJ209" s="7"/>
      <c r="AK209" s="7"/>
      <c r="AL209" s="8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26"/>
    </row>
    <row r="210" spans="1:65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8"/>
      <c r="AM210" s="7"/>
      <c r="AN210" s="7"/>
      <c r="AO210" s="7"/>
      <c r="AP210" s="7"/>
      <c r="AQ210" s="7"/>
      <c r="AR210" s="8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9"/>
      <c r="BM210" s="26"/>
    </row>
    <row r="211" spans="1:65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8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9"/>
      <c r="BM211" s="26"/>
    </row>
    <row r="212" spans="1:65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8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9"/>
      <c r="BM212" s="26"/>
    </row>
    <row r="213" spans="1:65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8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26"/>
    </row>
    <row r="214" spans="1:65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7"/>
      <c r="AH214" s="7"/>
      <c r="AI214" s="7"/>
      <c r="AJ214" s="7"/>
      <c r="AK214" s="7"/>
      <c r="AL214" s="8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26"/>
    </row>
    <row r="215" spans="1:65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8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9"/>
      <c r="BM215" s="26"/>
    </row>
    <row r="216" spans="1:65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8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9"/>
      <c r="BM216" s="26"/>
    </row>
    <row r="217" spans="1:65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8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26"/>
    </row>
    <row r="218" spans="1:65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8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9"/>
      <c r="BM218" s="26"/>
    </row>
    <row r="219" spans="1:65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8"/>
      <c r="AG219" s="8"/>
      <c r="AH219" s="7"/>
      <c r="AI219" s="7"/>
      <c r="AJ219" s="7"/>
      <c r="AK219" s="7"/>
      <c r="AL219" s="7"/>
      <c r="AM219" s="8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26"/>
    </row>
    <row r="220" spans="1:65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8"/>
      <c r="AH220" s="7"/>
      <c r="AI220" s="7"/>
      <c r="AJ220" s="7"/>
      <c r="AK220" s="7"/>
      <c r="AL220" s="7"/>
      <c r="AM220" s="8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26"/>
    </row>
    <row r="221" spans="1:65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26"/>
    </row>
    <row r="222" spans="1:65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8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26"/>
    </row>
    <row r="223" spans="1:65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8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9"/>
      <c r="BM223" s="26"/>
    </row>
    <row r="224" spans="1:65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26"/>
    </row>
    <row r="225" spans="1:65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8"/>
      <c r="AM225" s="8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26"/>
    </row>
    <row r="226" spans="1:65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8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26"/>
    </row>
    <row r="227" spans="1:65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8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9"/>
      <c r="BM227" s="26"/>
    </row>
    <row r="228" spans="1:65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8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26"/>
    </row>
    <row r="229" spans="1:65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8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26"/>
    </row>
    <row r="230" spans="1:65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8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26"/>
    </row>
    <row r="231" spans="1:65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8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26"/>
    </row>
    <row r="232" spans="1:65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8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26"/>
    </row>
    <row r="233" spans="1:65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26"/>
    </row>
    <row r="234" spans="1:65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8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26"/>
    </row>
    <row r="235" spans="1:65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8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26"/>
    </row>
    <row r="236" spans="1:65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8"/>
      <c r="AH236" s="7"/>
      <c r="AI236" s="7"/>
      <c r="AJ236" s="7"/>
      <c r="AK236" s="7"/>
      <c r="AL236" s="7"/>
      <c r="AM236" s="8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26"/>
    </row>
    <row r="237" spans="1:65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8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26"/>
    </row>
    <row r="238" spans="1:65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8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26"/>
    </row>
    <row r="239" spans="1:65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8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26"/>
    </row>
    <row r="240" spans="1:65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8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26"/>
    </row>
    <row r="241" spans="1:65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8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26"/>
    </row>
    <row r="242" spans="1:65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8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26"/>
    </row>
    <row r="243" spans="1:65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8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26"/>
    </row>
    <row r="244" spans="1:65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8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26"/>
    </row>
    <row r="245" spans="1:65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8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26"/>
    </row>
    <row r="246" spans="1:65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8"/>
      <c r="AG246" s="7"/>
      <c r="AH246" s="7"/>
      <c r="AI246" s="7"/>
      <c r="AJ246" s="7"/>
      <c r="AK246" s="7"/>
      <c r="AL246" s="7"/>
      <c r="AM246" s="8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26"/>
    </row>
    <row r="247" spans="1:65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8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26"/>
    </row>
    <row r="248" spans="1:65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26"/>
    </row>
    <row r="249" spans="1:65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26"/>
    </row>
    <row r="250" spans="1:65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26"/>
    </row>
    <row r="251" spans="1:65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8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26"/>
    </row>
    <row r="252" spans="1:65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8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26"/>
    </row>
    <row r="253" spans="1:65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8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26"/>
    </row>
    <row r="254" spans="1:65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26"/>
    </row>
    <row r="255" spans="1:65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26"/>
    </row>
    <row r="256" spans="1:65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26"/>
    </row>
    <row r="257" spans="1:65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26"/>
    </row>
    <row r="258" spans="1:65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8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26"/>
    </row>
    <row r="259" spans="1:65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27"/>
    </row>
    <row r="260" spans="1:65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27"/>
    </row>
    <row r="261" spans="1:65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27"/>
    </row>
    <row r="262" spans="1:65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27"/>
    </row>
    <row r="263" spans="1:65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27"/>
    </row>
    <row r="264" spans="1:65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27"/>
    </row>
    <row r="265" spans="1:65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27"/>
    </row>
    <row r="266" spans="1:65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27"/>
    </row>
    <row r="267" spans="1:65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27"/>
    </row>
    <row r="268" spans="1:65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27"/>
    </row>
    <row r="269" spans="1:65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27"/>
    </row>
    <row r="270" spans="1:65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27"/>
    </row>
    <row r="271" spans="1:65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27"/>
    </row>
    <row r="272" spans="1:65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27"/>
    </row>
    <row r="273" spans="1:65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27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2023-01-03T08:05:10Z</dcterms:modified>
</cp:coreProperties>
</file>