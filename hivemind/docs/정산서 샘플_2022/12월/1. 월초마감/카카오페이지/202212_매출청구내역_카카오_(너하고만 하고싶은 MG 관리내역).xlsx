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카카오페이지\"/>
    </mc:Choice>
  </mc:AlternateContent>
  <bookViews>
    <workbookView xWindow="0" yWindow="0" windowWidth="20175" windowHeight="7155"/>
  </bookViews>
  <sheets>
    <sheet name="12" sheetId="1" r:id="rId1"/>
  </sheets>
  <calcPr calcId="152511" calcMode="manual"/>
</workbook>
</file>

<file path=xl/calcChain.xml><?xml version="1.0" encoding="utf-8"?>
<calcChain xmlns="http://schemas.openxmlformats.org/spreadsheetml/2006/main">
  <c r="D16" i="1" l="1"/>
  <c r="D17" i="1" s="1"/>
  <c r="B18" i="1" l="1"/>
  <c r="C18" i="1"/>
  <c r="C17" i="1"/>
  <c r="AU11" i="1"/>
  <c r="D15" i="1" l="1"/>
</calcChain>
</file>

<file path=xl/sharedStrings.xml><?xml version="1.0" encoding="utf-8"?>
<sst xmlns="http://schemas.openxmlformats.org/spreadsheetml/2006/main" count="243" uniqueCount="80">
  <si>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</si>
  <si>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</si>
  <si>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</si>
  <si>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</si>
  <si>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</si>
  <si>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</si>
  <si>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</si>
  <si>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</si>
  <si>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</si>
  <si>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</si>
  <si>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</si>
  <si>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</si>
  <si>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</si>
  <si>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</si>
  <si>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</si>
  <si>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</si>
  <si>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</si>
  <si>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</si>
  <si>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</si>
  <si>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</si>
  <si>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</si>
  <si>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</si>
  <si>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</si>
  <si>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</si>
  <si>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</si>
  <si>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</si>
  <si>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</si>
  <si>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</si>
  <si>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</si>
  <si>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</si>
  <si>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</si>
  <si>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</si>
  <si>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</si>
  <si>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</si>
  <si>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</si>
  <si>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</si>
  <si>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</si>
  <si>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</si>
  <si>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</si>
  <si>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</si>
  <si>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</si>
  <si>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</si>
  <si>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</si>
  <si>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</si>
  <si>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</si>
  <si>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GIAP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</si>
  <si>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</si>
  <si>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</si>
  <si>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</si>
  <si>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</si>
  <si>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</si>
  <si>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</si>
  <si>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</si>
  <si>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특별</t>
  </si>
  <si>
    <t>주식회사 스토리위즈</t>
  </si>
  <si>
    <t>3828601768</t>
  </si>
  <si>
    <t>storywiz</t>
  </si>
  <si>
    <t>카카오페이지 웹툰 선투자 직계약</t>
  </si>
  <si>
    <t>N</t>
  </si>
  <si>
    <t>3650</t>
  </si>
  <si>
    <t>스토리위즈_너 하고만 하고 싶은_웹툰 연재 계약 + 2차적저작물 계약</t>
  </si>
  <si>
    <t>면세</t>
  </si>
  <si>
    <t>만화</t>
  </si>
  <si>
    <t>60194204</t>
  </si>
  <si>
    <t>너하고만 하고 싶은</t>
  </si>
  <si>
    <t>2022-10-02</t>
  </si>
  <si>
    <t/>
  </si>
  <si>
    <t>반아빈,밥,아슈크림</t>
  </si>
  <si>
    <t>유</t>
  </si>
  <si>
    <t>단일 이용권</t>
  </si>
  <si>
    <t>70.00%</t>
  </si>
  <si>
    <t>시리즈 이용권 패키지</t>
  </si>
  <si>
    <t>단일 대여 이용권</t>
  </si>
  <si>
    <t>시리즈 대여 이용권 패키지</t>
  </si>
  <si>
    <t>유통년월</t>
    <phoneticPr fontId="4" type="noConversion"/>
  </si>
  <si>
    <t xml:space="preserve">선MG </t>
    <phoneticPr fontId="5" type="noConversion"/>
  </si>
  <si>
    <t xml:space="preserve">스토리위즈 매출 </t>
    <phoneticPr fontId="5" type="noConversion"/>
  </si>
  <si>
    <t>MG 잔여</t>
    <phoneticPr fontId="5" type="noConversion"/>
  </si>
  <si>
    <t>합계</t>
    <phoneticPr fontId="4" type="noConversion"/>
  </si>
  <si>
    <t>ㅇ MG차감 내역(너 하고만 하고 싶은)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</si>
</sst>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>
      <alignment vertical="center"/>
    </xf>
    <xf numFmtId="0" fontId="1" fillId="2" borderId="0">
      <alignment vertical="center"/>
    </xf>
  </cellStyleXfs>
  <cellXfs count="18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3" fillId="2" borderId="0" xfId="2" applyFont="1" applyAlignment="1">
      <alignment vertical="center"/>
    </xf>
    <xf numFmtId="0" fontId="2" fillId="2" borderId="0" xfId="2" applyAlignment="1">
      <alignment vertical="center"/>
    </xf>
    <xf numFmtId="0" fontId="1" fillId="2" borderId="0" xfId="3">
      <alignment vertical="center"/>
    </xf>
    <xf numFmtId="0" fontId="3" fillId="4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3" fontId="0" fillId="0" borderId="1" xfId="0" applyNumberFormat="1" applyBorder="1">
      <alignment vertical="center"/>
    </xf>
    <xf numFmtId="41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41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3" fontId="0" fillId="5" borderId="0" xfId="0" applyNumberFormat="1" applyFill="1">
      <alignment vertical="center"/>
    </xf>
    <xf numFmtId="0" fontId="0" fillId="3" borderId="1" xfId="0" applyFill="1" applyBorder="1" applyAlignment="1">
      <alignment horizontal="center"/>
    </xf>
  </cellXfs>
  <cellStyles count="4">
    <cellStyle name="쉼표 [0]" xfId="1" builtinId="6"/>
    <cellStyle name="표준" xfId="0" builtinId="0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8"/>
  <sheetViews>
    <sheetView tabSelected="1" zoomScale="80" zoomScaleNormal="80" workbookViewId="0">
      <selection activeCell="D17" sqref="D17"/>
    </sheetView>
  </sheetViews>
  <sheetFormatPr defaultRowHeight="16.5" x14ac:dyDescent="0.3"/>
  <cols>
    <col min="1" max="1" width="12" bestFit="1" customWidth="1"/>
    <col min="2" max="2" width="22.875" bestFit="1" customWidth="1"/>
    <col min="3" max="3" width="25.125" bestFit="1" customWidth="1"/>
    <col min="4" max="4" width="17.125" bestFit="1" customWidth="1"/>
    <col min="5" max="5" width="36.25" bestFit="1" customWidth="1"/>
    <col min="6" max="6" width="19.5" bestFit="1" customWidth="1"/>
    <col min="7" max="7" width="12.875" bestFit="1" customWidth="1"/>
    <col min="8" max="8" width="77.5" bestFit="1" customWidth="1"/>
    <col min="9" max="9" width="9.75" bestFit="1" customWidth="1"/>
    <col min="10" max="10" width="12.875" bestFit="1" customWidth="1"/>
    <col min="11" max="11" width="20.5" bestFit="1" customWidth="1"/>
    <col min="12" max="12" width="21.875" bestFit="1" customWidth="1"/>
    <col min="13" max="13" width="23.125" bestFit="1" customWidth="1"/>
    <col min="14" max="14" width="12.875" bestFit="1" customWidth="1"/>
    <col min="15" max="15" width="39.125" bestFit="1" customWidth="1"/>
    <col min="16" max="16" width="8.5" bestFit="1" customWidth="1"/>
    <col min="17" max="17" width="21.875" bestFit="1" customWidth="1"/>
    <col min="18" max="18" width="18.875" bestFit="1" customWidth="1"/>
    <col min="19" max="19" width="29.625" bestFit="1" customWidth="1"/>
    <col min="20" max="20" width="20.5" bestFit="1" customWidth="1"/>
    <col min="21" max="21" width="20.375" bestFit="1" customWidth="1"/>
    <col min="22" max="22" width="17" bestFit="1" customWidth="1"/>
    <col min="23" max="23" width="20.375" bestFit="1" customWidth="1"/>
    <col min="24" max="24" width="20.5" bestFit="1" customWidth="1"/>
    <col min="25" max="25" width="20.375" bestFit="1" customWidth="1"/>
    <col min="26" max="27" width="20.5" bestFit="1" customWidth="1"/>
    <col min="28" max="28" width="20.375" bestFit="1" customWidth="1"/>
    <col min="29" max="29" width="17.125" bestFit="1" customWidth="1"/>
    <col min="30" max="30" width="20.375" bestFit="1" customWidth="1"/>
    <col min="31" max="31" width="20.625" bestFit="1" customWidth="1"/>
    <col min="32" max="32" width="20.375" bestFit="1" customWidth="1"/>
    <col min="33" max="34" width="20.5" bestFit="1" customWidth="1"/>
    <col min="35" max="35" width="20.375" bestFit="1" customWidth="1"/>
    <col min="36" max="36" width="17" bestFit="1" customWidth="1"/>
    <col min="37" max="37" width="21.75" bestFit="1" customWidth="1"/>
    <col min="38" max="38" width="20.5" bestFit="1" customWidth="1"/>
    <col min="39" max="39" width="20.375" bestFit="1" customWidth="1"/>
    <col min="40" max="40" width="20.5" bestFit="1" customWidth="1"/>
    <col min="41" max="41" width="24.625" bestFit="1" customWidth="1"/>
    <col min="42" max="42" width="24.5" bestFit="1" customWidth="1"/>
    <col min="43" max="43" width="22.125" bestFit="1" customWidth="1"/>
    <col min="44" max="44" width="28" bestFit="1" customWidth="1"/>
    <col min="45" max="45" width="20.5" bestFit="1" customWidth="1"/>
    <col min="46" max="46" width="6.25" bestFit="1" customWidth="1"/>
    <col min="47" max="47" width="20.5" bestFit="1" customWidth="1"/>
  </cols>
  <sheetData>
    <row r="1" spans="1:47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 t="s">
        <v>20</v>
      </c>
      <c r="U1" s="17"/>
      <c r="V1" s="17"/>
      <c r="W1" s="17"/>
      <c r="X1" s="17"/>
      <c r="Y1" s="17"/>
      <c r="Z1" s="17"/>
      <c r="AA1" s="17" t="s">
        <v>28</v>
      </c>
      <c r="AB1" s="17"/>
      <c r="AC1" s="17"/>
      <c r="AD1" s="17"/>
      <c r="AE1" s="17"/>
      <c r="AF1" s="17"/>
      <c r="AG1" s="17"/>
      <c r="AH1" s="17" t="s">
        <v>36</v>
      </c>
      <c r="AI1" s="17"/>
      <c r="AJ1" s="17"/>
      <c r="AK1" s="17"/>
      <c r="AL1" s="17"/>
      <c r="AM1" s="17"/>
      <c r="AN1" s="17"/>
      <c r="AO1" s="17" t="s">
        <v>44</v>
      </c>
      <c r="AP1" s="17"/>
      <c r="AQ1" s="17"/>
      <c r="AR1" s="17"/>
      <c r="AS1" s="17" t="s">
        <v>49</v>
      </c>
      <c r="AT1" s="17"/>
      <c r="AU1" s="17"/>
    </row>
    <row r="2" spans="1:4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43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50</v>
      </c>
      <c r="AT2" s="1" t="s">
        <v>51</v>
      </c>
      <c r="AU2" s="1" t="s">
        <v>52</v>
      </c>
    </row>
    <row r="3" spans="1:47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66</v>
      </c>
      <c r="P3" t="s">
        <v>66</v>
      </c>
      <c r="Q3" t="s">
        <v>67</v>
      </c>
      <c r="R3" t="s">
        <v>68</v>
      </c>
      <c r="S3" t="s">
        <v>69</v>
      </c>
      <c r="T3" s="2">
        <v>38100</v>
      </c>
      <c r="U3" s="2">
        <v>51580</v>
      </c>
      <c r="V3" s="2">
        <v>4200</v>
      </c>
      <c r="W3" s="2">
        <v>54920</v>
      </c>
      <c r="X3" s="2">
        <v>93880</v>
      </c>
      <c r="Y3" s="2">
        <v>54920</v>
      </c>
      <c r="Z3" s="2">
        <v>148800</v>
      </c>
      <c r="AA3" s="2">
        <v>45720</v>
      </c>
      <c r="AB3" s="2">
        <v>51580</v>
      </c>
      <c r="AC3" s="2">
        <v>5040</v>
      </c>
      <c r="AD3" s="2">
        <v>54920</v>
      </c>
      <c r="AE3" s="2">
        <v>102340</v>
      </c>
      <c r="AF3" s="2">
        <v>54920</v>
      </c>
      <c r="AG3" s="2">
        <v>157260</v>
      </c>
      <c r="AH3" s="2">
        <v>41148</v>
      </c>
      <c r="AI3" s="2">
        <v>50032.6</v>
      </c>
      <c r="AJ3" s="2">
        <v>3528</v>
      </c>
      <c r="AK3" s="2">
        <v>49428</v>
      </c>
      <c r="AL3" s="2">
        <v>94708.6</v>
      </c>
      <c r="AM3" s="2">
        <v>49428</v>
      </c>
      <c r="AN3" s="2">
        <v>144136.6</v>
      </c>
      <c r="AO3" s="3" t="s">
        <v>70</v>
      </c>
      <c r="AP3" s="3" t="s">
        <v>70</v>
      </c>
      <c r="AQ3" s="3" t="s">
        <v>70</v>
      </c>
      <c r="AR3" s="3" t="s">
        <v>70</v>
      </c>
      <c r="AS3" s="2">
        <v>100897</v>
      </c>
      <c r="AT3" s="2">
        <v>0</v>
      </c>
      <c r="AU3" s="2">
        <v>100897</v>
      </c>
    </row>
    <row r="4" spans="1:47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66</v>
      </c>
      <c r="P4" t="s">
        <v>66</v>
      </c>
      <c r="Q4" t="s">
        <v>67</v>
      </c>
      <c r="R4" t="s">
        <v>68</v>
      </c>
      <c r="S4" t="s">
        <v>71</v>
      </c>
      <c r="T4" s="2">
        <v>16200</v>
      </c>
      <c r="U4" s="2">
        <v>29100</v>
      </c>
      <c r="V4" s="2">
        <v>2700</v>
      </c>
      <c r="W4" s="2">
        <v>7200</v>
      </c>
      <c r="X4" s="2">
        <v>48000</v>
      </c>
      <c r="Y4" s="2">
        <v>7200</v>
      </c>
      <c r="Z4" s="2">
        <v>55200</v>
      </c>
      <c r="AA4" s="2">
        <v>19440</v>
      </c>
      <c r="AB4" s="2">
        <v>29100</v>
      </c>
      <c r="AC4" s="2">
        <v>3240</v>
      </c>
      <c r="AD4" s="2">
        <v>7200</v>
      </c>
      <c r="AE4" s="2">
        <v>51780</v>
      </c>
      <c r="AF4" s="2">
        <v>7200</v>
      </c>
      <c r="AG4" s="2">
        <v>58980</v>
      </c>
      <c r="AH4" s="2">
        <v>17496</v>
      </c>
      <c r="AI4" s="2">
        <v>28227</v>
      </c>
      <c r="AJ4" s="2">
        <v>2268</v>
      </c>
      <c r="AK4" s="2">
        <v>6480</v>
      </c>
      <c r="AL4" s="2">
        <v>47991</v>
      </c>
      <c r="AM4" s="2">
        <v>6480</v>
      </c>
      <c r="AN4" s="2">
        <v>54471</v>
      </c>
      <c r="AO4" s="3" t="s">
        <v>70</v>
      </c>
      <c r="AP4" s="3" t="s">
        <v>70</v>
      </c>
      <c r="AQ4" s="3" t="s">
        <v>70</v>
      </c>
      <c r="AR4" s="3" t="s">
        <v>70</v>
      </c>
      <c r="AS4" s="2">
        <v>38130</v>
      </c>
      <c r="AT4" s="2">
        <v>0</v>
      </c>
      <c r="AU4" s="2">
        <v>38130</v>
      </c>
    </row>
    <row r="5" spans="1:47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66</v>
      </c>
      <c r="P5" t="s">
        <v>66</v>
      </c>
      <c r="Q5" t="s">
        <v>67</v>
      </c>
      <c r="R5" t="s">
        <v>68</v>
      </c>
      <c r="S5" t="s">
        <v>71</v>
      </c>
      <c r="T5" s="2">
        <v>0</v>
      </c>
      <c r="U5" s="2">
        <v>5400</v>
      </c>
      <c r="V5" s="2">
        <v>0</v>
      </c>
      <c r="W5" s="2">
        <v>0</v>
      </c>
      <c r="X5" s="2">
        <v>5400</v>
      </c>
      <c r="Y5" s="2">
        <v>0</v>
      </c>
      <c r="Z5" s="2">
        <v>5400</v>
      </c>
      <c r="AA5" s="2">
        <v>0</v>
      </c>
      <c r="AB5" s="2">
        <v>5400</v>
      </c>
      <c r="AC5" s="2">
        <v>0</v>
      </c>
      <c r="AD5" s="2">
        <v>0</v>
      </c>
      <c r="AE5" s="2">
        <v>5400</v>
      </c>
      <c r="AF5" s="2">
        <v>0</v>
      </c>
      <c r="AG5" s="2">
        <v>5400</v>
      </c>
      <c r="AH5" s="2">
        <v>0</v>
      </c>
      <c r="AI5" s="2">
        <v>5238</v>
      </c>
      <c r="AJ5" s="2">
        <v>0</v>
      </c>
      <c r="AK5" s="2">
        <v>0</v>
      </c>
      <c r="AL5" s="2">
        <v>5238</v>
      </c>
      <c r="AM5" s="2">
        <v>0</v>
      </c>
      <c r="AN5" s="2">
        <v>5238</v>
      </c>
      <c r="AO5" s="3" t="s">
        <v>70</v>
      </c>
      <c r="AP5" s="3" t="s">
        <v>70</v>
      </c>
      <c r="AQ5" s="3" t="s">
        <v>70</v>
      </c>
      <c r="AR5" s="3" t="s">
        <v>70</v>
      </c>
      <c r="AS5" s="2">
        <v>3667</v>
      </c>
      <c r="AT5" s="2">
        <v>0</v>
      </c>
      <c r="AU5" s="2">
        <v>3667</v>
      </c>
    </row>
    <row r="6" spans="1:47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66</v>
      </c>
      <c r="P6" t="s">
        <v>66</v>
      </c>
      <c r="Q6" t="s">
        <v>67</v>
      </c>
      <c r="R6" t="s">
        <v>68</v>
      </c>
      <c r="S6" t="s">
        <v>71</v>
      </c>
      <c r="T6" s="2">
        <v>0</v>
      </c>
      <c r="U6" s="2">
        <v>-2700</v>
      </c>
      <c r="V6" s="2">
        <v>0</v>
      </c>
      <c r="W6" s="2">
        <v>0</v>
      </c>
      <c r="X6" s="2">
        <v>-2700</v>
      </c>
      <c r="Y6" s="2">
        <v>0</v>
      </c>
      <c r="Z6" s="2">
        <v>-2700</v>
      </c>
      <c r="AA6" s="2">
        <v>0</v>
      </c>
      <c r="AB6" s="2">
        <v>-2700</v>
      </c>
      <c r="AC6" s="2">
        <v>0</v>
      </c>
      <c r="AD6" s="2">
        <v>0</v>
      </c>
      <c r="AE6" s="2">
        <v>-2700</v>
      </c>
      <c r="AF6" s="2">
        <v>0</v>
      </c>
      <c r="AG6" s="2">
        <v>-2700</v>
      </c>
      <c r="AH6" s="2">
        <v>0</v>
      </c>
      <c r="AI6" s="2">
        <v>-2619</v>
      </c>
      <c r="AJ6" s="2">
        <v>0</v>
      </c>
      <c r="AK6" s="2">
        <v>0</v>
      </c>
      <c r="AL6" s="2">
        <v>-2619</v>
      </c>
      <c r="AM6" s="2">
        <v>0</v>
      </c>
      <c r="AN6" s="2">
        <v>-2619</v>
      </c>
      <c r="AO6" s="3" t="s">
        <v>70</v>
      </c>
      <c r="AP6" s="3" t="s">
        <v>70</v>
      </c>
      <c r="AQ6" s="3" t="s">
        <v>70</v>
      </c>
      <c r="AR6" s="3" t="s">
        <v>70</v>
      </c>
      <c r="AS6" s="2">
        <v>-1833</v>
      </c>
      <c r="AT6" s="2">
        <v>0</v>
      </c>
      <c r="AU6" s="2">
        <v>-1833</v>
      </c>
    </row>
    <row r="7" spans="1:47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66</v>
      </c>
      <c r="P7" t="s">
        <v>66</v>
      </c>
      <c r="Q7" t="s">
        <v>67</v>
      </c>
      <c r="R7" t="s">
        <v>68</v>
      </c>
      <c r="S7" t="s">
        <v>72</v>
      </c>
      <c r="T7" s="2">
        <v>921080</v>
      </c>
      <c r="U7" s="2">
        <v>465750</v>
      </c>
      <c r="V7" s="2">
        <v>142310</v>
      </c>
      <c r="W7" s="2">
        <v>1217260</v>
      </c>
      <c r="X7" s="2">
        <v>1529140</v>
      </c>
      <c r="Y7" s="2">
        <v>1217260</v>
      </c>
      <c r="Z7" s="2">
        <v>2746400</v>
      </c>
      <c r="AA7" s="2">
        <v>1105296</v>
      </c>
      <c r="AB7" s="2">
        <v>465750</v>
      </c>
      <c r="AC7" s="2">
        <v>170637</v>
      </c>
      <c r="AD7" s="2">
        <v>1217260</v>
      </c>
      <c r="AE7" s="2">
        <v>1741683</v>
      </c>
      <c r="AF7" s="2">
        <v>1217260</v>
      </c>
      <c r="AG7" s="2">
        <v>2958943</v>
      </c>
      <c r="AH7" s="2">
        <v>994766.4</v>
      </c>
      <c r="AI7" s="2">
        <v>451777.5</v>
      </c>
      <c r="AJ7" s="2">
        <v>119445.9</v>
      </c>
      <c r="AK7" s="2">
        <v>1095534</v>
      </c>
      <c r="AL7" s="2">
        <v>1565989.8</v>
      </c>
      <c r="AM7" s="2">
        <v>1095534</v>
      </c>
      <c r="AN7" s="2">
        <v>2661523.7999999998</v>
      </c>
      <c r="AO7" s="3" t="s">
        <v>70</v>
      </c>
      <c r="AP7" s="3" t="s">
        <v>70</v>
      </c>
      <c r="AQ7" s="3" t="s">
        <v>70</v>
      </c>
      <c r="AR7" s="3" t="s">
        <v>70</v>
      </c>
      <c r="AS7" s="2">
        <v>1863066</v>
      </c>
      <c r="AT7" s="2">
        <v>0</v>
      </c>
      <c r="AU7" s="2">
        <v>1863066</v>
      </c>
    </row>
    <row r="8" spans="1:47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66</v>
      </c>
      <c r="P8" t="s">
        <v>66</v>
      </c>
      <c r="Q8" t="s">
        <v>67</v>
      </c>
      <c r="R8" t="s">
        <v>68</v>
      </c>
      <c r="S8" t="s">
        <v>73</v>
      </c>
      <c r="T8" s="2">
        <v>240920</v>
      </c>
      <c r="U8" s="2">
        <v>266960</v>
      </c>
      <c r="V8" s="2">
        <v>49400</v>
      </c>
      <c r="W8" s="2">
        <v>274520</v>
      </c>
      <c r="X8" s="2">
        <v>557280</v>
      </c>
      <c r="Y8" s="2">
        <v>274520</v>
      </c>
      <c r="Z8" s="2">
        <v>831800</v>
      </c>
      <c r="AA8" s="2">
        <v>289104</v>
      </c>
      <c r="AB8" s="2">
        <v>266960</v>
      </c>
      <c r="AC8" s="2">
        <v>59100</v>
      </c>
      <c r="AD8" s="2">
        <v>274520</v>
      </c>
      <c r="AE8" s="2">
        <v>615164</v>
      </c>
      <c r="AF8" s="2">
        <v>274520</v>
      </c>
      <c r="AG8" s="2">
        <v>889684</v>
      </c>
      <c r="AH8" s="2">
        <v>260193.6</v>
      </c>
      <c r="AI8" s="2">
        <v>258951.2</v>
      </c>
      <c r="AJ8" s="2">
        <v>41370</v>
      </c>
      <c r="AK8" s="2">
        <v>247068</v>
      </c>
      <c r="AL8" s="2">
        <v>560514.80000000005</v>
      </c>
      <c r="AM8" s="2">
        <v>247068</v>
      </c>
      <c r="AN8" s="2">
        <v>807582.8</v>
      </c>
      <c r="AO8" s="3" t="s">
        <v>70</v>
      </c>
      <c r="AP8" s="3" t="s">
        <v>70</v>
      </c>
      <c r="AQ8" s="3" t="s">
        <v>70</v>
      </c>
      <c r="AR8" s="3" t="s">
        <v>70</v>
      </c>
      <c r="AS8" s="2">
        <v>565309</v>
      </c>
      <c r="AT8" s="2">
        <v>0</v>
      </c>
      <c r="AU8" s="2">
        <v>565309</v>
      </c>
    </row>
    <row r="9" spans="1:47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66</v>
      </c>
      <c r="P9" t="s">
        <v>66</v>
      </c>
      <c r="Q9" t="s">
        <v>67</v>
      </c>
      <c r="R9" t="s">
        <v>68</v>
      </c>
      <c r="S9" t="s">
        <v>73</v>
      </c>
      <c r="T9" s="2">
        <v>40200</v>
      </c>
      <c r="U9" s="2">
        <v>7800</v>
      </c>
      <c r="V9" s="2">
        <v>0</v>
      </c>
      <c r="W9" s="2">
        <v>7600</v>
      </c>
      <c r="X9" s="2">
        <v>48000</v>
      </c>
      <c r="Y9" s="2">
        <v>7600</v>
      </c>
      <c r="Z9" s="2">
        <v>55600</v>
      </c>
      <c r="AA9" s="2">
        <v>48240</v>
      </c>
      <c r="AB9" s="2">
        <v>7800</v>
      </c>
      <c r="AC9" s="2">
        <v>0</v>
      </c>
      <c r="AD9" s="2">
        <v>7600</v>
      </c>
      <c r="AE9" s="2">
        <v>56040</v>
      </c>
      <c r="AF9" s="2">
        <v>7600</v>
      </c>
      <c r="AG9" s="2">
        <v>63640</v>
      </c>
      <c r="AH9" s="2">
        <v>43416</v>
      </c>
      <c r="AI9" s="2">
        <v>7566</v>
      </c>
      <c r="AJ9" s="2">
        <v>0</v>
      </c>
      <c r="AK9" s="2">
        <v>6840</v>
      </c>
      <c r="AL9" s="2">
        <v>50982</v>
      </c>
      <c r="AM9" s="2">
        <v>6840</v>
      </c>
      <c r="AN9" s="2">
        <v>57822</v>
      </c>
      <c r="AO9" s="3" t="s">
        <v>70</v>
      </c>
      <c r="AP9" s="3" t="s">
        <v>70</v>
      </c>
      <c r="AQ9" s="3" t="s">
        <v>70</v>
      </c>
      <c r="AR9" s="3" t="s">
        <v>70</v>
      </c>
      <c r="AS9" s="2">
        <v>40475</v>
      </c>
      <c r="AT9" s="2">
        <v>0</v>
      </c>
      <c r="AU9" s="2">
        <v>40475</v>
      </c>
    </row>
    <row r="10" spans="1:47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66</v>
      </c>
      <c r="P10" t="s">
        <v>66</v>
      </c>
      <c r="Q10" t="s">
        <v>67</v>
      </c>
      <c r="R10" t="s">
        <v>68</v>
      </c>
      <c r="S10" t="s">
        <v>73</v>
      </c>
      <c r="T10" s="2">
        <v>74800</v>
      </c>
      <c r="U10" s="2">
        <v>11900</v>
      </c>
      <c r="V10" s="2">
        <v>0</v>
      </c>
      <c r="W10" s="2">
        <v>10500</v>
      </c>
      <c r="X10" s="2">
        <v>86700</v>
      </c>
      <c r="Y10" s="2">
        <v>10500</v>
      </c>
      <c r="Z10" s="2">
        <v>97200</v>
      </c>
      <c r="AA10" s="2">
        <v>89760</v>
      </c>
      <c r="AB10" s="2">
        <v>11900</v>
      </c>
      <c r="AC10" s="2">
        <v>0</v>
      </c>
      <c r="AD10" s="2">
        <v>10500</v>
      </c>
      <c r="AE10" s="2">
        <v>101660</v>
      </c>
      <c r="AF10" s="2">
        <v>10500</v>
      </c>
      <c r="AG10" s="2">
        <v>112160</v>
      </c>
      <c r="AH10" s="2">
        <v>80784</v>
      </c>
      <c r="AI10" s="2">
        <v>11543</v>
      </c>
      <c r="AJ10" s="2">
        <v>0</v>
      </c>
      <c r="AK10" s="2">
        <v>9450</v>
      </c>
      <c r="AL10" s="2">
        <v>92327</v>
      </c>
      <c r="AM10" s="2">
        <v>9450</v>
      </c>
      <c r="AN10" s="2">
        <v>101777</v>
      </c>
      <c r="AO10" s="3" t="s">
        <v>70</v>
      </c>
      <c r="AP10" s="3" t="s">
        <v>70</v>
      </c>
      <c r="AQ10" s="3" t="s">
        <v>70</v>
      </c>
      <c r="AR10" s="3" t="s">
        <v>70</v>
      </c>
      <c r="AS10" s="2">
        <v>71244</v>
      </c>
      <c r="AT10" s="2">
        <v>0</v>
      </c>
      <c r="AU10" s="2">
        <v>71244</v>
      </c>
    </row>
    <row r="11" spans="1:47" x14ac:dyDescent="0.3">
      <c r="AU11" s="16">
        <f>SUM(AU3:AU10)</f>
        <v>2680955</v>
      </c>
    </row>
    <row r="13" spans="1:47" x14ac:dyDescent="0.3">
      <c r="A13" s="4" t="s">
        <v>79</v>
      </c>
      <c r="B13" s="5"/>
      <c r="C13" s="5"/>
      <c r="D13" s="6"/>
    </row>
    <row r="14" spans="1:47" x14ac:dyDescent="0.3">
      <c r="A14" s="7" t="s">
        <v>74</v>
      </c>
      <c r="B14" s="7" t="s">
        <v>75</v>
      </c>
      <c r="C14" s="7" t="s">
        <v>76</v>
      </c>
      <c r="D14" s="7" t="s">
        <v>77</v>
      </c>
    </row>
    <row r="15" spans="1:47" x14ac:dyDescent="0.3">
      <c r="A15" s="8">
        <v>202210</v>
      </c>
      <c r="B15" s="9">
        <v>11200000</v>
      </c>
      <c r="C15" s="10">
        <v>5581354</v>
      </c>
      <c r="D15" s="11">
        <f>B15-C15</f>
        <v>5618646</v>
      </c>
    </row>
    <row r="16" spans="1:47" x14ac:dyDescent="0.3">
      <c r="A16" s="8">
        <v>202211</v>
      </c>
      <c r="B16" s="9">
        <v>3200000</v>
      </c>
      <c r="C16" s="10">
        <v>2858487</v>
      </c>
      <c r="D16" s="11">
        <f>D15+B16-C16</f>
        <v>5960159</v>
      </c>
    </row>
    <row r="17" spans="1:4" x14ac:dyDescent="0.3">
      <c r="A17" s="8">
        <v>202212</v>
      </c>
      <c r="B17" s="9">
        <v>3200000</v>
      </c>
      <c r="C17" s="10">
        <f>AU11</f>
        <v>2680955</v>
      </c>
      <c r="D17" s="11">
        <f>D16+B17-C17</f>
        <v>6479204</v>
      </c>
    </row>
    <row r="18" spans="1:4" x14ac:dyDescent="0.3">
      <c r="A18" s="12" t="s">
        <v>78</v>
      </c>
      <c r="B18" s="13">
        <f>SUM(B15:B17)</f>
        <v>17600000</v>
      </c>
      <c r="C18" s="14">
        <f>SUM(C15:C17)</f>
        <v>11120796</v>
      </c>
      <c r="D18" s="15"/>
    </row>
  </sheetData>
  <mergeCells count="6">
    <mergeCell ref="AS1:AU1"/>
    <mergeCell ref="A1:S1"/>
    <mergeCell ref="T1:Z1"/>
    <mergeCell ref="AA1:AG1"/>
    <mergeCell ref="AH1:AN1"/>
    <mergeCell ref="AO1:AR1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2022-11-03T08:29:37Z</dcterms:created>
  <dcterms:modified xsi:type="dcterms:W3CDTF">2023-01-07T09:39:03Z</dcterms:modified>
</cp:coreProperties>
</file>