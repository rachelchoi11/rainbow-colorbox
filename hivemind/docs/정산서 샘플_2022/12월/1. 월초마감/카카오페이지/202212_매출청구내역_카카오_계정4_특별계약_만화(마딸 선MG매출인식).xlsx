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카카오페이지\"/>
    </mc:Choice>
  </mc:AlternateContent>
  <bookViews>
    <workbookView xWindow="0" yWindow="0" windowWidth="23040" windowHeight="9300" activeTab="2"/>
  </bookViews>
  <sheets>
    <sheet name="합계(12)" sheetId="1" r:id="rId1"/>
    <sheet name="컨헤라_마왕의 딸" sheetId="2" r:id="rId2"/>
    <sheet name="컨헤라_회귀의 전설" sheetId="3" r:id="rId3"/>
    <sheet name="컨헤라_심야카페" sheetId="10" r:id="rId4"/>
    <sheet name="구디스튜디오_간신이 나라를 살림" sheetId="6" r:id="rId5"/>
    <sheet name="구디스튜디오_기사가문" sheetId="7" r:id="rId6"/>
    <sheet name="구디스튜디오_신을 죽이러 갑니다" sheetId="8" r:id="rId7"/>
    <sheet name="스토리위즈_새파랗게 어린" sheetId="9" r:id="rId8"/>
    <sheet name="스토리위즈_황녀, 미친 꽃으로 피어나다" sheetId="5" r:id="rId9"/>
    <sheet name="스토리위즈_착한 언니는 없다" sheetId="4" r:id="rId10"/>
  </sheets>
  <definedNames>
    <definedName name="_xlnm._FilterDatabase" localSheetId="0" hidden="1">'합계(12)'!$A$1:$AV$71</definedName>
    <definedName name="_xlnm.Extract" localSheetId="4">'구디스튜디오_간신이 나라를 살림'!$A$1:$AV$1</definedName>
    <definedName name="_xlnm.Extract" localSheetId="5">구디스튜디오_기사가문!$A$1:$AV$1</definedName>
    <definedName name="_xlnm.Extract" localSheetId="6">'구디스튜디오_신을 죽이러 갑니다'!$A$1:$AV$1</definedName>
    <definedName name="_xlnm.Extract" localSheetId="7">'스토리위즈_새파랗게 어린'!$A$1:$AV$1</definedName>
    <definedName name="_xlnm.Extract" localSheetId="9">'스토리위즈_착한 언니는 없다'!$A$1:$AV$1</definedName>
    <definedName name="_xlnm.Extract" localSheetId="8">'스토리위즈_황녀, 미친 꽃으로 피어나다'!$A$1:$AV$1</definedName>
    <definedName name="_xlnm.Extract" localSheetId="1">'컨헤라_마왕의 딸'!$A$1:$AV$1</definedName>
    <definedName name="_xlnm.Extract" localSheetId="3">컨헤라_심야카페!$A$1:$AV$1</definedName>
    <definedName name="_xlnm.Extract" localSheetId="2">'컨헤라_회귀의 전설'!$A$1:$AV$1</definedName>
    <definedName name="_xlnm.Extract" localSheetId="0">'합계(12)'!#REF!</definedName>
  </definedNames>
  <calcPr calcId="152511"/>
</workbook>
</file>

<file path=xl/calcChain.xml><?xml version="1.0" encoding="utf-8"?>
<calcChain xmlns="http://schemas.openxmlformats.org/spreadsheetml/2006/main">
  <c r="E21" i="4" l="1"/>
  <c r="AU10" i="4"/>
  <c r="C21" i="4" s="1"/>
  <c r="E16" i="4"/>
  <c r="E17" i="4" s="1"/>
  <c r="E18" i="4" s="1"/>
  <c r="E19" i="4" s="1"/>
  <c r="E20" i="4" s="1"/>
  <c r="B22" i="4"/>
  <c r="E21" i="5"/>
  <c r="AU10" i="5"/>
  <c r="C21" i="5" s="1"/>
  <c r="E20" i="5"/>
  <c r="B22" i="5"/>
  <c r="E15" i="5"/>
  <c r="E16" i="5" s="1"/>
  <c r="E17" i="5" s="1"/>
  <c r="E18" i="5" s="1"/>
  <c r="E19" i="5" s="1"/>
  <c r="D21" i="9"/>
  <c r="C22" i="9"/>
  <c r="C21" i="9"/>
  <c r="AU10" i="9"/>
  <c r="B22" i="9"/>
  <c r="D16" i="9"/>
  <c r="D17" i="9" s="1"/>
  <c r="D18" i="9" s="1"/>
  <c r="D19" i="9" s="1"/>
  <c r="D15" i="9"/>
  <c r="C22" i="7"/>
  <c r="C19" i="8"/>
  <c r="AU10" i="8"/>
  <c r="C18" i="8" s="1"/>
  <c r="D18" i="8" s="1"/>
  <c r="B19" i="8"/>
  <c r="D15" i="8"/>
  <c r="D16" i="8" s="1"/>
  <c r="AU10" i="7"/>
  <c r="C21" i="7" s="1"/>
  <c r="D20" i="7"/>
  <c r="B22" i="7"/>
  <c r="D15" i="7"/>
  <c r="D16" i="7" s="1"/>
  <c r="D17" i="7" s="1"/>
  <c r="D18" i="7" s="1"/>
  <c r="D19" i="7" s="1"/>
  <c r="D22" i="6"/>
  <c r="C23" i="6"/>
  <c r="C22" i="6"/>
  <c r="AU9" i="6"/>
  <c r="B23" i="6"/>
  <c r="D14" i="6"/>
  <c r="D15" i="6" s="1"/>
  <c r="D16" i="6" s="1"/>
  <c r="D17" i="6" s="1"/>
  <c r="D18" i="6" s="1"/>
  <c r="D19" i="6" s="1"/>
  <c r="D20" i="6" s="1"/>
  <c r="E15" i="10"/>
  <c r="AU8" i="10"/>
  <c r="C15" i="10" s="1"/>
  <c r="E14" i="10"/>
  <c r="B16" i="10"/>
  <c r="E30" i="3"/>
  <c r="E29" i="3"/>
  <c r="AU10" i="3"/>
  <c r="C30" i="3" s="1"/>
  <c r="B31" i="3"/>
  <c r="E15" i="3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54" i="2"/>
  <c r="C54" i="2"/>
  <c r="AU10" i="2"/>
  <c r="B55" i="2"/>
  <c r="E28" i="2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D20" i="9" l="1"/>
  <c r="D17" i="8"/>
  <c r="D21" i="7"/>
  <c r="D21" i="6"/>
  <c r="E53" i="2"/>
  <c r="AU71" i="1" l="1"/>
</calcChain>
</file>

<file path=xl/comments1.xml><?xml version="1.0" encoding="utf-8"?>
<comments xmlns="http://schemas.openxmlformats.org/spreadsheetml/2006/main">
  <authors>
    <author>jihui</author>
  </authors>
  <commentLis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20.05.01 </t>
        </r>
        <r>
          <rPr>
            <b/>
            <sz val="9"/>
            <color indexed="81"/>
            <rFont val="돋움"/>
            <family val="3"/>
            <charset val="129"/>
          </rPr>
          <t>계산서발행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1.1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5/1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>11/15</t>
        </r>
      </text>
    </comment>
  </commentList>
</comments>
</file>

<file path=xl/sharedStrings.xml><?xml version="1.0" encoding="utf-8"?>
<sst xmlns="http://schemas.openxmlformats.org/spreadsheetml/2006/main" count="3713" uniqueCount="171">
  <si>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</si>
  <si>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</si>
  <si>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</si>
  <si>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</si>
  <si>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</si>
  <si>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</si>
  <si>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</si>
  <si>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</si>
  <si>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</si>
  <si>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</si>
  <si>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</si>
  <si>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</si>
  <si>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</si>
  <si>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</si>
  <si>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</si>
  <si>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</si>
  <si>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</si>
  <si>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</si>
  <si>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</si>
  <si>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</si>
  <si>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</si>
  <si>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</si>
  <si>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</si>
  <si>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</si>
  <si>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</si>
  <si>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</si>
  <si>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</si>
  <si>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</si>
  <si>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</si>
  <si>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</si>
  <si>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</si>
  <si>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</si>
  <si>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</si>
  <si>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</si>
  <si>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</si>
  <si>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</si>
  <si>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</si>
  <si>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</si>
  <si>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</si>
  <si>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WEB 정산률(%)</t>
  </si>
  <si>
    <t>iOS 정산률(%)</t>
  </si>
  <si>
    <t>이벤트캐시 정산률(%)</t>
  </si>
  <si>
    <t>공급가액</t>
  </si>
  <si>
    <t>세액</t>
  </si>
  <si>
    <t>공급대가</t>
  </si>
  <si>
    <t>특별</t>
  </si>
  <si>
    <t>주식회사 스토리위즈</t>
  </si>
  <si>
    <t>3828601768</t>
  </si>
  <si>
    <t>카카오페이지 선투자 계약</t>
  </si>
  <si>
    <t>N</t>
  </si>
  <si>
    <t>면세</t>
  </si>
  <si>
    <t/>
  </si>
  <si>
    <t>유</t>
  </si>
  <si>
    <t>단일 이용권</t>
  </si>
  <si>
    <t>시리즈 이용권 패키지</t>
  </si>
  <si>
    <t>간신이 나라를 살림</t>
  </si>
  <si>
    <t>기사가문 망나니는 10클래스</t>
  </si>
  <si>
    <t>단일 대여 이용권</t>
  </si>
  <si>
    <t>시리즈 대여 이용권 패키지</t>
  </si>
  <si>
    <t>회귀의 전설</t>
  </si>
  <si>
    <t>storywiz</t>
  </si>
  <si>
    <t>1944</t>
  </si>
  <si>
    <t>만화</t>
  </si>
  <si>
    <t>53361105</t>
  </si>
  <si>
    <t>마왕의 딸로 태어났습니다</t>
  </si>
  <si>
    <t>2019-10-31</t>
  </si>
  <si>
    <t>은민,여울</t>
  </si>
  <si>
    <t>2531</t>
  </si>
  <si>
    <t>스토리위즈_회귀의 전설_선투자</t>
  </si>
  <si>
    <t>57928448</t>
  </si>
  <si>
    <t>2021-09-30</t>
  </si>
  <si>
    <t>송진우,김광수</t>
  </si>
  <si>
    <t>3377</t>
  </si>
  <si>
    <t>스토리위즈_황녀, 미친 꽃으로 피어나다</t>
  </si>
  <si>
    <t>59603265</t>
  </si>
  <si>
    <t>황녀, 미친 꽃으로 피어나다</t>
  </si>
  <si>
    <t>2022-06-21</t>
  </si>
  <si>
    <t>황만주,문토,한보연</t>
  </si>
  <si>
    <t>3464</t>
  </si>
  <si>
    <t>스토리위즈_간신이 나라를 살림_선투자+2차</t>
  </si>
  <si>
    <t>59078106</t>
  </si>
  <si>
    <t>2022-04-05</t>
  </si>
  <si>
    <t>써드리오,Azul,루이세</t>
  </si>
  <si>
    <t>3465</t>
  </si>
  <si>
    <t>스토리위즈_기사가문 망나니는 10클래스_선투자+2차</t>
  </si>
  <si>
    <t>59628363</t>
  </si>
  <si>
    <t>2022-06-28</t>
  </si>
  <si>
    <t>조작가,최진규,예로나</t>
  </si>
  <si>
    <t>3552</t>
  </si>
  <si>
    <t>스토리위즈_새파랗게 어린_선투자+2차</t>
  </si>
  <si>
    <t>59603081</t>
  </si>
  <si>
    <t>새파랗게 어린</t>
  </si>
  <si>
    <t>2022-06-17</t>
  </si>
  <si>
    <t>광야,늡이버섯,유엘,룽다</t>
  </si>
  <si>
    <t>스토리위즈_마왕의 딸</t>
  </si>
  <si>
    <t>3085</t>
  </si>
  <si>
    <t>스토리위즈_착한 언니는 없다</t>
  </si>
  <si>
    <t>59900672</t>
  </si>
  <si>
    <t>착한 언니는 없다</t>
  </si>
  <si>
    <t>2022-08-03</t>
  </si>
  <si>
    <t>주기,세림,내일,윤여음</t>
  </si>
  <si>
    <t>3467</t>
  </si>
  <si>
    <t>스토리위즈_신을 죽이러 갑니다_선투자+2차</t>
  </si>
  <si>
    <t>60200962</t>
  </si>
  <si>
    <t>신을 죽이러 갑니다</t>
  </si>
  <si>
    <t>2022-09-14</t>
  </si>
  <si>
    <t>Voidmap,산개,독고진</t>
  </si>
  <si>
    <t>60.00%</t>
  </si>
  <si>
    <t>123974</t>
  </si>
  <si>
    <t>스토리위즈_심야카페</t>
  </si>
  <si>
    <t>60538723</t>
  </si>
  <si>
    <t>심야카페</t>
  </si>
  <si>
    <t>2022-11-02</t>
  </si>
  <si>
    <t>수민,케이드래곤</t>
  </si>
  <si>
    <t>특별/일반</t>
    <phoneticPr fontId="1" type="noConversion"/>
  </si>
  <si>
    <t>ㅇ MG차감 내역(마딸 외 2종)</t>
    <phoneticPr fontId="1" type="noConversion"/>
  </si>
  <si>
    <t>유통년월</t>
    <phoneticPr fontId="1" type="noConversion"/>
  </si>
  <si>
    <t>유통년월</t>
    <phoneticPr fontId="1" type="noConversion"/>
  </si>
  <si>
    <t xml:space="preserve">선MG </t>
    <phoneticPr fontId="5" type="noConversion"/>
  </si>
  <si>
    <t>스토리위즈 매출</t>
    <phoneticPr fontId="5" type="noConversion"/>
  </si>
  <si>
    <t>MG 잔여</t>
    <phoneticPr fontId="5" type="noConversion"/>
  </si>
  <si>
    <t>카카오페이지</t>
    <phoneticPr fontId="5" type="noConversion"/>
  </si>
  <si>
    <t>카카오웹툰</t>
    <phoneticPr fontId="1" type="noConversion"/>
  </si>
  <si>
    <t>카카오웹툰</t>
    <phoneticPr fontId="1" type="noConversion"/>
  </si>
  <si>
    <t xml:space="preserve"> </t>
    <phoneticPr fontId="1" type="noConversion"/>
  </si>
  <si>
    <t>합계</t>
    <phoneticPr fontId="1" type="noConversion"/>
  </si>
  <si>
    <t>합계</t>
    <phoneticPr fontId="1" type="noConversion"/>
  </si>
  <si>
    <t>ㅇ MG차감 내역(회귀의 전설)</t>
    <phoneticPr fontId="1" type="noConversion"/>
  </si>
  <si>
    <t xml:space="preserve">선MG </t>
    <phoneticPr fontId="5" type="noConversion"/>
  </si>
  <si>
    <t>스토리위즈 매출</t>
    <phoneticPr fontId="5" type="noConversion"/>
  </si>
  <si>
    <t>MG 잔여</t>
    <phoneticPr fontId="5" type="noConversion"/>
  </si>
  <si>
    <t>카카오페이지</t>
    <phoneticPr fontId="5" type="noConversion"/>
  </si>
  <si>
    <t>※ 2021.05.01 특별계약 1차 체결(국내 MG 5천만원)</t>
    <phoneticPr fontId="1" type="noConversion"/>
  </si>
  <si>
    <t>※ 2021.11 특별계약 2차 체결(국내 MG 5천만원)</t>
    <phoneticPr fontId="1" type="noConversion"/>
  </si>
  <si>
    <t>※ 2022.02 특별계약 3차 체결(국내 MG 5천만원)</t>
    <phoneticPr fontId="1" type="noConversion"/>
  </si>
  <si>
    <t>※ 2022.04 특별계약 4차 체결(국내 MG 5천만원)</t>
    <phoneticPr fontId="1" type="noConversion"/>
  </si>
  <si>
    <t xml:space="preserve">스토리위즈 매출 </t>
    <phoneticPr fontId="5" type="noConversion"/>
  </si>
  <si>
    <t>유통년월</t>
    <phoneticPr fontId="1" type="noConversion"/>
  </si>
  <si>
    <t xml:space="preserve">선MG </t>
    <phoneticPr fontId="5" type="noConversion"/>
  </si>
  <si>
    <t>스토리위즈 매출</t>
    <phoneticPr fontId="5" type="noConversion"/>
  </si>
  <si>
    <t>MG 잔여</t>
    <phoneticPr fontId="5" type="noConversion"/>
  </si>
  <si>
    <t>카카오페이지</t>
    <phoneticPr fontId="5" type="noConversion"/>
  </si>
  <si>
    <t>카카오웹툰</t>
    <phoneticPr fontId="1" type="noConversion"/>
  </si>
  <si>
    <t>합계</t>
    <phoneticPr fontId="1" type="noConversion"/>
  </si>
  <si>
    <t>ㅇ MG차감 내역(간신이 나라를 살림)</t>
    <phoneticPr fontId="1" type="noConversion"/>
  </si>
  <si>
    <t>ㅇ MG차감 내역(기사가문 망나니는 10클래스)</t>
    <phoneticPr fontId="1" type="noConversion"/>
  </si>
  <si>
    <t>유통년월</t>
    <phoneticPr fontId="1" type="noConversion"/>
  </si>
  <si>
    <t xml:space="preserve">선MG </t>
    <phoneticPr fontId="5" type="noConversion"/>
  </si>
  <si>
    <t xml:space="preserve">스토리위즈 매출 </t>
    <phoneticPr fontId="5" type="noConversion"/>
  </si>
  <si>
    <t>MG 잔여</t>
    <phoneticPr fontId="5" type="noConversion"/>
  </si>
  <si>
    <t>합계</t>
    <phoneticPr fontId="1" type="noConversion"/>
  </si>
  <si>
    <t>ㅇ MG차감 내역(신을 죽이러 갑니다)</t>
    <phoneticPr fontId="1" type="noConversion"/>
  </si>
  <si>
    <t xml:space="preserve">선MG </t>
    <phoneticPr fontId="5" type="noConversion"/>
  </si>
  <si>
    <t xml:space="preserve">스토리위즈 매출 </t>
    <phoneticPr fontId="5" type="noConversion"/>
  </si>
  <si>
    <t>MG 잔여</t>
    <phoneticPr fontId="5" type="noConversion"/>
  </si>
  <si>
    <t>ㅇ MG차감 내역(새파랗게 어린)</t>
    <phoneticPr fontId="1" type="noConversion"/>
  </si>
  <si>
    <t xml:space="preserve">선MG </t>
    <phoneticPr fontId="5" type="noConversion"/>
  </si>
  <si>
    <t>합계</t>
    <phoneticPr fontId="1" type="noConversion"/>
  </si>
  <si>
    <t xml:space="preserve">스토리위즈 매출 </t>
    <phoneticPr fontId="5" type="noConversion"/>
  </si>
  <si>
    <t>ㅇ MG차감 내역(황녀, 미친 꽃으로 피어나다)</t>
    <phoneticPr fontId="1" type="noConversion"/>
  </si>
  <si>
    <t>ㅇ MG차감 내역(황녀, 미친 꽃으로 피어나다)</t>
    <phoneticPr fontId="1" type="noConversion"/>
  </si>
  <si>
    <t>유통년월</t>
    <phoneticPr fontId="1" type="noConversion"/>
  </si>
  <si>
    <t xml:space="preserve">선MG </t>
    <phoneticPr fontId="5" type="noConversion"/>
  </si>
  <si>
    <t>스토리위즈 매출</t>
    <phoneticPr fontId="5" type="noConversion"/>
  </si>
  <si>
    <t>MG 잔여</t>
    <phoneticPr fontId="5" type="noConversion"/>
  </si>
  <si>
    <t>카카오페이지</t>
    <phoneticPr fontId="5" type="noConversion"/>
  </si>
  <si>
    <t>카카오웹툰</t>
    <phoneticPr fontId="1" type="noConversion"/>
  </si>
  <si>
    <t>합계</t>
    <phoneticPr fontId="1" type="noConversion"/>
  </si>
  <si>
    <t>스토리위즈 매출</t>
    <phoneticPr fontId="5" type="noConversion"/>
  </si>
  <si>
    <t>합계</t>
    <phoneticPr fontId="1" type="noConversion"/>
  </si>
  <si>
    <t>ㅇ MG차감 내역(심야카페)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</si>
</sst>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scheme val="minor"/>
    </font>
    <font>
      <sz val="10"/>
      <color rgb="FF000000"/>
      <name val="맑은 고딕"/>
      <family val="3"/>
      <charset val="129"/>
    </font>
    <font>
      <sz val="11"/>
      <color indexed="8"/>
      <name val="맑은 고딕"/>
      <family val="2"/>
    </font>
    <font>
      <sz val="11"/>
      <color rgb="FF000000"/>
      <name val="맑은 고딕"/>
      <family val="2"/>
    </font>
    <font>
      <b/>
      <sz val="11"/>
      <color indexed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0" fillId="3" borderId="0" xfId="0" applyNumberFormat="1" applyFill="1">
      <alignment vertical="center"/>
    </xf>
    <xf numFmtId="4" fontId="0" fillId="0" borderId="0" xfId="0" applyNumberFormat="1" applyAlignment="1">
      <alignment horizontal="center"/>
    </xf>
    <xf numFmtId="0" fontId="4" fillId="0" borderId="0" xfId="1" applyFont="1" applyAlignment="1">
      <alignment vertical="center"/>
    </xf>
    <xf numFmtId="0" fontId="3" fillId="0" borderId="0" xfId="1" applyAlignment="1">
      <alignment vertical="center"/>
    </xf>
    <xf numFmtId="0" fontId="2" fillId="0" borderId="0" xfId="2">
      <alignment vertical="center"/>
    </xf>
    <xf numFmtId="0" fontId="4" fillId="4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3" applyFont="1" applyBorder="1">
      <alignment vertical="center"/>
    </xf>
    <xf numFmtId="41" fontId="0" fillId="0" borderId="2" xfId="3" applyFont="1" applyFill="1" applyBorder="1">
      <alignment vertical="center"/>
    </xf>
    <xf numFmtId="41" fontId="0" fillId="0" borderId="1" xfId="0" applyNumberFormat="1" applyBorder="1">
      <alignment vertical="center"/>
    </xf>
    <xf numFmtId="41" fontId="6" fillId="0" borderId="1" xfId="3" applyFont="1" applyBorder="1">
      <alignment vertical="center"/>
    </xf>
    <xf numFmtId="3" fontId="7" fillId="0" borderId="0" xfId="0" applyNumberFormat="1" applyFont="1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center" vertical="center"/>
    </xf>
    <xf numFmtId="41" fontId="0" fillId="0" borderId="1" xfId="3" applyFont="1" applyFill="1" applyBorder="1">
      <alignment vertical="center"/>
    </xf>
    <xf numFmtId="41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41" fontId="8" fillId="0" borderId="1" xfId="0" applyNumberFormat="1" applyFont="1" applyFill="1" applyBorder="1">
      <alignment vertical="center"/>
    </xf>
    <xf numFmtId="41" fontId="9" fillId="0" borderId="1" xfId="0" applyNumberFormat="1" applyFont="1" applyFill="1" applyBorder="1">
      <alignment vertical="center"/>
    </xf>
    <xf numFmtId="0" fontId="10" fillId="0" borderId="1" xfId="0" applyFont="1" applyBorder="1" applyAlignment="1">
      <alignment horizontal="center" vertical="center"/>
    </xf>
    <xf numFmtId="41" fontId="10" fillId="0" borderId="1" xfId="0" applyNumberFormat="1" applyFont="1" applyBorder="1">
      <alignment vertical="center"/>
    </xf>
    <xf numFmtId="41" fontId="8" fillId="0" borderId="1" xfId="3" applyFont="1" applyFill="1" applyBorder="1">
      <alignment vertical="center"/>
    </xf>
    <xf numFmtId="0" fontId="10" fillId="0" borderId="0" xfId="0" applyFont="1" applyBorder="1" applyAlignment="1">
      <alignment horizontal="center" vertical="center"/>
    </xf>
    <xf numFmtId="41" fontId="10" fillId="0" borderId="0" xfId="0" applyNumberFormat="1" applyFont="1" applyBorder="1">
      <alignment vertical="center"/>
    </xf>
    <xf numFmtId="0" fontId="13" fillId="0" borderId="0" xfId="0" applyFont="1">
      <alignment vertical="center"/>
    </xf>
    <xf numFmtId="3" fontId="10" fillId="0" borderId="1" xfId="0" applyNumberFormat="1" applyFont="1" applyBorder="1">
      <alignment vertical="center"/>
    </xf>
    <xf numFmtId="41" fontId="8" fillId="0" borderId="2" xfId="3" applyFont="1" applyFill="1" applyBorder="1">
      <alignment vertical="center"/>
    </xf>
    <xf numFmtId="41" fontId="14" fillId="0" borderId="1" xfId="3" applyFont="1" applyFill="1" applyBorder="1">
      <alignment vertical="center"/>
    </xf>
    <xf numFmtId="41" fontId="8" fillId="0" borderId="0" xfId="3" applyFont="1" applyFill="1" applyBorder="1">
      <alignment vertical="center"/>
    </xf>
    <xf numFmtId="3" fontId="0" fillId="0" borderId="1" xfId="0" applyNumberFormat="1" applyBorder="1">
      <alignment vertical="center"/>
    </xf>
    <xf numFmtId="41" fontId="9" fillId="0" borderId="1" xfId="3" applyFont="1" applyFill="1" applyBorder="1">
      <alignment vertical="center"/>
    </xf>
    <xf numFmtId="0" fontId="10" fillId="0" borderId="1" xfId="0" applyFont="1" applyBorder="1">
      <alignment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</cellXfs>
  <cellStyles count="4">
    <cellStyle name="쉼표 [0]" xfId="3" builtinId="6"/>
    <cellStyle name="표준" xfId="0" builtinId="0"/>
    <cellStyle name="표준 3" xfId="1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V71"/>
  <sheetViews>
    <sheetView zoomScale="73" zoomScaleNormal="73" workbookViewId="0">
      <selection activeCell="E21" sqref="E21"/>
    </sheetView>
  </sheetViews>
  <sheetFormatPr defaultRowHeight="17.399999999999999" x14ac:dyDescent="0.4"/>
  <cols>
    <col min="5" max="5" width="23.5" bestFit="1" customWidth="1"/>
    <col min="8" max="8" width="48.69921875" bestFit="1" customWidth="1"/>
    <col min="12" max="12" width="25.69921875" bestFit="1" customWidth="1"/>
    <col min="47" max="47" width="11.19921875" bestFit="1" customWidth="1"/>
    <col min="48" max="48" width="8.69921875" style="3"/>
  </cols>
  <sheetData>
    <row r="1" spans="1:47" s="3" customFormat="1" x14ac:dyDescent="0.4">
      <c r="A1" s="2" t="s">
        <v>114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4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24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4" t="s">
        <v>44</v>
      </c>
    </row>
    <row r="2" spans="1:47" x14ac:dyDescent="0.4">
      <c r="A2" s="3" t="s">
        <v>45</v>
      </c>
      <c r="B2" s="3" t="s">
        <v>46</v>
      </c>
      <c r="C2" s="3" t="s">
        <v>47</v>
      </c>
      <c r="D2" s="3" t="s">
        <v>60</v>
      </c>
      <c r="E2" s="3" t="s">
        <v>48</v>
      </c>
      <c r="F2" s="3" t="s">
        <v>49</v>
      </c>
      <c r="G2" s="3" t="s">
        <v>61</v>
      </c>
      <c r="H2" s="3" t="s">
        <v>94</v>
      </c>
      <c r="I2" s="3" t="s">
        <v>50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51</v>
      </c>
      <c r="O2" s="3" t="s">
        <v>51</v>
      </c>
      <c r="P2" s="3" t="s">
        <v>51</v>
      </c>
      <c r="Q2" s="3" t="s">
        <v>66</v>
      </c>
      <c r="R2" s="3" t="s">
        <v>52</v>
      </c>
      <c r="S2" s="3" t="s">
        <v>53</v>
      </c>
      <c r="T2" s="1">
        <v>0</v>
      </c>
      <c r="U2" s="1">
        <v>1800</v>
      </c>
      <c r="V2" s="1">
        <v>3600</v>
      </c>
      <c r="W2" s="1">
        <v>7400</v>
      </c>
      <c r="X2" s="1">
        <v>5400</v>
      </c>
      <c r="Y2" s="1">
        <v>7400</v>
      </c>
      <c r="Z2" s="1">
        <v>12800</v>
      </c>
      <c r="AA2" s="1">
        <v>0</v>
      </c>
      <c r="AB2" s="1">
        <v>1800</v>
      </c>
      <c r="AC2" s="1">
        <v>4320</v>
      </c>
      <c r="AD2" s="1">
        <v>7400</v>
      </c>
      <c r="AE2" s="1">
        <v>6120</v>
      </c>
      <c r="AF2" s="1">
        <v>7400</v>
      </c>
      <c r="AG2" s="1">
        <v>13520</v>
      </c>
      <c r="AH2" s="1">
        <v>0</v>
      </c>
      <c r="AI2" s="1">
        <v>1746</v>
      </c>
      <c r="AJ2" s="1">
        <v>3024</v>
      </c>
      <c r="AK2" s="1">
        <v>6660</v>
      </c>
      <c r="AL2" s="1">
        <v>4770</v>
      </c>
      <c r="AM2" s="1">
        <v>6660</v>
      </c>
      <c r="AN2" s="1">
        <v>11430</v>
      </c>
      <c r="AO2" s="6" t="s">
        <v>107</v>
      </c>
      <c r="AP2" s="6" t="s">
        <v>107</v>
      </c>
      <c r="AQ2" s="6" t="s">
        <v>107</v>
      </c>
      <c r="AR2" s="6" t="s">
        <v>107</v>
      </c>
      <c r="AS2" s="1">
        <v>6858</v>
      </c>
      <c r="AT2" s="1">
        <v>0</v>
      </c>
      <c r="AU2" s="1">
        <v>6858</v>
      </c>
    </row>
    <row r="3" spans="1:47" x14ac:dyDescent="0.4">
      <c r="A3" s="3" t="s">
        <v>45</v>
      </c>
      <c r="B3" s="3" t="s">
        <v>46</v>
      </c>
      <c r="C3" s="3" t="s">
        <v>47</v>
      </c>
      <c r="D3" s="3" t="s">
        <v>60</v>
      </c>
      <c r="E3" s="3" t="s">
        <v>48</v>
      </c>
      <c r="F3" s="3" t="s">
        <v>49</v>
      </c>
      <c r="G3" s="3" t="s">
        <v>61</v>
      </c>
      <c r="H3" s="3" t="s">
        <v>94</v>
      </c>
      <c r="I3" s="3" t="s">
        <v>50</v>
      </c>
      <c r="J3" s="3" t="s">
        <v>62</v>
      </c>
      <c r="K3" s="3" t="s">
        <v>63</v>
      </c>
      <c r="L3" s="3" t="s">
        <v>64</v>
      </c>
      <c r="M3" s="3" t="s">
        <v>65</v>
      </c>
      <c r="N3" s="3" t="s">
        <v>51</v>
      </c>
      <c r="O3" s="3" t="s">
        <v>51</v>
      </c>
      <c r="P3" s="3" t="s">
        <v>51</v>
      </c>
      <c r="Q3" s="3" t="s">
        <v>66</v>
      </c>
      <c r="R3" s="3" t="s">
        <v>52</v>
      </c>
      <c r="S3" s="3" t="s">
        <v>54</v>
      </c>
      <c r="T3" s="1">
        <v>7200</v>
      </c>
      <c r="U3" s="1">
        <v>28800</v>
      </c>
      <c r="V3" s="1">
        <v>0</v>
      </c>
      <c r="W3" s="1">
        <v>3600</v>
      </c>
      <c r="X3" s="1">
        <v>36000</v>
      </c>
      <c r="Y3" s="1">
        <v>3600</v>
      </c>
      <c r="Z3" s="1">
        <v>39600</v>
      </c>
      <c r="AA3" s="1">
        <v>8640</v>
      </c>
      <c r="AB3" s="1">
        <v>28800</v>
      </c>
      <c r="AC3" s="1">
        <v>0</v>
      </c>
      <c r="AD3" s="1">
        <v>3600</v>
      </c>
      <c r="AE3" s="1">
        <v>37440</v>
      </c>
      <c r="AF3" s="1">
        <v>3600</v>
      </c>
      <c r="AG3" s="1">
        <v>41040</v>
      </c>
      <c r="AH3" s="1">
        <v>7776</v>
      </c>
      <c r="AI3" s="1">
        <v>27936</v>
      </c>
      <c r="AJ3" s="1">
        <v>0</v>
      </c>
      <c r="AK3" s="1">
        <v>3240</v>
      </c>
      <c r="AL3" s="1">
        <v>35712</v>
      </c>
      <c r="AM3" s="1">
        <v>3240</v>
      </c>
      <c r="AN3" s="1">
        <v>38952</v>
      </c>
      <c r="AO3" s="6" t="s">
        <v>107</v>
      </c>
      <c r="AP3" s="6" t="s">
        <v>107</v>
      </c>
      <c r="AQ3" s="6" t="s">
        <v>107</v>
      </c>
      <c r="AR3" s="6" t="s">
        <v>107</v>
      </c>
      <c r="AS3" s="1">
        <v>23372</v>
      </c>
      <c r="AT3" s="1">
        <v>0</v>
      </c>
      <c r="AU3" s="1">
        <v>23372</v>
      </c>
    </row>
    <row r="4" spans="1:47" x14ac:dyDescent="0.4">
      <c r="A4" s="3" t="s">
        <v>45</v>
      </c>
      <c r="B4" s="3" t="s">
        <v>46</v>
      </c>
      <c r="C4" s="3" t="s">
        <v>47</v>
      </c>
      <c r="D4" s="3" t="s">
        <v>60</v>
      </c>
      <c r="E4" s="3" t="s">
        <v>48</v>
      </c>
      <c r="F4" s="3" t="s">
        <v>49</v>
      </c>
      <c r="G4" s="3" t="s">
        <v>61</v>
      </c>
      <c r="H4" s="3" t="s">
        <v>94</v>
      </c>
      <c r="I4" s="3" t="s">
        <v>50</v>
      </c>
      <c r="J4" s="3" t="s">
        <v>62</v>
      </c>
      <c r="K4" s="3" t="s">
        <v>63</v>
      </c>
      <c r="L4" s="3" t="s">
        <v>64</v>
      </c>
      <c r="M4" s="3" t="s">
        <v>65</v>
      </c>
      <c r="N4" s="3" t="s">
        <v>51</v>
      </c>
      <c r="O4" s="3" t="s">
        <v>51</v>
      </c>
      <c r="P4" s="3" t="s">
        <v>51</v>
      </c>
      <c r="Q4" s="3" t="s">
        <v>66</v>
      </c>
      <c r="R4" s="3" t="s">
        <v>52</v>
      </c>
      <c r="S4" s="3" t="s">
        <v>54</v>
      </c>
      <c r="T4" s="1">
        <v>3600</v>
      </c>
      <c r="U4" s="1">
        <v>14800</v>
      </c>
      <c r="V4" s="1">
        <v>0</v>
      </c>
      <c r="W4" s="1">
        <v>0</v>
      </c>
      <c r="X4" s="1">
        <v>18400</v>
      </c>
      <c r="Y4" s="1">
        <v>0</v>
      </c>
      <c r="Z4" s="1">
        <v>18400</v>
      </c>
      <c r="AA4" s="1">
        <v>4320</v>
      </c>
      <c r="AB4" s="1">
        <v>14800</v>
      </c>
      <c r="AC4" s="1">
        <v>0</v>
      </c>
      <c r="AD4" s="1">
        <v>0</v>
      </c>
      <c r="AE4" s="1">
        <v>19120</v>
      </c>
      <c r="AF4" s="1">
        <v>0</v>
      </c>
      <c r="AG4" s="1">
        <v>19120</v>
      </c>
      <c r="AH4" s="1">
        <v>3888</v>
      </c>
      <c r="AI4" s="1">
        <v>14356</v>
      </c>
      <c r="AJ4" s="1">
        <v>0</v>
      </c>
      <c r="AK4" s="1">
        <v>0</v>
      </c>
      <c r="AL4" s="1">
        <v>18244</v>
      </c>
      <c r="AM4" s="1">
        <v>0</v>
      </c>
      <c r="AN4" s="1">
        <v>18244</v>
      </c>
      <c r="AO4" s="6" t="s">
        <v>107</v>
      </c>
      <c r="AP4" s="6" t="s">
        <v>107</v>
      </c>
      <c r="AQ4" s="6" t="s">
        <v>107</v>
      </c>
      <c r="AR4" s="6" t="s">
        <v>107</v>
      </c>
      <c r="AS4" s="1">
        <v>10947</v>
      </c>
      <c r="AT4" s="1">
        <v>0</v>
      </c>
      <c r="AU4" s="1">
        <v>10947</v>
      </c>
    </row>
    <row r="5" spans="1:47" x14ac:dyDescent="0.4">
      <c r="A5" s="3" t="s">
        <v>45</v>
      </c>
      <c r="B5" s="3" t="s">
        <v>46</v>
      </c>
      <c r="C5" s="3" t="s">
        <v>47</v>
      </c>
      <c r="D5" s="3" t="s">
        <v>60</v>
      </c>
      <c r="E5" s="3" t="s">
        <v>48</v>
      </c>
      <c r="F5" s="3" t="s">
        <v>49</v>
      </c>
      <c r="G5" s="3" t="s">
        <v>61</v>
      </c>
      <c r="H5" s="3" t="s">
        <v>94</v>
      </c>
      <c r="I5" s="3" t="s">
        <v>50</v>
      </c>
      <c r="J5" s="3" t="s">
        <v>62</v>
      </c>
      <c r="K5" s="3" t="s">
        <v>63</v>
      </c>
      <c r="L5" s="3" t="s">
        <v>64</v>
      </c>
      <c r="M5" s="3" t="s">
        <v>65</v>
      </c>
      <c r="N5" s="3" t="s">
        <v>51</v>
      </c>
      <c r="O5" s="3" t="s">
        <v>51</v>
      </c>
      <c r="P5" s="3" t="s">
        <v>51</v>
      </c>
      <c r="Q5" s="3" t="s">
        <v>66</v>
      </c>
      <c r="R5" s="3" t="s">
        <v>52</v>
      </c>
      <c r="S5" s="3" t="s">
        <v>54</v>
      </c>
      <c r="T5" s="1">
        <v>126000</v>
      </c>
      <c r="U5" s="1">
        <v>0</v>
      </c>
      <c r="V5" s="1">
        <v>0</v>
      </c>
      <c r="W5" s="1">
        <v>0</v>
      </c>
      <c r="X5" s="1">
        <v>126000</v>
      </c>
      <c r="Y5" s="1">
        <v>0</v>
      </c>
      <c r="Z5" s="1">
        <v>126000</v>
      </c>
      <c r="AA5" s="1">
        <v>151200</v>
      </c>
      <c r="AB5" s="1">
        <v>0</v>
      </c>
      <c r="AC5" s="1">
        <v>0</v>
      </c>
      <c r="AD5" s="1">
        <v>0</v>
      </c>
      <c r="AE5" s="1">
        <v>151200</v>
      </c>
      <c r="AF5" s="1">
        <v>0</v>
      </c>
      <c r="AG5" s="1">
        <v>151200</v>
      </c>
      <c r="AH5" s="1">
        <v>136080</v>
      </c>
      <c r="AI5" s="1">
        <v>0</v>
      </c>
      <c r="AJ5" s="1">
        <v>0</v>
      </c>
      <c r="AK5" s="1">
        <v>0</v>
      </c>
      <c r="AL5" s="1">
        <v>136080</v>
      </c>
      <c r="AM5" s="1">
        <v>0</v>
      </c>
      <c r="AN5" s="1">
        <v>136080</v>
      </c>
      <c r="AO5" s="6" t="s">
        <v>107</v>
      </c>
      <c r="AP5" s="6" t="s">
        <v>107</v>
      </c>
      <c r="AQ5" s="6" t="s">
        <v>107</v>
      </c>
      <c r="AR5" s="6" t="s">
        <v>107</v>
      </c>
      <c r="AS5" s="1">
        <v>81648</v>
      </c>
      <c r="AT5" s="1">
        <v>0</v>
      </c>
      <c r="AU5" s="1">
        <v>81648</v>
      </c>
    </row>
    <row r="6" spans="1:47" x14ac:dyDescent="0.4">
      <c r="A6" s="3" t="s">
        <v>45</v>
      </c>
      <c r="B6" s="3" t="s">
        <v>46</v>
      </c>
      <c r="C6" s="3" t="s">
        <v>47</v>
      </c>
      <c r="D6" s="3" t="s">
        <v>60</v>
      </c>
      <c r="E6" s="3" t="s">
        <v>48</v>
      </c>
      <c r="F6" s="3" t="s">
        <v>49</v>
      </c>
      <c r="G6" s="3" t="s">
        <v>61</v>
      </c>
      <c r="H6" s="3" t="s">
        <v>94</v>
      </c>
      <c r="I6" s="3" t="s">
        <v>50</v>
      </c>
      <c r="J6" s="3" t="s">
        <v>62</v>
      </c>
      <c r="K6" s="3" t="s">
        <v>63</v>
      </c>
      <c r="L6" s="3" t="s">
        <v>64</v>
      </c>
      <c r="M6" s="3" t="s">
        <v>65</v>
      </c>
      <c r="N6" s="3" t="s">
        <v>51</v>
      </c>
      <c r="O6" s="3" t="s">
        <v>51</v>
      </c>
      <c r="P6" s="3" t="s">
        <v>51</v>
      </c>
      <c r="Q6" s="3" t="s">
        <v>66</v>
      </c>
      <c r="R6" s="3" t="s">
        <v>52</v>
      </c>
      <c r="S6" s="3" t="s">
        <v>57</v>
      </c>
      <c r="T6" s="1">
        <v>82480</v>
      </c>
      <c r="U6" s="1">
        <v>44360</v>
      </c>
      <c r="V6" s="1">
        <v>26310</v>
      </c>
      <c r="W6" s="1">
        <v>185850</v>
      </c>
      <c r="X6" s="1">
        <v>153150</v>
      </c>
      <c r="Y6" s="1">
        <v>185850</v>
      </c>
      <c r="Z6" s="1">
        <v>339000</v>
      </c>
      <c r="AA6" s="1">
        <v>98976</v>
      </c>
      <c r="AB6" s="1">
        <v>44360</v>
      </c>
      <c r="AC6" s="1">
        <v>31572</v>
      </c>
      <c r="AD6" s="1">
        <v>185850</v>
      </c>
      <c r="AE6" s="1">
        <v>174908</v>
      </c>
      <c r="AF6" s="1">
        <v>185850</v>
      </c>
      <c r="AG6" s="1">
        <v>360758</v>
      </c>
      <c r="AH6" s="1">
        <v>89078.399999999994</v>
      </c>
      <c r="AI6" s="1">
        <v>43029.2</v>
      </c>
      <c r="AJ6" s="1">
        <v>22100.400000000001</v>
      </c>
      <c r="AK6" s="1">
        <v>167265</v>
      </c>
      <c r="AL6" s="1">
        <v>154208</v>
      </c>
      <c r="AM6" s="1">
        <v>167265</v>
      </c>
      <c r="AN6" s="1">
        <v>321473</v>
      </c>
      <c r="AO6" s="6" t="s">
        <v>107</v>
      </c>
      <c r="AP6" s="6" t="s">
        <v>107</v>
      </c>
      <c r="AQ6" s="6" t="s">
        <v>107</v>
      </c>
      <c r="AR6" s="6" t="s">
        <v>107</v>
      </c>
      <c r="AS6" s="1">
        <v>192884</v>
      </c>
      <c r="AT6" s="1">
        <v>0</v>
      </c>
      <c r="AU6" s="1">
        <v>192884</v>
      </c>
    </row>
    <row r="7" spans="1:47" x14ac:dyDescent="0.4">
      <c r="A7" s="3" t="s">
        <v>45</v>
      </c>
      <c r="B7" s="3" t="s">
        <v>46</v>
      </c>
      <c r="C7" s="3" t="s">
        <v>47</v>
      </c>
      <c r="D7" s="3" t="s">
        <v>60</v>
      </c>
      <c r="E7" s="3" t="s">
        <v>48</v>
      </c>
      <c r="F7" s="3" t="s">
        <v>49</v>
      </c>
      <c r="G7" s="3" t="s">
        <v>61</v>
      </c>
      <c r="H7" s="3" t="s">
        <v>94</v>
      </c>
      <c r="I7" s="3" t="s">
        <v>50</v>
      </c>
      <c r="J7" s="3" t="s">
        <v>62</v>
      </c>
      <c r="K7" s="3" t="s">
        <v>63</v>
      </c>
      <c r="L7" s="3" t="s">
        <v>64</v>
      </c>
      <c r="M7" s="3" t="s">
        <v>65</v>
      </c>
      <c r="N7" s="3" t="s">
        <v>51</v>
      </c>
      <c r="O7" s="3" t="s">
        <v>51</v>
      </c>
      <c r="P7" s="3" t="s">
        <v>51</v>
      </c>
      <c r="Q7" s="3" t="s">
        <v>66</v>
      </c>
      <c r="R7" s="3" t="s">
        <v>52</v>
      </c>
      <c r="S7" s="3" t="s">
        <v>58</v>
      </c>
      <c r="T7" s="1">
        <v>88920</v>
      </c>
      <c r="U7" s="1">
        <v>105700</v>
      </c>
      <c r="V7" s="1">
        <v>83800</v>
      </c>
      <c r="W7" s="1">
        <v>74980</v>
      </c>
      <c r="X7" s="1">
        <v>278420</v>
      </c>
      <c r="Y7" s="1">
        <v>74980</v>
      </c>
      <c r="Z7" s="1">
        <v>353400</v>
      </c>
      <c r="AA7" s="1">
        <v>106704</v>
      </c>
      <c r="AB7" s="1">
        <v>105700</v>
      </c>
      <c r="AC7" s="1">
        <v>100620</v>
      </c>
      <c r="AD7" s="1">
        <v>74980</v>
      </c>
      <c r="AE7" s="1">
        <v>313024</v>
      </c>
      <c r="AF7" s="1">
        <v>74980</v>
      </c>
      <c r="AG7" s="1">
        <v>388004</v>
      </c>
      <c r="AH7" s="1">
        <v>96033.600000000006</v>
      </c>
      <c r="AI7" s="1">
        <v>102529</v>
      </c>
      <c r="AJ7" s="1">
        <v>70434</v>
      </c>
      <c r="AK7" s="1">
        <v>67482</v>
      </c>
      <c r="AL7" s="1">
        <v>268996.59999999998</v>
      </c>
      <c r="AM7" s="1">
        <v>67482</v>
      </c>
      <c r="AN7" s="1">
        <v>336478.6</v>
      </c>
      <c r="AO7" s="6" t="s">
        <v>107</v>
      </c>
      <c r="AP7" s="6" t="s">
        <v>107</v>
      </c>
      <c r="AQ7" s="6" t="s">
        <v>107</v>
      </c>
      <c r="AR7" s="6" t="s">
        <v>107</v>
      </c>
      <c r="AS7" s="1">
        <v>201886</v>
      </c>
      <c r="AT7" s="1">
        <v>0</v>
      </c>
      <c r="AU7" s="1">
        <v>201886</v>
      </c>
    </row>
    <row r="8" spans="1:47" x14ac:dyDescent="0.4">
      <c r="A8" s="3" t="s">
        <v>45</v>
      </c>
      <c r="B8" s="3" t="s">
        <v>46</v>
      </c>
      <c r="C8" s="3" t="s">
        <v>47</v>
      </c>
      <c r="D8" s="3" t="s">
        <v>60</v>
      </c>
      <c r="E8" s="3" t="s">
        <v>48</v>
      </c>
      <c r="F8" s="3" t="s">
        <v>49</v>
      </c>
      <c r="G8" s="3" t="s">
        <v>61</v>
      </c>
      <c r="H8" s="3" t="s">
        <v>94</v>
      </c>
      <c r="I8" s="3" t="s">
        <v>50</v>
      </c>
      <c r="J8" s="3" t="s">
        <v>62</v>
      </c>
      <c r="K8" s="3" t="s">
        <v>63</v>
      </c>
      <c r="L8" s="3" t="s">
        <v>64</v>
      </c>
      <c r="M8" s="3" t="s">
        <v>65</v>
      </c>
      <c r="N8" s="3" t="s">
        <v>51</v>
      </c>
      <c r="O8" s="3" t="s">
        <v>51</v>
      </c>
      <c r="P8" s="3" t="s">
        <v>51</v>
      </c>
      <c r="Q8" s="3" t="s">
        <v>66</v>
      </c>
      <c r="R8" s="3" t="s">
        <v>52</v>
      </c>
      <c r="S8" s="3" t="s">
        <v>58</v>
      </c>
      <c r="T8" s="1">
        <v>132900</v>
      </c>
      <c r="U8" s="1">
        <v>41400</v>
      </c>
      <c r="V8" s="1">
        <v>43200</v>
      </c>
      <c r="W8" s="1">
        <v>1900</v>
      </c>
      <c r="X8" s="1">
        <v>217500</v>
      </c>
      <c r="Y8" s="1">
        <v>1900</v>
      </c>
      <c r="Z8" s="1">
        <v>219400</v>
      </c>
      <c r="AA8" s="1">
        <v>159480</v>
      </c>
      <c r="AB8" s="1">
        <v>41400</v>
      </c>
      <c r="AC8" s="1">
        <v>51840</v>
      </c>
      <c r="AD8" s="1">
        <v>1900</v>
      </c>
      <c r="AE8" s="1">
        <v>252720</v>
      </c>
      <c r="AF8" s="1">
        <v>1900</v>
      </c>
      <c r="AG8" s="1">
        <v>254620</v>
      </c>
      <c r="AH8" s="1">
        <v>143532</v>
      </c>
      <c r="AI8" s="1">
        <v>40158</v>
      </c>
      <c r="AJ8" s="1">
        <v>36288</v>
      </c>
      <c r="AK8" s="1">
        <v>1710</v>
      </c>
      <c r="AL8" s="1">
        <v>219978</v>
      </c>
      <c r="AM8" s="1">
        <v>1710</v>
      </c>
      <c r="AN8" s="1">
        <v>221688</v>
      </c>
      <c r="AO8" s="6" t="s">
        <v>107</v>
      </c>
      <c r="AP8" s="6" t="s">
        <v>107</v>
      </c>
      <c r="AQ8" s="6" t="s">
        <v>107</v>
      </c>
      <c r="AR8" s="6" t="s">
        <v>107</v>
      </c>
      <c r="AS8" s="1">
        <v>133013</v>
      </c>
      <c r="AT8" s="1">
        <v>0</v>
      </c>
      <c r="AU8" s="1">
        <v>133013</v>
      </c>
    </row>
    <row r="9" spans="1:47" x14ac:dyDescent="0.4">
      <c r="A9" s="3" t="s">
        <v>45</v>
      </c>
      <c r="B9" s="3" t="s">
        <v>46</v>
      </c>
      <c r="C9" s="3" t="s">
        <v>47</v>
      </c>
      <c r="D9" s="3" t="s">
        <v>60</v>
      </c>
      <c r="E9" s="3" t="s">
        <v>48</v>
      </c>
      <c r="F9" s="3" t="s">
        <v>49</v>
      </c>
      <c r="G9" s="3" t="s">
        <v>61</v>
      </c>
      <c r="H9" s="3" t="s">
        <v>94</v>
      </c>
      <c r="I9" s="3" t="s">
        <v>50</v>
      </c>
      <c r="J9" s="3" t="s">
        <v>62</v>
      </c>
      <c r="K9" s="3" t="s">
        <v>63</v>
      </c>
      <c r="L9" s="3" t="s">
        <v>64</v>
      </c>
      <c r="M9" s="3" t="s">
        <v>65</v>
      </c>
      <c r="N9" s="3" t="s">
        <v>51</v>
      </c>
      <c r="O9" s="3" t="s">
        <v>51</v>
      </c>
      <c r="P9" s="3" t="s">
        <v>51</v>
      </c>
      <c r="Q9" s="3" t="s">
        <v>66</v>
      </c>
      <c r="R9" s="3" t="s">
        <v>52</v>
      </c>
      <c r="S9" s="3" t="s">
        <v>58</v>
      </c>
      <c r="T9" s="1">
        <v>243700</v>
      </c>
      <c r="U9" s="1">
        <v>142800</v>
      </c>
      <c r="V9" s="1">
        <v>54000</v>
      </c>
      <c r="W9" s="1">
        <v>12100</v>
      </c>
      <c r="X9" s="1">
        <v>440500</v>
      </c>
      <c r="Y9" s="1">
        <v>12100</v>
      </c>
      <c r="Z9" s="1">
        <v>452600</v>
      </c>
      <c r="AA9" s="1">
        <v>292440</v>
      </c>
      <c r="AB9" s="1">
        <v>142800</v>
      </c>
      <c r="AC9" s="1">
        <v>64800</v>
      </c>
      <c r="AD9" s="1">
        <v>12100</v>
      </c>
      <c r="AE9" s="1">
        <v>500040</v>
      </c>
      <c r="AF9" s="1">
        <v>12100</v>
      </c>
      <c r="AG9" s="1">
        <v>512140</v>
      </c>
      <c r="AH9" s="1">
        <v>263196</v>
      </c>
      <c r="AI9" s="1">
        <v>138516</v>
      </c>
      <c r="AJ9" s="1">
        <v>45360</v>
      </c>
      <c r="AK9" s="1">
        <v>10890</v>
      </c>
      <c r="AL9" s="1">
        <v>447072</v>
      </c>
      <c r="AM9" s="1">
        <v>10890</v>
      </c>
      <c r="AN9" s="1">
        <v>457962</v>
      </c>
      <c r="AO9" s="6" t="s">
        <v>107</v>
      </c>
      <c r="AP9" s="6" t="s">
        <v>107</v>
      </c>
      <c r="AQ9" s="6" t="s">
        <v>107</v>
      </c>
      <c r="AR9" s="6" t="s">
        <v>107</v>
      </c>
      <c r="AS9" s="1">
        <v>274778</v>
      </c>
      <c r="AT9" s="1">
        <v>0</v>
      </c>
      <c r="AU9" s="1">
        <v>274778</v>
      </c>
    </row>
    <row r="10" spans="1:47" x14ac:dyDescent="0.4">
      <c r="A10" s="3" t="s">
        <v>45</v>
      </c>
      <c r="B10" s="3" t="s">
        <v>46</v>
      </c>
      <c r="C10" s="3" t="s">
        <v>47</v>
      </c>
      <c r="D10" s="3" t="s">
        <v>60</v>
      </c>
      <c r="E10" s="3" t="s">
        <v>48</v>
      </c>
      <c r="F10" s="3" t="s">
        <v>49</v>
      </c>
      <c r="G10" s="3" t="s">
        <v>67</v>
      </c>
      <c r="H10" s="3" t="s">
        <v>68</v>
      </c>
      <c r="I10" s="3" t="s">
        <v>50</v>
      </c>
      <c r="J10" s="3" t="s">
        <v>62</v>
      </c>
      <c r="K10" s="3" t="s">
        <v>69</v>
      </c>
      <c r="L10" s="3" t="s">
        <v>59</v>
      </c>
      <c r="M10" s="3" t="s">
        <v>70</v>
      </c>
      <c r="N10" s="3" t="s">
        <v>51</v>
      </c>
      <c r="O10" s="3" t="s">
        <v>51</v>
      </c>
      <c r="P10" s="3" t="s">
        <v>51</v>
      </c>
      <c r="Q10" s="3" t="s">
        <v>71</v>
      </c>
      <c r="R10" s="3" t="s">
        <v>52</v>
      </c>
      <c r="S10" s="3" t="s">
        <v>53</v>
      </c>
      <c r="T10" s="1">
        <v>167240</v>
      </c>
      <c r="U10" s="1">
        <v>117500</v>
      </c>
      <c r="V10" s="1">
        <v>14840</v>
      </c>
      <c r="W10" s="1">
        <v>134820</v>
      </c>
      <c r="X10" s="1">
        <v>299580</v>
      </c>
      <c r="Y10" s="1">
        <v>134820</v>
      </c>
      <c r="Z10" s="1">
        <v>434400</v>
      </c>
      <c r="AA10" s="1">
        <v>200688</v>
      </c>
      <c r="AB10" s="1">
        <v>117500</v>
      </c>
      <c r="AC10" s="1">
        <v>17808</v>
      </c>
      <c r="AD10" s="1">
        <v>134820</v>
      </c>
      <c r="AE10" s="1">
        <v>335996</v>
      </c>
      <c r="AF10" s="1">
        <v>134820</v>
      </c>
      <c r="AG10" s="1">
        <v>470816</v>
      </c>
      <c r="AH10" s="1">
        <v>180619.2</v>
      </c>
      <c r="AI10" s="1">
        <v>113975</v>
      </c>
      <c r="AJ10" s="1">
        <v>12465.6</v>
      </c>
      <c r="AK10" s="1">
        <v>121338</v>
      </c>
      <c r="AL10" s="1">
        <v>307059.8</v>
      </c>
      <c r="AM10" s="1">
        <v>121338</v>
      </c>
      <c r="AN10" s="1">
        <v>428397.8</v>
      </c>
      <c r="AO10" s="6" t="s">
        <v>107</v>
      </c>
      <c r="AP10" s="6" t="s">
        <v>107</v>
      </c>
      <c r="AQ10" s="6" t="s">
        <v>107</v>
      </c>
      <c r="AR10" s="6" t="s">
        <v>107</v>
      </c>
      <c r="AS10" s="1">
        <v>257039</v>
      </c>
      <c r="AT10" s="1">
        <v>0</v>
      </c>
      <c r="AU10" s="1">
        <v>257039</v>
      </c>
    </row>
    <row r="11" spans="1:47" x14ac:dyDescent="0.4">
      <c r="A11" s="3" t="s">
        <v>45</v>
      </c>
      <c r="B11" s="3" t="s">
        <v>46</v>
      </c>
      <c r="C11" s="3" t="s">
        <v>47</v>
      </c>
      <c r="D11" s="3" t="s">
        <v>60</v>
      </c>
      <c r="E11" s="3" t="s">
        <v>48</v>
      </c>
      <c r="F11" s="3" t="s">
        <v>49</v>
      </c>
      <c r="G11" s="3" t="s">
        <v>67</v>
      </c>
      <c r="H11" s="3" t="s">
        <v>68</v>
      </c>
      <c r="I11" s="3" t="s">
        <v>50</v>
      </c>
      <c r="J11" s="3" t="s">
        <v>62</v>
      </c>
      <c r="K11" s="3" t="s">
        <v>69</v>
      </c>
      <c r="L11" s="3" t="s">
        <v>59</v>
      </c>
      <c r="M11" s="3" t="s">
        <v>70</v>
      </c>
      <c r="N11" s="3" t="s">
        <v>51</v>
      </c>
      <c r="O11" s="3" t="s">
        <v>51</v>
      </c>
      <c r="P11" s="3" t="s">
        <v>51</v>
      </c>
      <c r="Q11" s="3" t="s">
        <v>71</v>
      </c>
      <c r="R11" s="3" t="s">
        <v>52</v>
      </c>
      <c r="S11" s="3" t="s">
        <v>54</v>
      </c>
      <c r="T11" s="1">
        <v>116800</v>
      </c>
      <c r="U11" s="1">
        <v>197100</v>
      </c>
      <c r="V11" s="1">
        <v>3600</v>
      </c>
      <c r="W11" s="1">
        <v>42900</v>
      </c>
      <c r="X11" s="1">
        <v>317500</v>
      </c>
      <c r="Y11" s="1">
        <v>42900</v>
      </c>
      <c r="Z11" s="1">
        <v>360400</v>
      </c>
      <c r="AA11" s="1">
        <v>140160</v>
      </c>
      <c r="AB11" s="1">
        <v>197100</v>
      </c>
      <c r="AC11" s="1">
        <v>4320</v>
      </c>
      <c r="AD11" s="1">
        <v>42900</v>
      </c>
      <c r="AE11" s="1">
        <v>341580</v>
      </c>
      <c r="AF11" s="1">
        <v>42900</v>
      </c>
      <c r="AG11" s="1">
        <v>384480</v>
      </c>
      <c r="AH11" s="1">
        <v>126144</v>
      </c>
      <c r="AI11" s="1">
        <v>191187</v>
      </c>
      <c r="AJ11" s="1">
        <v>3024</v>
      </c>
      <c r="AK11" s="1">
        <v>38610</v>
      </c>
      <c r="AL11" s="1">
        <v>320355</v>
      </c>
      <c r="AM11" s="1">
        <v>38610</v>
      </c>
      <c r="AN11" s="1">
        <v>358965</v>
      </c>
      <c r="AO11" s="6" t="s">
        <v>107</v>
      </c>
      <c r="AP11" s="6" t="s">
        <v>107</v>
      </c>
      <c r="AQ11" s="6" t="s">
        <v>107</v>
      </c>
      <c r="AR11" s="6" t="s">
        <v>107</v>
      </c>
      <c r="AS11" s="1">
        <v>215378</v>
      </c>
      <c r="AT11" s="1">
        <v>0</v>
      </c>
      <c r="AU11" s="1">
        <v>215378</v>
      </c>
    </row>
    <row r="12" spans="1:47" x14ac:dyDescent="0.4">
      <c r="A12" s="3" t="s">
        <v>45</v>
      </c>
      <c r="B12" s="3" t="s">
        <v>46</v>
      </c>
      <c r="C12" s="3" t="s">
        <v>47</v>
      </c>
      <c r="D12" s="3" t="s">
        <v>60</v>
      </c>
      <c r="E12" s="3" t="s">
        <v>48</v>
      </c>
      <c r="F12" s="3" t="s">
        <v>49</v>
      </c>
      <c r="G12" s="3" t="s">
        <v>67</v>
      </c>
      <c r="H12" s="3" t="s">
        <v>68</v>
      </c>
      <c r="I12" s="3" t="s">
        <v>50</v>
      </c>
      <c r="J12" s="3" t="s">
        <v>62</v>
      </c>
      <c r="K12" s="3" t="s">
        <v>69</v>
      </c>
      <c r="L12" s="3" t="s">
        <v>59</v>
      </c>
      <c r="M12" s="3" t="s">
        <v>70</v>
      </c>
      <c r="N12" s="3" t="s">
        <v>51</v>
      </c>
      <c r="O12" s="3" t="s">
        <v>51</v>
      </c>
      <c r="P12" s="3" t="s">
        <v>51</v>
      </c>
      <c r="Q12" s="3" t="s">
        <v>71</v>
      </c>
      <c r="R12" s="3" t="s">
        <v>52</v>
      </c>
      <c r="S12" s="3" t="s">
        <v>54</v>
      </c>
      <c r="T12" s="1">
        <v>70650</v>
      </c>
      <c r="U12" s="1">
        <v>51950</v>
      </c>
      <c r="V12" s="1">
        <v>0</v>
      </c>
      <c r="W12" s="1">
        <v>17800</v>
      </c>
      <c r="X12" s="1">
        <v>122600</v>
      </c>
      <c r="Y12" s="1">
        <v>17800</v>
      </c>
      <c r="Z12" s="1">
        <v>140400</v>
      </c>
      <c r="AA12" s="1">
        <v>84780</v>
      </c>
      <c r="AB12" s="1">
        <v>51950</v>
      </c>
      <c r="AC12" s="1">
        <v>0</v>
      </c>
      <c r="AD12" s="1">
        <v>17800</v>
      </c>
      <c r="AE12" s="1">
        <v>136730</v>
      </c>
      <c r="AF12" s="1">
        <v>17800</v>
      </c>
      <c r="AG12" s="1">
        <v>154530</v>
      </c>
      <c r="AH12" s="1">
        <v>76302</v>
      </c>
      <c r="AI12" s="1">
        <v>50391.5</v>
      </c>
      <c r="AJ12" s="1">
        <v>0</v>
      </c>
      <c r="AK12" s="1">
        <v>16020</v>
      </c>
      <c r="AL12" s="1">
        <v>126693.5</v>
      </c>
      <c r="AM12" s="1">
        <v>16020</v>
      </c>
      <c r="AN12" s="1">
        <v>142713.5</v>
      </c>
      <c r="AO12" s="6" t="s">
        <v>107</v>
      </c>
      <c r="AP12" s="6" t="s">
        <v>107</v>
      </c>
      <c r="AQ12" s="6" t="s">
        <v>107</v>
      </c>
      <c r="AR12" s="6" t="s">
        <v>107</v>
      </c>
      <c r="AS12" s="1">
        <v>85628</v>
      </c>
      <c r="AT12" s="1">
        <v>0</v>
      </c>
      <c r="AU12" s="1">
        <v>85628</v>
      </c>
    </row>
    <row r="13" spans="1:47" x14ac:dyDescent="0.4">
      <c r="A13" s="3" t="s">
        <v>45</v>
      </c>
      <c r="B13" s="3" t="s">
        <v>46</v>
      </c>
      <c r="C13" s="3" t="s">
        <v>47</v>
      </c>
      <c r="D13" s="3" t="s">
        <v>60</v>
      </c>
      <c r="E13" s="3" t="s">
        <v>48</v>
      </c>
      <c r="F13" s="3" t="s">
        <v>49</v>
      </c>
      <c r="G13" s="3" t="s">
        <v>67</v>
      </c>
      <c r="H13" s="3" t="s">
        <v>68</v>
      </c>
      <c r="I13" s="3" t="s">
        <v>50</v>
      </c>
      <c r="J13" s="3" t="s">
        <v>62</v>
      </c>
      <c r="K13" s="3" t="s">
        <v>69</v>
      </c>
      <c r="L13" s="3" t="s">
        <v>59</v>
      </c>
      <c r="M13" s="3" t="s">
        <v>70</v>
      </c>
      <c r="N13" s="3" t="s">
        <v>51</v>
      </c>
      <c r="O13" s="3" t="s">
        <v>51</v>
      </c>
      <c r="P13" s="3" t="s">
        <v>51</v>
      </c>
      <c r="Q13" s="3" t="s">
        <v>71</v>
      </c>
      <c r="R13" s="3" t="s">
        <v>52</v>
      </c>
      <c r="S13" s="3" t="s">
        <v>54</v>
      </c>
      <c r="T13" s="1">
        <v>22000</v>
      </c>
      <c r="U13" s="1">
        <v>54000</v>
      </c>
      <c r="V13" s="1">
        <v>0</v>
      </c>
      <c r="W13" s="1">
        <v>0</v>
      </c>
      <c r="X13" s="1">
        <v>76000</v>
      </c>
      <c r="Y13" s="1">
        <v>0</v>
      </c>
      <c r="Z13" s="1">
        <v>76000</v>
      </c>
      <c r="AA13" s="1">
        <v>26400</v>
      </c>
      <c r="AB13" s="1">
        <v>54000</v>
      </c>
      <c r="AC13" s="1">
        <v>0</v>
      </c>
      <c r="AD13" s="1">
        <v>0</v>
      </c>
      <c r="AE13" s="1">
        <v>80400</v>
      </c>
      <c r="AF13" s="1">
        <v>0</v>
      </c>
      <c r="AG13" s="1">
        <v>80400</v>
      </c>
      <c r="AH13" s="1">
        <v>23760</v>
      </c>
      <c r="AI13" s="1">
        <v>52380</v>
      </c>
      <c r="AJ13" s="1">
        <v>0</v>
      </c>
      <c r="AK13" s="1">
        <v>0</v>
      </c>
      <c r="AL13" s="1">
        <v>76140</v>
      </c>
      <c r="AM13" s="1">
        <v>0</v>
      </c>
      <c r="AN13" s="1">
        <v>76140</v>
      </c>
      <c r="AO13" s="6" t="s">
        <v>107</v>
      </c>
      <c r="AP13" s="6" t="s">
        <v>107</v>
      </c>
      <c r="AQ13" s="6" t="s">
        <v>107</v>
      </c>
      <c r="AR13" s="6" t="s">
        <v>107</v>
      </c>
      <c r="AS13" s="1">
        <v>45684</v>
      </c>
      <c r="AT13" s="1">
        <v>0</v>
      </c>
      <c r="AU13" s="1">
        <v>45684</v>
      </c>
    </row>
    <row r="14" spans="1:47" x14ac:dyDescent="0.4">
      <c r="A14" s="3" t="s">
        <v>45</v>
      </c>
      <c r="B14" s="3" t="s">
        <v>46</v>
      </c>
      <c r="C14" s="3" t="s">
        <v>47</v>
      </c>
      <c r="D14" s="3" t="s">
        <v>60</v>
      </c>
      <c r="E14" s="3" t="s">
        <v>48</v>
      </c>
      <c r="F14" s="3" t="s">
        <v>49</v>
      </c>
      <c r="G14" s="3" t="s">
        <v>67</v>
      </c>
      <c r="H14" s="3" t="s">
        <v>68</v>
      </c>
      <c r="I14" s="3" t="s">
        <v>50</v>
      </c>
      <c r="J14" s="3" t="s">
        <v>62</v>
      </c>
      <c r="K14" s="3" t="s">
        <v>69</v>
      </c>
      <c r="L14" s="3" t="s">
        <v>59</v>
      </c>
      <c r="M14" s="3" t="s">
        <v>70</v>
      </c>
      <c r="N14" s="3" t="s">
        <v>51</v>
      </c>
      <c r="O14" s="3" t="s">
        <v>51</v>
      </c>
      <c r="P14" s="3" t="s">
        <v>51</v>
      </c>
      <c r="Q14" s="3" t="s">
        <v>71</v>
      </c>
      <c r="R14" s="3" t="s">
        <v>52</v>
      </c>
      <c r="S14" s="3" t="s">
        <v>57</v>
      </c>
      <c r="T14" s="1">
        <v>3251690</v>
      </c>
      <c r="U14" s="1">
        <v>1951470</v>
      </c>
      <c r="V14" s="1">
        <v>457090</v>
      </c>
      <c r="W14" s="1">
        <v>5132750</v>
      </c>
      <c r="X14" s="1">
        <v>5660250</v>
      </c>
      <c r="Y14" s="1">
        <v>5132750</v>
      </c>
      <c r="Z14" s="1">
        <v>10793000</v>
      </c>
      <c r="AA14" s="1">
        <v>3902028</v>
      </c>
      <c r="AB14" s="1">
        <v>1951470</v>
      </c>
      <c r="AC14" s="1">
        <v>548388</v>
      </c>
      <c r="AD14" s="1">
        <v>5132750</v>
      </c>
      <c r="AE14" s="1">
        <v>6401886</v>
      </c>
      <c r="AF14" s="1">
        <v>5132750</v>
      </c>
      <c r="AG14" s="1">
        <v>11534636</v>
      </c>
      <c r="AH14" s="1">
        <v>3511825.2</v>
      </c>
      <c r="AI14" s="1">
        <v>1892925.9</v>
      </c>
      <c r="AJ14" s="1">
        <v>383871.6</v>
      </c>
      <c r="AK14" s="1">
        <v>4619475</v>
      </c>
      <c r="AL14" s="1">
        <v>5788622.7000000002</v>
      </c>
      <c r="AM14" s="1">
        <v>4619475</v>
      </c>
      <c r="AN14" s="1">
        <v>10408097.699999999</v>
      </c>
      <c r="AO14" s="6" t="s">
        <v>107</v>
      </c>
      <c r="AP14" s="6" t="s">
        <v>107</v>
      </c>
      <c r="AQ14" s="6" t="s">
        <v>107</v>
      </c>
      <c r="AR14" s="6" t="s">
        <v>107</v>
      </c>
      <c r="AS14" s="1">
        <v>6244859</v>
      </c>
      <c r="AT14" s="1">
        <v>0</v>
      </c>
      <c r="AU14" s="1">
        <v>6244859</v>
      </c>
    </row>
    <row r="15" spans="1:47" x14ac:dyDescent="0.4">
      <c r="A15" s="3" t="s">
        <v>45</v>
      </c>
      <c r="B15" s="3" t="s">
        <v>46</v>
      </c>
      <c r="C15" s="3" t="s">
        <v>47</v>
      </c>
      <c r="D15" s="3" t="s">
        <v>60</v>
      </c>
      <c r="E15" s="3" t="s">
        <v>48</v>
      </c>
      <c r="F15" s="3" t="s">
        <v>49</v>
      </c>
      <c r="G15" s="3" t="s">
        <v>67</v>
      </c>
      <c r="H15" s="3" t="s">
        <v>68</v>
      </c>
      <c r="I15" s="3" t="s">
        <v>50</v>
      </c>
      <c r="J15" s="3" t="s">
        <v>62</v>
      </c>
      <c r="K15" s="3" t="s">
        <v>69</v>
      </c>
      <c r="L15" s="3" t="s">
        <v>59</v>
      </c>
      <c r="M15" s="3" t="s">
        <v>70</v>
      </c>
      <c r="N15" s="3" t="s">
        <v>51</v>
      </c>
      <c r="O15" s="3" t="s">
        <v>51</v>
      </c>
      <c r="P15" s="3" t="s">
        <v>51</v>
      </c>
      <c r="Q15" s="3" t="s">
        <v>71</v>
      </c>
      <c r="R15" s="3" t="s">
        <v>52</v>
      </c>
      <c r="S15" s="3" t="s">
        <v>58</v>
      </c>
      <c r="T15" s="1">
        <v>2200300</v>
      </c>
      <c r="U15" s="1">
        <v>1667120</v>
      </c>
      <c r="V15" s="1">
        <v>234500</v>
      </c>
      <c r="W15" s="1">
        <v>905480</v>
      </c>
      <c r="X15" s="1">
        <v>4101920</v>
      </c>
      <c r="Y15" s="1">
        <v>905480</v>
      </c>
      <c r="Z15" s="1">
        <v>5007400</v>
      </c>
      <c r="AA15" s="1">
        <v>2640360</v>
      </c>
      <c r="AB15" s="1">
        <v>1667120</v>
      </c>
      <c r="AC15" s="1">
        <v>281400</v>
      </c>
      <c r="AD15" s="1">
        <v>905480</v>
      </c>
      <c r="AE15" s="1">
        <v>4588880</v>
      </c>
      <c r="AF15" s="1">
        <v>905480</v>
      </c>
      <c r="AG15" s="1">
        <v>5494360</v>
      </c>
      <c r="AH15" s="1">
        <v>2376324</v>
      </c>
      <c r="AI15" s="1">
        <v>1617106.4</v>
      </c>
      <c r="AJ15" s="1">
        <v>196980</v>
      </c>
      <c r="AK15" s="1">
        <v>814932</v>
      </c>
      <c r="AL15" s="1">
        <v>4190410.4</v>
      </c>
      <c r="AM15" s="1">
        <v>814932</v>
      </c>
      <c r="AN15" s="1">
        <v>5005342.4000000004</v>
      </c>
      <c r="AO15" s="6" t="s">
        <v>107</v>
      </c>
      <c r="AP15" s="6" t="s">
        <v>107</v>
      </c>
      <c r="AQ15" s="6" t="s">
        <v>107</v>
      </c>
      <c r="AR15" s="6" t="s">
        <v>107</v>
      </c>
      <c r="AS15" s="1">
        <v>3003205</v>
      </c>
      <c r="AT15" s="1">
        <v>0</v>
      </c>
      <c r="AU15" s="1">
        <v>3003205</v>
      </c>
    </row>
    <row r="16" spans="1:47" x14ac:dyDescent="0.4">
      <c r="A16" s="3" t="s">
        <v>45</v>
      </c>
      <c r="B16" s="3" t="s">
        <v>46</v>
      </c>
      <c r="C16" s="3" t="s">
        <v>47</v>
      </c>
      <c r="D16" s="3" t="s">
        <v>60</v>
      </c>
      <c r="E16" s="3" t="s">
        <v>48</v>
      </c>
      <c r="F16" s="3" t="s">
        <v>49</v>
      </c>
      <c r="G16" s="3" t="s">
        <v>67</v>
      </c>
      <c r="H16" s="3" t="s">
        <v>68</v>
      </c>
      <c r="I16" s="3" t="s">
        <v>50</v>
      </c>
      <c r="J16" s="3" t="s">
        <v>62</v>
      </c>
      <c r="K16" s="3" t="s">
        <v>69</v>
      </c>
      <c r="L16" s="3" t="s">
        <v>59</v>
      </c>
      <c r="M16" s="3" t="s">
        <v>70</v>
      </c>
      <c r="N16" s="3" t="s">
        <v>51</v>
      </c>
      <c r="O16" s="3" t="s">
        <v>51</v>
      </c>
      <c r="P16" s="3" t="s">
        <v>51</v>
      </c>
      <c r="Q16" s="3" t="s">
        <v>71</v>
      </c>
      <c r="R16" s="3" t="s">
        <v>52</v>
      </c>
      <c r="S16" s="3" t="s">
        <v>58</v>
      </c>
      <c r="T16" s="1">
        <v>854760</v>
      </c>
      <c r="U16" s="1">
        <v>544480</v>
      </c>
      <c r="V16" s="1">
        <v>97100</v>
      </c>
      <c r="W16" s="1">
        <v>100260</v>
      </c>
      <c r="X16" s="1">
        <v>1496340</v>
      </c>
      <c r="Y16" s="1">
        <v>100260</v>
      </c>
      <c r="Z16" s="1">
        <v>1596600</v>
      </c>
      <c r="AA16" s="1">
        <v>1025712</v>
      </c>
      <c r="AB16" s="1">
        <v>544480</v>
      </c>
      <c r="AC16" s="1">
        <v>116520</v>
      </c>
      <c r="AD16" s="1">
        <v>100260</v>
      </c>
      <c r="AE16" s="1">
        <v>1686712</v>
      </c>
      <c r="AF16" s="1">
        <v>100260</v>
      </c>
      <c r="AG16" s="1">
        <v>1786972</v>
      </c>
      <c r="AH16" s="1">
        <v>923140.8</v>
      </c>
      <c r="AI16" s="1">
        <v>528145.6</v>
      </c>
      <c r="AJ16" s="1">
        <v>81564</v>
      </c>
      <c r="AK16" s="1">
        <v>90234</v>
      </c>
      <c r="AL16" s="1">
        <v>1532850.4</v>
      </c>
      <c r="AM16" s="1">
        <v>90234</v>
      </c>
      <c r="AN16" s="1">
        <v>1623084.4</v>
      </c>
      <c r="AO16" s="6" t="s">
        <v>107</v>
      </c>
      <c r="AP16" s="6" t="s">
        <v>107</v>
      </c>
      <c r="AQ16" s="6" t="s">
        <v>107</v>
      </c>
      <c r="AR16" s="6" t="s">
        <v>107</v>
      </c>
      <c r="AS16" s="1">
        <v>973849</v>
      </c>
      <c r="AT16" s="1">
        <v>0</v>
      </c>
      <c r="AU16" s="1">
        <v>973849</v>
      </c>
    </row>
    <row r="17" spans="1:47" x14ac:dyDescent="0.4">
      <c r="A17" s="3" t="s">
        <v>45</v>
      </c>
      <c r="B17" s="3" t="s">
        <v>46</v>
      </c>
      <c r="C17" s="3" t="s">
        <v>47</v>
      </c>
      <c r="D17" s="3" t="s">
        <v>60</v>
      </c>
      <c r="E17" s="3" t="s">
        <v>48</v>
      </c>
      <c r="F17" s="3" t="s">
        <v>49</v>
      </c>
      <c r="G17" s="3" t="s">
        <v>67</v>
      </c>
      <c r="H17" s="3" t="s">
        <v>68</v>
      </c>
      <c r="I17" s="3" t="s">
        <v>50</v>
      </c>
      <c r="J17" s="3" t="s">
        <v>62</v>
      </c>
      <c r="K17" s="3" t="s">
        <v>69</v>
      </c>
      <c r="L17" s="3" t="s">
        <v>59</v>
      </c>
      <c r="M17" s="3" t="s">
        <v>70</v>
      </c>
      <c r="N17" s="3" t="s">
        <v>51</v>
      </c>
      <c r="O17" s="3" t="s">
        <v>51</v>
      </c>
      <c r="P17" s="3" t="s">
        <v>51</v>
      </c>
      <c r="Q17" s="3" t="s">
        <v>71</v>
      </c>
      <c r="R17" s="3" t="s">
        <v>52</v>
      </c>
      <c r="S17" s="3" t="s">
        <v>58</v>
      </c>
      <c r="T17" s="1">
        <v>754300</v>
      </c>
      <c r="U17" s="1">
        <v>379230</v>
      </c>
      <c r="V17" s="1">
        <v>155900</v>
      </c>
      <c r="W17" s="1">
        <v>105370</v>
      </c>
      <c r="X17" s="1">
        <v>1289430</v>
      </c>
      <c r="Y17" s="1">
        <v>105370</v>
      </c>
      <c r="Z17" s="1">
        <v>1394800</v>
      </c>
      <c r="AA17" s="1">
        <v>905160</v>
      </c>
      <c r="AB17" s="1">
        <v>379230</v>
      </c>
      <c r="AC17" s="1">
        <v>187340</v>
      </c>
      <c r="AD17" s="1">
        <v>105370</v>
      </c>
      <c r="AE17" s="1">
        <v>1471730</v>
      </c>
      <c r="AF17" s="1">
        <v>105370</v>
      </c>
      <c r="AG17" s="1">
        <v>1577100</v>
      </c>
      <c r="AH17" s="1">
        <v>814644</v>
      </c>
      <c r="AI17" s="1">
        <v>367853.1</v>
      </c>
      <c r="AJ17" s="1">
        <v>131138</v>
      </c>
      <c r="AK17" s="1">
        <v>94833</v>
      </c>
      <c r="AL17" s="1">
        <v>1313635.1000000001</v>
      </c>
      <c r="AM17" s="1">
        <v>94833</v>
      </c>
      <c r="AN17" s="1">
        <v>1408468.1</v>
      </c>
      <c r="AO17" s="6" t="s">
        <v>107</v>
      </c>
      <c r="AP17" s="6" t="s">
        <v>107</v>
      </c>
      <c r="AQ17" s="6" t="s">
        <v>107</v>
      </c>
      <c r="AR17" s="6" t="s">
        <v>107</v>
      </c>
      <c r="AS17" s="1">
        <v>845081</v>
      </c>
      <c r="AT17" s="1">
        <v>0</v>
      </c>
      <c r="AU17" s="1">
        <v>845081</v>
      </c>
    </row>
    <row r="18" spans="1:47" x14ac:dyDescent="0.4">
      <c r="A18" s="3" t="s">
        <v>45</v>
      </c>
      <c r="B18" s="3" t="s">
        <v>46</v>
      </c>
      <c r="C18" s="3" t="s">
        <v>47</v>
      </c>
      <c r="D18" s="3" t="s">
        <v>60</v>
      </c>
      <c r="E18" s="3" t="s">
        <v>48</v>
      </c>
      <c r="F18" s="3" t="s">
        <v>49</v>
      </c>
      <c r="G18" s="3" t="s">
        <v>95</v>
      </c>
      <c r="H18" s="3" t="s">
        <v>96</v>
      </c>
      <c r="I18" s="3" t="s">
        <v>50</v>
      </c>
      <c r="J18" s="3" t="s">
        <v>62</v>
      </c>
      <c r="K18" s="3" t="s">
        <v>97</v>
      </c>
      <c r="L18" s="3" t="s">
        <v>98</v>
      </c>
      <c r="M18" s="3" t="s">
        <v>99</v>
      </c>
      <c r="N18" s="3" t="s">
        <v>51</v>
      </c>
      <c r="O18" s="3" t="s">
        <v>51</v>
      </c>
      <c r="P18" s="3" t="s">
        <v>51</v>
      </c>
      <c r="Q18" s="3" t="s">
        <v>100</v>
      </c>
      <c r="R18" s="3" t="s">
        <v>52</v>
      </c>
      <c r="S18" s="3" t="s">
        <v>53</v>
      </c>
      <c r="T18" s="1">
        <v>120000</v>
      </c>
      <c r="U18" s="1">
        <v>196180</v>
      </c>
      <c r="V18" s="1">
        <v>35100</v>
      </c>
      <c r="W18" s="1">
        <v>69220</v>
      </c>
      <c r="X18" s="1">
        <v>351280</v>
      </c>
      <c r="Y18" s="1">
        <v>69220</v>
      </c>
      <c r="Z18" s="1">
        <v>420500</v>
      </c>
      <c r="AA18" s="1">
        <v>144000</v>
      </c>
      <c r="AB18" s="1">
        <v>196180</v>
      </c>
      <c r="AC18" s="1">
        <v>42120</v>
      </c>
      <c r="AD18" s="1">
        <v>69220</v>
      </c>
      <c r="AE18" s="1">
        <v>382300</v>
      </c>
      <c r="AF18" s="1">
        <v>69220</v>
      </c>
      <c r="AG18" s="1">
        <v>451520</v>
      </c>
      <c r="AH18" s="1">
        <v>129600</v>
      </c>
      <c r="AI18" s="1">
        <v>190294.6</v>
      </c>
      <c r="AJ18" s="1">
        <v>29484</v>
      </c>
      <c r="AK18" s="1">
        <v>62298</v>
      </c>
      <c r="AL18" s="1">
        <v>349378.6</v>
      </c>
      <c r="AM18" s="1">
        <v>62298</v>
      </c>
      <c r="AN18" s="1">
        <v>411676.6</v>
      </c>
      <c r="AO18" s="6" t="s">
        <v>107</v>
      </c>
      <c r="AP18" s="6" t="s">
        <v>107</v>
      </c>
      <c r="AQ18" s="6" t="s">
        <v>107</v>
      </c>
      <c r="AR18" s="6" t="s">
        <v>107</v>
      </c>
      <c r="AS18" s="1">
        <v>247006</v>
      </c>
      <c r="AT18" s="1">
        <v>0</v>
      </c>
      <c r="AU18" s="1">
        <v>247006</v>
      </c>
    </row>
    <row r="19" spans="1:47" x14ac:dyDescent="0.4">
      <c r="A19" s="3" t="s">
        <v>45</v>
      </c>
      <c r="B19" s="3" t="s">
        <v>46</v>
      </c>
      <c r="C19" s="3" t="s">
        <v>47</v>
      </c>
      <c r="D19" s="3" t="s">
        <v>60</v>
      </c>
      <c r="E19" s="3" t="s">
        <v>48</v>
      </c>
      <c r="F19" s="3" t="s">
        <v>49</v>
      </c>
      <c r="G19" s="3" t="s">
        <v>95</v>
      </c>
      <c r="H19" s="3" t="s">
        <v>96</v>
      </c>
      <c r="I19" s="3" t="s">
        <v>50</v>
      </c>
      <c r="J19" s="3" t="s">
        <v>62</v>
      </c>
      <c r="K19" s="3" t="s">
        <v>97</v>
      </c>
      <c r="L19" s="3" t="s">
        <v>98</v>
      </c>
      <c r="M19" s="3" t="s">
        <v>99</v>
      </c>
      <c r="N19" s="3" t="s">
        <v>51</v>
      </c>
      <c r="O19" s="3" t="s">
        <v>51</v>
      </c>
      <c r="P19" s="3" t="s">
        <v>51</v>
      </c>
      <c r="Q19" s="3" t="s">
        <v>100</v>
      </c>
      <c r="R19" s="3" t="s">
        <v>52</v>
      </c>
      <c r="S19" s="3" t="s">
        <v>54</v>
      </c>
      <c r="T19" s="1">
        <v>73200</v>
      </c>
      <c r="U19" s="1">
        <v>265500</v>
      </c>
      <c r="V19" s="1">
        <v>22500</v>
      </c>
      <c r="W19" s="1">
        <v>24800</v>
      </c>
      <c r="X19" s="1">
        <v>361200</v>
      </c>
      <c r="Y19" s="1">
        <v>24800</v>
      </c>
      <c r="Z19" s="1">
        <v>386000</v>
      </c>
      <c r="AA19" s="1">
        <v>87840</v>
      </c>
      <c r="AB19" s="1">
        <v>265500</v>
      </c>
      <c r="AC19" s="1">
        <v>27000</v>
      </c>
      <c r="AD19" s="1">
        <v>24800</v>
      </c>
      <c r="AE19" s="1">
        <v>380340</v>
      </c>
      <c r="AF19" s="1">
        <v>24800</v>
      </c>
      <c r="AG19" s="1">
        <v>405140</v>
      </c>
      <c r="AH19" s="1">
        <v>79056</v>
      </c>
      <c r="AI19" s="1">
        <v>257535</v>
      </c>
      <c r="AJ19" s="1">
        <v>18900</v>
      </c>
      <c r="AK19" s="1">
        <v>22320</v>
      </c>
      <c r="AL19" s="1">
        <v>355491</v>
      </c>
      <c r="AM19" s="1">
        <v>22320</v>
      </c>
      <c r="AN19" s="1">
        <v>377811</v>
      </c>
      <c r="AO19" s="6" t="s">
        <v>107</v>
      </c>
      <c r="AP19" s="6" t="s">
        <v>107</v>
      </c>
      <c r="AQ19" s="6" t="s">
        <v>107</v>
      </c>
      <c r="AR19" s="6" t="s">
        <v>107</v>
      </c>
      <c r="AS19" s="1">
        <v>226687</v>
      </c>
      <c r="AT19" s="1">
        <v>0</v>
      </c>
      <c r="AU19" s="1">
        <v>226687</v>
      </c>
    </row>
    <row r="20" spans="1:47" x14ac:dyDescent="0.4">
      <c r="A20" s="3" t="s">
        <v>45</v>
      </c>
      <c r="B20" s="3" t="s">
        <v>46</v>
      </c>
      <c r="C20" s="3" t="s">
        <v>47</v>
      </c>
      <c r="D20" s="3" t="s">
        <v>60</v>
      </c>
      <c r="E20" s="3" t="s">
        <v>48</v>
      </c>
      <c r="F20" s="3" t="s">
        <v>49</v>
      </c>
      <c r="G20" s="3" t="s">
        <v>95</v>
      </c>
      <c r="H20" s="3" t="s">
        <v>96</v>
      </c>
      <c r="I20" s="3" t="s">
        <v>50</v>
      </c>
      <c r="J20" s="3" t="s">
        <v>62</v>
      </c>
      <c r="K20" s="3" t="s">
        <v>97</v>
      </c>
      <c r="L20" s="3" t="s">
        <v>98</v>
      </c>
      <c r="M20" s="3" t="s">
        <v>99</v>
      </c>
      <c r="N20" s="3" t="s">
        <v>51</v>
      </c>
      <c r="O20" s="3" t="s">
        <v>51</v>
      </c>
      <c r="P20" s="3" t="s">
        <v>51</v>
      </c>
      <c r="Q20" s="3" t="s">
        <v>100</v>
      </c>
      <c r="R20" s="3" t="s">
        <v>52</v>
      </c>
      <c r="S20" s="3" t="s">
        <v>54</v>
      </c>
      <c r="T20" s="1">
        <v>18000</v>
      </c>
      <c r="U20" s="1">
        <v>129700</v>
      </c>
      <c r="V20" s="1">
        <v>20100</v>
      </c>
      <c r="W20" s="1">
        <v>2200</v>
      </c>
      <c r="X20" s="1">
        <v>167800</v>
      </c>
      <c r="Y20" s="1">
        <v>2200</v>
      </c>
      <c r="Z20" s="1">
        <v>170000</v>
      </c>
      <c r="AA20" s="1">
        <v>21600</v>
      </c>
      <c r="AB20" s="1">
        <v>129700</v>
      </c>
      <c r="AC20" s="1">
        <v>24120</v>
      </c>
      <c r="AD20" s="1">
        <v>2200</v>
      </c>
      <c r="AE20" s="1">
        <v>175420</v>
      </c>
      <c r="AF20" s="1">
        <v>2200</v>
      </c>
      <c r="AG20" s="1">
        <v>177620</v>
      </c>
      <c r="AH20" s="1">
        <v>19440</v>
      </c>
      <c r="AI20" s="1">
        <v>125809</v>
      </c>
      <c r="AJ20" s="1">
        <v>16884</v>
      </c>
      <c r="AK20" s="1">
        <v>1980</v>
      </c>
      <c r="AL20" s="1">
        <v>162133</v>
      </c>
      <c r="AM20" s="1">
        <v>1980</v>
      </c>
      <c r="AN20" s="1">
        <v>164113</v>
      </c>
      <c r="AO20" s="6" t="s">
        <v>107</v>
      </c>
      <c r="AP20" s="6" t="s">
        <v>107</v>
      </c>
      <c r="AQ20" s="6" t="s">
        <v>107</v>
      </c>
      <c r="AR20" s="6" t="s">
        <v>107</v>
      </c>
      <c r="AS20" s="1">
        <v>98467</v>
      </c>
      <c r="AT20" s="1">
        <v>0</v>
      </c>
      <c r="AU20" s="1">
        <v>98467</v>
      </c>
    </row>
    <row r="21" spans="1:47" x14ac:dyDescent="0.4">
      <c r="A21" s="3" t="s">
        <v>45</v>
      </c>
      <c r="B21" s="3" t="s">
        <v>46</v>
      </c>
      <c r="C21" s="3" t="s">
        <v>47</v>
      </c>
      <c r="D21" s="3" t="s">
        <v>60</v>
      </c>
      <c r="E21" s="3" t="s">
        <v>48</v>
      </c>
      <c r="F21" s="3" t="s">
        <v>49</v>
      </c>
      <c r="G21" s="3" t="s">
        <v>95</v>
      </c>
      <c r="H21" s="3" t="s">
        <v>96</v>
      </c>
      <c r="I21" s="3" t="s">
        <v>50</v>
      </c>
      <c r="J21" s="3" t="s">
        <v>62</v>
      </c>
      <c r="K21" s="3" t="s">
        <v>97</v>
      </c>
      <c r="L21" s="3" t="s">
        <v>98</v>
      </c>
      <c r="M21" s="3" t="s">
        <v>99</v>
      </c>
      <c r="N21" s="3" t="s">
        <v>51</v>
      </c>
      <c r="O21" s="3" t="s">
        <v>51</v>
      </c>
      <c r="P21" s="3" t="s">
        <v>51</v>
      </c>
      <c r="Q21" s="3" t="s">
        <v>100</v>
      </c>
      <c r="R21" s="3" t="s">
        <v>52</v>
      </c>
      <c r="S21" s="3" t="s">
        <v>54</v>
      </c>
      <c r="T21" s="1">
        <v>76500</v>
      </c>
      <c r="U21" s="1">
        <v>102500</v>
      </c>
      <c r="V21" s="1">
        <v>13500</v>
      </c>
      <c r="W21" s="1">
        <v>8000</v>
      </c>
      <c r="X21" s="1">
        <v>192500</v>
      </c>
      <c r="Y21" s="1">
        <v>8000</v>
      </c>
      <c r="Z21" s="1">
        <v>200500</v>
      </c>
      <c r="AA21" s="1">
        <v>91800</v>
      </c>
      <c r="AB21" s="1">
        <v>102500</v>
      </c>
      <c r="AC21" s="1">
        <v>16200</v>
      </c>
      <c r="AD21" s="1">
        <v>8000</v>
      </c>
      <c r="AE21" s="1">
        <v>210500</v>
      </c>
      <c r="AF21" s="1">
        <v>8000</v>
      </c>
      <c r="AG21" s="1">
        <v>218500</v>
      </c>
      <c r="AH21" s="1">
        <v>82620</v>
      </c>
      <c r="AI21" s="1">
        <v>99425</v>
      </c>
      <c r="AJ21" s="1">
        <v>11340</v>
      </c>
      <c r="AK21" s="1">
        <v>7200</v>
      </c>
      <c r="AL21" s="1">
        <v>193385</v>
      </c>
      <c r="AM21" s="1">
        <v>7200</v>
      </c>
      <c r="AN21" s="1">
        <v>200585</v>
      </c>
      <c r="AO21" s="6" t="s">
        <v>107</v>
      </c>
      <c r="AP21" s="6" t="s">
        <v>107</v>
      </c>
      <c r="AQ21" s="6" t="s">
        <v>107</v>
      </c>
      <c r="AR21" s="6" t="s">
        <v>107</v>
      </c>
      <c r="AS21" s="1">
        <v>120351</v>
      </c>
      <c r="AT21" s="1">
        <v>0</v>
      </c>
      <c r="AU21" s="1">
        <v>120351</v>
      </c>
    </row>
    <row r="22" spans="1:47" x14ac:dyDescent="0.4">
      <c r="A22" s="3" t="s">
        <v>45</v>
      </c>
      <c r="B22" s="3" t="s">
        <v>46</v>
      </c>
      <c r="C22" s="3" t="s">
        <v>47</v>
      </c>
      <c r="D22" s="3" t="s">
        <v>60</v>
      </c>
      <c r="E22" s="3" t="s">
        <v>48</v>
      </c>
      <c r="F22" s="3" t="s">
        <v>49</v>
      </c>
      <c r="G22" s="3" t="s">
        <v>95</v>
      </c>
      <c r="H22" s="3" t="s">
        <v>96</v>
      </c>
      <c r="I22" s="3" t="s">
        <v>50</v>
      </c>
      <c r="J22" s="3" t="s">
        <v>62</v>
      </c>
      <c r="K22" s="3" t="s">
        <v>97</v>
      </c>
      <c r="L22" s="3" t="s">
        <v>98</v>
      </c>
      <c r="M22" s="3" t="s">
        <v>99</v>
      </c>
      <c r="N22" s="3" t="s">
        <v>51</v>
      </c>
      <c r="O22" s="3" t="s">
        <v>51</v>
      </c>
      <c r="P22" s="3" t="s">
        <v>51</v>
      </c>
      <c r="Q22" s="3" t="s">
        <v>100</v>
      </c>
      <c r="R22" s="3" t="s">
        <v>52</v>
      </c>
      <c r="S22" s="3" t="s">
        <v>57</v>
      </c>
      <c r="T22" s="1">
        <v>1233500</v>
      </c>
      <c r="U22" s="1">
        <v>939090</v>
      </c>
      <c r="V22" s="1">
        <v>231770</v>
      </c>
      <c r="W22" s="1">
        <v>1162240</v>
      </c>
      <c r="X22" s="1">
        <v>2404360</v>
      </c>
      <c r="Y22" s="1">
        <v>1162240</v>
      </c>
      <c r="Z22" s="1">
        <v>3566600</v>
      </c>
      <c r="AA22" s="1">
        <v>1480200</v>
      </c>
      <c r="AB22" s="1">
        <v>939090</v>
      </c>
      <c r="AC22" s="1">
        <v>278124</v>
      </c>
      <c r="AD22" s="1">
        <v>1162240</v>
      </c>
      <c r="AE22" s="1">
        <v>2697414</v>
      </c>
      <c r="AF22" s="1">
        <v>1162240</v>
      </c>
      <c r="AG22" s="1">
        <v>3859654</v>
      </c>
      <c r="AH22" s="1">
        <v>1332180</v>
      </c>
      <c r="AI22" s="1">
        <v>910917.3</v>
      </c>
      <c r="AJ22" s="1">
        <v>194686.8</v>
      </c>
      <c r="AK22" s="1">
        <v>1046016</v>
      </c>
      <c r="AL22" s="1">
        <v>2437784.1</v>
      </c>
      <c r="AM22" s="1">
        <v>1046016</v>
      </c>
      <c r="AN22" s="1">
        <v>3483800.1</v>
      </c>
      <c r="AO22" s="6" t="s">
        <v>107</v>
      </c>
      <c r="AP22" s="6" t="s">
        <v>107</v>
      </c>
      <c r="AQ22" s="6" t="s">
        <v>107</v>
      </c>
      <c r="AR22" s="6" t="s">
        <v>107</v>
      </c>
      <c r="AS22" s="1">
        <v>2090280</v>
      </c>
      <c r="AT22" s="1">
        <v>0</v>
      </c>
      <c r="AU22" s="1">
        <v>2090280</v>
      </c>
    </row>
    <row r="23" spans="1:47" x14ac:dyDescent="0.4">
      <c r="A23" s="3" t="s">
        <v>45</v>
      </c>
      <c r="B23" s="3" t="s">
        <v>46</v>
      </c>
      <c r="C23" s="3" t="s">
        <v>47</v>
      </c>
      <c r="D23" s="3" t="s">
        <v>60</v>
      </c>
      <c r="E23" s="3" t="s">
        <v>48</v>
      </c>
      <c r="F23" s="3" t="s">
        <v>49</v>
      </c>
      <c r="G23" s="3" t="s">
        <v>95</v>
      </c>
      <c r="H23" s="3" t="s">
        <v>96</v>
      </c>
      <c r="I23" s="3" t="s">
        <v>50</v>
      </c>
      <c r="J23" s="3" t="s">
        <v>62</v>
      </c>
      <c r="K23" s="3" t="s">
        <v>97</v>
      </c>
      <c r="L23" s="3" t="s">
        <v>98</v>
      </c>
      <c r="M23" s="3" t="s">
        <v>99</v>
      </c>
      <c r="N23" s="3" t="s">
        <v>51</v>
      </c>
      <c r="O23" s="3" t="s">
        <v>51</v>
      </c>
      <c r="P23" s="3" t="s">
        <v>51</v>
      </c>
      <c r="Q23" s="3" t="s">
        <v>100</v>
      </c>
      <c r="R23" s="3" t="s">
        <v>52</v>
      </c>
      <c r="S23" s="3" t="s">
        <v>58</v>
      </c>
      <c r="T23" s="1">
        <v>833650</v>
      </c>
      <c r="U23" s="1">
        <v>1130500</v>
      </c>
      <c r="V23" s="1">
        <v>139000</v>
      </c>
      <c r="W23" s="1">
        <v>324850</v>
      </c>
      <c r="X23" s="1">
        <v>2103150</v>
      </c>
      <c r="Y23" s="1">
        <v>324850</v>
      </c>
      <c r="Z23" s="1">
        <v>2428000</v>
      </c>
      <c r="AA23" s="1">
        <v>1000380</v>
      </c>
      <c r="AB23" s="1">
        <v>1130500</v>
      </c>
      <c r="AC23" s="1">
        <v>166800</v>
      </c>
      <c r="AD23" s="1">
        <v>324850</v>
      </c>
      <c r="AE23" s="1">
        <v>2297680</v>
      </c>
      <c r="AF23" s="1">
        <v>324850</v>
      </c>
      <c r="AG23" s="1">
        <v>2622530</v>
      </c>
      <c r="AH23" s="1">
        <v>900342</v>
      </c>
      <c r="AI23" s="1">
        <v>1096585</v>
      </c>
      <c r="AJ23" s="1">
        <v>116760</v>
      </c>
      <c r="AK23" s="1">
        <v>292365</v>
      </c>
      <c r="AL23" s="1">
        <v>2113687</v>
      </c>
      <c r="AM23" s="1">
        <v>292365</v>
      </c>
      <c r="AN23" s="1">
        <v>2406052</v>
      </c>
      <c r="AO23" s="6" t="s">
        <v>107</v>
      </c>
      <c r="AP23" s="6" t="s">
        <v>107</v>
      </c>
      <c r="AQ23" s="6" t="s">
        <v>107</v>
      </c>
      <c r="AR23" s="6" t="s">
        <v>107</v>
      </c>
      <c r="AS23" s="1">
        <v>1443631</v>
      </c>
      <c r="AT23" s="1">
        <v>0</v>
      </c>
      <c r="AU23" s="1">
        <v>1443631</v>
      </c>
    </row>
    <row r="24" spans="1:47" x14ac:dyDescent="0.4">
      <c r="A24" s="3" t="s">
        <v>45</v>
      </c>
      <c r="B24" s="3" t="s">
        <v>46</v>
      </c>
      <c r="C24" s="3" t="s">
        <v>47</v>
      </c>
      <c r="D24" s="3" t="s">
        <v>60</v>
      </c>
      <c r="E24" s="3" t="s">
        <v>48</v>
      </c>
      <c r="F24" s="3" t="s">
        <v>49</v>
      </c>
      <c r="G24" s="3" t="s">
        <v>95</v>
      </c>
      <c r="H24" s="3" t="s">
        <v>96</v>
      </c>
      <c r="I24" s="3" t="s">
        <v>50</v>
      </c>
      <c r="J24" s="3" t="s">
        <v>62</v>
      </c>
      <c r="K24" s="3" t="s">
        <v>97</v>
      </c>
      <c r="L24" s="3" t="s">
        <v>98</v>
      </c>
      <c r="M24" s="3" t="s">
        <v>99</v>
      </c>
      <c r="N24" s="3" t="s">
        <v>51</v>
      </c>
      <c r="O24" s="3" t="s">
        <v>51</v>
      </c>
      <c r="P24" s="3" t="s">
        <v>51</v>
      </c>
      <c r="Q24" s="3" t="s">
        <v>100</v>
      </c>
      <c r="R24" s="3" t="s">
        <v>52</v>
      </c>
      <c r="S24" s="3" t="s">
        <v>58</v>
      </c>
      <c r="T24" s="1">
        <v>204000</v>
      </c>
      <c r="U24" s="1">
        <v>217430</v>
      </c>
      <c r="V24" s="1">
        <v>42350</v>
      </c>
      <c r="W24" s="1">
        <v>40220</v>
      </c>
      <c r="X24" s="1">
        <v>463780</v>
      </c>
      <c r="Y24" s="1">
        <v>40220</v>
      </c>
      <c r="Z24" s="1">
        <v>504000</v>
      </c>
      <c r="AA24" s="1">
        <v>244800</v>
      </c>
      <c r="AB24" s="1">
        <v>217430</v>
      </c>
      <c r="AC24" s="1">
        <v>50820</v>
      </c>
      <c r="AD24" s="1">
        <v>40220</v>
      </c>
      <c r="AE24" s="1">
        <v>513050</v>
      </c>
      <c r="AF24" s="1">
        <v>40220</v>
      </c>
      <c r="AG24" s="1">
        <v>553270</v>
      </c>
      <c r="AH24" s="1">
        <v>220320</v>
      </c>
      <c r="AI24" s="1">
        <v>210907.1</v>
      </c>
      <c r="AJ24" s="1">
        <v>35574</v>
      </c>
      <c r="AK24" s="1">
        <v>36198</v>
      </c>
      <c r="AL24" s="1">
        <v>466801.1</v>
      </c>
      <c r="AM24" s="1">
        <v>36198</v>
      </c>
      <c r="AN24" s="1">
        <v>502999.1</v>
      </c>
      <c r="AO24" s="6" t="s">
        <v>107</v>
      </c>
      <c r="AP24" s="6" t="s">
        <v>107</v>
      </c>
      <c r="AQ24" s="6" t="s">
        <v>107</v>
      </c>
      <c r="AR24" s="6" t="s">
        <v>107</v>
      </c>
      <c r="AS24" s="1">
        <v>301799</v>
      </c>
      <c r="AT24" s="1">
        <v>0</v>
      </c>
      <c r="AU24" s="1">
        <v>301799</v>
      </c>
    </row>
    <row r="25" spans="1:47" x14ac:dyDescent="0.4">
      <c r="A25" s="3" t="s">
        <v>45</v>
      </c>
      <c r="B25" s="3" t="s">
        <v>46</v>
      </c>
      <c r="C25" s="3" t="s">
        <v>47</v>
      </c>
      <c r="D25" s="3" t="s">
        <v>60</v>
      </c>
      <c r="E25" s="3" t="s">
        <v>48</v>
      </c>
      <c r="F25" s="3" t="s">
        <v>49</v>
      </c>
      <c r="G25" s="3" t="s">
        <v>95</v>
      </c>
      <c r="H25" s="3" t="s">
        <v>96</v>
      </c>
      <c r="I25" s="3" t="s">
        <v>50</v>
      </c>
      <c r="J25" s="3" t="s">
        <v>62</v>
      </c>
      <c r="K25" s="3" t="s">
        <v>97</v>
      </c>
      <c r="L25" s="3" t="s">
        <v>98</v>
      </c>
      <c r="M25" s="3" t="s">
        <v>99</v>
      </c>
      <c r="N25" s="3" t="s">
        <v>51</v>
      </c>
      <c r="O25" s="3" t="s">
        <v>51</v>
      </c>
      <c r="P25" s="3" t="s">
        <v>51</v>
      </c>
      <c r="Q25" s="3" t="s">
        <v>100</v>
      </c>
      <c r="R25" s="3" t="s">
        <v>52</v>
      </c>
      <c r="S25" s="3" t="s">
        <v>58</v>
      </c>
      <c r="T25" s="1">
        <v>249260</v>
      </c>
      <c r="U25" s="1">
        <v>185100</v>
      </c>
      <c r="V25" s="1">
        <v>64800</v>
      </c>
      <c r="W25" s="1">
        <v>37040</v>
      </c>
      <c r="X25" s="1">
        <v>499160</v>
      </c>
      <c r="Y25" s="1">
        <v>37040</v>
      </c>
      <c r="Z25" s="1">
        <v>536200</v>
      </c>
      <c r="AA25" s="1">
        <v>299112</v>
      </c>
      <c r="AB25" s="1">
        <v>185100</v>
      </c>
      <c r="AC25" s="1">
        <v>77760</v>
      </c>
      <c r="AD25" s="1">
        <v>37040</v>
      </c>
      <c r="AE25" s="1">
        <v>561972</v>
      </c>
      <c r="AF25" s="1">
        <v>37040</v>
      </c>
      <c r="AG25" s="1">
        <v>599012</v>
      </c>
      <c r="AH25" s="1">
        <v>269200.8</v>
      </c>
      <c r="AI25" s="1">
        <v>179547</v>
      </c>
      <c r="AJ25" s="1">
        <v>54432</v>
      </c>
      <c r="AK25" s="1">
        <v>33336</v>
      </c>
      <c r="AL25" s="1">
        <v>503179.8</v>
      </c>
      <c r="AM25" s="1">
        <v>33336</v>
      </c>
      <c r="AN25" s="1">
        <v>536515.80000000005</v>
      </c>
      <c r="AO25" s="6" t="s">
        <v>107</v>
      </c>
      <c r="AP25" s="6" t="s">
        <v>107</v>
      </c>
      <c r="AQ25" s="6" t="s">
        <v>107</v>
      </c>
      <c r="AR25" s="6" t="s">
        <v>107</v>
      </c>
      <c r="AS25" s="1">
        <v>321909</v>
      </c>
      <c r="AT25" s="1">
        <v>0</v>
      </c>
      <c r="AU25" s="1">
        <v>321909</v>
      </c>
    </row>
    <row r="26" spans="1:47" x14ac:dyDescent="0.4">
      <c r="A26" s="3" t="s">
        <v>45</v>
      </c>
      <c r="B26" s="3" t="s">
        <v>46</v>
      </c>
      <c r="C26" s="3" t="s">
        <v>47</v>
      </c>
      <c r="D26" s="3" t="s">
        <v>60</v>
      </c>
      <c r="E26" s="3" t="s">
        <v>48</v>
      </c>
      <c r="F26" s="3" t="s">
        <v>49</v>
      </c>
      <c r="G26" s="3" t="s">
        <v>72</v>
      </c>
      <c r="H26" s="3" t="s">
        <v>73</v>
      </c>
      <c r="I26" s="3" t="s">
        <v>50</v>
      </c>
      <c r="J26" s="3" t="s">
        <v>62</v>
      </c>
      <c r="K26" s="3" t="s">
        <v>74</v>
      </c>
      <c r="L26" s="3" t="s">
        <v>75</v>
      </c>
      <c r="M26" s="3" t="s">
        <v>76</v>
      </c>
      <c r="N26" s="3" t="s">
        <v>51</v>
      </c>
      <c r="O26" s="3" t="s">
        <v>51</v>
      </c>
      <c r="P26" s="3" t="s">
        <v>51</v>
      </c>
      <c r="Q26" s="3" t="s">
        <v>77</v>
      </c>
      <c r="R26" s="3" t="s">
        <v>52</v>
      </c>
      <c r="S26" s="3" t="s">
        <v>53</v>
      </c>
      <c r="T26" s="1">
        <v>88120</v>
      </c>
      <c r="U26" s="1">
        <v>150890</v>
      </c>
      <c r="V26" s="1">
        <v>39750</v>
      </c>
      <c r="W26" s="1">
        <v>68240</v>
      </c>
      <c r="X26" s="1">
        <v>278760</v>
      </c>
      <c r="Y26" s="1">
        <v>68240</v>
      </c>
      <c r="Z26" s="1">
        <v>347000</v>
      </c>
      <c r="AA26" s="1">
        <v>105744</v>
      </c>
      <c r="AB26" s="1">
        <v>150890</v>
      </c>
      <c r="AC26" s="1">
        <v>47700</v>
      </c>
      <c r="AD26" s="1">
        <v>68240</v>
      </c>
      <c r="AE26" s="1">
        <v>304334</v>
      </c>
      <c r="AF26" s="1">
        <v>68240</v>
      </c>
      <c r="AG26" s="1">
        <v>372574</v>
      </c>
      <c r="AH26" s="1">
        <v>95169.600000000006</v>
      </c>
      <c r="AI26" s="1">
        <v>146363.29999999999</v>
      </c>
      <c r="AJ26" s="1">
        <v>33390</v>
      </c>
      <c r="AK26" s="1">
        <v>61416</v>
      </c>
      <c r="AL26" s="1">
        <v>274922.90000000002</v>
      </c>
      <c r="AM26" s="1">
        <v>61416</v>
      </c>
      <c r="AN26" s="1">
        <v>336338.9</v>
      </c>
      <c r="AO26" s="6" t="s">
        <v>107</v>
      </c>
      <c r="AP26" s="6" t="s">
        <v>107</v>
      </c>
      <c r="AQ26" s="6" t="s">
        <v>107</v>
      </c>
      <c r="AR26" s="6" t="s">
        <v>107</v>
      </c>
      <c r="AS26" s="1">
        <v>201804</v>
      </c>
      <c r="AT26" s="1">
        <v>0</v>
      </c>
      <c r="AU26" s="1">
        <v>201804</v>
      </c>
    </row>
    <row r="27" spans="1:47" x14ac:dyDescent="0.4">
      <c r="A27" s="3" t="s">
        <v>45</v>
      </c>
      <c r="B27" s="3" t="s">
        <v>46</v>
      </c>
      <c r="C27" s="3" t="s">
        <v>47</v>
      </c>
      <c r="D27" s="3" t="s">
        <v>60</v>
      </c>
      <c r="E27" s="3" t="s">
        <v>48</v>
      </c>
      <c r="F27" s="3" t="s">
        <v>49</v>
      </c>
      <c r="G27" s="3" t="s">
        <v>72</v>
      </c>
      <c r="H27" s="3" t="s">
        <v>73</v>
      </c>
      <c r="I27" s="3" t="s">
        <v>50</v>
      </c>
      <c r="J27" s="3" t="s">
        <v>62</v>
      </c>
      <c r="K27" s="3" t="s">
        <v>74</v>
      </c>
      <c r="L27" s="3" t="s">
        <v>75</v>
      </c>
      <c r="M27" s="3" t="s">
        <v>76</v>
      </c>
      <c r="N27" s="3" t="s">
        <v>51</v>
      </c>
      <c r="O27" s="3" t="s">
        <v>51</v>
      </c>
      <c r="P27" s="3" t="s">
        <v>51</v>
      </c>
      <c r="Q27" s="3" t="s">
        <v>77</v>
      </c>
      <c r="R27" s="3" t="s">
        <v>52</v>
      </c>
      <c r="S27" s="3" t="s">
        <v>54</v>
      </c>
      <c r="T27" s="1">
        <v>157180</v>
      </c>
      <c r="U27" s="1">
        <v>241520</v>
      </c>
      <c r="V27" s="1">
        <v>20200</v>
      </c>
      <c r="W27" s="1">
        <v>19100</v>
      </c>
      <c r="X27" s="1">
        <v>418900</v>
      </c>
      <c r="Y27" s="1">
        <v>19100</v>
      </c>
      <c r="Z27" s="1">
        <v>438000</v>
      </c>
      <c r="AA27" s="1">
        <v>188616</v>
      </c>
      <c r="AB27" s="1">
        <v>241520</v>
      </c>
      <c r="AC27" s="1">
        <v>24240</v>
      </c>
      <c r="AD27" s="1">
        <v>19100</v>
      </c>
      <c r="AE27" s="1">
        <v>454376</v>
      </c>
      <c r="AF27" s="1">
        <v>19100</v>
      </c>
      <c r="AG27" s="1">
        <v>473476</v>
      </c>
      <c r="AH27" s="1">
        <v>169754.4</v>
      </c>
      <c r="AI27" s="1">
        <v>234274.4</v>
      </c>
      <c r="AJ27" s="1">
        <v>16968</v>
      </c>
      <c r="AK27" s="1">
        <v>17190</v>
      </c>
      <c r="AL27" s="1">
        <v>420996.8</v>
      </c>
      <c r="AM27" s="1">
        <v>17190</v>
      </c>
      <c r="AN27" s="1">
        <v>438186.8</v>
      </c>
      <c r="AO27" s="6" t="s">
        <v>107</v>
      </c>
      <c r="AP27" s="6" t="s">
        <v>107</v>
      </c>
      <c r="AQ27" s="6" t="s">
        <v>107</v>
      </c>
      <c r="AR27" s="6" t="s">
        <v>107</v>
      </c>
      <c r="AS27" s="1">
        <v>262913</v>
      </c>
      <c r="AT27" s="1">
        <v>0</v>
      </c>
      <c r="AU27" s="1">
        <v>262913</v>
      </c>
    </row>
    <row r="28" spans="1:47" x14ac:dyDescent="0.4">
      <c r="A28" s="3" t="s">
        <v>45</v>
      </c>
      <c r="B28" s="3" t="s">
        <v>46</v>
      </c>
      <c r="C28" s="3" t="s">
        <v>47</v>
      </c>
      <c r="D28" s="3" t="s">
        <v>60</v>
      </c>
      <c r="E28" s="3" t="s">
        <v>48</v>
      </c>
      <c r="F28" s="3" t="s">
        <v>49</v>
      </c>
      <c r="G28" s="3" t="s">
        <v>72</v>
      </c>
      <c r="H28" s="3" t="s">
        <v>73</v>
      </c>
      <c r="I28" s="3" t="s">
        <v>50</v>
      </c>
      <c r="J28" s="3" t="s">
        <v>62</v>
      </c>
      <c r="K28" s="3" t="s">
        <v>74</v>
      </c>
      <c r="L28" s="3" t="s">
        <v>75</v>
      </c>
      <c r="M28" s="3" t="s">
        <v>76</v>
      </c>
      <c r="N28" s="3" t="s">
        <v>51</v>
      </c>
      <c r="O28" s="3" t="s">
        <v>51</v>
      </c>
      <c r="P28" s="3" t="s">
        <v>51</v>
      </c>
      <c r="Q28" s="3" t="s">
        <v>77</v>
      </c>
      <c r="R28" s="3" t="s">
        <v>52</v>
      </c>
      <c r="S28" s="3" t="s">
        <v>54</v>
      </c>
      <c r="T28" s="1">
        <v>75900</v>
      </c>
      <c r="U28" s="1">
        <v>152400</v>
      </c>
      <c r="V28" s="1">
        <v>9000</v>
      </c>
      <c r="W28" s="1">
        <v>5700</v>
      </c>
      <c r="X28" s="1">
        <v>237300</v>
      </c>
      <c r="Y28" s="1">
        <v>5700</v>
      </c>
      <c r="Z28" s="1">
        <v>243000</v>
      </c>
      <c r="AA28" s="1">
        <v>91080</v>
      </c>
      <c r="AB28" s="1">
        <v>152400</v>
      </c>
      <c r="AC28" s="1">
        <v>10800</v>
      </c>
      <c r="AD28" s="1">
        <v>5700</v>
      </c>
      <c r="AE28" s="1">
        <v>254280</v>
      </c>
      <c r="AF28" s="1">
        <v>5700</v>
      </c>
      <c r="AG28" s="1">
        <v>259980</v>
      </c>
      <c r="AH28" s="1">
        <v>81972</v>
      </c>
      <c r="AI28" s="1">
        <v>147828</v>
      </c>
      <c r="AJ28" s="1">
        <v>7560</v>
      </c>
      <c r="AK28" s="1">
        <v>5130</v>
      </c>
      <c r="AL28" s="1">
        <v>237360</v>
      </c>
      <c r="AM28" s="1">
        <v>5130</v>
      </c>
      <c r="AN28" s="1">
        <v>242490</v>
      </c>
      <c r="AO28" s="6" t="s">
        <v>107</v>
      </c>
      <c r="AP28" s="6" t="s">
        <v>107</v>
      </c>
      <c r="AQ28" s="6" t="s">
        <v>107</v>
      </c>
      <c r="AR28" s="6" t="s">
        <v>107</v>
      </c>
      <c r="AS28" s="1">
        <v>145494</v>
      </c>
      <c r="AT28" s="1">
        <v>0</v>
      </c>
      <c r="AU28" s="1">
        <v>145494</v>
      </c>
    </row>
    <row r="29" spans="1:47" x14ac:dyDescent="0.4">
      <c r="A29" s="3" t="s">
        <v>45</v>
      </c>
      <c r="B29" s="3" t="s">
        <v>46</v>
      </c>
      <c r="C29" s="3" t="s">
        <v>47</v>
      </c>
      <c r="D29" s="3" t="s">
        <v>60</v>
      </c>
      <c r="E29" s="3" t="s">
        <v>48</v>
      </c>
      <c r="F29" s="3" t="s">
        <v>49</v>
      </c>
      <c r="G29" s="3" t="s">
        <v>72</v>
      </c>
      <c r="H29" s="3" t="s">
        <v>73</v>
      </c>
      <c r="I29" s="3" t="s">
        <v>50</v>
      </c>
      <c r="J29" s="3" t="s">
        <v>62</v>
      </c>
      <c r="K29" s="3" t="s">
        <v>74</v>
      </c>
      <c r="L29" s="3" t="s">
        <v>75</v>
      </c>
      <c r="M29" s="3" t="s">
        <v>76</v>
      </c>
      <c r="N29" s="3" t="s">
        <v>51</v>
      </c>
      <c r="O29" s="3" t="s">
        <v>51</v>
      </c>
      <c r="P29" s="3" t="s">
        <v>51</v>
      </c>
      <c r="Q29" s="3" t="s">
        <v>77</v>
      </c>
      <c r="R29" s="3" t="s">
        <v>52</v>
      </c>
      <c r="S29" s="3" t="s">
        <v>54</v>
      </c>
      <c r="T29" s="1">
        <v>62500</v>
      </c>
      <c r="U29" s="1">
        <v>167000</v>
      </c>
      <c r="V29" s="1">
        <v>40500</v>
      </c>
      <c r="W29" s="1">
        <v>13500</v>
      </c>
      <c r="X29" s="1">
        <v>270000</v>
      </c>
      <c r="Y29" s="1">
        <v>13500</v>
      </c>
      <c r="Z29" s="1">
        <v>283500</v>
      </c>
      <c r="AA29" s="1">
        <v>75000</v>
      </c>
      <c r="AB29" s="1">
        <v>167000</v>
      </c>
      <c r="AC29" s="1">
        <v>48600</v>
      </c>
      <c r="AD29" s="1">
        <v>13500</v>
      </c>
      <c r="AE29" s="1">
        <v>290600</v>
      </c>
      <c r="AF29" s="1">
        <v>13500</v>
      </c>
      <c r="AG29" s="1">
        <v>304100</v>
      </c>
      <c r="AH29" s="1">
        <v>67500</v>
      </c>
      <c r="AI29" s="1">
        <v>161990</v>
      </c>
      <c r="AJ29" s="1">
        <v>34020</v>
      </c>
      <c r="AK29" s="1">
        <v>12150</v>
      </c>
      <c r="AL29" s="1">
        <v>263510</v>
      </c>
      <c r="AM29" s="1">
        <v>12150</v>
      </c>
      <c r="AN29" s="1">
        <v>275660</v>
      </c>
      <c r="AO29" s="6" t="s">
        <v>107</v>
      </c>
      <c r="AP29" s="6" t="s">
        <v>107</v>
      </c>
      <c r="AQ29" s="6" t="s">
        <v>107</v>
      </c>
      <c r="AR29" s="6" t="s">
        <v>107</v>
      </c>
      <c r="AS29" s="1">
        <v>165396</v>
      </c>
      <c r="AT29" s="1">
        <v>0</v>
      </c>
      <c r="AU29" s="1">
        <v>165396</v>
      </c>
    </row>
    <row r="30" spans="1:47" x14ac:dyDescent="0.4">
      <c r="A30" s="3" t="s">
        <v>45</v>
      </c>
      <c r="B30" s="3" t="s">
        <v>46</v>
      </c>
      <c r="C30" s="3" t="s">
        <v>47</v>
      </c>
      <c r="D30" s="3" t="s">
        <v>60</v>
      </c>
      <c r="E30" s="3" t="s">
        <v>48</v>
      </c>
      <c r="F30" s="3" t="s">
        <v>49</v>
      </c>
      <c r="G30" s="3" t="s">
        <v>72</v>
      </c>
      <c r="H30" s="3" t="s">
        <v>73</v>
      </c>
      <c r="I30" s="3" t="s">
        <v>50</v>
      </c>
      <c r="J30" s="3" t="s">
        <v>62</v>
      </c>
      <c r="K30" s="3" t="s">
        <v>74</v>
      </c>
      <c r="L30" s="3" t="s">
        <v>75</v>
      </c>
      <c r="M30" s="3" t="s">
        <v>76</v>
      </c>
      <c r="N30" s="3" t="s">
        <v>51</v>
      </c>
      <c r="O30" s="3" t="s">
        <v>51</v>
      </c>
      <c r="P30" s="3" t="s">
        <v>51</v>
      </c>
      <c r="Q30" s="3" t="s">
        <v>77</v>
      </c>
      <c r="R30" s="3" t="s">
        <v>52</v>
      </c>
      <c r="S30" s="3" t="s">
        <v>57</v>
      </c>
      <c r="T30" s="1">
        <v>1814790</v>
      </c>
      <c r="U30" s="1">
        <v>1473080</v>
      </c>
      <c r="V30" s="1">
        <v>378790</v>
      </c>
      <c r="W30" s="1">
        <v>1570940</v>
      </c>
      <c r="X30" s="1">
        <v>3666660</v>
      </c>
      <c r="Y30" s="1">
        <v>1570940</v>
      </c>
      <c r="Z30" s="1">
        <v>5237600</v>
      </c>
      <c r="AA30" s="1">
        <v>2177748</v>
      </c>
      <c r="AB30" s="1">
        <v>1473080</v>
      </c>
      <c r="AC30" s="1">
        <v>454488</v>
      </c>
      <c r="AD30" s="1">
        <v>1570940</v>
      </c>
      <c r="AE30" s="1">
        <v>4105316</v>
      </c>
      <c r="AF30" s="1">
        <v>1570940</v>
      </c>
      <c r="AG30" s="1">
        <v>5676256</v>
      </c>
      <c r="AH30" s="1">
        <v>1959973.2</v>
      </c>
      <c r="AI30" s="1">
        <v>1428887.6</v>
      </c>
      <c r="AJ30" s="1">
        <v>318141.59999999998</v>
      </c>
      <c r="AK30" s="1">
        <v>1413846</v>
      </c>
      <c r="AL30" s="1">
        <v>3707002.4</v>
      </c>
      <c r="AM30" s="1">
        <v>1413846</v>
      </c>
      <c r="AN30" s="1">
        <v>5120848.4000000004</v>
      </c>
      <c r="AO30" s="6" t="s">
        <v>107</v>
      </c>
      <c r="AP30" s="6" t="s">
        <v>107</v>
      </c>
      <c r="AQ30" s="6" t="s">
        <v>107</v>
      </c>
      <c r="AR30" s="6" t="s">
        <v>107</v>
      </c>
      <c r="AS30" s="1">
        <v>3072510</v>
      </c>
      <c r="AT30" s="1">
        <v>0</v>
      </c>
      <c r="AU30" s="1">
        <v>3072510</v>
      </c>
    </row>
    <row r="31" spans="1:47" x14ac:dyDescent="0.4">
      <c r="A31" s="3" t="s">
        <v>45</v>
      </c>
      <c r="B31" s="3" t="s">
        <v>46</v>
      </c>
      <c r="C31" s="3" t="s">
        <v>47</v>
      </c>
      <c r="D31" s="3" t="s">
        <v>60</v>
      </c>
      <c r="E31" s="3" t="s">
        <v>48</v>
      </c>
      <c r="F31" s="3" t="s">
        <v>49</v>
      </c>
      <c r="G31" s="3" t="s">
        <v>72</v>
      </c>
      <c r="H31" s="3" t="s">
        <v>73</v>
      </c>
      <c r="I31" s="3" t="s">
        <v>50</v>
      </c>
      <c r="J31" s="3" t="s">
        <v>62</v>
      </c>
      <c r="K31" s="3" t="s">
        <v>74</v>
      </c>
      <c r="L31" s="3" t="s">
        <v>75</v>
      </c>
      <c r="M31" s="3" t="s">
        <v>76</v>
      </c>
      <c r="N31" s="3" t="s">
        <v>51</v>
      </c>
      <c r="O31" s="3" t="s">
        <v>51</v>
      </c>
      <c r="P31" s="3" t="s">
        <v>51</v>
      </c>
      <c r="Q31" s="3" t="s">
        <v>77</v>
      </c>
      <c r="R31" s="3" t="s">
        <v>52</v>
      </c>
      <c r="S31" s="3" t="s">
        <v>58</v>
      </c>
      <c r="T31" s="1">
        <v>2013040</v>
      </c>
      <c r="U31" s="1">
        <v>2640020</v>
      </c>
      <c r="V31" s="1">
        <v>327550</v>
      </c>
      <c r="W31" s="1">
        <v>657590</v>
      </c>
      <c r="X31" s="1">
        <v>4980610</v>
      </c>
      <c r="Y31" s="1">
        <v>657590</v>
      </c>
      <c r="Z31" s="1">
        <v>5638200</v>
      </c>
      <c r="AA31" s="1">
        <v>2415648</v>
      </c>
      <c r="AB31" s="1">
        <v>2640020</v>
      </c>
      <c r="AC31" s="1">
        <v>393060</v>
      </c>
      <c r="AD31" s="1">
        <v>657590</v>
      </c>
      <c r="AE31" s="1">
        <v>5448728</v>
      </c>
      <c r="AF31" s="1">
        <v>657590</v>
      </c>
      <c r="AG31" s="1">
        <v>6106318</v>
      </c>
      <c r="AH31" s="1">
        <v>2174083.2000000002</v>
      </c>
      <c r="AI31" s="1">
        <v>2560819.4</v>
      </c>
      <c r="AJ31" s="1">
        <v>275142</v>
      </c>
      <c r="AK31" s="1">
        <v>591831</v>
      </c>
      <c r="AL31" s="1">
        <v>5010044.5999999996</v>
      </c>
      <c r="AM31" s="1">
        <v>591831</v>
      </c>
      <c r="AN31" s="1">
        <v>5601875.5999999996</v>
      </c>
      <c r="AO31" s="6" t="s">
        <v>107</v>
      </c>
      <c r="AP31" s="6" t="s">
        <v>107</v>
      </c>
      <c r="AQ31" s="6" t="s">
        <v>107</v>
      </c>
      <c r="AR31" s="6" t="s">
        <v>107</v>
      </c>
      <c r="AS31" s="1">
        <v>3361126</v>
      </c>
      <c r="AT31" s="1">
        <v>0</v>
      </c>
      <c r="AU31" s="1">
        <v>3361126</v>
      </c>
    </row>
    <row r="32" spans="1:47" x14ac:dyDescent="0.4">
      <c r="A32" s="3" t="s">
        <v>45</v>
      </c>
      <c r="B32" s="3" t="s">
        <v>46</v>
      </c>
      <c r="C32" s="3" t="s">
        <v>47</v>
      </c>
      <c r="D32" s="3" t="s">
        <v>60</v>
      </c>
      <c r="E32" s="3" t="s">
        <v>48</v>
      </c>
      <c r="F32" s="3" t="s">
        <v>49</v>
      </c>
      <c r="G32" s="3" t="s">
        <v>72</v>
      </c>
      <c r="H32" s="3" t="s">
        <v>73</v>
      </c>
      <c r="I32" s="3" t="s">
        <v>50</v>
      </c>
      <c r="J32" s="3" t="s">
        <v>62</v>
      </c>
      <c r="K32" s="3" t="s">
        <v>74</v>
      </c>
      <c r="L32" s="3" t="s">
        <v>75</v>
      </c>
      <c r="M32" s="3" t="s">
        <v>76</v>
      </c>
      <c r="N32" s="3" t="s">
        <v>51</v>
      </c>
      <c r="O32" s="3" t="s">
        <v>51</v>
      </c>
      <c r="P32" s="3" t="s">
        <v>51</v>
      </c>
      <c r="Q32" s="3" t="s">
        <v>77</v>
      </c>
      <c r="R32" s="3" t="s">
        <v>52</v>
      </c>
      <c r="S32" s="3" t="s">
        <v>58</v>
      </c>
      <c r="T32" s="1">
        <v>474400</v>
      </c>
      <c r="U32" s="1">
        <v>588830</v>
      </c>
      <c r="V32" s="1">
        <v>118250</v>
      </c>
      <c r="W32" s="1">
        <v>60720</v>
      </c>
      <c r="X32" s="1">
        <v>1181480</v>
      </c>
      <c r="Y32" s="1">
        <v>60720</v>
      </c>
      <c r="Z32" s="1">
        <v>1242200</v>
      </c>
      <c r="AA32" s="1">
        <v>569280</v>
      </c>
      <c r="AB32" s="1">
        <v>588830</v>
      </c>
      <c r="AC32" s="1">
        <v>141900</v>
      </c>
      <c r="AD32" s="1">
        <v>60720</v>
      </c>
      <c r="AE32" s="1">
        <v>1300010</v>
      </c>
      <c r="AF32" s="1">
        <v>60720</v>
      </c>
      <c r="AG32" s="1">
        <v>1360730</v>
      </c>
      <c r="AH32" s="1">
        <v>512352</v>
      </c>
      <c r="AI32" s="1">
        <v>571165.1</v>
      </c>
      <c r="AJ32" s="1">
        <v>99330</v>
      </c>
      <c r="AK32" s="1">
        <v>54648</v>
      </c>
      <c r="AL32" s="1">
        <v>1182847.1000000001</v>
      </c>
      <c r="AM32" s="1">
        <v>54648</v>
      </c>
      <c r="AN32" s="1">
        <v>1237495.1000000001</v>
      </c>
      <c r="AO32" s="6" t="s">
        <v>107</v>
      </c>
      <c r="AP32" s="6" t="s">
        <v>107</v>
      </c>
      <c r="AQ32" s="6" t="s">
        <v>107</v>
      </c>
      <c r="AR32" s="6" t="s">
        <v>107</v>
      </c>
      <c r="AS32" s="1">
        <v>742497</v>
      </c>
      <c r="AT32" s="1">
        <v>0</v>
      </c>
      <c r="AU32" s="1">
        <v>742497</v>
      </c>
    </row>
    <row r="33" spans="1:47" x14ac:dyDescent="0.4">
      <c r="A33" s="3" t="s">
        <v>45</v>
      </c>
      <c r="B33" s="3" t="s">
        <v>46</v>
      </c>
      <c r="C33" s="3" t="s">
        <v>47</v>
      </c>
      <c r="D33" s="3" t="s">
        <v>60</v>
      </c>
      <c r="E33" s="3" t="s">
        <v>48</v>
      </c>
      <c r="F33" s="3" t="s">
        <v>49</v>
      </c>
      <c r="G33" s="3" t="s">
        <v>72</v>
      </c>
      <c r="H33" s="3" t="s">
        <v>73</v>
      </c>
      <c r="I33" s="3" t="s">
        <v>50</v>
      </c>
      <c r="J33" s="3" t="s">
        <v>62</v>
      </c>
      <c r="K33" s="3" t="s">
        <v>74</v>
      </c>
      <c r="L33" s="3" t="s">
        <v>75</v>
      </c>
      <c r="M33" s="3" t="s">
        <v>76</v>
      </c>
      <c r="N33" s="3" t="s">
        <v>51</v>
      </c>
      <c r="O33" s="3" t="s">
        <v>51</v>
      </c>
      <c r="P33" s="3" t="s">
        <v>51</v>
      </c>
      <c r="Q33" s="3" t="s">
        <v>77</v>
      </c>
      <c r="R33" s="3" t="s">
        <v>52</v>
      </c>
      <c r="S33" s="3" t="s">
        <v>58</v>
      </c>
      <c r="T33" s="1">
        <v>608160</v>
      </c>
      <c r="U33" s="1">
        <v>423600</v>
      </c>
      <c r="V33" s="1">
        <v>70000</v>
      </c>
      <c r="W33" s="1">
        <v>44640</v>
      </c>
      <c r="X33" s="1">
        <v>1101760</v>
      </c>
      <c r="Y33" s="1">
        <v>44640</v>
      </c>
      <c r="Z33" s="1">
        <v>1146400</v>
      </c>
      <c r="AA33" s="1">
        <v>729792</v>
      </c>
      <c r="AB33" s="1">
        <v>423600</v>
      </c>
      <c r="AC33" s="1">
        <v>84000</v>
      </c>
      <c r="AD33" s="1">
        <v>44640</v>
      </c>
      <c r="AE33" s="1">
        <v>1237392</v>
      </c>
      <c r="AF33" s="1">
        <v>44640</v>
      </c>
      <c r="AG33" s="1">
        <v>1282032</v>
      </c>
      <c r="AH33" s="1">
        <v>656812.80000000005</v>
      </c>
      <c r="AI33" s="1">
        <v>410892</v>
      </c>
      <c r="AJ33" s="1">
        <v>58800</v>
      </c>
      <c r="AK33" s="1">
        <v>40176</v>
      </c>
      <c r="AL33" s="1">
        <v>1126504.8</v>
      </c>
      <c r="AM33" s="1">
        <v>40176</v>
      </c>
      <c r="AN33" s="1">
        <v>1166680.8</v>
      </c>
      <c r="AO33" s="6" t="s">
        <v>107</v>
      </c>
      <c r="AP33" s="6" t="s">
        <v>107</v>
      </c>
      <c r="AQ33" s="6" t="s">
        <v>107</v>
      </c>
      <c r="AR33" s="6" t="s">
        <v>107</v>
      </c>
      <c r="AS33" s="1">
        <v>700009</v>
      </c>
      <c r="AT33" s="1">
        <v>0</v>
      </c>
      <c r="AU33" s="1">
        <v>700009</v>
      </c>
    </row>
    <row r="34" spans="1:47" x14ac:dyDescent="0.4">
      <c r="A34" s="3" t="s">
        <v>45</v>
      </c>
      <c r="B34" s="3" t="s">
        <v>46</v>
      </c>
      <c r="C34" s="3" t="s">
        <v>47</v>
      </c>
      <c r="D34" s="3" t="s">
        <v>60</v>
      </c>
      <c r="E34" s="3" t="s">
        <v>48</v>
      </c>
      <c r="F34" s="3" t="s">
        <v>49</v>
      </c>
      <c r="G34" s="3" t="s">
        <v>78</v>
      </c>
      <c r="H34" s="3" t="s">
        <v>79</v>
      </c>
      <c r="I34" s="3" t="s">
        <v>50</v>
      </c>
      <c r="J34" s="3" t="s">
        <v>62</v>
      </c>
      <c r="K34" s="3" t="s">
        <v>80</v>
      </c>
      <c r="L34" s="3" t="s">
        <v>55</v>
      </c>
      <c r="M34" s="3" t="s">
        <v>81</v>
      </c>
      <c r="N34" s="3" t="s">
        <v>51</v>
      </c>
      <c r="O34" s="3" t="s">
        <v>51</v>
      </c>
      <c r="P34" s="3" t="s">
        <v>51</v>
      </c>
      <c r="Q34" s="3" t="s">
        <v>82</v>
      </c>
      <c r="R34" s="3" t="s">
        <v>52</v>
      </c>
      <c r="S34" s="3" t="s">
        <v>53</v>
      </c>
      <c r="T34" s="1">
        <v>0</v>
      </c>
      <c r="U34" s="1">
        <v>17200</v>
      </c>
      <c r="V34" s="1">
        <v>400</v>
      </c>
      <c r="W34" s="1">
        <v>6400</v>
      </c>
      <c r="X34" s="1">
        <v>17600</v>
      </c>
      <c r="Y34" s="1">
        <v>6400</v>
      </c>
      <c r="Z34" s="1">
        <v>24000</v>
      </c>
      <c r="AA34" s="1">
        <v>0</v>
      </c>
      <c r="AB34" s="1">
        <v>17200</v>
      </c>
      <c r="AC34" s="1">
        <v>480</v>
      </c>
      <c r="AD34" s="1">
        <v>6400</v>
      </c>
      <c r="AE34" s="1">
        <v>17680</v>
      </c>
      <c r="AF34" s="1">
        <v>6400</v>
      </c>
      <c r="AG34" s="1">
        <v>24080</v>
      </c>
      <c r="AH34" s="1">
        <v>0</v>
      </c>
      <c r="AI34" s="1">
        <v>16684</v>
      </c>
      <c r="AJ34" s="1">
        <v>336</v>
      </c>
      <c r="AK34" s="1">
        <v>5760</v>
      </c>
      <c r="AL34" s="1">
        <v>17020</v>
      </c>
      <c r="AM34" s="1">
        <v>5760</v>
      </c>
      <c r="AN34" s="1">
        <v>22780</v>
      </c>
      <c r="AO34" s="6" t="s">
        <v>107</v>
      </c>
      <c r="AP34" s="6" t="s">
        <v>107</v>
      </c>
      <c r="AQ34" s="6" t="s">
        <v>107</v>
      </c>
      <c r="AR34" s="6" t="s">
        <v>107</v>
      </c>
      <c r="AS34" s="1">
        <v>13668</v>
      </c>
      <c r="AT34" s="1">
        <v>0</v>
      </c>
      <c r="AU34" s="1">
        <v>13668</v>
      </c>
    </row>
    <row r="35" spans="1:47" x14ac:dyDescent="0.4">
      <c r="A35" s="3" t="s">
        <v>45</v>
      </c>
      <c r="B35" s="3" t="s">
        <v>46</v>
      </c>
      <c r="C35" s="3" t="s">
        <v>47</v>
      </c>
      <c r="D35" s="3" t="s">
        <v>60</v>
      </c>
      <c r="E35" s="3" t="s">
        <v>48</v>
      </c>
      <c r="F35" s="3" t="s">
        <v>49</v>
      </c>
      <c r="G35" s="3" t="s">
        <v>78</v>
      </c>
      <c r="H35" s="3" t="s">
        <v>79</v>
      </c>
      <c r="I35" s="3" t="s">
        <v>50</v>
      </c>
      <c r="J35" s="3" t="s">
        <v>62</v>
      </c>
      <c r="K35" s="3" t="s">
        <v>80</v>
      </c>
      <c r="L35" s="3" t="s">
        <v>55</v>
      </c>
      <c r="M35" s="3" t="s">
        <v>81</v>
      </c>
      <c r="N35" s="3" t="s">
        <v>51</v>
      </c>
      <c r="O35" s="3" t="s">
        <v>51</v>
      </c>
      <c r="P35" s="3" t="s">
        <v>51</v>
      </c>
      <c r="Q35" s="3" t="s">
        <v>82</v>
      </c>
      <c r="R35" s="3" t="s">
        <v>52</v>
      </c>
      <c r="S35" s="3" t="s">
        <v>54</v>
      </c>
      <c r="T35" s="1">
        <v>3600</v>
      </c>
      <c r="U35" s="1">
        <v>7200</v>
      </c>
      <c r="V35" s="1">
        <v>0</v>
      </c>
      <c r="W35" s="1">
        <v>0</v>
      </c>
      <c r="X35" s="1">
        <v>10800</v>
      </c>
      <c r="Y35" s="1">
        <v>0</v>
      </c>
      <c r="Z35" s="1">
        <v>10800</v>
      </c>
      <c r="AA35" s="1">
        <v>4320</v>
      </c>
      <c r="AB35" s="1">
        <v>7200</v>
      </c>
      <c r="AC35" s="1">
        <v>0</v>
      </c>
      <c r="AD35" s="1">
        <v>0</v>
      </c>
      <c r="AE35" s="1">
        <v>11520</v>
      </c>
      <c r="AF35" s="1">
        <v>0</v>
      </c>
      <c r="AG35" s="1">
        <v>11520</v>
      </c>
      <c r="AH35" s="1">
        <v>3888</v>
      </c>
      <c r="AI35" s="1">
        <v>6984</v>
      </c>
      <c r="AJ35" s="1">
        <v>0</v>
      </c>
      <c r="AK35" s="1">
        <v>0</v>
      </c>
      <c r="AL35" s="1">
        <v>10872</v>
      </c>
      <c r="AM35" s="1">
        <v>0</v>
      </c>
      <c r="AN35" s="1">
        <v>10872</v>
      </c>
      <c r="AO35" s="6" t="s">
        <v>107</v>
      </c>
      <c r="AP35" s="6" t="s">
        <v>107</v>
      </c>
      <c r="AQ35" s="6" t="s">
        <v>107</v>
      </c>
      <c r="AR35" s="6" t="s">
        <v>107</v>
      </c>
      <c r="AS35" s="1">
        <v>6523</v>
      </c>
      <c r="AT35" s="1">
        <v>0</v>
      </c>
      <c r="AU35" s="1">
        <v>6523</v>
      </c>
    </row>
    <row r="36" spans="1:47" x14ac:dyDescent="0.4">
      <c r="A36" s="3" t="s">
        <v>45</v>
      </c>
      <c r="B36" s="3" t="s">
        <v>46</v>
      </c>
      <c r="C36" s="3" t="s">
        <v>47</v>
      </c>
      <c r="D36" s="3" t="s">
        <v>60</v>
      </c>
      <c r="E36" s="3" t="s">
        <v>48</v>
      </c>
      <c r="F36" s="3" t="s">
        <v>49</v>
      </c>
      <c r="G36" s="3" t="s">
        <v>78</v>
      </c>
      <c r="H36" s="3" t="s">
        <v>79</v>
      </c>
      <c r="I36" s="3" t="s">
        <v>50</v>
      </c>
      <c r="J36" s="3" t="s">
        <v>62</v>
      </c>
      <c r="K36" s="3" t="s">
        <v>80</v>
      </c>
      <c r="L36" s="3" t="s">
        <v>55</v>
      </c>
      <c r="M36" s="3" t="s">
        <v>81</v>
      </c>
      <c r="N36" s="3" t="s">
        <v>51</v>
      </c>
      <c r="O36" s="3" t="s">
        <v>51</v>
      </c>
      <c r="P36" s="3" t="s">
        <v>51</v>
      </c>
      <c r="Q36" s="3" t="s">
        <v>82</v>
      </c>
      <c r="R36" s="3" t="s">
        <v>52</v>
      </c>
      <c r="S36" s="3" t="s">
        <v>54</v>
      </c>
      <c r="T36" s="1">
        <v>10800</v>
      </c>
      <c r="U36" s="1">
        <v>0</v>
      </c>
      <c r="V36" s="1">
        <v>0</v>
      </c>
      <c r="W36" s="1">
        <v>0</v>
      </c>
      <c r="X36" s="1">
        <v>10800</v>
      </c>
      <c r="Y36" s="1">
        <v>0</v>
      </c>
      <c r="Z36" s="1">
        <v>10800</v>
      </c>
      <c r="AA36" s="1">
        <v>12960</v>
      </c>
      <c r="AB36" s="1">
        <v>0</v>
      </c>
      <c r="AC36" s="1">
        <v>0</v>
      </c>
      <c r="AD36" s="1">
        <v>0</v>
      </c>
      <c r="AE36" s="1">
        <v>12960</v>
      </c>
      <c r="AF36" s="1">
        <v>0</v>
      </c>
      <c r="AG36" s="1">
        <v>12960</v>
      </c>
      <c r="AH36" s="1">
        <v>11664</v>
      </c>
      <c r="AI36" s="1">
        <v>0</v>
      </c>
      <c r="AJ36" s="1">
        <v>0</v>
      </c>
      <c r="AK36" s="1">
        <v>0</v>
      </c>
      <c r="AL36" s="1">
        <v>11664</v>
      </c>
      <c r="AM36" s="1">
        <v>0</v>
      </c>
      <c r="AN36" s="1">
        <v>11664</v>
      </c>
      <c r="AO36" s="6" t="s">
        <v>107</v>
      </c>
      <c r="AP36" s="6" t="s">
        <v>107</v>
      </c>
      <c r="AQ36" s="6" t="s">
        <v>107</v>
      </c>
      <c r="AR36" s="6" t="s">
        <v>107</v>
      </c>
      <c r="AS36" s="1">
        <v>6998</v>
      </c>
      <c r="AT36" s="1">
        <v>0</v>
      </c>
      <c r="AU36" s="1">
        <v>6998</v>
      </c>
    </row>
    <row r="37" spans="1:47" x14ac:dyDescent="0.4">
      <c r="A37" s="3" t="s">
        <v>45</v>
      </c>
      <c r="B37" s="3" t="s">
        <v>46</v>
      </c>
      <c r="C37" s="3" t="s">
        <v>47</v>
      </c>
      <c r="D37" s="3" t="s">
        <v>60</v>
      </c>
      <c r="E37" s="3" t="s">
        <v>48</v>
      </c>
      <c r="F37" s="3" t="s">
        <v>49</v>
      </c>
      <c r="G37" s="3" t="s">
        <v>78</v>
      </c>
      <c r="H37" s="3" t="s">
        <v>79</v>
      </c>
      <c r="I37" s="3" t="s">
        <v>50</v>
      </c>
      <c r="J37" s="3" t="s">
        <v>62</v>
      </c>
      <c r="K37" s="3" t="s">
        <v>80</v>
      </c>
      <c r="L37" s="3" t="s">
        <v>55</v>
      </c>
      <c r="M37" s="3" t="s">
        <v>81</v>
      </c>
      <c r="N37" s="3" t="s">
        <v>51</v>
      </c>
      <c r="O37" s="3" t="s">
        <v>51</v>
      </c>
      <c r="P37" s="3" t="s">
        <v>51</v>
      </c>
      <c r="Q37" s="3" t="s">
        <v>82</v>
      </c>
      <c r="R37" s="3" t="s">
        <v>52</v>
      </c>
      <c r="S37" s="3" t="s">
        <v>54</v>
      </c>
      <c r="T37" s="1">
        <v>0</v>
      </c>
      <c r="U37" s="1">
        <v>16800</v>
      </c>
      <c r="V37" s="1">
        <v>0</v>
      </c>
      <c r="W37" s="1">
        <v>1200</v>
      </c>
      <c r="X37" s="1">
        <v>16800</v>
      </c>
      <c r="Y37" s="1">
        <v>1200</v>
      </c>
      <c r="Z37" s="1">
        <v>18000</v>
      </c>
      <c r="AA37" s="1">
        <v>0</v>
      </c>
      <c r="AB37" s="1">
        <v>16800</v>
      </c>
      <c r="AC37" s="1">
        <v>0</v>
      </c>
      <c r="AD37" s="1">
        <v>1200</v>
      </c>
      <c r="AE37" s="1">
        <v>16800</v>
      </c>
      <c r="AF37" s="1">
        <v>1200</v>
      </c>
      <c r="AG37" s="1">
        <v>18000</v>
      </c>
      <c r="AH37" s="1">
        <v>0</v>
      </c>
      <c r="AI37" s="1">
        <v>16296</v>
      </c>
      <c r="AJ37" s="1">
        <v>0</v>
      </c>
      <c r="AK37" s="1">
        <v>1080</v>
      </c>
      <c r="AL37" s="1">
        <v>16296</v>
      </c>
      <c r="AM37" s="1">
        <v>1080</v>
      </c>
      <c r="AN37" s="1">
        <v>17376</v>
      </c>
      <c r="AO37" s="6" t="s">
        <v>107</v>
      </c>
      <c r="AP37" s="6" t="s">
        <v>107</v>
      </c>
      <c r="AQ37" s="6" t="s">
        <v>107</v>
      </c>
      <c r="AR37" s="6" t="s">
        <v>107</v>
      </c>
      <c r="AS37" s="1">
        <v>10426</v>
      </c>
      <c r="AT37" s="1">
        <v>0</v>
      </c>
      <c r="AU37" s="1">
        <v>10426</v>
      </c>
    </row>
    <row r="38" spans="1:47" x14ac:dyDescent="0.4">
      <c r="A38" s="3" t="s">
        <v>45</v>
      </c>
      <c r="B38" s="3" t="s">
        <v>46</v>
      </c>
      <c r="C38" s="3" t="s">
        <v>47</v>
      </c>
      <c r="D38" s="3" t="s">
        <v>60</v>
      </c>
      <c r="E38" s="3" t="s">
        <v>48</v>
      </c>
      <c r="F38" s="3" t="s">
        <v>49</v>
      </c>
      <c r="G38" s="3" t="s">
        <v>78</v>
      </c>
      <c r="H38" s="3" t="s">
        <v>79</v>
      </c>
      <c r="I38" s="3" t="s">
        <v>50</v>
      </c>
      <c r="J38" s="3" t="s">
        <v>62</v>
      </c>
      <c r="K38" s="3" t="s">
        <v>80</v>
      </c>
      <c r="L38" s="3" t="s">
        <v>55</v>
      </c>
      <c r="M38" s="3" t="s">
        <v>81</v>
      </c>
      <c r="N38" s="3" t="s">
        <v>51</v>
      </c>
      <c r="O38" s="3" t="s">
        <v>51</v>
      </c>
      <c r="P38" s="3" t="s">
        <v>51</v>
      </c>
      <c r="Q38" s="3" t="s">
        <v>82</v>
      </c>
      <c r="R38" s="3" t="s">
        <v>52</v>
      </c>
      <c r="S38" s="3" t="s">
        <v>57</v>
      </c>
      <c r="T38" s="1">
        <v>18900</v>
      </c>
      <c r="U38" s="1">
        <v>35580</v>
      </c>
      <c r="V38" s="1">
        <v>9500</v>
      </c>
      <c r="W38" s="1">
        <v>116420</v>
      </c>
      <c r="X38" s="1">
        <v>63980</v>
      </c>
      <c r="Y38" s="1">
        <v>116420</v>
      </c>
      <c r="Z38" s="1">
        <v>180400</v>
      </c>
      <c r="AA38" s="1">
        <v>22680</v>
      </c>
      <c r="AB38" s="1">
        <v>35580</v>
      </c>
      <c r="AC38" s="1">
        <v>11400</v>
      </c>
      <c r="AD38" s="1">
        <v>116420</v>
      </c>
      <c r="AE38" s="1">
        <v>69660</v>
      </c>
      <c r="AF38" s="1">
        <v>116420</v>
      </c>
      <c r="AG38" s="1">
        <v>186080</v>
      </c>
      <c r="AH38" s="1">
        <v>20412</v>
      </c>
      <c r="AI38" s="1">
        <v>34512.6</v>
      </c>
      <c r="AJ38" s="1">
        <v>7980</v>
      </c>
      <c r="AK38" s="1">
        <v>104778</v>
      </c>
      <c r="AL38" s="1">
        <v>62904.6</v>
      </c>
      <c r="AM38" s="1">
        <v>104778</v>
      </c>
      <c r="AN38" s="1">
        <v>167682.6</v>
      </c>
      <c r="AO38" s="6" t="s">
        <v>107</v>
      </c>
      <c r="AP38" s="6" t="s">
        <v>107</v>
      </c>
      <c r="AQ38" s="6" t="s">
        <v>107</v>
      </c>
      <c r="AR38" s="6" t="s">
        <v>107</v>
      </c>
      <c r="AS38" s="1">
        <v>100610</v>
      </c>
      <c r="AT38" s="1">
        <v>0</v>
      </c>
      <c r="AU38" s="1">
        <v>100610</v>
      </c>
    </row>
    <row r="39" spans="1:47" x14ac:dyDescent="0.4">
      <c r="A39" s="3" t="s">
        <v>45</v>
      </c>
      <c r="B39" s="3" t="s">
        <v>46</v>
      </c>
      <c r="C39" s="3" t="s">
        <v>47</v>
      </c>
      <c r="D39" s="3" t="s">
        <v>60</v>
      </c>
      <c r="E39" s="3" t="s">
        <v>48</v>
      </c>
      <c r="F39" s="3" t="s">
        <v>49</v>
      </c>
      <c r="G39" s="3" t="s">
        <v>78</v>
      </c>
      <c r="H39" s="3" t="s">
        <v>79</v>
      </c>
      <c r="I39" s="3" t="s">
        <v>50</v>
      </c>
      <c r="J39" s="3" t="s">
        <v>62</v>
      </c>
      <c r="K39" s="3" t="s">
        <v>80</v>
      </c>
      <c r="L39" s="3" t="s">
        <v>55</v>
      </c>
      <c r="M39" s="3" t="s">
        <v>81</v>
      </c>
      <c r="N39" s="3" t="s">
        <v>51</v>
      </c>
      <c r="O39" s="3" t="s">
        <v>51</v>
      </c>
      <c r="P39" s="3" t="s">
        <v>51</v>
      </c>
      <c r="Q39" s="3" t="s">
        <v>82</v>
      </c>
      <c r="R39" s="3" t="s">
        <v>52</v>
      </c>
      <c r="S39" s="3" t="s">
        <v>58</v>
      </c>
      <c r="T39" s="1">
        <v>35200</v>
      </c>
      <c r="U39" s="1">
        <v>83700</v>
      </c>
      <c r="V39" s="1">
        <v>10800</v>
      </c>
      <c r="W39" s="1">
        <v>32900</v>
      </c>
      <c r="X39" s="1">
        <v>129700</v>
      </c>
      <c r="Y39" s="1">
        <v>32900</v>
      </c>
      <c r="Z39" s="1">
        <v>162600</v>
      </c>
      <c r="AA39" s="1">
        <v>42240</v>
      </c>
      <c r="AB39" s="1">
        <v>83700</v>
      </c>
      <c r="AC39" s="1">
        <v>12960</v>
      </c>
      <c r="AD39" s="1">
        <v>32900</v>
      </c>
      <c r="AE39" s="1">
        <v>138900</v>
      </c>
      <c r="AF39" s="1">
        <v>32900</v>
      </c>
      <c r="AG39" s="1">
        <v>171800</v>
      </c>
      <c r="AH39" s="1">
        <v>38016</v>
      </c>
      <c r="AI39" s="1">
        <v>81189</v>
      </c>
      <c r="AJ39" s="1">
        <v>9072</v>
      </c>
      <c r="AK39" s="1">
        <v>29610</v>
      </c>
      <c r="AL39" s="1">
        <v>128277</v>
      </c>
      <c r="AM39" s="1">
        <v>29610</v>
      </c>
      <c r="AN39" s="1">
        <v>157887</v>
      </c>
      <c r="AO39" s="6" t="s">
        <v>107</v>
      </c>
      <c r="AP39" s="6" t="s">
        <v>107</v>
      </c>
      <c r="AQ39" s="6" t="s">
        <v>107</v>
      </c>
      <c r="AR39" s="6" t="s">
        <v>107</v>
      </c>
      <c r="AS39" s="1">
        <v>94732</v>
      </c>
      <c r="AT39" s="1">
        <v>0</v>
      </c>
      <c r="AU39" s="1">
        <v>94732</v>
      </c>
    </row>
    <row r="40" spans="1:47" x14ac:dyDescent="0.4">
      <c r="A40" s="3" t="s">
        <v>45</v>
      </c>
      <c r="B40" s="3" t="s">
        <v>46</v>
      </c>
      <c r="C40" s="3" t="s">
        <v>47</v>
      </c>
      <c r="D40" s="3" t="s">
        <v>60</v>
      </c>
      <c r="E40" s="3" t="s">
        <v>48</v>
      </c>
      <c r="F40" s="3" t="s">
        <v>49</v>
      </c>
      <c r="G40" s="3" t="s">
        <v>78</v>
      </c>
      <c r="H40" s="3" t="s">
        <v>79</v>
      </c>
      <c r="I40" s="3" t="s">
        <v>50</v>
      </c>
      <c r="J40" s="3" t="s">
        <v>62</v>
      </c>
      <c r="K40" s="3" t="s">
        <v>80</v>
      </c>
      <c r="L40" s="3" t="s">
        <v>55</v>
      </c>
      <c r="M40" s="3" t="s">
        <v>81</v>
      </c>
      <c r="N40" s="3" t="s">
        <v>51</v>
      </c>
      <c r="O40" s="3" t="s">
        <v>51</v>
      </c>
      <c r="P40" s="3" t="s">
        <v>51</v>
      </c>
      <c r="Q40" s="3" t="s">
        <v>82</v>
      </c>
      <c r="R40" s="3" t="s">
        <v>52</v>
      </c>
      <c r="S40" s="3" t="s">
        <v>58</v>
      </c>
      <c r="T40" s="1">
        <v>27000</v>
      </c>
      <c r="U40" s="1">
        <v>24000</v>
      </c>
      <c r="V40" s="1">
        <v>0</v>
      </c>
      <c r="W40" s="1">
        <v>0</v>
      </c>
      <c r="X40" s="1">
        <v>51000</v>
      </c>
      <c r="Y40" s="1">
        <v>0</v>
      </c>
      <c r="Z40" s="1">
        <v>51000</v>
      </c>
      <c r="AA40" s="1">
        <v>32400</v>
      </c>
      <c r="AB40" s="1">
        <v>24000</v>
      </c>
      <c r="AC40" s="1">
        <v>0</v>
      </c>
      <c r="AD40" s="1">
        <v>0</v>
      </c>
      <c r="AE40" s="1">
        <v>56400</v>
      </c>
      <c r="AF40" s="1">
        <v>0</v>
      </c>
      <c r="AG40" s="1">
        <v>56400</v>
      </c>
      <c r="AH40" s="1">
        <v>29160</v>
      </c>
      <c r="AI40" s="1">
        <v>23280</v>
      </c>
      <c r="AJ40" s="1">
        <v>0</v>
      </c>
      <c r="AK40" s="1">
        <v>0</v>
      </c>
      <c r="AL40" s="1">
        <v>52440</v>
      </c>
      <c r="AM40" s="1">
        <v>0</v>
      </c>
      <c r="AN40" s="1">
        <v>52440</v>
      </c>
      <c r="AO40" s="6" t="s">
        <v>107</v>
      </c>
      <c r="AP40" s="6" t="s">
        <v>107</v>
      </c>
      <c r="AQ40" s="6" t="s">
        <v>107</v>
      </c>
      <c r="AR40" s="6" t="s">
        <v>107</v>
      </c>
      <c r="AS40" s="1">
        <v>31464</v>
      </c>
      <c r="AT40" s="1">
        <v>0</v>
      </c>
      <c r="AU40" s="1">
        <v>31464</v>
      </c>
    </row>
    <row r="41" spans="1:47" x14ac:dyDescent="0.4">
      <c r="A41" s="3" t="s">
        <v>45</v>
      </c>
      <c r="B41" s="3" t="s">
        <v>46</v>
      </c>
      <c r="C41" s="3" t="s">
        <v>47</v>
      </c>
      <c r="D41" s="3" t="s">
        <v>60</v>
      </c>
      <c r="E41" s="3" t="s">
        <v>48</v>
      </c>
      <c r="F41" s="3" t="s">
        <v>49</v>
      </c>
      <c r="G41" s="3" t="s">
        <v>83</v>
      </c>
      <c r="H41" s="3" t="s">
        <v>84</v>
      </c>
      <c r="I41" s="3" t="s">
        <v>50</v>
      </c>
      <c r="J41" s="3" t="s">
        <v>62</v>
      </c>
      <c r="K41" s="3" t="s">
        <v>85</v>
      </c>
      <c r="L41" s="3" t="s">
        <v>56</v>
      </c>
      <c r="M41" s="3" t="s">
        <v>86</v>
      </c>
      <c r="N41" s="3" t="s">
        <v>51</v>
      </c>
      <c r="O41" s="3" t="s">
        <v>51</v>
      </c>
      <c r="P41" s="3" t="s">
        <v>51</v>
      </c>
      <c r="Q41" s="3" t="s">
        <v>87</v>
      </c>
      <c r="R41" s="3" t="s">
        <v>52</v>
      </c>
      <c r="S41" s="3" t="s">
        <v>53</v>
      </c>
      <c r="T41" s="1">
        <v>11600</v>
      </c>
      <c r="U41" s="1">
        <v>16600</v>
      </c>
      <c r="V41" s="1">
        <v>2000</v>
      </c>
      <c r="W41" s="1">
        <v>5400</v>
      </c>
      <c r="X41" s="1">
        <v>30200</v>
      </c>
      <c r="Y41" s="1">
        <v>5400</v>
      </c>
      <c r="Z41" s="1">
        <v>35600</v>
      </c>
      <c r="AA41" s="1">
        <v>13920</v>
      </c>
      <c r="AB41" s="1">
        <v>16600</v>
      </c>
      <c r="AC41" s="1">
        <v>2400</v>
      </c>
      <c r="AD41" s="1">
        <v>5400</v>
      </c>
      <c r="AE41" s="1">
        <v>32920</v>
      </c>
      <c r="AF41" s="1">
        <v>5400</v>
      </c>
      <c r="AG41" s="1">
        <v>38320</v>
      </c>
      <c r="AH41" s="1">
        <v>12528</v>
      </c>
      <c r="AI41" s="1">
        <v>16102</v>
      </c>
      <c r="AJ41" s="1">
        <v>1680</v>
      </c>
      <c r="AK41" s="1">
        <v>4860</v>
      </c>
      <c r="AL41" s="1">
        <v>30310</v>
      </c>
      <c r="AM41" s="1">
        <v>4860</v>
      </c>
      <c r="AN41" s="1">
        <v>35170</v>
      </c>
      <c r="AO41" s="6" t="s">
        <v>107</v>
      </c>
      <c r="AP41" s="6" t="s">
        <v>107</v>
      </c>
      <c r="AQ41" s="6" t="s">
        <v>107</v>
      </c>
      <c r="AR41" s="6" t="s">
        <v>107</v>
      </c>
      <c r="AS41" s="1">
        <v>21102</v>
      </c>
      <c r="AT41" s="1">
        <v>0</v>
      </c>
      <c r="AU41" s="1">
        <v>21102</v>
      </c>
    </row>
    <row r="42" spans="1:47" x14ac:dyDescent="0.4">
      <c r="A42" s="3" t="s">
        <v>45</v>
      </c>
      <c r="B42" s="3" t="s">
        <v>46</v>
      </c>
      <c r="C42" s="3" t="s">
        <v>47</v>
      </c>
      <c r="D42" s="3" t="s">
        <v>60</v>
      </c>
      <c r="E42" s="3" t="s">
        <v>48</v>
      </c>
      <c r="F42" s="3" t="s">
        <v>49</v>
      </c>
      <c r="G42" s="3" t="s">
        <v>83</v>
      </c>
      <c r="H42" s="3" t="s">
        <v>84</v>
      </c>
      <c r="I42" s="3" t="s">
        <v>50</v>
      </c>
      <c r="J42" s="3" t="s">
        <v>62</v>
      </c>
      <c r="K42" s="3" t="s">
        <v>85</v>
      </c>
      <c r="L42" s="3" t="s">
        <v>56</v>
      </c>
      <c r="M42" s="3" t="s">
        <v>86</v>
      </c>
      <c r="N42" s="3" t="s">
        <v>51</v>
      </c>
      <c r="O42" s="3" t="s">
        <v>51</v>
      </c>
      <c r="P42" s="3" t="s">
        <v>51</v>
      </c>
      <c r="Q42" s="3" t="s">
        <v>87</v>
      </c>
      <c r="R42" s="3" t="s">
        <v>52</v>
      </c>
      <c r="S42" s="3" t="s">
        <v>54</v>
      </c>
      <c r="T42" s="1">
        <v>12400</v>
      </c>
      <c r="U42" s="1">
        <v>32200</v>
      </c>
      <c r="V42" s="1">
        <v>0</v>
      </c>
      <c r="W42" s="1">
        <v>1400</v>
      </c>
      <c r="X42" s="1">
        <v>44600</v>
      </c>
      <c r="Y42" s="1">
        <v>1400</v>
      </c>
      <c r="Z42" s="1">
        <v>46000</v>
      </c>
      <c r="AA42" s="1">
        <v>14880</v>
      </c>
      <c r="AB42" s="1">
        <v>32200</v>
      </c>
      <c r="AC42" s="1">
        <v>0</v>
      </c>
      <c r="AD42" s="1">
        <v>1400</v>
      </c>
      <c r="AE42" s="1">
        <v>47080</v>
      </c>
      <c r="AF42" s="1">
        <v>1400</v>
      </c>
      <c r="AG42" s="1">
        <v>48480</v>
      </c>
      <c r="AH42" s="1">
        <v>13392</v>
      </c>
      <c r="AI42" s="1">
        <v>31234</v>
      </c>
      <c r="AJ42" s="1">
        <v>0</v>
      </c>
      <c r="AK42" s="1">
        <v>1260</v>
      </c>
      <c r="AL42" s="1">
        <v>44626</v>
      </c>
      <c r="AM42" s="1">
        <v>1260</v>
      </c>
      <c r="AN42" s="1">
        <v>45886</v>
      </c>
      <c r="AO42" s="6" t="s">
        <v>107</v>
      </c>
      <c r="AP42" s="6" t="s">
        <v>107</v>
      </c>
      <c r="AQ42" s="6" t="s">
        <v>107</v>
      </c>
      <c r="AR42" s="6" t="s">
        <v>107</v>
      </c>
      <c r="AS42" s="1">
        <v>27531</v>
      </c>
      <c r="AT42" s="1">
        <v>0</v>
      </c>
      <c r="AU42" s="1">
        <v>27531</v>
      </c>
    </row>
    <row r="43" spans="1:47" x14ac:dyDescent="0.4">
      <c r="A43" s="3" t="s">
        <v>45</v>
      </c>
      <c r="B43" s="3" t="s">
        <v>46</v>
      </c>
      <c r="C43" s="3" t="s">
        <v>47</v>
      </c>
      <c r="D43" s="3" t="s">
        <v>60</v>
      </c>
      <c r="E43" s="3" t="s">
        <v>48</v>
      </c>
      <c r="F43" s="3" t="s">
        <v>49</v>
      </c>
      <c r="G43" s="3" t="s">
        <v>83</v>
      </c>
      <c r="H43" s="3" t="s">
        <v>84</v>
      </c>
      <c r="I43" s="3" t="s">
        <v>50</v>
      </c>
      <c r="J43" s="3" t="s">
        <v>62</v>
      </c>
      <c r="K43" s="3" t="s">
        <v>85</v>
      </c>
      <c r="L43" s="3" t="s">
        <v>56</v>
      </c>
      <c r="M43" s="3" t="s">
        <v>86</v>
      </c>
      <c r="N43" s="3" t="s">
        <v>51</v>
      </c>
      <c r="O43" s="3" t="s">
        <v>51</v>
      </c>
      <c r="P43" s="3" t="s">
        <v>51</v>
      </c>
      <c r="Q43" s="3" t="s">
        <v>87</v>
      </c>
      <c r="R43" s="3" t="s">
        <v>52</v>
      </c>
      <c r="S43" s="3" t="s">
        <v>54</v>
      </c>
      <c r="T43" s="1">
        <v>14400</v>
      </c>
      <c r="U43" s="1">
        <v>1200</v>
      </c>
      <c r="V43" s="1">
        <v>0</v>
      </c>
      <c r="W43" s="1">
        <v>0</v>
      </c>
      <c r="X43" s="1">
        <v>15600</v>
      </c>
      <c r="Y43" s="1">
        <v>0</v>
      </c>
      <c r="Z43" s="1">
        <v>15600</v>
      </c>
      <c r="AA43" s="1">
        <v>17280</v>
      </c>
      <c r="AB43" s="1">
        <v>1200</v>
      </c>
      <c r="AC43" s="1">
        <v>0</v>
      </c>
      <c r="AD43" s="1">
        <v>0</v>
      </c>
      <c r="AE43" s="1">
        <v>18480</v>
      </c>
      <c r="AF43" s="1">
        <v>0</v>
      </c>
      <c r="AG43" s="1">
        <v>18480</v>
      </c>
      <c r="AH43" s="1">
        <v>15552</v>
      </c>
      <c r="AI43" s="1">
        <v>1164</v>
      </c>
      <c r="AJ43" s="1">
        <v>0</v>
      </c>
      <c r="AK43" s="1">
        <v>0</v>
      </c>
      <c r="AL43" s="1">
        <v>16716</v>
      </c>
      <c r="AM43" s="1">
        <v>0</v>
      </c>
      <c r="AN43" s="1">
        <v>16716</v>
      </c>
      <c r="AO43" s="6" t="s">
        <v>107</v>
      </c>
      <c r="AP43" s="6" t="s">
        <v>107</v>
      </c>
      <c r="AQ43" s="6" t="s">
        <v>107</v>
      </c>
      <c r="AR43" s="6" t="s">
        <v>107</v>
      </c>
      <c r="AS43" s="1">
        <v>10029</v>
      </c>
      <c r="AT43" s="1">
        <v>0</v>
      </c>
      <c r="AU43" s="1">
        <v>10029</v>
      </c>
    </row>
    <row r="44" spans="1:47" x14ac:dyDescent="0.4">
      <c r="A44" s="3" t="s">
        <v>45</v>
      </c>
      <c r="B44" s="3" t="s">
        <v>46</v>
      </c>
      <c r="C44" s="3" t="s">
        <v>47</v>
      </c>
      <c r="D44" s="3" t="s">
        <v>60</v>
      </c>
      <c r="E44" s="3" t="s">
        <v>48</v>
      </c>
      <c r="F44" s="3" t="s">
        <v>49</v>
      </c>
      <c r="G44" s="3" t="s">
        <v>83</v>
      </c>
      <c r="H44" s="3" t="s">
        <v>84</v>
      </c>
      <c r="I44" s="3" t="s">
        <v>50</v>
      </c>
      <c r="J44" s="3" t="s">
        <v>62</v>
      </c>
      <c r="K44" s="3" t="s">
        <v>85</v>
      </c>
      <c r="L44" s="3" t="s">
        <v>56</v>
      </c>
      <c r="M44" s="3" t="s">
        <v>86</v>
      </c>
      <c r="N44" s="3" t="s">
        <v>51</v>
      </c>
      <c r="O44" s="3" t="s">
        <v>51</v>
      </c>
      <c r="P44" s="3" t="s">
        <v>51</v>
      </c>
      <c r="Q44" s="3" t="s">
        <v>87</v>
      </c>
      <c r="R44" s="3" t="s">
        <v>52</v>
      </c>
      <c r="S44" s="3" t="s">
        <v>54</v>
      </c>
      <c r="T44" s="1">
        <v>21600</v>
      </c>
      <c r="U44" s="1">
        <v>32400</v>
      </c>
      <c r="V44" s="1">
        <v>0</v>
      </c>
      <c r="W44" s="1">
        <v>0</v>
      </c>
      <c r="X44" s="1">
        <v>54000</v>
      </c>
      <c r="Y44" s="1">
        <v>0</v>
      </c>
      <c r="Z44" s="1">
        <v>54000</v>
      </c>
      <c r="AA44" s="1">
        <v>25920</v>
      </c>
      <c r="AB44" s="1">
        <v>32400</v>
      </c>
      <c r="AC44" s="1">
        <v>0</v>
      </c>
      <c r="AD44" s="1">
        <v>0</v>
      </c>
      <c r="AE44" s="1">
        <v>58320</v>
      </c>
      <c r="AF44" s="1">
        <v>0</v>
      </c>
      <c r="AG44" s="1">
        <v>58320</v>
      </c>
      <c r="AH44" s="1">
        <v>23328</v>
      </c>
      <c r="AI44" s="1">
        <v>31428</v>
      </c>
      <c r="AJ44" s="1">
        <v>0</v>
      </c>
      <c r="AK44" s="1">
        <v>0</v>
      </c>
      <c r="AL44" s="1">
        <v>54756</v>
      </c>
      <c r="AM44" s="1">
        <v>0</v>
      </c>
      <c r="AN44" s="1">
        <v>54756</v>
      </c>
      <c r="AO44" s="6" t="s">
        <v>107</v>
      </c>
      <c r="AP44" s="6" t="s">
        <v>107</v>
      </c>
      <c r="AQ44" s="6" t="s">
        <v>107</v>
      </c>
      <c r="AR44" s="6" t="s">
        <v>107</v>
      </c>
      <c r="AS44" s="1">
        <v>32854</v>
      </c>
      <c r="AT44" s="1">
        <v>0</v>
      </c>
      <c r="AU44" s="1">
        <v>32854</v>
      </c>
    </row>
    <row r="45" spans="1:47" x14ac:dyDescent="0.4">
      <c r="A45" s="3" t="s">
        <v>45</v>
      </c>
      <c r="B45" s="3" t="s">
        <v>46</v>
      </c>
      <c r="C45" s="3" t="s">
        <v>47</v>
      </c>
      <c r="D45" s="3" t="s">
        <v>60</v>
      </c>
      <c r="E45" s="3" t="s">
        <v>48</v>
      </c>
      <c r="F45" s="3" t="s">
        <v>49</v>
      </c>
      <c r="G45" s="3" t="s">
        <v>83</v>
      </c>
      <c r="H45" s="3" t="s">
        <v>84</v>
      </c>
      <c r="I45" s="3" t="s">
        <v>50</v>
      </c>
      <c r="J45" s="3" t="s">
        <v>62</v>
      </c>
      <c r="K45" s="3" t="s">
        <v>85</v>
      </c>
      <c r="L45" s="3" t="s">
        <v>56</v>
      </c>
      <c r="M45" s="3" t="s">
        <v>86</v>
      </c>
      <c r="N45" s="3" t="s">
        <v>51</v>
      </c>
      <c r="O45" s="3" t="s">
        <v>51</v>
      </c>
      <c r="P45" s="3" t="s">
        <v>51</v>
      </c>
      <c r="Q45" s="3" t="s">
        <v>87</v>
      </c>
      <c r="R45" s="3" t="s">
        <v>52</v>
      </c>
      <c r="S45" s="3" t="s">
        <v>57</v>
      </c>
      <c r="T45" s="1">
        <v>488510</v>
      </c>
      <c r="U45" s="1">
        <v>211530</v>
      </c>
      <c r="V45" s="1">
        <v>64000</v>
      </c>
      <c r="W45" s="1">
        <v>151360</v>
      </c>
      <c r="X45" s="1">
        <v>764040</v>
      </c>
      <c r="Y45" s="1">
        <v>151360</v>
      </c>
      <c r="Z45" s="1">
        <v>915400</v>
      </c>
      <c r="AA45" s="1">
        <v>586212</v>
      </c>
      <c r="AB45" s="1">
        <v>211530</v>
      </c>
      <c r="AC45" s="1">
        <v>76800</v>
      </c>
      <c r="AD45" s="1">
        <v>151360</v>
      </c>
      <c r="AE45" s="1">
        <v>874542</v>
      </c>
      <c r="AF45" s="1">
        <v>151360</v>
      </c>
      <c r="AG45" s="1">
        <v>1025902</v>
      </c>
      <c r="AH45" s="1">
        <v>527590.80000000005</v>
      </c>
      <c r="AI45" s="1">
        <v>205184.1</v>
      </c>
      <c r="AJ45" s="1">
        <v>53760</v>
      </c>
      <c r="AK45" s="1">
        <v>136224</v>
      </c>
      <c r="AL45" s="1">
        <v>786534.9</v>
      </c>
      <c r="AM45" s="1">
        <v>136224</v>
      </c>
      <c r="AN45" s="1">
        <v>922758.9</v>
      </c>
      <c r="AO45" s="6" t="s">
        <v>107</v>
      </c>
      <c r="AP45" s="6" t="s">
        <v>107</v>
      </c>
      <c r="AQ45" s="6" t="s">
        <v>107</v>
      </c>
      <c r="AR45" s="6" t="s">
        <v>107</v>
      </c>
      <c r="AS45" s="1">
        <v>553654</v>
      </c>
      <c r="AT45" s="1">
        <v>0</v>
      </c>
      <c r="AU45" s="1">
        <v>553654</v>
      </c>
    </row>
    <row r="46" spans="1:47" x14ac:dyDescent="0.4">
      <c r="A46" s="3" t="s">
        <v>45</v>
      </c>
      <c r="B46" s="3" t="s">
        <v>46</v>
      </c>
      <c r="C46" s="3" t="s">
        <v>47</v>
      </c>
      <c r="D46" s="3" t="s">
        <v>60</v>
      </c>
      <c r="E46" s="3" t="s">
        <v>48</v>
      </c>
      <c r="F46" s="3" t="s">
        <v>49</v>
      </c>
      <c r="G46" s="3" t="s">
        <v>83</v>
      </c>
      <c r="H46" s="3" t="s">
        <v>84</v>
      </c>
      <c r="I46" s="3" t="s">
        <v>50</v>
      </c>
      <c r="J46" s="3" t="s">
        <v>62</v>
      </c>
      <c r="K46" s="3" t="s">
        <v>85</v>
      </c>
      <c r="L46" s="3" t="s">
        <v>56</v>
      </c>
      <c r="M46" s="3" t="s">
        <v>86</v>
      </c>
      <c r="N46" s="3" t="s">
        <v>51</v>
      </c>
      <c r="O46" s="3" t="s">
        <v>51</v>
      </c>
      <c r="P46" s="3" t="s">
        <v>51</v>
      </c>
      <c r="Q46" s="3" t="s">
        <v>87</v>
      </c>
      <c r="R46" s="3" t="s">
        <v>52</v>
      </c>
      <c r="S46" s="3" t="s">
        <v>58</v>
      </c>
      <c r="T46" s="1">
        <v>448800</v>
      </c>
      <c r="U46" s="1">
        <v>292800</v>
      </c>
      <c r="V46" s="1">
        <v>39300</v>
      </c>
      <c r="W46" s="1">
        <v>44900</v>
      </c>
      <c r="X46" s="1">
        <v>780900</v>
      </c>
      <c r="Y46" s="1">
        <v>44900</v>
      </c>
      <c r="Z46" s="1">
        <v>825800</v>
      </c>
      <c r="AA46" s="1">
        <v>538560</v>
      </c>
      <c r="AB46" s="1">
        <v>292800</v>
      </c>
      <c r="AC46" s="1">
        <v>47160</v>
      </c>
      <c r="AD46" s="1">
        <v>44900</v>
      </c>
      <c r="AE46" s="1">
        <v>878520</v>
      </c>
      <c r="AF46" s="1">
        <v>44900</v>
      </c>
      <c r="AG46" s="1">
        <v>923420</v>
      </c>
      <c r="AH46" s="1">
        <v>484704</v>
      </c>
      <c r="AI46" s="1">
        <v>284016</v>
      </c>
      <c r="AJ46" s="1">
        <v>33012</v>
      </c>
      <c r="AK46" s="1">
        <v>40410</v>
      </c>
      <c r="AL46" s="1">
        <v>801732</v>
      </c>
      <c r="AM46" s="1">
        <v>40410</v>
      </c>
      <c r="AN46" s="1">
        <v>842142</v>
      </c>
      <c r="AO46" s="6" t="s">
        <v>107</v>
      </c>
      <c r="AP46" s="6" t="s">
        <v>107</v>
      </c>
      <c r="AQ46" s="6" t="s">
        <v>107</v>
      </c>
      <c r="AR46" s="6" t="s">
        <v>107</v>
      </c>
      <c r="AS46" s="1">
        <v>505285</v>
      </c>
      <c r="AT46" s="1">
        <v>0</v>
      </c>
      <c r="AU46" s="1">
        <v>505285</v>
      </c>
    </row>
    <row r="47" spans="1:47" x14ac:dyDescent="0.4">
      <c r="A47" s="3" t="s">
        <v>45</v>
      </c>
      <c r="B47" s="3" t="s">
        <v>46</v>
      </c>
      <c r="C47" s="3" t="s">
        <v>47</v>
      </c>
      <c r="D47" s="3" t="s">
        <v>60</v>
      </c>
      <c r="E47" s="3" t="s">
        <v>48</v>
      </c>
      <c r="F47" s="3" t="s">
        <v>49</v>
      </c>
      <c r="G47" s="3" t="s">
        <v>83</v>
      </c>
      <c r="H47" s="3" t="s">
        <v>84</v>
      </c>
      <c r="I47" s="3" t="s">
        <v>50</v>
      </c>
      <c r="J47" s="3" t="s">
        <v>62</v>
      </c>
      <c r="K47" s="3" t="s">
        <v>85</v>
      </c>
      <c r="L47" s="3" t="s">
        <v>56</v>
      </c>
      <c r="M47" s="3" t="s">
        <v>86</v>
      </c>
      <c r="N47" s="3" t="s">
        <v>51</v>
      </c>
      <c r="O47" s="3" t="s">
        <v>51</v>
      </c>
      <c r="P47" s="3" t="s">
        <v>51</v>
      </c>
      <c r="Q47" s="3" t="s">
        <v>87</v>
      </c>
      <c r="R47" s="3" t="s">
        <v>52</v>
      </c>
      <c r="S47" s="3" t="s">
        <v>58</v>
      </c>
      <c r="T47" s="1">
        <v>69400</v>
      </c>
      <c r="U47" s="1">
        <v>57600</v>
      </c>
      <c r="V47" s="1">
        <v>7200</v>
      </c>
      <c r="W47" s="1">
        <v>14400</v>
      </c>
      <c r="X47" s="1">
        <v>134200</v>
      </c>
      <c r="Y47" s="1">
        <v>14400</v>
      </c>
      <c r="Z47" s="1">
        <v>148600</v>
      </c>
      <c r="AA47" s="1">
        <v>83280</v>
      </c>
      <c r="AB47" s="1">
        <v>57600</v>
      </c>
      <c r="AC47" s="1">
        <v>8640</v>
      </c>
      <c r="AD47" s="1">
        <v>14400</v>
      </c>
      <c r="AE47" s="1">
        <v>149520</v>
      </c>
      <c r="AF47" s="1">
        <v>14400</v>
      </c>
      <c r="AG47" s="1">
        <v>163920</v>
      </c>
      <c r="AH47" s="1">
        <v>74952</v>
      </c>
      <c r="AI47" s="1">
        <v>55872</v>
      </c>
      <c r="AJ47" s="1">
        <v>6048</v>
      </c>
      <c r="AK47" s="1">
        <v>12960</v>
      </c>
      <c r="AL47" s="1">
        <v>136872</v>
      </c>
      <c r="AM47" s="1">
        <v>12960</v>
      </c>
      <c r="AN47" s="1">
        <v>149832</v>
      </c>
      <c r="AO47" s="6" t="s">
        <v>107</v>
      </c>
      <c r="AP47" s="6" t="s">
        <v>107</v>
      </c>
      <c r="AQ47" s="6" t="s">
        <v>107</v>
      </c>
      <c r="AR47" s="6" t="s">
        <v>107</v>
      </c>
      <c r="AS47" s="1">
        <v>89899</v>
      </c>
      <c r="AT47" s="1">
        <v>0</v>
      </c>
      <c r="AU47" s="1">
        <v>89899</v>
      </c>
    </row>
    <row r="48" spans="1:47" x14ac:dyDescent="0.4">
      <c r="A48" s="3" t="s">
        <v>45</v>
      </c>
      <c r="B48" s="3" t="s">
        <v>46</v>
      </c>
      <c r="C48" s="3" t="s">
        <v>47</v>
      </c>
      <c r="D48" s="3" t="s">
        <v>60</v>
      </c>
      <c r="E48" s="3" t="s">
        <v>48</v>
      </c>
      <c r="F48" s="3" t="s">
        <v>49</v>
      </c>
      <c r="G48" s="3" t="s">
        <v>83</v>
      </c>
      <c r="H48" s="3" t="s">
        <v>84</v>
      </c>
      <c r="I48" s="3" t="s">
        <v>50</v>
      </c>
      <c r="J48" s="3" t="s">
        <v>62</v>
      </c>
      <c r="K48" s="3" t="s">
        <v>85</v>
      </c>
      <c r="L48" s="3" t="s">
        <v>56</v>
      </c>
      <c r="M48" s="3" t="s">
        <v>86</v>
      </c>
      <c r="N48" s="3" t="s">
        <v>51</v>
      </c>
      <c r="O48" s="3" t="s">
        <v>51</v>
      </c>
      <c r="P48" s="3" t="s">
        <v>51</v>
      </c>
      <c r="Q48" s="3" t="s">
        <v>87</v>
      </c>
      <c r="R48" s="3" t="s">
        <v>52</v>
      </c>
      <c r="S48" s="3" t="s">
        <v>58</v>
      </c>
      <c r="T48" s="1">
        <v>144200</v>
      </c>
      <c r="U48" s="1">
        <v>115500</v>
      </c>
      <c r="V48" s="1">
        <v>16200</v>
      </c>
      <c r="W48" s="1">
        <v>18300</v>
      </c>
      <c r="X48" s="1">
        <v>275900</v>
      </c>
      <c r="Y48" s="1">
        <v>18300</v>
      </c>
      <c r="Z48" s="1">
        <v>294200</v>
      </c>
      <c r="AA48" s="1">
        <v>173040</v>
      </c>
      <c r="AB48" s="1">
        <v>115500</v>
      </c>
      <c r="AC48" s="1">
        <v>19440</v>
      </c>
      <c r="AD48" s="1">
        <v>18300</v>
      </c>
      <c r="AE48" s="1">
        <v>307980</v>
      </c>
      <c r="AF48" s="1">
        <v>18300</v>
      </c>
      <c r="AG48" s="1">
        <v>326280</v>
      </c>
      <c r="AH48" s="1">
        <v>155736</v>
      </c>
      <c r="AI48" s="1">
        <v>112035</v>
      </c>
      <c r="AJ48" s="1">
        <v>13608</v>
      </c>
      <c r="AK48" s="1">
        <v>16470</v>
      </c>
      <c r="AL48" s="1">
        <v>281379</v>
      </c>
      <c r="AM48" s="1">
        <v>16470</v>
      </c>
      <c r="AN48" s="1">
        <v>297849</v>
      </c>
      <c r="AO48" s="6" t="s">
        <v>107</v>
      </c>
      <c r="AP48" s="6" t="s">
        <v>107</v>
      </c>
      <c r="AQ48" s="6" t="s">
        <v>107</v>
      </c>
      <c r="AR48" s="6" t="s">
        <v>107</v>
      </c>
      <c r="AS48" s="1">
        <v>178710</v>
      </c>
      <c r="AT48" s="1">
        <v>0</v>
      </c>
      <c r="AU48" s="1">
        <v>178710</v>
      </c>
    </row>
    <row r="49" spans="1:47" x14ac:dyDescent="0.4">
      <c r="A49" s="3" t="s">
        <v>45</v>
      </c>
      <c r="B49" s="3" t="s">
        <v>46</v>
      </c>
      <c r="C49" s="3" t="s">
        <v>47</v>
      </c>
      <c r="D49" s="3" t="s">
        <v>60</v>
      </c>
      <c r="E49" s="3" t="s">
        <v>48</v>
      </c>
      <c r="F49" s="3" t="s">
        <v>49</v>
      </c>
      <c r="G49" s="3" t="s">
        <v>101</v>
      </c>
      <c r="H49" s="3" t="s">
        <v>102</v>
      </c>
      <c r="I49" s="3" t="s">
        <v>50</v>
      </c>
      <c r="J49" s="3" t="s">
        <v>62</v>
      </c>
      <c r="K49" s="3" t="s">
        <v>103</v>
      </c>
      <c r="L49" s="3" t="s">
        <v>104</v>
      </c>
      <c r="M49" s="3" t="s">
        <v>105</v>
      </c>
      <c r="N49" s="3" t="s">
        <v>51</v>
      </c>
      <c r="O49" s="3" t="s">
        <v>51</v>
      </c>
      <c r="P49" s="3" t="s">
        <v>51</v>
      </c>
      <c r="Q49" s="3" t="s">
        <v>106</v>
      </c>
      <c r="R49" s="3" t="s">
        <v>52</v>
      </c>
      <c r="S49" s="3" t="s">
        <v>53</v>
      </c>
      <c r="T49" s="1">
        <v>14600</v>
      </c>
      <c r="U49" s="1">
        <v>13200</v>
      </c>
      <c r="V49" s="1">
        <v>4000</v>
      </c>
      <c r="W49" s="1">
        <v>7400</v>
      </c>
      <c r="X49" s="1">
        <v>31800</v>
      </c>
      <c r="Y49" s="1">
        <v>7400</v>
      </c>
      <c r="Z49" s="1">
        <v>39200</v>
      </c>
      <c r="AA49" s="1">
        <v>17520</v>
      </c>
      <c r="AB49" s="1">
        <v>13200</v>
      </c>
      <c r="AC49" s="1">
        <v>4800</v>
      </c>
      <c r="AD49" s="1">
        <v>7400</v>
      </c>
      <c r="AE49" s="1">
        <v>35520</v>
      </c>
      <c r="AF49" s="1">
        <v>7400</v>
      </c>
      <c r="AG49" s="1">
        <v>42920</v>
      </c>
      <c r="AH49" s="1">
        <v>15768</v>
      </c>
      <c r="AI49" s="1">
        <v>12804</v>
      </c>
      <c r="AJ49" s="1">
        <v>3360</v>
      </c>
      <c r="AK49" s="1">
        <v>6660</v>
      </c>
      <c r="AL49" s="1">
        <v>31932</v>
      </c>
      <c r="AM49" s="1">
        <v>6660</v>
      </c>
      <c r="AN49" s="1">
        <v>38592</v>
      </c>
      <c r="AO49" s="6" t="s">
        <v>107</v>
      </c>
      <c r="AP49" s="6" t="s">
        <v>107</v>
      </c>
      <c r="AQ49" s="6" t="s">
        <v>107</v>
      </c>
      <c r="AR49" s="6" t="s">
        <v>107</v>
      </c>
      <c r="AS49" s="1">
        <v>23155</v>
      </c>
      <c r="AT49" s="1">
        <v>0</v>
      </c>
      <c r="AU49" s="1">
        <v>23155</v>
      </c>
    </row>
    <row r="50" spans="1:47" x14ac:dyDescent="0.4">
      <c r="A50" s="3" t="s">
        <v>45</v>
      </c>
      <c r="B50" s="3" t="s">
        <v>46</v>
      </c>
      <c r="C50" s="3" t="s">
        <v>47</v>
      </c>
      <c r="D50" s="3" t="s">
        <v>60</v>
      </c>
      <c r="E50" s="3" t="s">
        <v>48</v>
      </c>
      <c r="F50" s="3" t="s">
        <v>49</v>
      </c>
      <c r="G50" s="3" t="s">
        <v>101</v>
      </c>
      <c r="H50" s="3" t="s">
        <v>102</v>
      </c>
      <c r="I50" s="3" t="s">
        <v>50</v>
      </c>
      <c r="J50" s="3" t="s">
        <v>62</v>
      </c>
      <c r="K50" s="3" t="s">
        <v>103</v>
      </c>
      <c r="L50" s="3" t="s">
        <v>104</v>
      </c>
      <c r="M50" s="3" t="s">
        <v>105</v>
      </c>
      <c r="N50" s="3" t="s">
        <v>51</v>
      </c>
      <c r="O50" s="3" t="s">
        <v>51</v>
      </c>
      <c r="P50" s="3" t="s">
        <v>51</v>
      </c>
      <c r="Q50" s="3" t="s">
        <v>106</v>
      </c>
      <c r="R50" s="3" t="s">
        <v>52</v>
      </c>
      <c r="S50" s="3" t="s">
        <v>54</v>
      </c>
      <c r="T50" s="1">
        <v>3600</v>
      </c>
      <c r="U50" s="1">
        <v>40900</v>
      </c>
      <c r="V50" s="1">
        <v>0</v>
      </c>
      <c r="W50" s="1">
        <v>2300</v>
      </c>
      <c r="X50" s="1">
        <v>44500</v>
      </c>
      <c r="Y50" s="1">
        <v>2300</v>
      </c>
      <c r="Z50" s="1">
        <v>46800</v>
      </c>
      <c r="AA50" s="1">
        <v>4320</v>
      </c>
      <c r="AB50" s="1">
        <v>40900</v>
      </c>
      <c r="AC50" s="1">
        <v>0</v>
      </c>
      <c r="AD50" s="1">
        <v>2300</v>
      </c>
      <c r="AE50" s="1">
        <v>45220</v>
      </c>
      <c r="AF50" s="1">
        <v>2300</v>
      </c>
      <c r="AG50" s="1">
        <v>47520</v>
      </c>
      <c r="AH50" s="1">
        <v>3888</v>
      </c>
      <c r="AI50" s="1">
        <v>39673</v>
      </c>
      <c r="AJ50" s="1">
        <v>0</v>
      </c>
      <c r="AK50" s="1">
        <v>2070</v>
      </c>
      <c r="AL50" s="1">
        <v>43561</v>
      </c>
      <c r="AM50" s="1">
        <v>2070</v>
      </c>
      <c r="AN50" s="1">
        <v>45631</v>
      </c>
      <c r="AO50" s="6" t="s">
        <v>107</v>
      </c>
      <c r="AP50" s="6" t="s">
        <v>107</v>
      </c>
      <c r="AQ50" s="6" t="s">
        <v>107</v>
      </c>
      <c r="AR50" s="6" t="s">
        <v>107</v>
      </c>
      <c r="AS50" s="1">
        <v>27379</v>
      </c>
      <c r="AT50" s="1">
        <v>0</v>
      </c>
      <c r="AU50" s="1">
        <v>27379</v>
      </c>
    </row>
    <row r="51" spans="1:47" x14ac:dyDescent="0.4">
      <c r="A51" s="3" t="s">
        <v>45</v>
      </c>
      <c r="B51" s="3" t="s">
        <v>46</v>
      </c>
      <c r="C51" s="3" t="s">
        <v>47</v>
      </c>
      <c r="D51" s="3" t="s">
        <v>60</v>
      </c>
      <c r="E51" s="3" t="s">
        <v>48</v>
      </c>
      <c r="F51" s="3" t="s">
        <v>49</v>
      </c>
      <c r="G51" s="3" t="s">
        <v>101</v>
      </c>
      <c r="H51" s="3" t="s">
        <v>102</v>
      </c>
      <c r="I51" s="3" t="s">
        <v>50</v>
      </c>
      <c r="J51" s="3" t="s">
        <v>62</v>
      </c>
      <c r="K51" s="3" t="s">
        <v>103</v>
      </c>
      <c r="L51" s="3" t="s">
        <v>104</v>
      </c>
      <c r="M51" s="3" t="s">
        <v>105</v>
      </c>
      <c r="N51" s="3" t="s">
        <v>51</v>
      </c>
      <c r="O51" s="3" t="s">
        <v>51</v>
      </c>
      <c r="P51" s="3" t="s">
        <v>51</v>
      </c>
      <c r="Q51" s="3" t="s">
        <v>106</v>
      </c>
      <c r="R51" s="3" t="s">
        <v>52</v>
      </c>
      <c r="S51" s="3" t="s">
        <v>54</v>
      </c>
      <c r="T51" s="1">
        <v>21600</v>
      </c>
      <c r="U51" s="1">
        <v>23900</v>
      </c>
      <c r="V51" s="1">
        <v>7200</v>
      </c>
      <c r="W51" s="1">
        <v>3700</v>
      </c>
      <c r="X51" s="1">
        <v>52700</v>
      </c>
      <c r="Y51" s="1">
        <v>3700</v>
      </c>
      <c r="Z51" s="1">
        <v>56400</v>
      </c>
      <c r="AA51" s="1">
        <v>25920</v>
      </c>
      <c r="AB51" s="1">
        <v>23900</v>
      </c>
      <c r="AC51" s="1">
        <v>8640</v>
      </c>
      <c r="AD51" s="1">
        <v>3700</v>
      </c>
      <c r="AE51" s="1">
        <v>58460</v>
      </c>
      <c r="AF51" s="1">
        <v>3700</v>
      </c>
      <c r="AG51" s="1">
        <v>62160</v>
      </c>
      <c r="AH51" s="1">
        <v>23328</v>
      </c>
      <c r="AI51" s="1">
        <v>23183</v>
      </c>
      <c r="AJ51" s="1">
        <v>6048</v>
      </c>
      <c r="AK51" s="1">
        <v>3330</v>
      </c>
      <c r="AL51" s="1">
        <v>52559</v>
      </c>
      <c r="AM51" s="1">
        <v>3330</v>
      </c>
      <c r="AN51" s="1">
        <v>55889</v>
      </c>
      <c r="AO51" s="6" t="s">
        <v>107</v>
      </c>
      <c r="AP51" s="6" t="s">
        <v>107</v>
      </c>
      <c r="AQ51" s="6" t="s">
        <v>107</v>
      </c>
      <c r="AR51" s="6" t="s">
        <v>107</v>
      </c>
      <c r="AS51" s="1">
        <v>33534</v>
      </c>
      <c r="AT51" s="1">
        <v>0</v>
      </c>
      <c r="AU51" s="1">
        <v>33534</v>
      </c>
    </row>
    <row r="52" spans="1:47" x14ac:dyDescent="0.4">
      <c r="A52" s="3" t="s">
        <v>45</v>
      </c>
      <c r="B52" s="3" t="s">
        <v>46</v>
      </c>
      <c r="C52" s="3" t="s">
        <v>47</v>
      </c>
      <c r="D52" s="3" t="s">
        <v>60</v>
      </c>
      <c r="E52" s="3" t="s">
        <v>48</v>
      </c>
      <c r="F52" s="3" t="s">
        <v>49</v>
      </c>
      <c r="G52" s="3" t="s">
        <v>101</v>
      </c>
      <c r="H52" s="3" t="s">
        <v>102</v>
      </c>
      <c r="I52" s="3" t="s">
        <v>50</v>
      </c>
      <c r="J52" s="3" t="s">
        <v>62</v>
      </c>
      <c r="K52" s="3" t="s">
        <v>103</v>
      </c>
      <c r="L52" s="3" t="s">
        <v>104</v>
      </c>
      <c r="M52" s="3" t="s">
        <v>105</v>
      </c>
      <c r="N52" s="3" t="s">
        <v>51</v>
      </c>
      <c r="O52" s="3" t="s">
        <v>51</v>
      </c>
      <c r="P52" s="3" t="s">
        <v>51</v>
      </c>
      <c r="Q52" s="3" t="s">
        <v>106</v>
      </c>
      <c r="R52" s="3" t="s">
        <v>52</v>
      </c>
      <c r="S52" s="3" t="s">
        <v>54</v>
      </c>
      <c r="T52" s="1">
        <v>-3200</v>
      </c>
      <c r="U52" s="1">
        <v>28900</v>
      </c>
      <c r="V52" s="1">
        <v>21600</v>
      </c>
      <c r="W52" s="1">
        <v>3500</v>
      </c>
      <c r="X52" s="1">
        <v>47300</v>
      </c>
      <c r="Y52" s="1">
        <v>3500</v>
      </c>
      <c r="Z52" s="1">
        <v>50800</v>
      </c>
      <c r="AA52" s="1">
        <v>-3840</v>
      </c>
      <c r="AB52" s="1">
        <v>28900</v>
      </c>
      <c r="AC52" s="1">
        <v>25920</v>
      </c>
      <c r="AD52" s="1">
        <v>3500</v>
      </c>
      <c r="AE52" s="1">
        <v>50980</v>
      </c>
      <c r="AF52" s="1">
        <v>3500</v>
      </c>
      <c r="AG52" s="1">
        <v>54480</v>
      </c>
      <c r="AH52" s="1">
        <v>-3456</v>
      </c>
      <c r="AI52" s="1">
        <v>28033</v>
      </c>
      <c r="AJ52" s="1">
        <v>18144</v>
      </c>
      <c r="AK52" s="1">
        <v>3150</v>
      </c>
      <c r="AL52" s="1">
        <v>42721</v>
      </c>
      <c r="AM52" s="1">
        <v>3150</v>
      </c>
      <c r="AN52" s="1">
        <v>45871</v>
      </c>
      <c r="AO52" s="6" t="s">
        <v>107</v>
      </c>
      <c r="AP52" s="6" t="s">
        <v>107</v>
      </c>
      <c r="AQ52" s="6" t="s">
        <v>107</v>
      </c>
      <c r="AR52" s="6" t="s">
        <v>107</v>
      </c>
      <c r="AS52" s="1">
        <v>27522</v>
      </c>
      <c r="AT52" s="1">
        <v>0</v>
      </c>
      <c r="AU52" s="1">
        <v>27522</v>
      </c>
    </row>
    <row r="53" spans="1:47" x14ac:dyDescent="0.4">
      <c r="A53" s="3" t="s">
        <v>45</v>
      </c>
      <c r="B53" s="3" t="s">
        <v>46</v>
      </c>
      <c r="C53" s="3" t="s">
        <v>47</v>
      </c>
      <c r="D53" s="3" t="s">
        <v>60</v>
      </c>
      <c r="E53" s="3" t="s">
        <v>48</v>
      </c>
      <c r="F53" s="3" t="s">
        <v>49</v>
      </c>
      <c r="G53" s="3" t="s">
        <v>101</v>
      </c>
      <c r="H53" s="3" t="s">
        <v>102</v>
      </c>
      <c r="I53" s="3" t="s">
        <v>50</v>
      </c>
      <c r="J53" s="3" t="s">
        <v>62</v>
      </c>
      <c r="K53" s="3" t="s">
        <v>103</v>
      </c>
      <c r="L53" s="3" t="s">
        <v>104</v>
      </c>
      <c r="M53" s="3" t="s">
        <v>105</v>
      </c>
      <c r="N53" s="3" t="s">
        <v>51</v>
      </c>
      <c r="O53" s="3" t="s">
        <v>51</v>
      </c>
      <c r="P53" s="3" t="s">
        <v>51</v>
      </c>
      <c r="Q53" s="3" t="s">
        <v>106</v>
      </c>
      <c r="R53" s="3" t="s">
        <v>52</v>
      </c>
      <c r="S53" s="3" t="s">
        <v>57</v>
      </c>
      <c r="T53" s="1">
        <v>471640</v>
      </c>
      <c r="U53" s="1">
        <v>301950</v>
      </c>
      <c r="V53" s="1">
        <v>88550</v>
      </c>
      <c r="W53" s="1">
        <v>273660</v>
      </c>
      <c r="X53" s="1">
        <v>862140</v>
      </c>
      <c r="Y53" s="1">
        <v>273660</v>
      </c>
      <c r="Z53" s="1">
        <v>1135800</v>
      </c>
      <c r="AA53" s="1">
        <v>565968</v>
      </c>
      <c r="AB53" s="1">
        <v>301950</v>
      </c>
      <c r="AC53" s="1">
        <v>106260</v>
      </c>
      <c r="AD53" s="1">
        <v>273660</v>
      </c>
      <c r="AE53" s="1">
        <v>974178</v>
      </c>
      <c r="AF53" s="1">
        <v>273660</v>
      </c>
      <c r="AG53" s="1">
        <v>1247838</v>
      </c>
      <c r="AH53" s="1">
        <v>509371.2</v>
      </c>
      <c r="AI53" s="1">
        <v>292891.5</v>
      </c>
      <c r="AJ53" s="1">
        <v>74382</v>
      </c>
      <c r="AK53" s="1">
        <v>246294</v>
      </c>
      <c r="AL53" s="1">
        <v>876644.7</v>
      </c>
      <c r="AM53" s="1">
        <v>246294</v>
      </c>
      <c r="AN53" s="1">
        <v>1122938.7</v>
      </c>
      <c r="AO53" s="6" t="s">
        <v>107</v>
      </c>
      <c r="AP53" s="6" t="s">
        <v>107</v>
      </c>
      <c r="AQ53" s="6" t="s">
        <v>107</v>
      </c>
      <c r="AR53" s="6" t="s">
        <v>107</v>
      </c>
      <c r="AS53" s="1">
        <v>673763</v>
      </c>
      <c r="AT53" s="1">
        <v>0</v>
      </c>
      <c r="AU53" s="1">
        <v>673763</v>
      </c>
    </row>
    <row r="54" spans="1:47" x14ac:dyDescent="0.4">
      <c r="A54" s="3" t="s">
        <v>45</v>
      </c>
      <c r="B54" s="3" t="s">
        <v>46</v>
      </c>
      <c r="C54" s="3" t="s">
        <v>47</v>
      </c>
      <c r="D54" s="3" t="s">
        <v>60</v>
      </c>
      <c r="E54" s="3" t="s">
        <v>48</v>
      </c>
      <c r="F54" s="3" t="s">
        <v>49</v>
      </c>
      <c r="G54" s="3" t="s">
        <v>101</v>
      </c>
      <c r="H54" s="3" t="s">
        <v>102</v>
      </c>
      <c r="I54" s="3" t="s">
        <v>50</v>
      </c>
      <c r="J54" s="3" t="s">
        <v>62</v>
      </c>
      <c r="K54" s="3" t="s">
        <v>103</v>
      </c>
      <c r="L54" s="3" t="s">
        <v>104</v>
      </c>
      <c r="M54" s="3" t="s">
        <v>105</v>
      </c>
      <c r="N54" s="3" t="s">
        <v>51</v>
      </c>
      <c r="O54" s="3" t="s">
        <v>51</v>
      </c>
      <c r="P54" s="3" t="s">
        <v>51</v>
      </c>
      <c r="Q54" s="3" t="s">
        <v>106</v>
      </c>
      <c r="R54" s="3" t="s">
        <v>52</v>
      </c>
      <c r="S54" s="3" t="s">
        <v>58</v>
      </c>
      <c r="T54" s="1">
        <v>346100</v>
      </c>
      <c r="U54" s="1">
        <v>220540</v>
      </c>
      <c r="V54" s="1">
        <v>25800</v>
      </c>
      <c r="W54" s="1">
        <v>61760</v>
      </c>
      <c r="X54" s="1">
        <v>592440</v>
      </c>
      <c r="Y54" s="1">
        <v>61760</v>
      </c>
      <c r="Z54" s="1">
        <v>654200</v>
      </c>
      <c r="AA54" s="1">
        <v>415320</v>
      </c>
      <c r="AB54" s="1">
        <v>220540</v>
      </c>
      <c r="AC54" s="1">
        <v>30960</v>
      </c>
      <c r="AD54" s="1">
        <v>61760</v>
      </c>
      <c r="AE54" s="1">
        <v>666820</v>
      </c>
      <c r="AF54" s="1">
        <v>61760</v>
      </c>
      <c r="AG54" s="1">
        <v>728580</v>
      </c>
      <c r="AH54" s="1">
        <v>373788</v>
      </c>
      <c r="AI54" s="1">
        <v>213923.8</v>
      </c>
      <c r="AJ54" s="1">
        <v>21672</v>
      </c>
      <c r="AK54" s="1">
        <v>55584</v>
      </c>
      <c r="AL54" s="1">
        <v>609383.80000000005</v>
      </c>
      <c r="AM54" s="1">
        <v>55584</v>
      </c>
      <c r="AN54" s="1">
        <v>664967.80000000005</v>
      </c>
      <c r="AO54" s="6" t="s">
        <v>107</v>
      </c>
      <c r="AP54" s="6" t="s">
        <v>107</v>
      </c>
      <c r="AQ54" s="6" t="s">
        <v>107</v>
      </c>
      <c r="AR54" s="6" t="s">
        <v>107</v>
      </c>
      <c r="AS54" s="1">
        <v>398980</v>
      </c>
      <c r="AT54" s="1">
        <v>0</v>
      </c>
      <c r="AU54" s="1">
        <v>398980</v>
      </c>
    </row>
    <row r="55" spans="1:47" x14ac:dyDescent="0.4">
      <c r="A55" s="3" t="s">
        <v>45</v>
      </c>
      <c r="B55" s="3" t="s">
        <v>46</v>
      </c>
      <c r="C55" s="3" t="s">
        <v>47</v>
      </c>
      <c r="D55" s="3" t="s">
        <v>60</v>
      </c>
      <c r="E55" s="3" t="s">
        <v>48</v>
      </c>
      <c r="F55" s="3" t="s">
        <v>49</v>
      </c>
      <c r="G55" s="3" t="s">
        <v>101</v>
      </c>
      <c r="H55" s="3" t="s">
        <v>102</v>
      </c>
      <c r="I55" s="3" t="s">
        <v>50</v>
      </c>
      <c r="J55" s="3" t="s">
        <v>62</v>
      </c>
      <c r="K55" s="3" t="s">
        <v>103</v>
      </c>
      <c r="L55" s="3" t="s">
        <v>104</v>
      </c>
      <c r="M55" s="3" t="s">
        <v>105</v>
      </c>
      <c r="N55" s="3" t="s">
        <v>51</v>
      </c>
      <c r="O55" s="3" t="s">
        <v>51</v>
      </c>
      <c r="P55" s="3" t="s">
        <v>51</v>
      </c>
      <c r="Q55" s="3" t="s">
        <v>106</v>
      </c>
      <c r="R55" s="3" t="s">
        <v>52</v>
      </c>
      <c r="S55" s="3" t="s">
        <v>58</v>
      </c>
      <c r="T55" s="1">
        <v>104300</v>
      </c>
      <c r="U55" s="1">
        <v>48000</v>
      </c>
      <c r="V55" s="1">
        <v>18000</v>
      </c>
      <c r="W55" s="1">
        <v>5300</v>
      </c>
      <c r="X55" s="1">
        <v>170300</v>
      </c>
      <c r="Y55" s="1">
        <v>5300</v>
      </c>
      <c r="Z55" s="1">
        <v>175600</v>
      </c>
      <c r="AA55" s="1">
        <v>125160</v>
      </c>
      <c r="AB55" s="1">
        <v>48000</v>
      </c>
      <c r="AC55" s="1">
        <v>21600</v>
      </c>
      <c r="AD55" s="1">
        <v>5300</v>
      </c>
      <c r="AE55" s="1">
        <v>194760</v>
      </c>
      <c r="AF55" s="1">
        <v>5300</v>
      </c>
      <c r="AG55" s="1">
        <v>200060</v>
      </c>
      <c r="AH55" s="1">
        <v>112644</v>
      </c>
      <c r="AI55" s="1">
        <v>46560</v>
      </c>
      <c r="AJ55" s="1">
        <v>15120</v>
      </c>
      <c r="AK55" s="1">
        <v>4770</v>
      </c>
      <c r="AL55" s="1">
        <v>174324</v>
      </c>
      <c r="AM55" s="1">
        <v>4770</v>
      </c>
      <c r="AN55" s="1">
        <v>179094</v>
      </c>
      <c r="AO55" s="6" t="s">
        <v>107</v>
      </c>
      <c r="AP55" s="6" t="s">
        <v>107</v>
      </c>
      <c r="AQ55" s="6" t="s">
        <v>107</v>
      </c>
      <c r="AR55" s="6" t="s">
        <v>107</v>
      </c>
      <c r="AS55" s="1">
        <v>107456</v>
      </c>
      <c r="AT55" s="1">
        <v>0</v>
      </c>
      <c r="AU55" s="1">
        <v>107456</v>
      </c>
    </row>
    <row r="56" spans="1:47" x14ac:dyDescent="0.4">
      <c r="A56" s="3" t="s">
        <v>45</v>
      </c>
      <c r="B56" s="3" t="s">
        <v>46</v>
      </c>
      <c r="C56" s="3" t="s">
        <v>47</v>
      </c>
      <c r="D56" s="3" t="s">
        <v>60</v>
      </c>
      <c r="E56" s="3" t="s">
        <v>48</v>
      </c>
      <c r="F56" s="3" t="s">
        <v>49</v>
      </c>
      <c r="G56" s="3" t="s">
        <v>101</v>
      </c>
      <c r="H56" s="3" t="s">
        <v>102</v>
      </c>
      <c r="I56" s="3" t="s">
        <v>50</v>
      </c>
      <c r="J56" s="3" t="s">
        <v>62</v>
      </c>
      <c r="K56" s="3" t="s">
        <v>103</v>
      </c>
      <c r="L56" s="3" t="s">
        <v>104</v>
      </c>
      <c r="M56" s="3" t="s">
        <v>105</v>
      </c>
      <c r="N56" s="3" t="s">
        <v>51</v>
      </c>
      <c r="O56" s="3" t="s">
        <v>51</v>
      </c>
      <c r="P56" s="3" t="s">
        <v>51</v>
      </c>
      <c r="Q56" s="3" t="s">
        <v>106</v>
      </c>
      <c r="R56" s="3" t="s">
        <v>52</v>
      </c>
      <c r="S56" s="3" t="s">
        <v>58</v>
      </c>
      <c r="T56" s="1">
        <v>97300</v>
      </c>
      <c r="U56" s="1">
        <v>86500</v>
      </c>
      <c r="V56" s="1">
        <v>10800</v>
      </c>
      <c r="W56" s="1">
        <v>20800</v>
      </c>
      <c r="X56" s="1">
        <v>194600</v>
      </c>
      <c r="Y56" s="1">
        <v>20800</v>
      </c>
      <c r="Z56" s="1">
        <v>215400</v>
      </c>
      <c r="AA56" s="1">
        <v>116760</v>
      </c>
      <c r="AB56" s="1">
        <v>86500</v>
      </c>
      <c r="AC56" s="1">
        <v>12960</v>
      </c>
      <c r="AD56" s="1">
        <v>20800</v>
      </c>
      <c r="AE56" s="1">
        <v>216220</v>
      </c>
      <c r="AF56" s="1">
        <v>20800</v>
      </c>
      <c r="AG56" s="1">
        <v>237020</v>
      </c>
      <c r="AH56" s="1">
        <v>105084</v>
      </c>
      <c r="AI56" s="1">
        <v>83905</v>
      </c>
      <c r="AJ56" s="1">
        <v>9072</v>
      </c>
      <c r="AK56" s="1">
        <v>18720</v>
      </c>
      <c r="AL56" s="1">
        <v>198061</v>
      </c>
      <c r="AM56" s="1">
        <v>18720</v>
      </c>
      <c r="AN56" s="1">
        <v>216781</v>
      </c>
      <c r="AO56" s="6" t="s">
        <v>107</v>
      </c>
      <c r="AP56" s="6" t="s">
        <v>107</v>
      </c>
      <c r="AQ56" s="6" t="s">
        <v>107</v>
      </c>
      <c r="AR56" s="6" t="s">
        <v>107</v>
      </c>
      <c r="AS56" s="1">
        <v>130068</v>
      </c>
      <c r="AT56" s="1">
        <v>0</v>
      </c>
      <c r="AU56" s="1">
        <v>130068</v>
      </c>
    </row>
    <row r="57" spans="1:47" x14ac:dyDescent="0.4">
      <c r="A57" s="3" t="s">
        <v>45</v>
      </c>
      <c r="B57" s="3" t="s">
        <v>46</v>
      </c>
      <c r="C57" s="3" t="s">
        <v>47</v>
      </c>
      <c r="D57" s="3" t="s">
        <v>60</v>
      </c>
      <c r="E57" s="3" t="s">
        <v>48</v>
      </c>
      <c r="F57" s="3" t="s">
        <v>49</v>
      </c>
      <c r="G57" s="3" t="s">
        <v>88</v>
      </c>
      <c r="H57" s="3" t="s">
        <v>89</v>
      </c>
      <c r="I57" s="3" t="s">
        <v>50</v>
      </c>
      <c r="J57" s="3" t="s">
        <v>62</v>
      </c>
      <c r="K57" s="3" t="s">
        <v>90</v>
      </c>
      <c r="L57" s="3" t="s">
        <v>91</v>
      </c>
      <c r="M57" s="3" t="s">
        <v>92</v>
      </c>
      <c r="N57" s="3" t="s">
        <v>51</v>
      </c>
      <c r="O57" s="3" t="s">
        <v>51</v>
      </c>
      <c r="P57" s="3" t="s">
        <v>51</v>
      </c>
      <c r="Q57" s="3" t="s">
        <v>93</v>
      </c>
      <c r="R57" s="3" t="s">
        <v>52</v>
      </c>
      <c r="S57" s="3" t="s">
        <v>53</v>
      </c>
      <c r="T57" s="1">
        <v>6000</v>
      </c>
      <c r="U57" s="1">
        <v>13400</v>
      </c>
      <c r="V57" s="1">
        <v>0</v>
      </c>
      <c r="W57" s="1">
        <v>54200</v>
      </c>
      <c r="X57" s="1">
        <v>19400</v>
      </c>
      <c r="Y57" s="1">
        <v>54200</v>
      </c>
      <c r="Z57" s="1">
        <v>73600</v>
      </c>
      <c r="AA57" s="1">
        <v>7200</v>
      </c>
      <c r="AB57" s="1">
        <v>13400</v>
      </c>
      <c r="AC57" s="1">
        <v>0</v>
      </c>
      <c r="AD57" s="1">
        <v>54200</v>
      </c>
      <c r="AE57" s="1">
        <v>20600</v>
      </c>
      <c r="AF57" s="1">
        <v>54200</v>
      </c>
      <c r="AG57" s="1">
        <v>74800</v>
      </c>
      <c r="AH57" s="1">
        <v>6480</v>
      </c>
      <c r="AI57" s="1">
        <v>12998</v>
      </c>
      <c r="AJ57" s="1">
        <v>0</v>
      </c>
      <c r="AK57" s="1">
        <v>48780</v>
      </c>
      <c r="AL57" s="1">
        <v>19478</v>
      </c>
      <c r="AM57" s="1">
        <v>48780</v>
      </c>
      <c r="AN57" s="1">
        <v>68258</v>
      </c>
      <c r="AO57" s="6" t="s">
        <v>107</v>
      </c>
      <c r="AP57" s="6" t="s">
        <v>107</v>
      </c>
      <c r="AQ57" s="6" t="s">
        <v>107</v>
      </c>
      <c r="AR57" s="6" t="s">
        <v>107</v>
      </c>
      <c r="AS57" s="1">
        <v>40955</v>
      </c>
      <c r="AT57" s="1">
        <v>0</v>
      </c>
      <c r="AU57" s="1">
        <v>40955</v>
      </c>
    </row>
    <row r="58" spans="1:47" x14ac:dyDescent="0.4">
      <c r="A58" s="3" t="s">
        <v>45</v>
      </c>
      <c r="B58" s="3" t="s">
        <v>46</v>
      </c>
      <c r="C58" s="3" t="s">
        <v>47</v>
      </c>
      <c r="D58" s="3" t="s">
        <v>60</v>
      </c>
      <c r="E58" s="3" t="s">
        <v>48</v>
      </c>
      <c r="F58" s="3" t="s">
        <v>49</v>
      </c>
      <c r="G58" s="3" t="s">
        <v>88</v>
      </c>
      <c r="H58" s="3" t="s">
        <v>89</v>
      </c>
      <c r="I58" s="3" t="s">
        <v>50</v>
      </c>
      <c r="J58" s="3" t="s">
        <v>62</v>
      </c>
      <c r="K58" s="3" t="s">
        <v>90</v>
      </c>
      <c r="L58" s="3" t="s">
        <v>91</v>
      </c>
      <c r="M58" s="3" t="s">
        <v>92</v>
      </c>
      <c r="N58" s="3" t="s">
        <v>51</v>
      </c>
      <c r="O58" s="3" t="s">
        <v>51</v>
      </c>
      <c r="P58" s="3" t="s">
        <v>51</v>
      </c>
      <c r="Q58" s="3" t="s">
        <v>93</v>
      </c>
      <c r="R58" s="3" t="s">
        <v>52</v>
      </c>
      <c r="S58" s="3" t="s">
        <v>54</v>
      </c>
      <c r="T58" s="1">
        <v>14400</v>
      </c>
      <c r="U58" s="1">
        <v>19800</v>
      </c>
      <c r="V58" s="1">
        <v>0</v>
      </c>
      <c r="W58" s="1">
        <v>5400</v>
      </c>
      <c r="X58" s="1">
        <v>34200</v>
      </c>
      <c r="Y58" s="1">
        <v>5400</v>
      </c>
      <c r="Z58" s="1">
        <v>39600</v>
      </c>
      <c r="AA58" s="1">
        <v>17280</v>
      </c>
      <c r="AB58" s="1">
        <v>19800</v>
      </c>
      <c r="AC58" s="1">
        <v>0</v>
      </c>
      <c r="AD58" s="1">
        <v>5400</v>
      </c>
      <c r="AE58" s="1">
        <v>37080</v>
      </c>
      <c r="AF58" s="1">
        <v>5400</v>
      </c>
      <c r="AG58" s="1">
        <v>42480</v>
      </c>
      <c r="AH58" s="1">
        <v>15552</v>
      </c>
      <c r="AI58" s="1">
        <v>19206</v>
      </c>
      <c r="AJ58" s="1">
        <v>0</v>
      </c>
      <c r="AK58" s="1">
        <v>4860</v>
      </c>
      <c r="AL58" s="1">
        <v>34758</v>
      </c>
      <c r="AM58" s="1">
        <v>4860</v>
      </c>
      <c r="AN58" s="1">
        <v>39618</v>
      </c>
      <c r="AO58" s="6" t="s">
        <v>107</v>
      </c>
      <c r="AP58" s="6" t="s">
        <v>107</v>
      </c>
      <c r="AQ58" s="6" t="s">
        <v>107</v>
      </c>
      <c r="AR58" s="6" t="s">
        <v>107</v>
      </c>
      <c r="AS58" s="1">
        <v>23771</v>
      </c>
      <c r="AT58" s="1">
        <v>0</v>
      </c>
      <c r="AU58" s="1">
        <v>23771</v>
      </c>
    </row>
    <row r="59" spans="1:47" x14ac:dyDescent="0.4">
      <c r="A59" s="3" t="s">
        <v>45</v>
      </c>
      <c r="B59" s="3" t="s">
        <v>46</v>
      </c>
      <c r="C59" s="3" t="s">
        <v>47</v>
      </c>
      <c r="D59" s="3" t="s">
        <v>60</v>
      </c>
      <c r="E59" s="3" t="s">
        <v>48</v>
      </c>
      <c r="F59" s="3" t="s">
        <v>49</v>
      </c>
      <c r="G59" s="3" t="s">
        <v>88</v>
      </c>
      <c r="H59" s="3" t="s">
        <v>89</v>
      </c>
      <c r="I59" s="3" t="s">
        <v>50</v>
      </c>
      <c r="J59" s="3" t="s">
        <v>62</v>
      </c>
      <c r="K59" s="3" t="s">
        <v>90</v>
      </c>
      <c r="L59" s="3" t="s">
        <v>91</v>
      </c>
      <c r="M59" s="3" t="s">
        <v>92</v>
      </c>
      <c r="N59" s="3" t="s">
        <v>51</v>
      </c>
      <c r="O59" s="3" t="s">
        <v>51</v>
      </c>
      <c r="P59" s="3" t="s">
        <v>51</v>
      </c>
      <c r="Q59" s="3" t="s">
        <v>93</v>
      </c>
      <c r="R59" s="3" t="s">
        <v>52</v>
      </c>
      <c r="S59" s="3" t="s">
        <v>54</v>
      </c>
      <c r="T59" s="1">
        <v>0</v>
      </c>
      <c r="U59" s="1">
        <v>0</v>
      </c>
      <c r="V59" s="1">
        <v>0</v>
      </c>
      <c r="W59" s="1">
        <v>7200</v>
      </c>
      <c r="X59" s="1">
        <v>0</v>
      </c>
      <c r="Y59" s="1">
        <v>7200</v>
      </c>
      <c r="Z59" s="1">
        <v>7200</v>
      </c>
      <c r="AA59" s="1">
        <v>0</v>
      </c>
      <c r="AB59" s="1">
        <v>0</v>
      </c>
      <c r="AC59" s="1">
        <v>0</v>
      </c>
      <c r="AD59" s="1">
        <v>7200</v>
      </c>
      <c r="AE59" s="1">
        <v>0</v>
      </c>
      <c r="AF59" s="1">
        <v>7200</v>
      </c>
      <c r="AG59" s="1">
        <v>7200</v>
      </c>
      <c r="AH59" s="1">
        <v>0</v>
      </c>
      <c r="AI59" s="1">
        <v>0</v>
      </c>
      <c r="AJ59" s="1">
        <v>0</v>
      </c>
      <c r="AK59" s="1">
        <v>6480</v>
      </c>
      <c r="AL59" s="1">
        <v>0</v>
      </c>
      <c r="AM59" s="1">
        <v>6480</v>
      </c>
      <c r="AN59" s="1">
        <v>6480</v>
      </c>
      <c r="AO59" s="6" t="s">
        <v>107</v>
      </c>
      <c r="AP59" s="6" t="s">
        <v>107</v>
      </c>
      <c r="AQ59" s="6" t="s">
        <v>107</v>
      </c>
      <c r="AR59" s="6" t="s">
        <v>107</v>
      </c>
      <c r="AS59" s="1">
        <v>3888</v>
      </c>
      <c r="AT59" s="1">
        <v>0</v>
      </c>
      <c r="AU59" s="1">
        <v>3888</v>
      </c>
    </row>
    <row r="60" spans="1:47" x14ac:dyDescent="0.4">
      <c r="A60" s="3" t="s">
        <v>45</v>
      </c>
      <c r="B60" s="3" t="s">
        <v>46</v>
      </c>
      <c r="C60" s="3" t="s">
        <v>47</v>
      </c>
      <c r="D60" s="3" t="s">
        <v>60</v>
      </c>
      <c r="E60" s="3" t="s">
        <v>48</v>
      </c>
      <c r="F60" s="3" t="s">
        <v>49</v>
      </c>
      <c r="G60" s="3" t="s">
        <v>88</v>
      </c>
      <c r="H60" s="3" t="s">
        <v>89</v>
      </c>
      <c r="I60" s="3" t="s">
        <v>50</v>
      </c>
      <c r="J60" s="3" t="s">
        <v>62</v>
      </c>
      <c r="K60" s="3" t="s">
        <v>90</v>
      </c>
      <c r="L60" s="3" t="s">
        <v>91</v>
      </c>
      <c r="M60" s="3" t="s">
        <v>92</v>
      </c>
      <c r="N60" s="3" t="s">
        <v>51</v>
      </c>
      <c r="O60" s="3" t="s">
        <v>51</v>
      </c>
      <c r="P60" s="3" t="s">
        <v>51</v>
      </c>
      <c r="Q60" s="3" t="s">
        <v>93</v>
      </c>
      <c r="R60" s="3" t="s">
        <v>52</v>
      </c>
      <c r="S60" s="3" t="s">
        <v>54</v>
      </c>
      <c r="T60" s="1">
        <v>10800</v>
      </c>
      <c r="U60" s="1">
        <v>11600</v>
      </c>
      <c r="V60" s="1">
        <v>0</v>
      </c>
      <c r="W60" s="1">
        <v>10000</v>
      </c>
      <c r="X60" s="1">
        <v>22400</v>
      </c>
      <c r="Y60" s="1">
        <v>10000</v>
      </c>
      <c r="Z60" s="1">
        <v>32400</v>
      </c>
      <c r="AA60" s="1">
        <v>12960</v>
      </c>
      <c r="AB60" s="1">
        <v>11600</v>
      </c>
      <c r="AC60" s="1">
        <v>0</v>
      </c>
      <c r="AD60" s="1">
        <v>10000</v>
      </c>
      <c r="AE60" s="1">
        <v>24560</v>
      </c>
      <c r="AF60" s="1">
        <v>10000</v>
      </c>
      <c r="AG60" s="1">
        <v>34560</v>
      </c>
      <c r="AH60" s="1">
        <v>11664</v>
      </c>
      <c r="AI60" s="1">
        <v>11252</v>
      </c>
      <c r="AJ60" s="1">
        <v>0</v>
      </c>
      <c r="AK60" s="1">
        <v>9000</v>
      </c>
      <c r="AL60" s="1">
        <v>22916</v>
      </c>
      <c r="AM60" s="1">
        <v>9000</v>
      </c>
      <c r="AN60" s="1">
        <v>31916</v>
      </c>
      <c r="AO60" s="6" t="s">
        <v>107</v>
      </c>
      <c r="AP60" s="6" t="s">
        <v>107</v>
      </c>
      <c r="AQ60" s="6" t="s">
        <v>107</v>
      </c>
      <c r="AR60" s="6" t="s">
        <v>107</v>
      </c>
      <c r="AS60" s="1">
        <v>19149</v>
      </c>
      <c r="AT60" s="1">
        <v>0</v>
      </c>
      <c r="AU60" s="1">
        <v>19149</v>
      </c>
    </row>
    <row r="61" spans="1:47" x14ac:dyDescent="0.4">
      <c r="A61" s="3" t="s">
        <v>45</v>
      </c>
      <c r="B61" s="3" t="s">
        <v>46</v>
      </c>
      <c r="C61" s="3" t="s">
        <v>47</v>
      </c>
      <c r="D61" s="3" t="s">
        <v>60</v>
      </c>
      <c r="E61" s="3" t="s">
        <v>48</v>
      </c>
      <c r="F61" s="3" t="s">
        <v>49</v>
      </c>
      <c r="G61" s="3" t="s">
        <v>88</v>
      </c>
      <c r="H61" s="3" t="s">
        <v>89</v>
      </c>
      <c r="I61" s="3" t="s">
        <v>50</v>
      </c>
      <c r="J61" s="3" t="s">
        <v>62</v>
      </c>
      <c r="K61" s="3" t="s">
        <v>90</v>
      </c>
      <c r="L61" s="3" t="s">
        <v>91</v>
      </c>
      <c r="M61" s="3" t="s">
        <v>92</v>
      </c>
      <c r="N61" s="3" t="s">
        <v>51</v>
      </c>
      <c r="O61" s="3" t="s">
        <v>51</v>
      </c>
      <c r="P61" s="3" t="s">
        <v>51</v>
      </c>
      <c r="Q61" s="3" t="s">
        <v>93</v>
      </c>
      <c r="R61" s="3" t="s">
        <v>52</v>
      </c>
      <c r="S61" s="3" t="s">
        <v>57</v>
      </c>
      <c r="T61" s="1">
        <v>108810</v>
      </c>
      <c r="U61" s="1">
        <v>49410</v>
      </c>
      <c r="V61" s="1">
        <v>28880</v>
      </c>
      <c r="W61" s="1">
        <v>314500</v>
      </c>
      <c r="X61" s="1">
        <v>187100</v>
      </c>
      <c r="Y61" s="1">
        <v>314500</v>
      </c>
      <c r="Z61" s="1">
        <v>501600</v>
      </c>
      <c r="AA61" s="1">
        <v>130572</v>
      </c>
      <c r="AB61" s="1">
        <v>49410</v>
      </c>
      <c r="AC61" s="1">
        <v>34616</v>
      </c>
      <c r="AD61" s="1">
        <v>314500</v>
      </c>
      <c r="AE61" s="1">
        <v>214598</v>
      </c>
      <c r="AF61" s="1">
        <v>314500</v>
      </c>
      <c r="AG61" s="1">
        <v>529098</v>
      </c>
      <c r="AH61" s="1">
        <v>117514.8</v>
      </c>
      <c r="AI61" s="1">
        <v>47927.7</v>
      </c>
      <c r="AJ61" s="1">
        <v>24231.200000000001</v>
      </c>
      <c r="AK61" s="1">
        <v>283050</v>
      </c>
      <c r="AL61" s="1">
        <v>189673.7</v>
      </c>
      <c r="AM61" s="1">
        <v>283050</v>
      </c>
      <c r="AN61" s="1">
        <v>472723.7</v>
      </c>
      <c r="AO61" s="6" t="s">
        <v>107</v>
      </c>
      <c r="AP61" s="6" t="s">
        <v>107</v>
      </c>
      <c r="AQ61" s="6" t="s">
        <v>107</v>
      </c>
      <c r="AR61" s="6" t="s">
        <v>107</v>
      </c>
      <c r="AS61" s="1">
        <v>283635</v>
      </c>
      <c r="AT61" s="1">
        <v>0</v>
      </c>
      <c r="AU61" s="1">
        <v>283635</v>
      </c>
    </row>
    <row r="62" spans="1:47" x14ac:dyDescent="0.4">
      <c r="A62" s="3" t="s">
        <v>45</v>
      </c>
      <c r="B62" s="3" t="s">
        <v>46</v>
      </c>
      <c r="C62" s="3" t="s">
        <v>47</v>
      </c>
      <c r="D62" s="3" t="s">
        <v>60</v>
      </c>
      <c r="E62" s="3" t="s">
        <v>48</v>
      </c>
      <c r="F62" s="3" t="s">
        <v>49</v>
      </c>
      <c r="G62" s="3" t="s">
        <v>88</v>
      </c>
      <c r="H62" s="3" t="s">
        <v>89</v>
      </c>
      <c r="I62" s="3" t="s">
        <v>50</v>
      </c>
      <c r="J62" s="3" t="s">
        <v>62</v>
      </c>
      <c r="K62" s="3" t="s">
        <v>90</v>
      </c>
      <c r="L62" s="3" t="s">
        <v>91</v>
      </c>
      <c r="M62" s="3" t="s">
        <v>92</v>
      </c>
      <c r="N62" s="3" t="s">
        <v>51</v>
      </c>
      <c r="O62" s="3" t="s">
        <v>51</v>
      </c>
      <c r="P62" s="3" t="s">
        <v>51</v>
      </c>
      <c r="Q62" s="3" t="s">
        <v>93</v>
      </c>
      <c r="R62" s="3" t="s">
        <v>52</v>
      </c>
      <c r="S62" s="3" t="s">
        <v>58</v>
      </c>
      <c r="T62" s="1">
        <v>63880</v>
      </c>
      <c r="U62" s="1">
        <v>87320</v>
      </c>
      <c r="V62" s="1">
        <v>12600</v>
      </c>
      <c r="W62" s="1">
        <v>71000</v>
      </c>
      <c r="X62" s="1">
        <v>163800</v>
      </c>
      <c r="Y62" s="1">
        <v>71000</v>
      </c>
      <c r="Z62" s="1">
        <v>234800</v>
      </c>
      <c r="AA62" s="1">
        <v>76656</v>
      </c>
      <c r="AB62" s="1">
        <v>87320</v>
      </c>
      <c r="AC62" s="1">
        <v>15120</v>
      </c>
      <c r="AD62" s="1">
        <v>71000</v>
      </c>
      <c r="AE62" s="1">
        <v>179096</v>
      </c>
      <c r="AF62" s="1">
        <v>71000</v>
      </c>
      <c r="AG62" s="1">
        <v>250096</v>
      </c>
      <c r="AH62" s="1">
        <v>68990.399999999994</v>
      </c>
      <c r="AI62" s="1">
        <v>84700.4</v>
      </c>
      <c r="AJ62" s="1">
        <v>10584</v>
      </c>
      <c r="AK62" s="1">
        <v>63900</v>
      </c>
      <c r="AL62" s="1">
        <v>164274.79999999999</v>
      </c>
      <c r="AM62" s="1">
        <v>63900</v>
      </c>
      <c r="AN62" s="1">
        <v>228174.8</v>
      </c>
      <c r="AO62" s="6" t="s">
        <v>107</v>
      </c>
      <c r="AP62" s="6" t="s">
        <v>107</v>
      </c>
      <c r="AQ62" s="6" t="s">
        <v>107</v>
      </c>
      <c r="AR62" s="6" t="s">
        <v>107</v>
      </c>
      <c r="AS62" s="1">
        <v>136904</v>
      </c>
      <c r="AT62" s="1">
        <v>0</v>
      </c>
      <c r="AU62" s="1">
        <v>136904</v>
      </c>
    </row>
    <row r="63" spans="1:47" x14ac:dyDescent="0.4">
      <c r="A63" s="3" t="s">
        <v>45</v>
      </c>
      <c r="B63" s="3" t="s">
        <v>46</v>
      </c>
      <c r="C63" s="3" t="s">
        <v>47</v>
      </c>
      <c r="D63" s="3" t="s">
        <v>60</v>
      </c>
      <c r="E63" s="3" t="s">
        <v>48</v>
      </c>
      <c r="F63" s="3" t="s">
        <v>49</v>
      </c>
      <c r="G63" s="3" t="s">
        <v>88</v>
      </c>
      <c r="H63" s="3" t="s">
        <v>89</v>
      </c>
      <c r="I63" s="3" t="s">
        <v>50</v>
      </c>
      <c r="J63" s="3" t="s">
        <v>62</v>
      </c>
      <c r="K63" s="3" t="s">
        <v>90</v>
      </c>
      <c r="L63" s="3" t="s">
        <v>91</v>
      </c>
      <c r="M63" s="3" t="s">
        <v>92</v>
      </c>
      <c r="N63" s="3" t="s">
        <v>51</v>
      </c>
      <c r="O63" s="3" t="s">
        <v>51</v>
      </c>
      <c r="P63" s="3" t="s">
        <v>51</v>
      </c>
      <c r="Q63" s="3" t="s">
        <v>93</v>
      </c>
      <c r="R63" s="3" t="s">
        <v>52</v>
      </c>
      <c r="S63" s="3" t="s">
        <v>58</v>
      </c>
      <c r="T63" s="1">
        <v>21600</v>
      </c>
      <c r="U63" s="1">
        <v>17600</v>
      </c>
      <c r="V63" s="1">
        <v>3600</v>
      </c>
      <c r="W63" s="1">
        <v>18000</v>
      </c>
      <c r="X63" s="1">
        <v>42800</v>
      </c>
      <c r="Y63" s="1">
        <v>18000</v>
      </c>
      <c r="Z63" s="1">
        <v>60800</v>
      </c>
      <c r="AA63" s="1">
        <v>25920</v>
      </c>
      <c r="AB63" s="1">
        <v>17600</v>
      </c>
      <c r="AC63" s="1">
        <v>4320</v>
      </c>
      <c r="AD63" s="1">
        <v>18000</v>
      </c>
      <c r="AE63" s="1">
        <v>47840</v>
      </c>
      <c r="AF63" s="1">
        <v>18000</v>
      </c>
      <c r="AG63" s="1">
        <v>65840</v>
      </c>
      <c r="AH63" s="1">
        <v>23328</v>
      </c>
      <c r="AI63" s="1">
        <v>17072</v>
      </c>
      <c r="AJ63" s="1">
        <v>3024</v>
      </c>
      <c r="AK63" s="1">
        <v>16200</v>
      </c>
      <c r="AL63" s="1">
        <v>43424</v>
      </c>
      <c r="AM63" s="1">
        <v>16200</v>
      </c>
      <c r="AN63" s="1">
        <v>59624</v>
      </c>
      <c r="AO63" s="6" t="s">
        <v>107</v>
      </c>
      <c r="AP63" s="6" t="s">
        <v>107</v>
      </c>
      <c r="AQ63" s="6" t="s">
        <v>107</v>
      </c>
      <c r="AR63" s="6" t="s">
        <v>107</v>
      </c>
      <c r="AS63" s="1">
        <v>35774</v>
      </c>
      <c r="AT63" s="1">
        <v>0</v>
      </c>
      <c r="AU63" s="1">
        <v>35774</v>
      </c>
    </row>
    <row r="64" spans="1:47" x14ac:dyDescent="0.4">
      <c r="A64" s="3" t="s">
        <v>45</v>
      </c>
      <c r="B64" s="3" t="s">
        <v>46</v>
      </c>
      <c r="C64" s="3" t="s">
        <v>47</v>
      </c>
      <c r="D64" s="3" t="s">
        <v>60</v>
      </c>
      <c r="E64" s="3" t="s">
        <v>48</v>
      </c>
      <c r="F64" s="3" t="s">
        <v>49</v>
      </c>
      <c r="G64" s="3" t="s">
        <v>88</v>
      </c>
      <c r="H64" s="3" t="s">
        <v>89</v>
      </c>
      <c r="I64" s="3" t="s">
        <v>50</v>
      </c>
      <c r="J64" s="3" t="s">
        <v>62</v>
      </c>
      <c r="K64" s="3" t="s">
        <v>90</v>
      </c>
      <c r="L64" s="3" t="s">
        <v>91</v>
      </c>
      <c r="M64" s="3" t="s">
        <v>92</v>
      </c>
      <c r="N64" s="3" t="s">
        <v>51</v>
      </c>
      <c r="O64" s="3" t="s">
        <v>51</v>
      </c>
      <c r="P64" s="3" t="s">
        <v>51</v>
      </c>
      <c r="Q64" s="3" t="s">
        <v>93</v>
      </c>
      <c r="R64" s="3" t="s">
        <v>52</v>
      </c>
      <c r="S64" s="3" t="s">
        <v>58</v>
      </c>
      <c r="T64" s="1">
        <v>21000</v>
      </c>
      <c r="U64" s="1">
        <v>10800</v>
      </c>
      <c r="V64" s="1">
        <v>16200</v>
      </c>
      <c r="W64" s="1">
        <v>6000</v>
      </c>
      <c r="X64" s="1">
        <v>48000</v>
      </c>
      <c r="Y64" s="1">
        <v>6000</v>
      </c>
      <c r="Z64" s="1">
        <v>54000</v>
      </c>
      <c r="AA64" s="1">
        <v>25200</v>
      </c>
      <c r="AB64" s="1">
        <v>10800</v>
      </c>
      <c r="AC64" s="1">
        <v>19440</v>
      </c>
      <c r="AD64" s="1">
        <v>6000</v>
      </c>
      <c r="AE64" s="1">
        <v>55440</v>
      </c>
      <c r="AF64" s="1">
        <v>6000</v>
      </c>
      <c r="AG64" s="1">
        <v>61440</v>
      </c>
      <c r="AH64" s="1">
        <v>22680</v>
      </c>
      <c r="AI64" s="1">
        <v>10476</v>
      </c>
      <c r="AJ64" s="1">
        <v>13608</v>
      </c>
      <c r="AK64" s="1">
        <v>5400</v>
      </c>
      <c r="AL64" s="1">
        <v>46764</v>
      </c>
      <c r="AM64" s="1">
        <v>5400</v>
      </c>
      <c r="AN64" s="1">
        <v>52164</v>
      </c>
      <c r="AO64" s="6" t="s">
        <v>107</v>
      </c>
      <c r="AP64" s="6" t="s">
        <v>107</v>
      </c>
      <c r="AQ64" s="6" t="s">
        <v>107</v>
      </c>
      <c r="AR64" s="6" t="s">
        <v>107</v>
      </c>
      <c r="AS64" s="1">
        <v>31299</v>
      </c>
      <c r="AT64" s="1">
        <v>0</v>
      </c>
      <c r="AU64" s="1">
        <v>31299</v>
      </c>
    </row>
    <row r="65" spans="1:47" x14ac:dyDescent="0.4">
      <c r="A65" s="3" t="s">
        <v>45</v>
      </c>
      <c r="B65" s="3" t="s">
        <v>46</v>
      </c>
      <c r="C65" s="3" t="s">
        <v>47</v>
      </c>
      <c r="D65" s="3" t="s">
        <v>60</v>
      </c>
      <c r="E65" s="3" t="s">
        <v>48</v>
      </c>
      <c r="F65" s="3" t="s">
        <v>49</v>
      </c>
      <c r="G65" s="3" t="s">
        <v>108</v>
      </c>
      <c r="H65" s="3" t="s">
        <v>109</v>
      </c>
      <c r="I65" s="3" t="s">
        <v>50</v>
      </c>
      <c r="J65" s="3" t="s">
        <v>62</v>
      </c>
      <c r="K65" s="3" t="s">
        <v>110</v>
      </c>
      <c r="L65" s="3" t="s">
        <v>111</v>
      </c>
      <c r="M65" s="3" t="s">
        <v>112</v>
      </c>
      <c r="N65" s="3" t="s">
        <v>51</v>
      </c>
      <c r="O65" s="3" t="s">
        <v>51</v>
      </c>
      <c r="P65" s="3" t="s">
        <v>51</v>
      </c>
      <c r="Q65" s="3" t="s">
        <v>113</v>
      </c>
      <c r="R65" s="3" t="s">
        <v>52</v>
      </c>
      <c r="S65" s="3" t="s">
        <v>53</v>
      </c>
      <c r="T65" s="1">
        <v>7300</v>
      </c>
      <c r="U65" s="1">
        <v>3480</v>
      </c>
      <c r="V65" s="1">
        <v>0</v>
      </c>
      <c r="W65" s="1">
        <v>13820</v>
      </c>
      <c r="X65" s="1">
        <v>10780</v>
      </c>
      <c r="Y65" s="1">
        <v>13820</v>
      </c>
      <c r="Z65" s="1">
        <v>24600</v>
      </c>
      <c r="AA65" s="1">
        <v>8760</v>
      </c>
      <c r="AB65" s="1">
        <v>3480</v>
      </c>
      <c r="AC65" s="1">
        <v>0</v>
      </c>
      <c r="AD65" s="1">
        <v>13820</v>
      </c>
      <c r="AE65" s="1">
        <v>12240</v>
      </c>
      <c r="AF65" s="1">
        <v>13820</v>
      </c>
      <c r="AG65" s="1">
        <v>26060</v>
      </c>
      <c r="AH65" s="1">
        <v>7884</v>
      </c>
      <c r="AI65" s="1">
        <v>3375.6</v>
      </c>
      <c r="AJ65" s="1">
        <v>0</v>
      </c>
      <c r="AK65" s="1">
        <v>12438</v>
      </c>
      <c r="AL65" s="1">
        <v>11259.6</v>
      </c>
      <c r="AM65" s="1">
        <v>12438</v>
      </c>
      <c r="AN65" s="1">
        <v>23697.599999999999</v>
      </c>
      <c r="AO65" s="6" t="s">
        <v>107</v>
      </c>
      <c r="AP65" s="6" t="s">
        <v>107</v>
      </c>
      <c r="AQ65" s="6" t="s">
        <v>107</v>
      </c>
      <c r="AR65" s="6" t="s">
        <v>107</v>
      </c>
      <c r="AS65" s="1">
        <v>14218</v>
      </c>
      <c r="AT65" s="1">
        <v>0</v>
      </c>
      <c r="AU65" s="1">
        <v>14218</v>
      </c>
    </row>
    <row r="66" spans="1:47" x14ac:dyDescent="0.4">
      <c r="A66" s="3" t="s">
        <v>45</v>
      </c>
      <c r="B66" s="3" t="s">
        <v>46</v>
      </c>
      <c r="C66" s="3" t="s">
        <v>47</v>
      </c>
      <c r="D66" s="3" t="s">
        <v>60</v>
      </c>
      <c r="E66" s="3" t="s">
        <v>48</v>
      </c>
      <c r="F66" s="3" t="s">
        <v>49</v>
      </c>
      <c r="G66" s="3" t="s">
        <v>108</v>
      </c>
      <c r="H66" s="3" t="s">
        <v>109</v>
      </c>
      <c r="I66" s="3" t="s">
        <v>50</v>
      </c>
      <c r="J66" s="3" t="s">
        <v>62</v>
      </c>
      <c r="K66" s="3" t="s">
        <v>110</v>
      </c>
      <c r="L66" s="3" t="s">
        <v>111</v>
      </c>
      <c r="M66" s="3" t="s">
        <v>112</v>
      </c>
      <c r="N66" s="3" t="s">
        <v>51</v>
      </c>
      <c r="O66" s="3" t="s">
        <v>51</v>
      </c>
      <c r="P66" s="3" t="s">
        <v>51</v>
      </c>
      <c r="Q66" s="3" t="s">
        <v>113</v>
      </c>
      <c r="R66" s="3" t="s">
        <v>52</v>
      </c>
      <c r="S66" s="3" t="s">
        <v>54</v>
      </c>
      <c r="T66" s="1">
        <v>2700</v>
      </c>
      <c r="U66" s="1">
        <v>6700</v>
      </c>
      <c r="V66" s="1">
        <v>0</v>
      </c>
      <c r="W66" s="1">
        <v>4100</v>
      </c>
      <c r="X66" s="1">
        <v>9400</v>
      </c>
      <c r="Y66" s="1">
        <v>4100</v>
      </c>
      <c r="Z66" s="1">
        <v>13500</v>
      </c>
      <c r="AA66" s="1">
        <v>3240</v>
      </c>
      <c r="AB66" s="1">
        <v>6700</v>
      </c>
      <c r="AC66" s="1">
        <v>0</v>
      </c>
      <c r="AD66" s="1">
        <v>4100</v>
      </c>
      <c r="AE66" s="1">
        <v>9940</v>
      </c>
      <c r="AF66" s="1">
        <v>4100</v>
      </c>
      <c r="AG66" s="1">
        <v>14040</v>
      </c>
      <c r="AH66" s="1">
        <v>2916</v>
      </c>
      <c r="AI66" s="1">
        <v>6499</v>
      </c>
      <c r="AJ66" s="1">
        <v>0</v>
      </c>
      <c r="AK66" s="1">
        <v>3690</v>
      </c>
      <c r="AL66" s="1">
        <v>9415</v>
      </c>
      <c r="AM66" s="1">
        <v>3690</v>
      </c>
      <c r="AN66" s="1">
        <v>13105</v>
      </c>
      <c r="AO66" s="6" t="s">
        <v>107</v>
      </c>
      <c r="AP66" s="6" t="s">
        <v>107</v>
      </c>
      <c r="AQ66" s="6" t="s">
        <v>107</v>
      </c>
      <c r="AR66" s="6" t="s">
        <v>107</v>
      </c>
      <c r="AS66" s="1">
        <v>7863</v>
      </c>
      <c r="AT66" s="1">
        <v>0</v>
      </c>
      <c r="AU66" s="1">
        <v>7863</v>
      </c>
    </row>
    <row r="67" spans="1:47" x14ac:dyDescent="0.4">
      <c r="A67" s="3" t="s">
        <v>45</v>
      </c>
      <c r="B67" s="3" t="s">
        <v>46</v>
      </c>
      <c r="C67" s="3" t="s">
        <v>47</v>
      </c>
      <c r="D67" s="3" t="s">
        <v>60</v>
      </c>
      <c r="E67" s="3" t="s">
        <v>48</v>
      </c>
      <c r="F67" s="3" t="s">
        <v>49</v>
      </c>
      <c r="G67" s="3" t="s">
        <v>108</v>
      </c>
      <c r="H67" s="3" t="s">
        <v>109</v>
      </c>
      <c r="I67" s="3" t="s">
        <v>50</v>
      </c>
      <c r="J67" s="3" t="s">
        <v>62</v>
      </c>
      <c r="K67" s="3" t="s">
        <v>110</v>
      </c>
      <c r="L67" s="3" t="s">
        <v>111</v>
      </c>
      <c r="M67" s="3" t="s">
        <v>112</v>
      </c>
      <c r="N67" s="3" t="s">
        <v>51</v>
      </c>
      <c r="O67" s="3" t="s">
        <v>51</v>
      </c>
      <c r="P67" s="3" t="s">
        <v>51</v>
      </c>
      <c r="Q67" s="3" t="s">
        <v>113</v>
      </c>
      <c r="R67" s="3" t="s">
        <v>52</v>
      </c>
      <c r="S67" s="3" t="s">
        <v>54</v>
      </c>
      <c r="T67" s="1">
        <v>0</v>
      </c>
      <c r="U67" s="1">
        <v>8100</v>
      </c>
      <c r="V67" s="1">
        <v>0</v>
      </c>
      <c r="W67" s="1">
        <v>0</v>
      </c>
      <c r="X67" s="1">
        <v>8100</v>
      </c>
      <c r="Y67" s="1">
        <v>0</v>
      </c>
      <c r="Z67" s="1">
        <v>8100</v>
      </c>
      <c r="AA67" s="1">
        <v>0</v>
      </c>
      <c r="AB67" s="1">
        <v>8100</v>
      </c>
      <c r="AC67" s="1">
        <v>0</v>
      </c>
      <c r="AD67" s="1">
        <v>0</v>
      </c>
      <c r="AE67" s="1">
        <v>8100</v>
      </c>
      <c r="AF67" s="1">
        <v>0</v>
      </c>
      <c r="AG67" s="1">
        <v>8100</v>
      </c>
      <c r="AH67" s="1">
        <v>0</v>
      </c>
      <c r="AI67" s="1">
        <v>7857</v>
      </c>
      <c r="AJ67" s="1">
        <v>0</v>
      </c>
      <c r="AK67" s="1">
        <v>0</v>
      </c>
      <c r="AL67" s="1">
        <v>7857</v>
      </c>
      <c r="AM67" s="1">
        <v>0</v>
      </c>
      <c r="AN67" s="1">
        <v>7857</v>
      </c>
      <c r="AO67" s="6" t="s">
        <v>107</v>
      </c>
      <c r="AP67" s="6" t="s">
        <v>107</v>
      </c>
      <c r="AQ67" s="6" t="s">
        <v>107</v>
      </c>
      <c r="AR67" s="6" t="s">
        <v>107</v>
      </c>
      <c r="AS67" s="1">
        <v>4714</v>
      </c>
      <c r="AT67" s="1">
        <v>0</v>
      </c>
      <c r="AU67" s="1">
        <v>4714</v>
      </c>
    </row>
    <row r="68" spans="1:47" x14ac:dyDescent="0.4">
      <c r="A68" s="3" t="s">
        <v>45</v>
      </c>
      <c r="B68" s="3" t="s">
        <v>46</v>
      </c>
      <c r="C68" s="3" t="s">
        <v>47</v>
      </c>
      <c r="D68" s="3" t="s">
        <v>60</v>
      </c>
      <c r="E68" s="3" t="s">
        <v>48</v>
      </c>
      <c r="F68" s="3" t="s">
        <v>49</v>
      </c>
      <c r="G68" s="3" t="s">
        <v>108</v>
      </c>
      <c r="H68" s="3" t="s">
        <v>109</v>
      </c>
      <c r="I68" s="3" t="s">
        <v>50</v>
      </c>
      <c r="J68" s="3" t="s">
        <v>62</v>
      </c>
      <c r="K68" s="3" t="s">
        <v>110</v>
      </c>
      <c r="L68" s="3" t="s">
        <v>111</v>
      </c>
      <c r="M68" s="3" t="s">
        <v>112</v>
      </c>
      <c r="N68" s="3" t="s">
        <v>51</v>
      </c>
      <c r="O68" s="3" t="s">
        <v>51</v>
      </c>
      <c r="P68" s="3" t="s">
        <v>51</v>
      </c>
      <c r="Q68" s="3" t="s">
        <v>113</v>
      </c>
      <c r="R68" s="3" t="s">
        <v>52</v>
      </c>
      <c r="S68" s="3" t="s">
        <v>57</v>
      </c>
      <c r="T68" s="1">
        <v>97950</v>
      </c>
      <c r="U68" s="1">
        <v>69860</v>
      </c>
      <c r="V68" s="1">
        <v>16080</v>
      </c>
      <c r="W68" s="1">
        <v>236710</v>
      </c>
      <c r="X68" s="1">
        <v>183890</v>
      </c>
      <c r="Y68" s="1">
        <v>236710</v>
      </c>
      <c r="Z68" s="1">
        <v>420600</v>
      </c>
      <c r="AA68" s="1">
        <v>117540</v>
      </c>
      <c r="AB68" s="1">
        <v>69860</v>
      </c>
      <c r="AC68" s="1">
        <v>19296</v>
      </c>
      <c r="AD68" s="1">
        <v>236710</v>
      </c>
      <c r="AE68" s="1">
        <v>206696</v>
      </c>
      <c r="AF68" s="1">
        <v>236710</v>
      </c>
      <c r="AG68" s="1">
        <v>443406</v>
      </c>
      <c r="AH68" s="1">
        <v>105786</v>
      </c>
      <c r="AI68" s="1">
        <v>67764.2</v>
      </c>
      <c r="AJ68" s="1">
        <v>13507.2</v>
      </c>
      <c r="AK68" s="1">
        <v>213039</v>
      </c>
      <c r="AL68" s="1">
        <v>187057.4</v>
      </c>
      <c r="AM68" s="1">
        <v>213039</v>
      </c>
      <c r="AN68" s="1">
        <v>400096.4</v>
      </c>
      <c r="AO68" s="6" t="s">
        <v>107</v>
      </c>
      <c r="AP68" s="6" t="s">
        <v>107</v>
      </c>
      <c r="AQ68" s="6" t="s">
        <v>107</v>
      </c>
      <c r="AR68" s="6" t="s">
        <v>107</v>
      </c>
      <c r="AS68" s="1">
        <v>240058</v>
      </c>
      <c r="AT68" s="1">
        <v>0</v>
      </c>
      <c r="AU68" s="1">
        <v>240058</v>
      </c>
    </row>
    <row r="69" spans="1:47" x14ac:dyDescent="0.4">
      <c r="A69" s="3" t="s">
        <v>45</v>
      </c>
      <c r="B69" s="3" t="s">
        <v>46</v>
      </c>
      <c r="C69" s="3" t="s">
        <v>47</v>
      </c>
      <c r="D69" s="3" t="s">
        <v>60</v>
      </c>
      <c r="E69" s="3" t="s">
        <v>48</v>
      </c>
      <c r="F69" s="3" t="s">
        <v>49</v>
      </c>
      <c r="G69" s="3" t="s">
        <v>108</v>
      </c>
      <c r="H69" s="3" t="s">
        <v>109</v>
      </c>
      <c r="I69" s="3" t="s">
        <v>50</v>
      </c>
      <c r="J69" s="3" t="s">
        <v>62</v>
      </c>
      <c r="K69" s="3" t="s">
        <v>110</v>
      </c>
      <c r="L69" s="3" t="s">
        <v>111</v>
      </c>
      <c r="M69" s="3" t="s">
        <v>112</v>
      </c>
      <c r="N69" s="3" t="s">
        <v>51</v>
      </c>
      <c r="O69" s="3" t="s">
        <v>51</v>
      </c>
      <c r="P69" s="3" t="s">
        <v>51</v>
      </c>
      <c r="Q69" s="3" t="s">
        <v>113</v>
      </c>
      <c r="R69" s="3" t="s">
        <v>52</v>
      </c>
      <c r="S69" s="3" t="s">
        <v>58</v>
      </c>
      <c r="T69" s="1">
        <v>29400</v>
      </c>
      <c r="U69" s="1">
        <v>43200</v>
      </c>
      <c r="V69" s="1">
        <v>12300</v>
      </c>
      <c r="W69" s="1">
        <v>23300</v>
      </c>
      <c r="X69" s="1">
        <v>84900</v>
      </c>
      <c r="Y69" s="1">
        <v>23300</v>
      </c>
      <c r="Z69" s="1">
        <v>108200</v>
      </c>
      <c r="AA69" s="1">
        <v>35280</v>
      </c>
      <c r="AB69" s="1">
        <v>43200</v>
      </c>
      <c r="AC69" s="1">
        <v>14760</v>
      </c>
      <c r="AD69" s="1">
        <v>23300</v>
      </c>
      <c r="AE69" s="1">
        <v>93240</v>
      </c>
      <c r="AF69" s="1">
        <v>23300</v>
      </c>
      <c r="AG69" s="1">
        <v>116540</v>
      </c>
      <c r="AH69" s="1">
        <v>31752</v>
      </c>
      <c r="AI69" s="1">
        <v>41904</v>
      </c>
      <c r="AJ69" s="1">
        <v>10332</v>
      </c>
      <c r="AK69" s="1">
        <v>20970</v>
      </c>
      <c r="AL69" s="1">
        <v>83988</v>
      </c>
      <c r="AM69" s="1">
        <v>20970</v>
      </c>
      <c r="AN69" s="1">
        <v>104958</v>
      </c>
      <c r="AO69" s="6" t="s">
        <v>107</v>
      </c>
      <c r="AP69" s="6" t="s">
        <v>107</v>
      </c>
      <c r="AQ69" s="6" t="s">
        <v>107</v>
      </c>
      <c r="AR69" s="6" t="s">
        <v>107</v>
      </c>
      <c r="AS69" s="1">
        <v>62974</v>
      </c>
      <c r="AT69" s="1">
        <v>0</v>
      </c>
      <c r="AU69" s="1">
        <v>62974</v>
      </c>
    </row>
    <row r="70" spans="1:47" x14ac:dyDescent="0.4">
      <c r="A70" s="3" t="s">
        <v>45</v>
      </c>
      <c r="B70" s="3" t="s">
        <v>46</v>
      </c>
      <c r="C70" s="3" t="s">
        <v>47</v>
      </c>
      <c r="D70" s="3" t="s">
        <v>60</v>
      </c>
      <c r="E70" s="3" t="s">
        <v>48</v>
      </c>
      <c r="F70" s="3" t="s">
        <v>49</v>
      </c>
      <c r="G70" s="3" t="s">
        <v>108</v>
      </c>
      <c r="H70" s="3" t="s">
        <v>109</v>
      </c>
      <c r="I70" s="3" t="s">
        <v>50</v>
      </c>
      <c r="J70" s="3" t="s">
        <v>62</v>
      </c>
      <c r="K70" s="3" t="s">
        <v>110</v>
      </c>
      <c r="L70" s="3" t="s">
        <v>111</v>
      </c>
      <c r="M70" s="3" t="s">
        <v>112</v>
      </c>
      <c r="N70" s="3" t="s">
        <v>51</v>
      </c>
      <c r="O70" s="3" t="s">
        <v>51</v>
      </c>
      <c r="P70" s="3" t="s">
        <v>51</v>
      </c>
      <c r="Q70" s="3" t="s">
        <v>113</v>
      </c>
      <c r="R70" s="3" t="s">
        <v>52</v>
      </c>
      <c r="S70" s="3" t="s">
        <v>58</v>
      </c>
      <c r="T70" s="1">
        <v>5800</v>
      </c>
      <c r="U70" s="1">
        <v>7200</v>
      </c>
      <c r="V70" s="1">
        <v>0</v>
      </c>
      <c r="W70" s="1">
        <v>-2000</v>
      </c>
      <c r="X70" s="1">
        <v>13000</v>
      </c>
      <c r="Y70" s="1">
        <v>-2000</v>
      </c>
      <c r="Z70" s="1">
        <v>11000</v>
      </c>
      <c r="AA70" s="1">
        <v>6960</v>
      </c>
      <c r="AB70" s="1">
        <v>7200</v>
      </c>
      <c r="AC70" s="1">
        <v>0</v>
      </c>
      <c r="AD70" s="1">
        <v>-2000</v>
      </c>
      <c r="AE70" s="1">
        <v>14160</v>
      </c>
      <c r="AF70" s="1">
        <v>-2000</v>
      </c>
      <c r="AG70" s="1">
        <v>12160</v>
      </c>
      <c r="AH70" s="1">
        <v>6264</v>
      </c>
      <c r="AI70" s="1">
        <v>6984</v>
      </c>
      <c r="AJ70" s="1">
        <v>0</v>
      </c>
      <c r="AK70" s="1">
        <v>-1800</v>
      </c>
      <c r="AL70" s="1">
        <v>13248</v>
      </c>
      <c r="AM70" s="1">
        <v>-1800</v>
      </c>
      <c r="AN70" s="1">
        <v>11448</v>
      </c>
      <c r="AO70" s="6" t="s">
        <v>107</v>
      </c>
      <c r="AP70" s="6" t="s">
        <v>107</v>
      </c>
      <c r="AQ70" s="6" t="s">
        <v>107</v>
      </c>
      <c r="AR70" s="6" t="s">
        <v>107</v>
      </c>
      <c r="AS70" s="1">
        <v>6868</v>
      </c>
      <c r="AT70" s="1">
        <v>0</v>
      </c>
      <c r="AU70" s="1">
        <v>6868</v>
      </c>
    </row>
    <row r="71" spans="1:47" x14ac:dyDescent="0.4">
      <c r="AU71" s="5">
        <f>SUM(AU2:AU70)</f>
        <v>30115400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U55"/>
  <sheetViews>
    <sheetView topLeftCell="A22" zoomScale="70" zoomScaleNormal="70" workbookViewId="0">
      <selection activeCell="Q29" sqref="Q29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3.19921875" bestFit="1" customWidth="1"/>
    <col min="4" max="4" width="11.0976562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19.796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3.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9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114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4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24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4" t="s">
        <v>44</v>
      </c>
    </row>
    <row r="2" spans="1:47" x14ac:dyDescent="0.4">
      <c r="A2" s="3" t="s">
        <v>45</v>
      </c>
      <c r="B2" s="3" t="s">
        <v>46</v>
      </c>
      <c r="C2" s="3" t="s">
        <v>47</v>
      </c>
      <c r="D2" s="3" t="s">
        <v>60</v>
      </c>
      <c r="E2" s="3" t="s">
        <v>48</v>
      </c>
      <c r="F2" s="3" t="s">
        <v>49</v>
      </c>
      <c r="G2" s="3" t="s">
        <v>61</v>
      </c>
      <c r="H2" s="3" t="s">
        <v>94</v>
      </c>
      <c r="I2" s="3" t="s">
        <v>50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51</v>
      </c>
      <c r="O2" s="3" t="s">
        <v>51</v>
      </c>
      <c r="P2" s="3" t="s">
        <v>51</v>
      </c>
      <c r="Q2" s="3" t="s">
        <v>66</v>
      </c>
      <c r="R2" s="3" t="s">
        <v>52</v>
      </c>
      <c r="S2" s="3" t="s">
        <v>53</v>
      </c>
      <c r="T2" s="1">
        <v>0</v>
      </c>
      <c r="U2" s="1">
        <v>1800</v>
      </c>
      <c r="V2" s="1">
        <v>3600</v>
      </c>
      <c r="W2" s="1">
        <v>7400</v>
      </c>
      <c r="X2" s="1">
        <v>5400</v>
      </c>
      <c r="Y2" s="1">
        <v>7400</v>
      </c>
      <c r="Z2" s="1">
        <v>12800</v>
      </c>
      <c r="AA2" s="1">
        <v>0</v>
      </c>
      <c r="AB2" s="1">
        <v>1800</v>
      </c>
      <c r="AC2" s="1">
        <v>4320</v>
      </c>
      <c r="AD2" s="1">
        <v>7400</v>
      </c>
      <c r="AE2" s="1">
        <v>6120</v>
      </c>
      <c r="AF2" s="1">
        <v>7400</v>
      </c>
      <c r="AG2" s="1">
        <v>13520</v>
      </c>
      <c r="AH2" s="1">
        <v>0</v>
      </c>
      <c r="AI2" s="1">
        <v>1746</v>
      </c>
      <c r="AJ2" s="1">
        <v>3024</v>
      </c>
      <c r="AK2" s="1">
        <v>6660</v>
      </c>
      <c r="AL2" s="1">
        <v>4770</v>
      </c>
      <c r="AM2" s="1">
        <v>6660</v>
      </c>
      <c r="AN2" s="1">
        <v>12800</v>
      </c>
      <c r="AO2" s="6" t="s">
        <v>107</v>
      </c>
      <c r="AP2" s="6" t="s">
        <v>107</v>
      </c>
      <c r="AQ2" s="6" t="s">
        <v>107</v>
      </c>
      <c r="AR2" s="6" t="s">
        <v>107</v>
      </c>
      <c r="AS2" s="1">
        <v>6858</v>
      </c>
      <c r="AT2" s="1">
        <v>0</v>
      </c>
      <c r="AU2" s="1">
        <v>6858</v>
      </c>
    </row>
    <row r="3" spans="1:47" x14ac:dyDescent="0.4">
      <c r="A3" s="3" t="s">
        <v>45</v>
      </c>
      <c r="B3" s="3" t="s">
        <v>46</v>
      </c>
      <c r="C3" s="3" t="s">
        <v>47</v>
      </c>
      <c r="D3" s="3" t="s">
        <v>60</v>
      </c>
      <c r="E3" s="3" t="s">
        <v>48</v>
      </c>
      <c r="F3" s="3" t="s">
        <v>49</v>
      </c>
      <c r="G3" s="3" t="s">
        <v>61</v>
      </c>
      <c r="H3" s="3" t="s">
        <v>94</v>
      </c>
      <c r="I3" s="3" t="s">
        <v>50</v>
      </c>
      <c r="J3" s="3" t="s">
        <v>62</v>
      </c>
      <c r="K3" s="3" t="s">
        <v>63</v>
      </c>
      <c r="L3" s="3" t="s">
        <v>64</v>
      </c>
      <c r="M3" s="3" t="s">
        <v>65</v>
      </c>
      <c r="N3" s="3" t="s">
        <v>51</v>
      </c>
      <c r="O3" s="3" t="s">
        <v>51</v>
      </c>
      <c r="P3" s="3" t="s">
        <v>51</v>
      </c>
      <c r="Q3" s="3" t="s">
        <v>66</v>
      </c>
      <c r="R3" s="3" t="s">
        <v>52</v>
      </c>
      <c r="S3" s="3" t="s">
        <v>54</v>
      </c>
      <c r="T3" s="1">
        <v>7200</v>
      </c>
      <c r="U3" s="1">
        <v>28800</v>
      </c>
      <c r="V3" s="1">
        <v>0</v>
      </c>
      <c r="W3" s="1">
        <v>3600</v>
      </c>
      <c r="X3" s="1">
        <v>36000</v>
      </c>
      <c r="Y3" s="1">
        <v>3600</v>
      </c>
      <c r="Z3" s="1">
        <v>39600</v>
      </c>
      <c r="AA3" s="1">
        <v>8640</v>
      </c>
      <c r="AB3" s="1">
        <v>28800</v>
      </c>
      <c r="AC3" s="1">
        <v>0</v>
      </c>
      <c r="AD3" s="1">
        <v>3600</v>
      </c>
      <c r="AE3" s="1">
        <v>37440</v>
      </c>
      <c r="AF3" s="1">
        <v>3600</v>
      </c>
      <c r="AG3" s="1">
        <v>41040</v>
      </c>
      <c r="AH3" s="1">
        <v>7776</v>
      </c>
      <c r="AI3" s="1">
        <v>27936</v>
      </c>
      <c r="AJ3" s="1">
        <v>0</v>
      </c>
      <c r="AK3" s="1">
        <v>3240</v>
      </c>
      <c r="AL3" s="1">
        <v>35712</v>
      </c>
      <c r="AM3" s="1">
        <v>3240</v>
      </c>
      <c r="AN3" s="1">
        <v>39600</v>
      </c>
      <c r="AO3" s="6" t="s">
        <v>107</v>
      </c>
      <c r="AP3" s="6" t="s">
        <v>107</v>
      </c>
      <c r="AQ3" s="6" t="s">
        <v>107</v>
      </c>
      <c r="AR3" s="6" t="s">
        <v>107</v>
      </c>
      <c r="AS3" s="1">
        <v>23372</v>
      </c>
      <c r="AT3" s="1">
        <v>0</v>
      </c>
      <c r="AU3" s="1">
        <v>23372</v>
      </c>
    </row>
    <row r="4" spans="1:47" x14ac:dyDescent="0.4">
      <c r="A4" s="3" t="s">
        <v>45</v>
      </c>
      <c r="B4" s="3" t="s">
        <v>46</v>
      </c>
      <c r="C4" s="3" t="s">
        <v>47</v>
      </c>
      <c r="D4" s="3" t="s">
        <v>60</v>
      </c>
      <c r="E4" s="3" t="s">
        <v>48</v>
      </c>
      <c r="F4" s="3" t="s">
        <v>49</v>
      </c>
      <c r="G4" s="3" t="s">
        <v>61</v>
      </c>
      <c r="H4" s="3" t="s">
        <v>94</v>
      </c>
      <c r="I4" s="3" t="s">
        <v>50</v>
      </c>
      <c r="J4" s="3" t="s">
        <v>62</v>
      </c>
      <c r="K4" s="3" t="s">
        <v>63</v>
      </c>
      <c r="L4" s="3" t="s">
        <v>64</v>
      </c>
      <c r="M4" s="3" t="s">
        <v>65</v>
      </c>
      <c r="N4" s="3" t="s">
        <v>51</v>
      </c>
      <c r="O4" s="3" t="s">
        <v>51</v>
      </c>
      <c r="P4" s="3" t="s">
        <v>51</v>
      </c>
      <c r="Q4" s="3" t="s">
        <v>66</v>
      </c>
      <c r="R4" s="3" t="s">
        <v>52</v>
      </c>
      <c r="S4" s="3" t="s">
        <v>54</v>
      </c>
      <c r="T4" s="1">
        <v>3600</v>
      </c>
      <c r="U4" s="1">
        <v>14800</v>
      </c>
      <c r="V4" s="1">
        <v>0</v>
      </c>
      <c r="W4" s="1">
        <v>0</v>
      </c>
      <c r="X4" s="1">
        <v>18400</v>
      </c>
      <c r="Y4" s="1">
        <v>0</v>
      </c>
      <c r="Z4" s="1">
        <v>18400</v>
      </c>
      <c r="AA4" s="1">
        <v>4320</v>
      </c>
      <c r="AB4" s="1">
        <v>14800</v>
      </c>
      <c r="AC4" s="1">
        <v>0</v>
      </c>
      <c r="AD4" s="1">
        <v>0</v>
      </c>
      <c r="AE4" s="1">
        <v>19120</v>
      </c>
      <c r="AF4" s="1">
        <v>0</v>
      </c>
      <c r="AG4" s="1">
        <v>19120</v>
      </c>
      <c r="AH4" s="1">
        <v>3888</v>
      </c>
      <c r="AI4" s="1">
        <v>14356</v>
      </c>
      <c r="AJ4" s="1">
        <v>0</v>
      </c>
      <c r="AK4" s="1">
        <v>0</v>
      </c>
      <c r="AL4" s="1">
        <v>18244</v>
      </c>
      <c r="AM4" s="1">
        <v>0</v>
      </c>
      <c r="AN4" s="1">
        <v>18400</v>
      </c>
      <c r="AO4" s="6" t="s">
        <v>107</v>
      </c>
      <c r="AP4" s="6" t="s">
        <v>107</v>
      </c>
      <c r="AQ4" s="6" t="s">
        <v>107</v>
      </c>
      <c r="AR4" s="6" t="s">
        <v>107</v>
      </c>
      <c r="AS4" s="1">
        <v>10947</v>
      </c>
      <c r="AT4" s="1">
        <v>0</v>
      </c>
      <c r="AU4" s="1">
        <v>10947</v>
      </c>
    </row>
    <row r="5" spans="1:47" x14ac:dyDescent="0.4">
      <c r="A5" s="3" t="s">
        <v>45</v>
      </c>
      <c r="B5" s="3" t="s">
        <v>46</v>
      </c>
      <c r="C5" s="3" t="s">
        <v>47</v>
      </c>
      <c r="D5" s="3" t="s">
        <v>60</v>
      </c>
      <c r="E5" s="3" t="s">
        <v>48</v>
      </c>
      <c r="F5" s="3" t="s">
        <v>49</v>
      </c>
      <c r="G5" s="3" t="s">
        <v>61</v>
      </c>
      <c r="H5" s="3" t="s">
        <v>94</v>
      </c>
      <c r="I5" s="3" t="s">
        <v>50</v>
      </c>
      <c r="J5" s="3" t="s">
        <v>62</v>
      </c>
      <c r="K5" s="3" t="s">
        <v>63</v>
      </c>
      <c r="L5" s="3" t="s">
        <v>64</v>
      </c>
      <c r="M5" s="3" t="s">
        <v>65</v>
      </c>
      <c r="N5" s="3" t="s">
        <v>51</v>
      </c>
      <c r="O5" s="3" t="s">
        <v>51</v>
      </c>
      <c r="P5" s="3" t="s">
        <v>51</v>
      </c>
      <c r="Q5" s="3" t="s">
        <v>66</v>
      </c>
      <c r="R5" s="3" t="s">
        <v>52</v>
      </c>
      <c r="S5" s="3" t="s">
        <v>54</v>
      </c>
      <c r="T5" s="1">
        <v>126000</v>
      </c>
      <c r="U5" s="1">
        <v>0</v>
      </c>
      <c r="V5" s="1">
        <v>0</v>
      </c>
      <c r="W5" s="1">
        <v>0</v>
      </c>
      <c r="X5" s="1">
        <v>126000</v>
      </c>
      <c r="Y5" s="1">
        <v>0</v>
      </c>
      <c r="Z5" s="1">
        <v>126000</v>
      </c>
      <c r="AA5" s="1">
        <v>151200</v>
      </c>
      <c r="AB5" s="1">
        <v>0</v>
      </c>
      <c r="AC5" s="1">
        <v>0</v>
      </c>
      <c r="AD5" s="1">
        <v>0</v>
      </c>
      <c r="AE5" s="1">
        <v>151200</v>
      </c>
      <c r="AF5" s="1">
        <v>0</v>
      </c>
      <c r="AG5" s="1">
        <v>151200</v>
      </c>
      <c r="AH5" s="1">
        <v>136080</v>
      </c>
      <c r="AI5" s="1">
        <v>0</v>
      </c>
      <c r="AJ5" s="1">
        <v>0</v>
      </c>
      <c r="AK5" s="1">
        <v>0</v>
      </c>
      <c r="AL5" s="1">
        <v>136080</v>
      </c>
      <c r="AM5" s="1">
        <v>0</v>
      </c>
      <c r="AN5" s="1">
        <v>126000</v>
      </c>
      <c r="AO5" s="6" t="s">
        <v>107</v>
      </c>
      <c r="AP5" s="6" t="s">
        <v>107</v>
      </c>
      <c r="AQ5" s="6" t="s">
        <v>107</v>
      </c>
      <c r="AR5" s="6" t="s">
        <v>107</v>
      </c>
      <c r="AS5" s="1">
        <v>81648</v>
      </c>
      <c r="AT5" s="1">
        <v>0</v>
      </c>
      <c r="AU5" s="1">
        <v>81648</v>
      </c>
    </row>
    <row r="6" spans="1:47" x14ac:dyDescent="0.4">
      <c r="A6" s="3" t="s">
        <v>45</v>
      </c>
      <c r="B6" s="3" t="s">
        <v>46</v>
      </c>
      <c r="C6" s="3" t="s">
        <v>47</v>
      </c>
      <c r="D6" s="3" t="s">
        <v>60</v>
      </c>
      <c r="E6" s="3" t="s">
        <v>48</v>
      </c>
      <c r="F6" s="3" t="s">
        <v>49</v>
      </c>
      <c r="G6" s="3" t="s">
        <v>61</v>
      </c>
      <c r="H6" s="3" t="s">
        <v>94</v>
      </c>
      <c r="I6" s="3" t="s">
        <v>50</v>
      </c>
      <c r="J6" s="3" t="s">
        <v>62</v>
      </c>
      <c r="K6" s="3" t="s">
        <v>63</v>
      </c>
      <c r="L6" s="3" t="s">
        <v>64</v>
      </c>
      <c r="M6" s="3" t="s">
        <v>65</v>
      </c>
      <c r="N6" s="3" t="s">
        <v>51</v>
      </c>
      <c r="O6" s="3" t="s">
        <v>51</v>
      </c>
      <c r="P6" s="3" t="s">
        <v>51</v>
      </c>
      <c r="Q6" s="3" t="s">
        <v>66</v>
      </c>
      <c r="R6" s="3" t="s">
        <v>52</v>
      </c>
      <c r="S6" s="3" t="s">
        <v>57</v>
      </c>
      <c r="T6" s="1">
        <v>82480</v>
      </c>
      <c r="U6" s="1">
        <v>44360</v>
      </c>
      <c r="V6" s="1">
        <v>26310</v>
      </c>
      <c r="W6" s="1">
        <v>185850</v>
      </c>
      <c r="X6" s="1">
        <v>153150</v>
      </c>
      <c r="Y6" s="1">
        <v>185850</v>
      </c>
      <c r="Z6" s="1">
        <v>339000</v>
      </c>
      <c r="AA6" s="1">
        <v>98976</v>
      </c>
      <c r="AB6" s="1">
        <v>44360</v>
      </c>
      <c r="AC6" s="1">
        <v>31572</v>
      </c>
      <c r="AD6" s="1">
        <v>185850</v>
      </c>
      <c r="AE6" s="1">
        <v>174908</v>
      </c>
      <c r="AF6" s="1">
        <v>185850</v>
      </c>
      <c r="AG6" s="1">
        <v>360758</v>
      </c>
      <c r="AH6" s="1">
        <v>89078.399999999994</v>
      </c>
      <c r="AI6" s="1">
        <v>43029.2</v>
      </c>
      <c r="AJ6" s="1">
        <v>22100.400000000001</v>
      </c>
      <c r="AK6" s="1">
        <v>167265</v>
      </c>
      <c r="AL6" s="1">
        <v>154208</v>
      </c>
      <c r="AM6" s="1">
        <v>167265</v>
      </c>
      <c r="AN6" s="1">
        <v>339000</v>
      </c>
      <c r="AO6" s="6" t="s">
        <v>107</v>
      </c>
      <c r="AP6" s="6" t="s">
        <v>107</v>
      </c>
      <c r="AQ6" s="6" t="s">
        <v>107</v>
      </c>
      <c r="AR6" s="6" t="s">
        <v>107</v>
      </c>
      <c r="AS6" s="1">
        <v>192884</v>
      </c>
      <c r="AT6" s="1">
        <v>0</v>
      </c>
      <c r="AU6" s="1">
        <v>192884</v>
      </c>
    </row>
    <row r="7" spans="1:47" x14ac:dyDescent="0.4">
      <c r="A7" s="3" t="s">
        <v>45</v>
      </c>
      <c r="B7" s="3" t="s">
        <v>46</v>
      </c>
      <c r="C7" s="3" t="s">
        <v>47</v>
      </c>
      <c r="D7" s="3" t="s">
        <v>60</v>
      </c>
      <c r="E7" s="3" t="s">
        <v>48</v>
      </c>
      <c r="F7" s="3" t="s">
        <v>49</v>
      </c>
      <c r="G7" s="3" t="s">
        <v>61</v>
      </c>
      <c r="H7" s="3" t="s">
        <v>94</v>
      </c>
      <c r="I7" s="3" t="s">
        <v>50</v>
      </c>
      <c r="J7" s="3" t="s">
        <v>62</v>
      </c>
      <c r="K7" s="3" t="s">
        <v>63</v>
      </c>
      <c r="L7" s="3" t="s">
        <v>64</v>
      </c>
      <c r="M7" s="3" t="s">
        <v>65</v>
      </c>
      <c r="N7" s="3" t="s">
        <v>51</v>
      </c>
      <c r="O7" s="3" t="s">
        <v>51</v>
      </c>
      <c r="P7" s="3" t="s">
        <v>51</v>
      </c>
      <c r="Q7" s="3" t="s">
        <v>66</v>
      </c>
      <c r="R7" s="3" t="s">
        <v>52</v>
      </c>
      <c r="S7" s="3" t="s">
        <v>58</v>
      </c>
      <c r="T7" s="1">
        <v>88920</v>
      </c>
      <c r="U7" s="1">
        <v>105700</v>
      </c>
      <c r="V7" s="1">
        <v>83800</v>
      </c>
      <c r="W7" s="1">
        <v>74980</v>
      </c>
      <c r="X7" s="1">
        <v>278420</v>
      </c>
      <c r="Y7" s="1">
        <v>74980</v>
      </c>
      <c r="Z7" s="1">
        <v>353400</v>
      </c>
      <c r="AA7" s="1">
        <v>106704</v>
      </c>
      <c r="AB7" s="1">
        <v>105700</v>
      </c>
      <c r="AC7" s="1">
        <v>100620</v>
      </c>
      <c r="AD7" s="1">
        <v>74980</v>
      </c>
      <c r="AE7" s="1">
        <v>313024</v>
      </c>
      <c r="AF7" s="1">
        <v>74980</v>
      </c>
      <c r="AG7" s="1">
        <v>388004</v>
      </c>
      <c r="AH7" s="1">
        <v>96033.600000000006</v>
      </c>
      <c r="AI7" s="1">
        <v>102529</v>
      </c>
      <c r="AJ7" s="1">
        <v>70434</v>
      </c>
      <c r="AK7" s="1">
        <v>67482</v>
      </c>
      <c r="AL7" s="1">
        <v>268996.59999999998</v>
      </c>
      <c r="AM7" s="1">
        <v>67482</v>
      </c>
      <c r="AN7" s="1">
        <v>353400</v>
      </c>
      <c r="AO7" s="6" t="s">
        <v>107</v>
      </c>
      <c r="AP7" s="6" t="s">
        <v>107</v>
      </c>
      <c r="AQ7" s="6" t="s">
        <v>107</v>
      </c>
      <c r="AR7" s="6" t="s">
        <v>107</v>
      </c>
      <c r="AS7" s="1">
        <v>201886</v>
      </c>
      <c r="AT7" s="1">
        <v>0</v>
      </c>
      <c r="AU7" s="1">
        <v>201886</v>
      </c>
    </row>
    <row r="8" spans="1:47" x14ac:dyDescent="0.4">
      <c r="A8" s="3" t="s">
        <v>45</v>
      </c>
      <c r="B8" s="3" t="s">
        <v>46</v>
      </c>
      <c r="C8" s="3" t="s">
        <v>47</v>
      </c>
      <c r="D8" s="3" t="s">
        <v>60</v>
      </c>
      <c r="E8" s="3" t="s">
        <v>48</v>
      </c>
      <c r="F8" s="3" t="s">
        <v>49</v>
      </c>
      <c r="G8" s="3" t="s">
        <v>61</v>
      </c>
      <c r="H8" s="3" t="s">
        <v>94</v>
      </c>
      <c r="I8" s="3" t="s">
        <v>50</v>
      </c>
      <c r="J8" s="3" t="s">
        <v>62</v>
      </c>
      <c r="K8" s="3" t="s">
        <v>63</v>
      </c>
      <c r="L8" s="3" t="s">
        <v>64</v>
      </c>
      <c r="M8" s="3" t="s">
        <v>65</v>
      </c>
      <c r="N8" s="3" t="s">
        <v>51</v>
      </c>
      <c r="O8" s="3" t="s">
        <v>51</v>
      </c>
      <c r="P8" s="3" t="s">
        <v>51</v>
      </c>
      <c r="Q8" s="3" t="s">
        <v>66</v>
      </c>
      <c r="R8" s="3" t="s">
        <v>52</v>
      </c>
      <c r="S8" s="3" t="s">
        <v>58</v>
      </c>
      <c r="T8" s="1">
        <v>132900</v>
      </c>
      <c r="U8" s="1">
        <v>41400</v>
      </c>
      <c r="V8" s="1">
        <v>43200</v>
      </c>
      <c r="W8" s="1">
        <v>1900</v>
      </c>
      <c r="X8" s="1">
        <v>217500</v>
      </c>
      <c r="Y8" s="1">
        <v>1900</v>
      </c>
      <c r="Z8" s="1">
        <v>219400</v>
      </c>
      <c r="AA8" s="1">
        <v>159480</v>
      </c>
      <c r="AB8" s="1">
        <v>41400</v>
      </c>
      <c r="AC8" s="1">
        <v>51840</v>
      </c>
      <c r="AD8" s="1">
        <v>1900</v>
      </c>
      <c r="AE8" s="1">
        <v>252720</v>
      </c>
      <c r="AF8" s="1">
        <v>1900</v>
      </c>
      <c r="AG8" s="1">
        <v>254620</v>
      </c>
      <c r="AH8" s="1">
        <v>143532</v>
      </c>
      <c r="AI8" s="1">
        <v>40158</v>
      </c>
      <c r="AJ8" s="1">
        <v>36288</v>
      </c>
      <c r="AK8" s="1">
        <v>1710</v>
      </c>
      <c r="AL8" s="1">
        <v>219978</v>
      </c>
      <c r="AM8" s="1">
        <v>1710</v>
      </c>
      <c r="AN8" s="1">
        <v>219400</v>
      </c>
      <c r="AO8" s="6" t="s">
        <v>107</v>
      </c>
      <c r="AP8" s="6" t="s">
        <v>107</v>
      </c>
      <c r="AQ8" s="6" t="s">
        <v>107</v>
      </c>
      <c r="AR8" s="6" t="s">
        <v>107</v>
      </c>
      <c r="AS8" s="1">
        <v>133013</v>
      </c>
      <c r="AT8" s="1">
        <v>0</v>
      </c>
      <c r="AU8" s="1">
        <v>133013</v>
      </c>
    </row>
    <row r="9" spans="1:47" x14ac:dyDescent="0.4">
      <c r="A9" s="3" t="s">
        <v>45</v>
      </c>
      <c r="B9" s="3" t="s">
        <v>46</v>
      </c>
      <c r="C9" s="3" t="s">
        <v>47</v>
      </c>
      <c r="D9" s="3" t="s">
        <v>60</v>
      </c>
      <c r="E9" s="3" t="s">
        <v>48</v>
      </c>
      <c r="F9" s="3" t="s">
        <v>49</v>
      </c>
      <c r="G9" s="3" t="s">
        <v>61</v>
      </c>
      <c r="H9" s="3" t="s">
        <v>94</v>
      </c>
      <c r="I9" s="3" t="s">
        <v>50</v>
      </c>
      <c r="J9" s="3" t="s">
        <v>62</v>
      </c>
      <c r="K9" s="3" t="s">
        <v>63</v>
      </c>
      <c r="L9" s="3" t="s">
        <v>64</v>
      </c>
      <c r="M9" s="3" t="s">
        <v>65</v>
      </c>
      <c r="N9" s="3" t="s">
        <v>51</v>
      </c>
      <c r="O9" s="3" t="s">
        <v>51</v>
      </c>
      <c r="P9" s="3" t="s">
        <v>51</v>
      </c>
      <c r="Q9" s="3" t="s">
        <v>66</v>
      </c>
      <c r="R9" s="3" t="s">
        <v>52</v>
      </c>
      <c r="S9" s="3" t="s">
        <v>58</v>
      </c>
      <c r="T9" s="1">
        <v>243700</v>
      </c>
      <c r="U9" s="1">
        <v>142800</v>
      </c>
      <c r="V9" s="1">
        <v>54000</v>
      </c>
      <c r="W9" s="1">
        <v>12100</v>
      </c>
      <c r="X9" s="1">
        <v>440500</v>
      </c>
      <c r="Y9" s="1">
        <v>12100</v>
      </c>
      <c r="Z9" s="1">
        <v>452600</v>
      </c>
      <c r="AA9" s="1">
        <v>292440</v>
      </c>
      <c r="AB9" s="1">
        <v>142800</v>
      </c>
      <c r="AC9" s="1">
        <v>64800</v>
      </c>
      <c r="AD9" s="1">
        <v>12100</v>
      </c>
      <c r="AE9" s="1">
        <v>500040</v>
      </c>
      <c r="AF9" s="1">
        <v>12100</v>
      </c>
      <c r="AG9" s="1">
        <v>512140</v>
      </c>
      <c r="AH9" s="1">
        <v>263196</v>
      </c>
      <c r="AI9" s="1">
        <v>138516</v>
      </c>
      <c r="AJ9" s="1">
        <v>45360</v>
      </c>
      <c r="AK9" s="1">
        <v>10890</v>
      </c>
      <c r="AL9" s="1">
        <v>447072</v>
      </c>
      <c r="AM9" s="1">
        <v>10890</v>
      </c>
      <c r="AN9" s="1">
        <v>452600</v>
      </c>
      <c r="AO9" s="6" t="s">
        <v>107</v>
      </c>
      <c r="AP9" s="6" t="s">
        <v>107</v>
      </c>
      <c r="AQ9" s="6" t="s">
        <v>107</v>
      </c>
      <c r="AR9" s="6" t="s">
        <v>107</v>
      </c>
      <c r="AS9" s="1">
        <v>274778</v>
      </c>
      <c r="AT9" s="1">
        <v>0</v>
      </c>
      <c r="AU9" s="1">
        <v>274778</v>
      </c>
    </row>
    <row r="10" spans="1:47" x14ac:dyDescent="0.4">
      <c r="AU10" s="5">
        <f>SUM(AU2:AU9)</f>
        <v>925386</v>
      </c>
    </row>
    <row r="13" spans="1:47" s="3" customFormat="1" x14ac:dyDescent="0.4">
      <c r="A13" s="7" t="s">
        <v>115</v>
      </c>
      <c r="B13" s="8"/>
      <c r="C13" s="8"/>
      <c r="D13" s="8"/>
      <c r="E13" s="9"/>
    </row>
    <row r="14" spans="1:47" s="3" customFormat="1" x14ac:dyDescent="0.4">
      <c r="A14" s="37" t="s">
        <v>117</v>
      </c>
      <c r="B14" s="37" t="s">
        <v>118</v>
      </c>
      <c r="C14" s="37" t="s">
        <v>119</v>
      </c>
      <c r="D14" s="37"/>
      <c r="E14" s="37" t="s">
        <v>120</v>
      </c>
    </row>
    <row r="15" spans="1:47" s="3" customFormat="1" x14ac:dyDescent="0.4">
      <c r="A15" s="37"/>
      <c r="B15" s="37"/>
      <c r="C15" s="10" t="s">
        <v>121</v>
      </c>
      <c r="D15" s="10" t="s">
        <v>123</v>
      </c>
      <c r="E15" s="37"/>
    </row>
    <row r="16" spans="1:47" s="3" customFormat="1" x14ac:dyDescent="0.4">
      <c r="A16" s="11">
        <v>201910</v>
      </c>
      <c r="B16" s="12">
        <v>100000000</v>
      </c>
      <c r="C16" s="13">
        <v>15070</v>
      </c>
      <c r="D16" s="13"/>
      <c r="E16" s="14">
        <v>99984930</v>
      </c>
    </row>
    <row r="17" spans="1:5" s="3" customFormat="1" x14ac:dyDescent="0.4">
      <c r="A17" s="11">
        <v>201911</v>
      </c>
      <c r="B17" s="12">
        <v>100000000</v>
      </c>
      <c r="C17" s="15">
        <v>146479031</v>
      </c>
      <c r="D17" s="15"/>
      <c r="E17" s="14">
        <v>53505899</v>
      </c>
    </row>
    <row r="18" spans="1:5" s="3" customFormat="1" x14ac:dyDescent="0.4">
      <c r="A18" s="11">
        <v>201912</v>
      </c>
      <c r="B18" s="12"/>
      <c r="C18" s="12">
        <v>39056831</v>
      </c>
      <c r="D18" s="12"/>
      <c r="E18" s="14">
        <v>14449068</v>
      </c>
    </row>
    <row r="19" spans="1:5" s="3" customFormat="1" x14ac:dyDescent="0.4">
      <c r="A19" s="11">
        <v>202001</v>
      </c>
      <c r="B19" s="12">
        <v>100000000</v>
      </c>
      <c r="C19" s="12">
        <v>23647656</v>
      </c>
      <c r="D19" s="12"/>
      <c r="E19" s="14">
        <v>90801412</v>
      </c>
    </row>
    <row r="20" spans="1:5" s="3" customFormat="1" x14ac:dyDescent="0.4">
      <c r="A20" s="11">
        <v>202002</v>
      </c>
      <c r="B20" s="12"/>
      <c r="C20" s="12">
        <v>21109952</v>
      </c>
      <c r="D20" s="12"/>
      <c r="E20" s="14">
        <v>69691460</v>
      </c>
    </row>
    <row r="21" spans="1:5" s="3" customFormat="1" x14ac:dyDescent="0.4">
      <c r="A21" s="11">
        <v>202003</v>
      </c>
      <c r="B21" s="12"/>
      <c r="C21" s="12">
        <v>21756214</v>
      </c>
      <c r="D21" s="12"/>
      <c r="E21" s="14">
        <v>47935246</v>
      </c>
    </row>
    <row r="22" spans="1:5" s="3" customFormat="1" x14ac:dyDescent="0.4">
      <c r="A22" s="11">
        <v>202004</v>
      </c>
      <c r="B22" s="12"/>
      <c r="C22" s="12">
        <v>24261551</v>
      </c>
      <c r="D22" s="12"/>
      <c r="E22" s="14">
        <v>23673695</v>
      </c>
    </row>
    <row r="23" spans="1:5" s="3" customFormat="1" x14ac:dyDescent="0.4">
      <c r="A23" s="11">
        <v>202005</v>
      </c>
      <c r="B23" s="12">
        <v>100000000</v>
      </c>
      <c r="C23" s="14">
        <v>23103063</v>
      </c>
      <c r="D23" s="14"/>
      <c r="E23" s="14">
        <v>100570632</v>
      </c>
    </row>
    <row r="24" spans="1:5" s="3" customFormat="1" x14ac:dyDescent="0.4">
      <c r="A24" s="11">
        <v>202006</v>
      </c>
      <c r="B24" s="16"/>
      <c r="C24" s="14">
        <v>8596724</v>
      </c>
      <c r="D24" s="14"/>
      <c r="E24" s="14">
        <v>91973908</v>
      </c>
    </row>
    <row r="25" spans="1:5" s="3" customFormat="1" x14ac:dyDescent="0.4">
      <c r="A25" s="11">
        <v>202007</v>
      </c>
      <c r="B25" s="17"/>
      <c r="C25" s="14">
        <v>13651567</v>
      </c>
      <c r="D25" s="14"/>
      <c r="E25" s="14">
        <v>78322341</v>
      </c>
    </row>
    <row r="26" spans="1:5" s="3" customFormat="1" x14ac:dyDescent="0.4">
      <c r="A26" s="11">
        <v>202008</v>
      </c>
      <c r="B26" s="17"/>
      <c r="C26" s="14">
        <v>18343073</v>
      </c>
      <c r="D26" s="14"/>
      <c r="E26" s="14">
        <v>59979268</v>
      </c>
    </row>
    <row r="27" spans="1:5" s="3" customFormat="1" x14ac:dyDescent="0.4">
      <c r="A27" s="11">
        <v>202009</v>
      </c>
      <c r="B27" s="17"/>
      <c r="C27" s="14">
        <v>14450305</v>
      </c>
      <c r="D27" s="14"/>
      <c r="E27" s="14">
        <v>45528963</v>
      </c>
    </row>
    <row r="28" spans="1:5" s="3" customFormat="1" x14ac:dyDescent="0.4">
      <c r="A28" s="11">
        <v>202010</v>
      </c>
      <c r="B28" s="17"/>
      <c r="C28" s="14">
        <v>12527006</v>
      </c>
      <c r="D28" s="14"/>
      <c r="E28" s="14">
        <f>E27-C28</f>
        <v>33001957</v>
      </c>
    </row>
    <row r="29" spans="1:5" s="3" customFormat="1" x14ac:dyDescent="0.4">
      <c r="A29" s="11">
        <v>202011</v>
      </c>
      <c r="B29" s="17"/>
      <c r="C29" s="14">
        <v>12821778</v>
      </c>
      <c r="D29" s="14"/>
      <c r="E29" s="14">
        <f>E28-C29</f>
        <v>20180179</v>
      </c>
    </row>
    <row r="30" spans="1:5" s="3" customFormat="1" x14ac:dyDescent="0.4">
      <c r="A30" s="11">
        <v>202012</v>
      </c>
      <c r="B30" s="17"/>
      <c r="C30" s="14">
        <v>15223282</v>
      </c>
      <c r="D30" s="14"/>
      <c r="E30" s="14">
        <f>E29-C30</f>
        <v>4956897</v>
      </c>
    </row>
    <row r="31" spans="1:5" s="3" customFormat="1" x14ac:dyDescent="0.4">
      <c r="A31" s="11">
        <v>202101</v>
      </c>
      <c r="B31" s="12">
        <v>50000000</v>
      </c>
      <c r="C31" s="14">
        <v>17914270</v>
      </c>
      <c r="D31" s="14"/>
      <c r="E31" s="14">
        <f>E30-C31+B31</f>
        <v>37042627</v>
      </c>
    </row>
    <row r="32" spans="1:5" s="3" customFormat="1" x14ac:dyDescent="0.4">
      <c r="A32" s="11">
        <v>202102</v>
      </c>
      <c r="B32" s="12"/>
      <c r="C32" s="14">
        <v>10971546</v>
      </c>
      <c r="D32" s="14"/>
      <c r="E32" s="14">
        <f>E31-C32</f>
        <v>26071081</v>
      </c>
    </row>
    <row r="33" spans="1:6" s="3" customFormat="1" x14ac:dyDescent="0.4">
      <c r="A33" s="11">
        <v>202103</v>
      </c>
      <c r="B33" s="12"/>
      <c r="C33" s="14">
        <v>6609889</v>
      </c>
      <c r="D33" s="14"/>
      <c r="E33" s="14">
        <f>E32-C33</f>
        <v>19461192</v>
      </c>
    </row>
    <row r="34" spans="1:6" s="3" customFormat="1" x14ac:dyDescent="0.4">
      <c r="A34" s="11">
        <v>202104</v>
      </c>
      <c r="B34" s="12"/>
      <c r="C34" s="14">
        <v>9397257</v>
      </c>
      <c r="D34" s="14"/>
      <c r="E34" s="14">
        <f>E33-C34</f>
        <v>10063935</v>
      </c>
    </row>
    <row r="35" spans="1:6" s="3" customFormat="1" x14ac:dyDescent="0.4">
      <c r="A35" s="11">
        <v>202105</v>
      </c>
      <c r="B35" s="12">
        <v>50000000</v>
      </c>
      <c r="C35" s="14">
        <v>9786615</v>
      </c>
      <c r="D35" s="14"/>
      <c r="E35" s="14">
        <f t="shared" ref="E35:E38" si="0">E34+B35-C35</f>
        <v>50277320</v>
      </c>
    </row>
    <row r="36" spans="1:6" s="3" customFormat="1" x14ac:dyDescent="0.4">
      <c r="A36" s="11">
        <v>202106</v>
      </c>
      <c r="B36" s="12"/>
      <c r="C36" s="14">
        <v>7451661</v>
      </c>
      <c r="D36" s="14"/>
      <c r="E36" s="14">
        <f t="shared" si="0"/>
        <v>42825659</v>
      </c>
    </row>
    <row r="37" spans="1:6" s="3" customFormat="1" x14ac:dyDescent="0.4">
      <c r="A37" s="11">
        <v>202107</v>
      </c>
      <c r="B37" s="12"/>
      <c r="C37" s="14">
        <v>5117057</v>
      </c>
      <c r="D37" s="14"/>
      <c r="E37" s="14">
        <f t="shared" si="0"/>
        <v>37708602</v>
      </c>
    </row>
    <row r="38" spans="1:6" s="3" customFormat="1" x14ac:dyDescent="0.4">
      <c r="A38" s="18">
        <v>202108</v>
      </c>
      <c r="B38" s="19"/>
      <c r="C38" s="20">
        <v>5697726</v>
      </c>
      <c r="D38" s="20"/>
      <c r="E38" s="20">
        <f t="shared" si="0"/>
        <v>32010876</v>
      </c>
    </row>
    <row r="39" spans="1:6" s="3" customFormat="1" x14ac:dyDescent="0.4">
      <c r="A39" s="18">
        <v>202109</v>
      </c>
      <c r="B39" s="19"/>
      <c r="C39" s="20">
        <v>7919559</v>
      </c>
      <c r="D39" s="20">
        <v>6783808</v>
      </c>
      <c r="E39" s="20">
        <f>E38+B39-C39-D39</f>
        <v>17307509</v>
      </c>
      <c r="F39" s="3" t="s">
        <v>124</v>
      </c>
    </row>
    <row r="40" spans="1:6" s="3" customFormat="1" x14ac:dyDescent="0.4">
      <c r="A40" s="18">
        <v>202110</v>
      </c>
      <c r="B40" s="19"/>
      <c r="C40" s="20">
        <v>5921272</v>
      </c>
      <c r="D40" s="20">
        <v>3908217</v>
      </c>
      <c r="E40" s="20">
        <f t="shared" ref="E40:E51" si="1">E39+B40-C40-D40</f>
        <v>7478020</v>
      </c>
    </row>
    <row r="41" spans="1:6" s="3" customFormat="1" x14ac:dyDescent="0.4">
      <c r="A41" s="18">
        <v>202111</v>
      </c>
      <c r="B41" s="19">
        <v>50000000</v>
      </c>
      <c r="C41" s="20">
        <v>4749362</v>
      </c>
      <c r="D41" s="20">
        <v>1882176</v>
      </c>
      <c r="E41" s="20">
        <f t="shared" si="1"/>
        <v>50846482</v>
      </c>
    </row>
    <row r="42" spans="1:6" s="3" customFormat="1" x14ac:dyDescent="0.4">
      <c r="A42" s="18">
        <v>202112</v>
      </c>
      <c r="B42" s="21"/>
      <c r="C42" s="20">
        <v>4278025</v>
      </c>
      <c r="D42" s="20">
        <v>1862306</v>
      </c>
      <c r="E42" s="20">
        <f t="shared" si="1"/>
        <v>44706151</v>
      </c>
    </row>
    <row r="43" spans="1:6" s="3" customFormat="1" x14ac:dyDescent="0.4">
      <c r="A43" s="11">
        <v>202201</v>
      </c>
      <c r="B43" s="17"/>
      <c r="C43" s="14">
        <v>3517155</v>
      </c>
      <c r="D43" s="14">
        <v>4017673</v>
      </c>
      <c r="E43" s="20">
        <f t="shared" si="1"/>
        <v>37171323</v>
      </c>
    </row>
    <row r="44" spans="1:6" s="3" customFormat="1" x14ac:dyDescent="0.4">
      <c r="A44" s="11">
        <v>202202</v>
      </c>
      <c r="B44" s="17"/>
      <c r="C44" s="22">
        <v>2302285</v>
      </c>
      <c r="D44" s="22">
        <v>5526929</v>
      </c>
      <c r="E44" s="20">
        <f t="shared" si="1"/>
        <v>29342109</v>
      </c>
    </row>
    <row r="45" spans="1:6" s="3" customFormat="1" x14ac:dyDescent="0.4">
      <c r="A45" s="11">
        <v>202203</v>
      </c>
      <c r="B45" s="17"/>
      <c r="C45" s="22">
        <v>2654263</v>
      </c>
      <c r="D45" s="22">
        <v>1414732</v>
      </c>
      <c r="E45" s="20">
        <f t="shared" si="1"/>
        <v>25273114</v>
      </c>
    </row>
    <row r="46" spans="1:6" s="3" customFormat="1" x14ac:dyDescent="0.4">
      <c r="A46" s="11">
        <v>202204</v>
      </c>
      <c r="B46" s="17"/>
      <c r="C46" s="23">
        <v>4176252</v>
      </c>
      <c r="D46" s="23">
        <v>4531747</v>
      </c>
      <c r="E46" s="20">
        <f t="shared" si="1"/>
        <v>16565115</v>
      </c>
    </row>
    <row r="47" spans="1:6" s="3" customFormat="1" x14ac:dyDescent="0.4">
      <c r="A47" s="11">
        <v>202205</v>
      </c>
      <c r="B47" s="17"/>
      <c r="C47" s="23">
        <v>3489356</v>
      </c>
      <c r="D47" s="23">
        <v>3461311</v>
      </c>
      <c r="E47" s="20">
        <f t="shared" si="1"/>
        <v>9614448</v>
      </c>
    </row>
    <row r="48" spans="1:6" s="3" customFormat="1" x14ac:dyDescent="0.4">
      <c r="A48" s="11">
        <v>202206</v>
      </c>
      <c r="B48" s="17"/>
      <c r="C48" s="22">
        <v>2127275</v>
      </c>
      <c r="D48" s="22">
        <v>2661599</v>
      </c>
      <c r="E48" s="20">
        <f t="shared" si="1"/>
        <v>4825574</v>
      </c>
    </row>
    <row r="49" spans="1:5" s="3" customFormat="1" x14ac:dyDescent="0.4">
      <c r="A49" s="11">
        <v>202207</v>
      </c>
      <c r="B49" s="12"/>
      <c r="C49" s="22">
        <v>1471127</v>
      </c>
      <c r="D49" s="22">
        <v>861595</v>
      </c>
      <c r="E49" s="20">
        <f t="shared" si="1"/>
        <v>2492852</v>
      </c>
    </row>
    <row r="50" spans="1:5" s="3" customFormat="1" x14ac:dyDescent="0.4">
      <c r="A50" s="11">
        <v>202208</v>
      </c>
      <c r="B50" s="12">
        <v>30000000</v>
      </c>
      <c r="C50" s="22">
        <v>3604074</v>
      </c>
      <c r="D50" s="22">
        <v>615075</v>
      </c>
      <c r="E50" s="20">
        <f t="shared" si="1"/>
        <v>28273703</v>
      </c>
    </row>
    <row r="51" spans="1:5" s="3" customFormat="1" x14ac:dyDescent="0.4">
      <c r="A51" s="11">
        <v>202209</v>
      </c>
      <c r="B51" s="12"/>
      <c r="C51" s="22">
        <v>2089382</v>
      </c>
      <c r="D51" s="22">
        <v>675619</v>
      </c>
      <c r="E51" s="20">
        <f t="shared" si="1"/>
        <v>25508702</v>
      </c>
    </row>
    <row r="52" spans="1:5" s="3" customFormat="1" x14ac:dyDescent="0.4">
      <c r="A52" s="11">
        <v>202210</v>
      </c>
      <c r="B52" s="12"/>
      <c r="C52" s="22">
        <v>1494237</v>
      </c>
      <c r="D52" s="22">
        <v>664207</v>
      </c>
      <c r="E52" s="20">
        <f>E51+B52-C52-D52</f>
        <v>23350258</v>
      </c>
    </row>
    <row r="53" spans="1:5" s="3" customFormat="1" x14ac:dyDescent="0.4">
      <c r="A53" s="11">
        <v>202211</v>
      </c>
      <c r="B53" s="12"/>
      <c r="C53" s="22">
        <v>1027346</v>
      </c>
      <c r="D53" s="22">
        <v>634238</v>
      </c>
      <c r="E53" s="20">
        <f>E52+B53-C53-D53</f>
        <v>21688674</v>
      </c>
    </row>
    <row r="54" spans="1:5" s="3" customFormat="1" x14ac:dyDescent="0.4">
      <c r="A54" s="11">
        <v>202212</v>
      </c>
      <c r="B54" s="12"/>
      <c r="C54" s="22">
        <f>AU10</f>
        <v>925386</v>
      </c>
      <c r="D54" s="22"/>
      <c r="E54" s="20">
        <f>E53+B54-C54-D54</f>
        <v>20763288</v>
      </c>
    </row>
    <row r="55" spans="1:5" s="3" customFormat="1" x14ac:dyDescent="0.4">
      <c r="A55" s="24" t="s">
        <v>126</v>
      </c>
      <c r="B55" s="25">
        <f>SUM(B16:B52)</f>
        <v>580000000</v>
      </c>
      <c r="C55" s="25"/>
      <c r="D55" s="25"/>
      <c r="E55" s="25"/>
    </row>
  </sheetData>
  <mergeCells count="4">
    <mergeCell ref="A14:A15"/>
    <mergeCell ref="B14:B15"/>
    <mergeCell ref="C14:D14"/>
    <mergeCell ref="E14:E15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U36"/>
  <sheetViews>
    <sheetView tabSelected="1" topLeftCell="A4" zoomScale="70" zoomScaleNormal="70" workbookViewId="0">
      <selection activeCell="B27" sqref="B27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3.09765625" bestFit="1" customWidth="1"/>
    <col min="4" max="4" width="11.0976562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8.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1.0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12.79687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9.19921875" bestFit="1" customWidth="1"/>
    <col min="46" max="46" width="5" bestFit="1" customWidth="1"/>
    <col min="47" max="47" width="10.5" bestFit="1" customWidth="1"/>
  </cols>
  <sheetData>
    <row r="1" spans="1:47" x14ac:dyDescent="0.4">
      <c r="A1" s="2" t="s">
        <v>114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4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24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4" t="s">
        <v>44</v>
      </c>
    </row>
    <row r="2" spans="1:47" x14ac:dyDescent="0.4">
      <c r="A2" s="3" t="s">
        <v>45</v>
      </c>
      <c r="B2" s="3" t="s">
        <v>46</v>
      </c>
      <c r="C2" s="3" t="s">
        <v>47</v>
      </c>
      <c r="D2" s="3" t="s">
        <v>60</v>
      </c>
      <c r="E2" s="3" t="s">
        <v>48</v>
      </c>
      <c r="F2" s="3" t="s">
        <v>49</v>
      </c>
      <c r="G2" s="3" t="s">
        <v>67</v>
      </c>
      <c r="H2" s="3" t="s">
        <v>68</v>
      </c>
      <c r="I2" s="3" t="s">
        <v>50</v>
      </c>
      <c r="J2" s="3" t="s">
        <v>62</v>
      </c>
      <c r="K2" s="3" t="s">
        <v>69</v>
      </c>
      <c r="L2" s="3" t="s">
        <v>59</v>
      </c>
      <c r="M2" s="3" t="s">
        <v>70</v>
      </c>
      <c r="N2" s="3" t="s">
        <v>51</v>
      </c>
      <c r="O2" s="3" t="s">
        <v>51</v>
      </c>
      <c r="P2" s="3" t="s">
        <v>51</v>
      </c>
      <c r="Q2" s="3" t="s">
        <v>71</v>
      </c>
      <c r="R2" s="3" t="s">
        <v>52</v>
      </c>
      <c r="S2" s="3" t="s">
        <v>53</v>
      </c>
      <c r="T2" s="1">
        <v>167240</v>
      </c>
      <c r="U2" s="1">
        <v>117500</v>
      </c>
      <c r="V2" s="1">
        <v>14840</v>
      </c>
      <c r="W2" s="1">
        <v>134820</v>
      </c>
      <c r="X2" s="1">
        <v>299580</v>
      </c>
      <c r="Y2" s="1">
        <v>134820</v>
      </c>
      <c r="Z2" s="1">
        <v>434400</v>
      </c>
      <c r="AA2" s="1">
        <v>200688</v>
      </c>
      <c r="AB2" s="1">
        <v>117500</v>
      </c>
      <c r="AC2" s="1">
        <v>17808</v>
      </c>
      <c r="AD2" s="1">
        <v>134820</v>
      </c>
      <c r="AE2" s="1">
        <v>335996</v>
      </c>
      <c r="AF2" s="1">
        <v>134820</v>
      </c>
      <c r="AG2" s="1">
        <v>470816</v>
      </c>
      <c r="AH2" s="1">
        <v>180619.2</v>
      </c>
      <c r="AI2" s="1">
        <v>113975</v>
      </c>
      <c r="AJ2" s="1">
        <v>12465.6</v>
      </c>
      <c r="AK2" s="1">
        <v>121338</v>
      </c>
      <c r="AL2" s="1">
        <v>307059.8</v>
      </c>
      <c r="AM2" s="1">
        <v>121338</v>
      </c>
      <c r="AN2" s="1">
        <v>434400</v>
      </c>
      <c r="AO2" s="6" t="s">
        <v>107</v>
      </c>
      <c r="AP2" s="6" t="s">
        <v>107</v>
      </c>
      <c r="AQ2" s="6" t="s">
        <v>107</v>
      </c>
      <c r="AR2" s="6" t="s">
        <v>107</v>
      </c>
      <c r="AS2" s="1">
        <v>257039</v>
      </c>
      <c r="AT2" s="1">
        <v>0</v>
      </c>
      <c r="AU2" s="1">
        <v>257039</v>
      </c>
    </row>
    <row r="3" spans="1:47" x14ac:dyDescent="0.4">
      <c r="A3" s="3" t="s">
        <v>45</v>
      </c>
      <c r="B3" s="3" t="s">
        <v>46</v>
      </c>
      <c r="C3" s="3" t="s">
        <v>47</v>
      </c>
      <c r="D3" s="3" t="s">
        <v>60</v>
      </c>
      <c r="E3" s="3" t="s">
        <v>48</v>
      </c>
      <c r="F3" s="3" t="s">
        <v>49</v>
      </c>
      <c r="G3" s="3" t="s">
        <v>67</v>
      </c>
      <c r="H3" s="3" t="s">
        <v>68</v>
      </c>
      <c r="I3" s="3" t="s">
        <v>50</v>
      </c>
      <c r="J3" s="3" t="s">
        <v>62</v>
      </c>
      <c r="K3" s="3" t="s">
        <v>69</v>
      </c>
      <c r="L3" s="3" t="s">
        <v>59</v>
      </c>
      <c r="M3" s="3" t="s">
        <v>70</v>
      </c>
      <c r="N3" s="3" t="s">
        <v>51</v>
      </c>
      <c r="O3" s="3" t="s">
        <v>51</v>
      </c>
      <c r="P3" s="3" t="s">
        <v>51</v>
      </c>
      <c r="Q3" s="3" t="s">
        <v>71</v>
      </c>
      <c r="R3" s="3" t="s">
        <v>52</v>
      </c>
      <c r="S3" s="3" t="s">
        <v>54</v>
      </c>
      <c r="T3" s="1">
        <v>116800</v>
      </c>
      <c r="U3" s="1">
        <v>197100</v>
      </c>
      <c r="V3" s="1">
        <v>3600</v>
      </c>
      <c r="W3" s="1">
        <v>42900</v>
      </c>
      <c r="X3" s="1">
        <v>317500</v>
      </c>
      <c r="Y3" s="1">
        <v>42900</v>
      </c>
      <c r="Z3" s="1">
        <v>360400</v>
      </c>
      <c r="AA3" s="1">
        <v>140160</v>
      </c>
      <c r="AB3" s="1">
        <v>197100</v>
      </c>
      <c r="AC3" s="1">
        <v>4320</v>
      </c>
      <c r="AD3" s="1">
        <v>42900</v>
      </c>
      <c r="AE3" s="1">
        <v>341580</v>
      </c>
      <c r="AF3" s="1">
        <v>42900</v>
      </c>
      <c r="AG3" s="1">
        <v>384480</v>
      </c>
      <c r="AH3" s="1">
        <v>126144</v>
      </c>
      <c r="AI3" s="1">
        <v>191187</v>
      </c>
      <c r="AJ3" s="1">
        <v>3024</v>
      </c>
      <c r="AK3" s="1">
        <v>38610</v>
      </c>
      <c r="AL3" s="1">
        <v>320355</v>
      </c>
      <c r="AM3" s="1">
        <v>38610</v>
      </c>
      <c r="AN3" s="1">
        <v>360400</v>
      </c>
      <c r="AO3" s="6" t="s">
        <v>107</v>
      </c>
      <c r="AP3" s="6" t="s">
        <v>107</v>
      </c>
      <c r="AQ3" s="6" t="s">
        <v>107</v>
      </c>
      <c r="AR3" s="6" t="s">
        <v>107</v>
      </c>
      <c r="AS3" s="1">
        <v>215378</v>
      </c>
      <c r="AT3" s="1">
        <v>0</v>
      </c>
      <c r="AU3" s="1">
        <v>215378</v>
      </c>
    </row>
    <row r="4" spans="1:47" x14ac:dyDescent="0.4">
      <c r="A4" s="3" t="s">
        <v>45</v>
      </c>
      <c r="B4" s="3" t="s">
        <v>46</v>
      </c>
      <c r="C4" s="3" t="s">
        <v>47</v>
      </c>
      <c r="D4" s="3" t="s">
        <v>60</v>
      </c>
      <c r="E4" s="3" t="s">
        <v>48</v>
      </c>
      <c r="F4" s="3" t="s">
        <v>49</v>
      </c>
      <c r="G4" s="3" t="s">
        <v>67</v>
      </c>
      <c r="H4" s="3" t="s">
        <v>68</v>
      </c>
      <c r="I4" s="3" t="s">
        <v>50</v>
      </c>
      <c r="J4" s="3" t="s">
        <v>62</v>
      </c>
      <c r="K4" s="3" t="s">
        <v>69</v>
      </c>
      <c r="L4" s="3" t="s">
        <v>59</v>
      </c>
      <c r="M4" s="3" t="s">
        <v>70</v>
      </c>
      <c r="N4" s="3" t="s">
        <v>51</v>
      </c>
      <c r="O4" s="3" t="s">
        <v>51</v>
      </c>
      <c r="P4" s="3" t="s">
        <v>51</v>
      </c>
      <c r="Q4" s="3" t="s">
        <v>71</v>
      </c>
      <c r="R4" s="3" t="s">
        <v>52</v>
      </c>
      <c r="S4" s="3" t="s">
        <v>54</v>
      </c>
      <c r="T4" s="1">
        <v>70650</v>
      </c>
      <c r="U4" s="1">
        <v>51950</v>
      </c>
      <c r="V4" s="1">
        <v>0</v>
      </c>
      <c r="W4" s="1">
        <v>17800</v>
      </c>
      <c r="X4" s="1">
        <v>122600</v>
      </c>
      <c r="Y4" s="1">
        <v>17800</v>
      </c>
      <c r="Z4" s="1">
        <v>140400</v>
      </c>
      <c r="AA4" s="1">
        <v>84780</v>
      </c>
      <c r="AB4" s="1">
        <v>51950</v>
      </c>
      <c r="AC4" s="1">
        <v>0</v>
      </c>
      <c r="AD4" s="1">
        <v>17800</v>
      </c>
      <c r="AE4" s="1">
        <v>136730</v>
      </c>
      <c r="AF4" s="1">
        <v>17800</v>
      </c>
      <c r="AG4" s="1">
        <v>154530</v>
      </c>
      <c r="AH4" s="1">
        <v>76302</v>
      </c>
      <c r="AI4" s="1">
        <v>50391.5</v>
      </c>
      <c r="AJ4" s="1">
        <v>0</v>
      </c>
      <c r="AK4" s="1">
        <v>16020</v>
      </c>
      <c r="AL4" s="1">
        <v>126693.5</v>
      </c>
      <c r="AM4" s="1">
        <v>16020</v>
      </c>
      <c r="AN4" s="1">
        <v>140400</v>
      </c>
      <c r="AO4" s="6" t="s">
        <v>107</v>
      </c>
      <c r="AP4" s="6" t="s">
        <v>107</v>
      </c>
      <c r="AQ4" s="6" t="s">
        <v>107</v>
      </c>
      <c r="AR4" s="6" t="s">
        <v>107</v>
      </c>
      <c r="AS4" s="1">
        <v>85628</v>
      </c>
      <c r="AT4" s="1">
        <v>0</v>
      </c>
      <c r="AU4" s="1">
        <v>85628</v>
      </c>
    </row>
    <row r="5" spans="1:47" x14ac:dyDescent="0.4">
      <c r="A5" s="3" t="s">
        <v>45</v>
      </c>
      <c r="B5" s="3" t="s">
        <v>46</v>
      </c>
      <c r="C5" s="3" t="s">
        <v>47</v>
      </c>
      <c r="D5" s="3" t="s">
        <v>60</v>
      </c>
      <c r="E5" s="3" t="s">
        <v>48</v>
      </c>
      <c r="F5" s="3" t="s">
        <v>49</v>
      </c>
      <c r="G5" s="3" t="s">
        <v>67</v>
      </c>
      <c r="H5" s="3" t="s">
        <v>68</v>
      </c>
      <c r="I5" s="3" t="s">
        <v>50</v>
      </c>
      <c r="J5" s="3" t="s">
        <v>62</v>
      </c>
      <c r="K5" s="3" t="s">
        <v>69</v>
      </c>
      <c r="L5" s="3" t="s">
        <v>59</v>
      </c>
      <c r="M5" s="3" t="s">
        <v>70</v>
      </c>
      <c r="N5" s="3" t="s">
        <v>51</v>
      </c>
      <c r="O5" s="3" t="s">
        <v>51</v>
      </c>
      <c r="P5" s="3" t="s">
        <v>51</v>
      </c>
      <c r="Q5" s="3" t="s">
        <v>71</v>
      </c>
      <c r="R5" s="3" t="s">
        <v>52</v>
      </c>
      <c r="S5" s="3" t="s">
        <v>54</v>
      </c>
      <c r="T5" s="1">
        <v>22000</v>
      </c>
      <c r="U5" s="1">
        <v>54000</v>
      </c>
      <c r="V5" s="1">
        <v>0</v>
      </c>
      <c r="W5" s="1">
        <v>0</v>
      </c>
      <c r="X5" s="1">
        <v>76000</v>
      </c>
      <c r="Y5" s="1">
        <v>0</v>
      </c>
      <c r="Z5" s="1">
        <v>76000</v>
      </c>
      <c r="AA5" s="1">
        <v>26400</v>
      </c>
      <c r="AB5" s="1">
        <v>54000</v>
      </c>
      <c r="AC5" s="1">
        <v>0</v>
      </c>
      <c r="AD5" s="1">
        <v>0</v>
      </c>
      <c r="AE5" s="1">
        <v>80400</v>
      </c>
      <c r="AF5" s="1">
        <v>0</v>
      </c>
      <c r="AG5" s="1">
        <v>80400</v>
      </c>
      <c r="AH5" s="1">
        <v>23760</v>
      </c>
      <c r="AI5" s="1">
        <v>52380</v>
      </c>
      <c r="AJ5" s="1">
        <v>0</v>
      </c>
      <c r="AK5" s="1">
        <v>0</v>
      </c>
      <c r="AL5" s="1">
        <v>76140</v>
      </c>
      <c r="AM5" s="1">
        <v>0</v>
      </c>
      <c r="AN5" s="1">
        <v>76000</v>
      </c>
      <c r="AO5" s="6" t="s">
        <v>107</v>
      </c>
      <c r="AP5" s="6" t="s">
        <v>107</v>
      </c>
      <c r="AQ5" s="6" t="s">
        <v>107</v>
      </c>
      <c r="AR5" s="6" t="s">
        <v>107</v>
      </c>
      <c r="AS5" s="1">
        <v>45684</v>
      </c>
      <c r="AT5" s="1">
        <v>0</v>
      </c>
      <c r="AU5" s="1">
        <v>45684</v>
      </c>
    </row>
    <row r="6" spans="1:47" x14ac:dyDescent="0.4">
      <c r="A6" s="3" t="s">
        <v>45</v>
      </c>
      <c r="B6" s="3" t="s">
        <v>46</v>
      </c>
      <c r="C6" s="3" t="s">
        <v>47</v>
      </c>
      <c r="D6" s="3" t="s">
        <v>60</v>
      </c>
      <c r="E6" s="3" t="s">
        <v>48</v>
      </c>
      <c r="F6" s="3" t="s">
        <v>49</v>
      </c>
      <c r="G6" s="3" t="s">
        <v>67</v>
      </c>
      <c r="H6" s="3" t="s">
        <v>68</v>
      </c>
      <c r="I6" s="3" t="s">
        <v>50</v>
      </c>
      <c r="J6" s="3" t="s">
        <v>62</v>
      </c>
      <c r="K6" s="3" t="s">
        <v>69</v>
      </c>
      <c r="L6" s="3" t="s">
        <v>59</v>
      </c>
      <c r="M6" s="3" t="s">
        <v>70</v>
      </c>
      <c r="N6" s="3" t="s">
        <v>51</v>
      </c>
      <c r="O6" s="3" t="s">
        <v>51</v>
      </c>
      <c r="P6" s="3" t="s">
        <v>51</v>
      </c>
      <c r="Q6" s="3" t="s">
        <v>71</v>
      </c>
      <c r="R6" s="3" t="s">
        <v>52</v>
      </c>
      <c r="S6" s="3" t="s">
        <v>57</v>
      </c>
      <c r="T6" s="1">
        <v>3251690</v>
      </c>
      <c r="U6" s="1">
        <v>1951470</v>
      </c>
      <c r="V6" s="1">
        <v>457090</v>
      </c>
      <c r="W6" s="1">
        <v>5132750</v>
      </c>
      <c r="X6" s="1">
        <v>5660250</v>
      </c>
      <c r="Y6" s="1">
        <v>5132750</v>
      </c>
      <c r="Z6" s="1">
        <v>10793000</v>
      </c>
      <c r="AA6" s="1">
        <v>3902028</v>
      </c>
      <c r="AB6" s="1">
        <v>1951470</v>
      </c>
      <c r="AC6" s="1">
        <v>548388</v>
      </c>
      <c r="AD6" s="1">
        <v>5132750</v>
      </c>
      <c r="AE6" s="1">
        <v>6401886</v>
      </c>
      <c r="AF6" s="1">
        <v>5132750</v>
      </c>
      <c r="AG6" s="1">
        <v>11534636</v>
      </c>
      <c r="AH6" s="1">
        <v>3511825.2</v>
      </c>
      <c r="AI6" s="1">
        <v>1892925.9</v>
      </c>
      <c r="AJ6" s="1">
        <v>383871.6</v>
      </c>
      <c r="AK6" s="1">
        <v>4619475</v>
      </c>
      <c r="AL6" s="1">
        <v>5788622.7000000002</v>
      </c>
      <c r="AM6" s="1">
        <v>4619475</v>
      </c>
      <c r="AN6" s="1">
        <v>10793000</v>
      </c>
      <c r="AO6" s="6" t="s">
        <v>107</v>
      </c>
      <c r="AP6" s="6" t="s">
        <v>107</v>
      </c>
      <c r="AQ6" s="6" t="s">
        <v>107</v>
      </c>
      <c r="AR6" s="6" t="s">
        <v>107</v>
      </c>
      <c r="AS6" s="1">
        <v>6244859</v>
      </c>
      <c r="AT6" s="1">
        <v>0</v>
      </c>
      <c r="AU6" s="1">
        <v>6244859</v>
      </c>
    </row>
    <row r="7" spans="1:47" x14ac:dyDescent="0.4">
      <c r="A7" s="3" t="s">
        <v>45</v>
      </c>
      <c r="B7" s="3" t="s">
        <v>46</v>
      </c>
      <c r="C7" s="3" t="s">
        <v>47</v>
      </c>
      <c r="D7" s="3" t="s">
        <v>60</v>
      </c>
      <c r="E7" s="3" t="s">
        <v>48</v>
      </c>
      <c r="F7" s="3" t="s">
        <v>49</v>
      </c>
      <c r="G7" s="3" t="s">
        <v>67</v>
      </c>
      <c r="H7" s="3" t="s">
        <v>68</v>
      </c>
      <c r="I7" s="3" t="s">
        <v>50</v>
      </c>
      <c r="J7" s="3" t="s">
        <v>62</v>
      </c>
      <c r="K7" s="3" t="s">
        <v>69</v>
      </c>
      <c r="L7" s="3" t="s">
        <v>59</v>
      </c>
      <c r="M7" s="3" t="s">
        <v>70</v>
      </c>
      <c r="N7" s="3" t="s">
        <v>51</v>
      </c>
      <c r="O7" s="3" t="s">
        <v>51</v>
      </c>
      <c r="P7" s="3" t="s">
        <v>51</v>
      </c>
      <c r="Q7" s="3" t="s">
        <v>71</v>
      </c>
      <c r="R7" s="3" t="s">
        <v>52</v>
      </c>
      <c r="S7" s="3" t="s">
        <v>58</v>
      </c>
      <c r="T7" s="1">
        <v>2200300</v>
      </c>
      <c r="U7" s="1">
        <v>1667120</v>
      </c>
      <c r="V7" s="1">
        <v>234500</v>
      </c>
      <c r="W7" s="1">
        <v>905480</v>
      </c>
      <c r="X7" s="1">
        <v>4101920</v>
      </c>
      <c r="Y7" s="1">
        <v>905480</v>
      </c>
      <c r="Z7" s="1">
        <v>5007400</v>
      </c>
      <c r="AA7" s="1">
        <v>2640360</v>
      </c>
      <c r="AB7" s="1">
        <v>1667120</v>
      </c>
      <c r="AC7" s="1">
        <v>281400</v>
      </c>
      <c r="AD7" s="1">
        <v>905480</v>
      </c>
      <c r="AE7" s="1">
        <v>4588880</v>
      </c>
      <c r="AF7" s="1">
        <v>905480</v>
      </c>
      <c r="AG7" s="1">
        <v>5494360</v>
      </c>
      <c r="AH7" s="1">
        <v>2376324</v>
      </c>
      <c r="AI7" s="1">
        <v>1617106.4</v>
      </c>
      <c r="AJ7" s="1">
        <v>196980</v>
      </c>
      <c r="AK7" s="1">
        <v>814932</v>
      </c>
      <c r="AL7" s="1">
        <v>4190410.4</v>
      </c>
      <c r="AM7" s="1">
        <v>814932</v>
      </c>
      <c r="AN7" s="1">
        <v>5007400</v>
      </c>
      <c r="AO7" s="6" t="s">
        <v>107</v>
      </c>
      <c r="AP7" s="6" t="s">
        <v>107</v>
      </c>
      <c r="AQ7" s="6" t="s">
        <v>107</v>
      </c>
      <c r="AR7" s="6" t="s">
        <v>107</v>
      </c>
      <c r="AS7" s="1">
        <v>3003205</v>
      </c>
      <c r="AT7" s="1">
        <v>0</v>
      </c>
      <c r="AU7" s="1">
        <v>3003205</v>
      </c>
    </row>
    <row r="8" spans="1:47" x14ac:dyDescent="0.4">
      <c r="A8" s="3" t="s">
        <v>45</v>
      </c>
      <c r="B8" s="3" t="s">
        <v>46</v>
      </c>
      <c r="C8" s="3" t="s">
        <v>47</v>
      </c>
      <c r="D8" s="3" t="s">
        <v>60</v>
      </c>
      <c r="E8" s="3" t="s">
        <v>48</v>
      </c>
      <c r="F8" s="3" t="s">
        <v>49</v>
      </c>
      <c r="G8" s="3" t="s">
        <v>67</v>
      </c>
      <c r="H8" s="3" t="s">
        <v>68</v>
      </c>
      <c r="I8" s="3" t="s">
        <v>50</v>
      </c>
      <c r="J8" s="3" t="s">
        <v>62</v>
      </c>
      <c r="K8" s="3" t="s">
        <v>69</v>
      </c>
      <c r="L8" s="3" t="s">
        <v>59</v>
      </c>
      <c r="M8" s="3" t="s">
        <v>70</v>
      </c>
      <c r="N8" s="3" t="s">
        <v>51</v>
      </c>
      <c r="O8" s="3" t="s">
        <v>51</v>
      </c>
      <c r="P8" s="3" t="s">
        <v>51</v>
      </c>
      <c r="Q8" s="3" t="s">
        <v>71</v>
      </c>
      <c r="R8" s="3" t="s">
        <v>52</v>
      </c>
      <c r="S8" s="3" t="s">
        <v>58</v>
      </c>
      <c r="T8" s="1">
        <v>854760</v>
      </c>
      <c r="U8" s="1">
        <v>544480</v>
      </c>
      <c r="V8" s="1">
        <v>97100</v>
      </c>
      <c r="W8" s="1">
        <v>100260</v>
      </c>
      <c r="X8" s="1">
        <v>1496340</v>
      </c>
      <c r="Y8" s="1">
        <v>100260</v>
      </c>
      <c r="Z8" s="1">
        <v>1596600</v>
      </c>
      <c r="AA8" s="1">
        <v>1025712</v>
      </c>
      <c r="AB8" s="1">
        <v>544480</v>
      </c>
      <c r="AC8" s="1">
        <v>116520</v>
      </c>
      <c r="AD8" s="1">
        <v>100260</v>
      </c>
      <c r="AE8" s="1">
        <v>1686712</v>
      </c>
      <c r="AF8" s="1">
        <v>100260</v>
      </c>
      <c r="AG8" s="1">
        <v>1786972</v>
      </c>
      <c r="AH8" s="1">
        <v>923140.8</v>
      </c>
      <c r="AI8" s="1">
        <v>528145.6</v>
      </c>
      <c r="AJ8" s="1">
        <v>81564</v>
      </c>
      <c r="AK8" s="1">
        <v>90234</v>
      </c>
      <c r="AL8" s="1">
        <v>1532850.4</v>
      </c>
      <c r="AM8" s="1">
        <v>90234</v>
      </c>
      <c r="AN8" s="1">
        <v>1596600</v>
      </c>
      <c r="AO8" s="6" t="s">
        <v>107</v>
      </c>
      <c r="AP8" s="6" t="s">
        <v>107</v>
      </c>
      <c r="AQ8" s="6" t="s">
        <v>107</v>
      </c>
      <c r="AR8" s="6" t="s">
        <v>107</v>
      </c>
      <c r="AS8" s="1">
        <v>973849</v>
      </c>
      <c r="AT8" s="1">
        <v>0</v>
      </c>
      <c r="AU8" s="1">
        <v>973849</v>
      </c>
    </row>
    <row r="9" spans="1:47" x14ac:dyDescent="0.4">
      <c r="A9" s="3" t="s">
        <v>45</v>
      </c>
      <c r="B9" s="3" t="s">
        <v>46</v>
      </c>
      <c r="C9" s="3" t="s">
        <v>47</v>
      </c>
      <c r="D9" s="3" t="s">
        <v>60</v>
      </c>
      <c r="E9" s="3" t="s">
        <v>48</v>
      </c>
      <c r="F9" s="3" t="s">
        <v>49</v>
      </c>
      <c r="G9" s="3" t="s">
        <v>67</v>
      </c>
      <c r="H9" s="3" t="s">
        <v>68</v>
      </c>
      <c r="I9" s="3" t="s">
        <v>50</v>
      </c>
      <c r="J9" s="3" t="s">
        <v>62</v>
      </c>
      <c r="K9" s="3" t="s">
        <v>69</v>
      </c>
      <c r="L9" s="3" t="s">
        <v>59</v>
      </c>
      <c r="M9" s="3" t="s">
        <v>70</v>
      </c>
      <c r="N9" s="3" t="s">
        <v>51</v>
      </c>
      <c r="O9" s="3" t="s">
        <v>51</v>
      </c>
      <c r="P9" s="3" t="s">
        <v>51</v>
      </c>
      <c r="Q9" s="3" t="s">
        <v>71</v>
      </c>
      <c r="R9" s="3" t="s">
        <v>52</v>
      </c>
      <c r="S9" s="3" t="s">
        <v>58</v>
      </c>
      <c r="T9" s="1">
        <v>754300</v>
      </c>
      <c r="U9" s="1">
        <v>379230</v>
      </c>
      <c r="V9" s="1">
        <v>155900</v>
      </c>
      <c r="W9" s="1">
        <v>105370</v>
      </c>
      <c r="X9" s="1">
        <v>1289430</v>
      </c>
      <c r="Y9" s="1">
        <v>105370</v>
      </c>
      <c r="Z9" s="1">
        <v>1394800</v>
      </c>
      <c r="AA9" s="1">
        <v>905160</v>
      </c>
      <c r="AB9" s="1">
        <v>379230</v>
      </c>
      <c r="AC9" s="1">
        <v>187340</v>
      </c>
      <c r="AD9" s="1">
        <v>105370</v>
      </c>
      <c r="AE9" s="1">
        <v>1471730</v>
      </c>
      <c r="AF9" s="1">
        <v>105370</v>
      </c>
      <c r="AG9" s="1">
        <v>1577100</v>
      </c>
      <c r="AH9" s="1">
        <v>814644</v>
      </c>
      <c r="AI9" s="1">
        <v>367853.1</v>
      </c>
      <c r="AJ9" s="1">
        <v>131138</v>
      </c>
      <c r="AK9" s="1">
        <v>94833</v>
      </c>
      <c r="AL9" s="1">
        <v>1313635.1000000001</v>
      </c>
      <c r="AM9" s="1">
        <v>94833</v>
      </c>
      <c r="AN9" s="1">
        <v>1394800</v>
      </c>
      <c r="AO9" s="6" t="s">
        <v>107</v>
      </c>
      <c r="AP9" s="6" t="s">
        <v>107</v>
      </c>
      <c r="AQ9" s="6" t="s">
        <v>107</v>
      </c>
      <c r="AR9" s="6" t="s">
        <v>107</v>
      </c>
      <c r="AS9" s="1">
        <v>845081</v>
      </c>
      <c r="AT9" s="1">
        <v>0</v>
      </c>
      <c r="AU9" s="1">
        <v>845081</v>
      </c>
    </row>
    <row r="10" spans="1:47" x14ac:dyDescent="0.4">
      <c r="AU10" s="5">
        <f>SUM(AU2:AU9)</f>
        <v>11670723</v>
      </c>
    </row>
    <row r="12" spans="1:47" s="3" customFormat="1" x14ac:dyDescent="0.4">
      <c r="A12" s="7" t="s">
        <v>127</v>
      </c>
    </row>
    <row r="13" spans="1:47" s="3" customFormat="1" x14ac:dyDescent="0.4">
      <c r="A13" s="37" t="s">
        <v>116</v>
      </c>
      <c r="B13" s="37" t="s">
        <v>128</v>
      </c>
      <c r="C13" s="37" t="s">
        <v>129</v>
      </c>
      <c r="D13" s="37"/>
      <c r="E13" s="37" t="s">
        <v>130</v>
      </c>
    </row>
    <row r="14" spans="1:47" s="3" customFormat="1" x14ac:dyDescent="0.4">
      <c r="A14" s="37"/>
      <c r="B14" s="37"/>
      <c r="C14" s="10" t="s">
        <v>131</v>
      </c>
      <c r="D14" s="10" t="s">
        <v>122</v>
      </c>
      <c r="E14" s="37"/>
    </row>
    <row r="15" spans="1:47" s="3" customFormat="1" x14ac:dyDescent="0.4">
      <c r="A15" s="11">
        <v>202109</v>
      </c>
      <c r="B15" s="12">
        <v>50000000</v>
      </c>
      <c r="C15" s="13">
        <v>83595</v>
      </c>
      <c r="D15" s="13"/>
      <c r="E15" s="14">
        <f>B15-C15-D15</f>
        <v>49916405</v>
      </c>
    </row>
    <row r="16" spans="1:47" s="3" customFormat="1" x14ac:dyDescent="0.4">
      <c r="A16" s="11">
        <v>202110</v>
      </c>
      <c r="B16" s="12"/>
      <c r="C16" s="15">
        <v>46964380</v>
      </c>
      <c r="D16" s="15"/>
      <c r="E16" s="14">
        <f>E15+B16-C16-D16</f>
        <v>2952025</v>
      </c>
    </row>
    <row r="17" spans="1:7" s="3" customFormat="1" x14ac:dyDescent="0.4">
      <c r="A17" s="11">
        <v>202111</v>
      </c>
      <c r="B17" s="12">
        <v>50000000</v>
      </c>
      <c r="C17" s="12">
        <v>12173136</v>
      </c>
      <c r="D17" s="12"/>
      <c r="E17" s="14">
        <f t="shared" ref="E17:E27" si="0">E16+B17-C17-D17</f>
        <v>40778889</v>
      </c>
    </row>
    <row r="18" spans="1:7" s="3" customFormat="1" x14ac:dyDescent="0.4">
      <c r="A18" s="11">
        <v>202112</v>
      </c>
      <c r="B18" s="12"/>
      <c r="C18" s="12">
        <v>16953709</v>
      </c>
      <c r="D18" s="12"/>
      <c r="E18" s="14">
        <f t="shared" si="0"/>
        <v>23825180</v>
      </c>
    </row>
    <row r="19" spans="1:7" s="3" customFormat="1" x14ac:dyDescent="0.4">
      <c r="A19" s="11">
        <v>202201</v>
      </c>
      <c r="B19" s="12"/>
      <c r="C19" s="12">
        <v>15233547</v>
      </c>
      <c r="D19" s="12"/>
      <c r="E19" s="14">
        <f t="shared" si="0"/>
        <v>8591633</v>
      </c>
    </row>
    <row r="20" spans="1:7" s="3" customFormat="1" x14ac:dyDescent="0.4">
      <c r="A20" s="11">
        <v>202202</v>
      </c>
      <c r="B20" s="12">
        <v>50000000</v>
      </c>
      <c r="C20" s="26">
        <v>12280571</v>
      </c>
      <c r="D20" s="26"/>
      <c r="E20" s="14">
        <f t="shared" si="0"/>
        <v>46311062</v>
      </c>
    </row>
    <row r="21" spans="1:7" s="3" customFormat="1" x14ac:dyDescent="0.4">
      <c r="A21" s="11">
        <v>202203</v>
      </c>
      <c r="B21" s="12"/>
      <c r="C21" s="12">
        <v>22760893</v>
      </c>
      <c r="D21" s="12">
        <v>4742478</v>
      </c>
      <c r="E21" s="14">
        <f t="shared" si="0"/>
        <v>18807691</v>
      </c>
    </row>
    <row r="22" spans="1:7" s="3" customFormat="1" x14ac:dyDescent="0.4">
      <c r="A22" s="11">
        <v>202204</v>
      </c>
      <c r="B22" s="12">
        <v>50000000</v>
      </c>
      <c r="C22" s="22">
        <v>16301202</v>
      </c>
      <c r="D22" s="22">
        <v>6757116</v>
      </c>
      <c r="E22" s="14">
        <f t="shared" si="0"/>
        <v>45749373</v>
      </c>
    </row>
    <row r="23" spans="1:7" s="3" customFormat="1" x14ac:dyDescent="0.4">
      <c r="A23" s="11">
        <v>202205</v>
      </c>
      <c r="B23" s="12"/>
      <c r="C23" s="22">
        <v>13436396</v>
      </c>
      <c r="D23" s="22">
        <v>4196058</v>
      </c>
      <c r="E23" s="14">
        <f t="shared" si="0"/>
        <v>28116919</v>
      </c>
    </row>
    <row r="24" spans="1:7" s="3" customFormat="1" x14ac:dyDescent="0.4">
      <c r="A24" s="11">
        <v>202206</v>
      </c>
      <c r="B24" s="12"/>
      <c r="C24" s="22">
        <v>14612958</v>
      </c>
      <c r="D24" s="22">
        <v>6041137</v>
      </c>
      <c r="E24" s="14">
        <f t="shared" si="0"/>
        <v>7462824</v>
      </c>
    </row>
    <row r="25" spans="1:7" s="3" customFormat="1" x14ac:dyDescent="0.4">
      <c r="A25" s="11">
        <v>202207</v>
      </c>
      <c r="B25" s="12">
        <v>50000000</v>
      </c>
      <c r="C25" s="22">
        <v>15014084</v>
      </c>
      <c r="D25" s="22">
        <v>2816805</v>
      </c>
      <c r="E25" s="14">
        <f t="shared" si="0"/>
        <v>39631935</v>
      </c>
    </row>
    <row r="26" spans="1:7" s="3" customFormat="1" x14ac:dyDescent="0.4">
      <c r="A26" s="11">
        <v>220208</v>
      </c>
      <c r="B26" s="17"/>
      <c r="C26" s="22">
        <v>13711379</v>
      </c>
      <c r="D26" s="22">
        <v>2642805</v>
      </c>
      <c r="E26" s="14">
        <f t="shared" si="0"/>
        <v>23277751</v>
      </c>
    </row>
    <row r="27" spans="1:7" s="3" customFormat="1" x14ac:dyDescent="0.4">
      <c r="A27" s="11">
        <v>202209</v>
      </c>
      <c r="B27" s="17"/>
      <c r="C27" s="22">
        <v>14780885</v>
      </c>
      <c r="D27" s="22">
        <v>2531266</v>
      </c>
      <c r="E27" s="14">
        <f t="shared" si="0"/>
        <v>5965600</v>
      </c>
      <c r="G27" s="1"/>
    </row>
    <row r="28" spans="1:7" s="3" customFormat="1" x14ac:dyDescent="0.4">
      <c r="A28" s="11">
        <v>202210</v>
      </c>
      <c r="B28" s="12">
        <v>50000000</v>
      </c>
      <c r="C28" s="22">
        <v>13674583</v>
      </c>
      <c r="D28" s="22">
        <v>3195652</v>
      </c>
      <c r="E28" s="14">
        <f>E27+B28-C28-D28</f>
        <v>39095365</v>
      </c>
    </row>
    <row r="29" spans="1:7" s="3" customFormat="1" x14ac:dyDescent="0.4">
      <c r="A29" s="11">
        <v>202211</v>
      </c>
      <c r="B29" s="12"/>
      <c r="C29" s="22">
        <v>15977756</v>
      </c>
      <c r="D29" s="22">
        <v>5798093</v>
      </c>
      <c r="E29" s="14">
        <f>E28+B29-C29-D29</f>
        <v>17319516</v>
      </c>
    </row>
    <row r="30" spans="1:7" s="3" customFormat="1" x14ac:dyDescent="0.4">
      <c r="A30" s="11">
        <v>202212</v>
      </c>
      <c r="B30" s="12"/>
      <c r="C30" s="22">
        <f>AU10</f>
        <v>11670723</v>
      </c>
      <c r="D30" s="22"/>
      <c r="E30" s="14">
        <f>E29+B30-C30-D30</f>
        <v>5648793</v>
      </c>
    </row>
    <row r="31" spans="1:7" s="3" customFormat="1" x14ac:dyDescent="0.4">
      <c r="A31" s="24" t="s">
        <v>125</v>
      </c>
      <c r="B31" s="25">
        <f>SUM(B15:B25)</f>
        <v>250000000</v>
      </c>
      <c r="C31" s="25"/>
      <c r="D31" s="25"/>
      <c r="E31" s="25"/>
    </row>
    <row r="32" spans="1:7" s="3" customFormat="1" x14ac:dyDescent="0.4">
      <c r="A32" s="27"/>
      <c r="B32" s="28"/>
      <c r="C32" s="28"/>
      <c r="D32" s="28"/>
      <c r="E32" s="28"/>
    </row>
    <row r="33" spans="1:1" s="3" customFormat="1" x14ac:dyDescent="0.4">
      <c r="A33" s="29" t="s">
        <v>132</v>
      </c>
    </row>
    <row r="34" spans="1:1" s="3" customFormat="1" x14ac:dyDescent="0.4">
      <c r="A34" s="29" t="s">
        <v>133</v>
      </c>
    </row>
    <row r="35" spans="1:1" s="3" customFormat="1" x14ac:dyDescent="0.4">
      <c r="A35" s="29" t="s">
        <v>134</v>
      </c>
    </row>
    <row r="36" spans="1:1" s="3" customFormat="1" x14ac:dyDescent="0.4">
      <c r="A36" s="29" t="s">
        <v>135</v>
      </c>
    </row>
  </sheetData>
  <mergeCells count="4">
    <mergeCell ref="A13:A14"/>
    <mergeCell ref="B13:B14"/>
    <mergeCell ref="C13:D13"/>
    <mergeCell ref="E13:E14"/>
  </mergeCells>
  <phoneticPr fontId="1" type="noConversion"/>
  <pageMargins left="0.7" right="0.7" top="0.75" bottom="0.75" header="0.3" footer="0.3"/>
  <pageSetup paperSize="9" scale="87" orientation="portrait" verticalDpi="0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U16"/>
  <sheetViews>
    <sheetView zoomScale="70" zoomScaleNormal="70" workbookViewId="0">
      <selection activeCell="A12" sqref="A12:A13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3.09765625" bestFit="1" customWidth="1"/>
    <col min="4" max="4" width="12.1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19.0976562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8.5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14.79687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114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4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24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4" t="s">
        <v>44</v>
      </c>
    </row>
    <row r="2" spans="1:47" x14ac:dyDescent="0.4">
      <c r="A2" s="3" t="s">
        <v>45</v>
      </c>
      <c r="B2" s="3" t="s">
        <v>46</v>
      </c>
      <c r="C2" s="3" t="s">
        <v>47</v>
      </c>
      <c r="D2" s="3" t="s">
        <v>60</v>
      </c>
      <c r="E2" s="3" t="s">
        <v>48</v>
      </c>
      <c r="F2" s="3" t="s">
        <v>49</v>
      </c>
      <c r="G2" s="3" t="s">
        <v>108</v>
      </c>
      <c r="H2" s="3" t="s">
        <v>109</v>
      </c>
      <c r="I2" s="3" t="s">
        <v>50</v>
      </c>
      <c r="J2" s="3" t="s">
        <v>62</v>
      </c>
      <c r="K2" s="3" t="s">
        <v>110</v>
      </c>
      <c r="L2" s="3" t="s">
        <v>111</v>
      </c>
      <c r="M2" s="3" t="s">
        <v>112</v>
      </c>
      <c r="N2" s="3" t="s">
        <v>51</v>
      </c>
      <c r="O2" s="3" t="s">
        <v>51</v>
      </c>
      <c r="P2" s="3" t="s">
        <v>51</v>
      </c>
      <c r="Q2" s="3" t="s">
        <v>113</v>
      </c>
      <c r="R2" s="3" t="s">
        <v>52</v>
      </c>
      <c r="S2" s="3" t="s">
        <v>53</v>
      </c>
      <c r="T2" s="1">
        <v>7300</v>
      </c>
      <c r="U2" s="1">
        <v>3480</v>
      </c>
      <c r="V2" s="1">
        <v>0</v>
      </c>
      <c r="W2" s="1">
        <v>13820</v>
      </c>
      <c r="X2" s="1">
        <v>10780</v>
      </c>
      <c r="Y2" s="1">
        <v>13820</v>
      </c>
      <c r="Z2" s="1">
        <v>24600</v>
      </c>
      <c r="AA2" s="1">
        <v>8760</v>
      </c>
      <c r="AB2" s="1">
        <v>3480</v>
      </c>
      <c r="AC2" s="1">
        <v>0</v>
      </c>
      <c r="AD2" s="1">
        <v>13820</v>
      </c>
      <c r="AE2" s="1">
        <v>12240</v>
      </c>
      <c r="AF2" s="1">
        <v>13820</v>
      </c>
      <c r="AG2" s="1">
        <v>26060</v>
      </c>
      <c r="AH2" s="1">
        <v>7884</v>
      </c>
      <c r="AI2" s="1">
        <v>3375.6</v>
      </c>
      <c r="AJ2" s="1">
        <v>0</v>
      </c>
      <c r="AK2" s="1">
        <v>12438</v>
      </c>
      <c r="AL2" s="1">
        <v>11259.6</v>
      </c>
      <c r="AM2" s="1">
        <v>12438</v>
      </c>
      <c r="AN2" s="1">
        <v>24600</v>
      </c>
      <c r="AO2" s="6" t="s">
        <v>107</v>
      </c>
      <c r="AP2" s="6" t="s">
        <v>107</v>
      </c>
      <c r="AQ2" s="6" t="s">
        <v>107</v>
      </c>
      <c r="AR2" s="6" t="s">
        <v>107</v>
      </c>
      <c r="AS2" s="1">
        <v>14218</v>
      </c>
      <c r="AT2" s="1">
        <v>0</v>
      </c>
      <c r="AU2" s="1">
        <v>14218</v>
      </c>
    </row>
    <row r="3" spans="1:47" x14ac:dyDescent="0.4">
      <c r="A3" s="3" t="s">
        <v>45</v>
      </c>
      <c r="B3" s="3" t="s">
        <v>46</v>
      </c>
      <c r="C3" s="3" t="s">
        <v>47</v>
      </c>
      <c r="D3" s="3" t="s">
        <v>60</v>
      </c>
      <c r="E3" s="3" t="s">
        <v>48</v>
      </c>
      <c r="F3" s="3" t="s">
        <v>49</v>
      </c>
      <c r="G3" s="3" t="s">
        <v>108</v>
      </c>
      <c r="H3" s="3" t="s">
        <v>109</v>
      </c>
      <c r="I3" s="3" t="s">
        <v>50</v>
      </c>
      <c r="J3" s="3" t="s">
        <v>62</v>
      </c>
      <c r="K3" s="3" t="s">
        <v>110</v>
      </c>
      <c r="L3" s="3" t="s">
        <v>111</v>
      </c>
      <c r="M3" s="3" t="s">
        <v>112</v>
      </c>
      <c r="N3" s="3" t="s">
        <v>51</v>
      </c>
      <c r="O3" s="3" t="s">
        <v>51</v>
      </c>
      <c r="P3" s="3" t="s">
        <v>51</v>
      </c>
      <c r="Q3" s="3" t="s">
        <v>113</v>
      </c>
      <c r="R3" s="3" t="s">
        <v>52</v>
      </c>
      <c r="S3" s="3" t="s">
        <v>54</v>
      </c>
      <c r="T3" s="1">
        <v>2700</v>
      </c>
      <c r="U3" s="1">
        <v>6700</v>
      </c>
      <c r="V3" s="1">
        <v>0</v>
      </c>
      <c r="W3" s="1">
        <v>4100</v>
      </c>
      <c r="X3" s="1">
        <v>9400</v>
      </c>
      <c r="Y3" s="1">
        <v>4100</v>
      </c>
      <c r="Z3" s="1">
        <v>13500</v>
      </c>
      <c r="AA3" s="1">
        <v>3240</v>
      </c>
      <c r="AB3" s="1">
        <v>6700</v>
      </c>
      <c r="AC3" s="1">
        <v>0</v>
      </c>
      <c r="AD3" s="1">
        <v>4100</v>
      </c>
      <c r="AE3" s="1">
        <v>9940</v>
      </c>
      <c r="AF3" s="1">
        <v>4100</v>
      </c>
      <c r="AG3" s="1">
        <v>14040</v>
      </c>
      <c r="AH3" s="1">
        <v>2916</v>
      </c>
      <c r="AI3" s="1">
        <v>6499</v>
      </c>
      <c r="AJ3" s="1">
        <v>0</v>
      </c>
      <c r="AK3" s="1">
        <v>3690</v>
      </c>
      <c r="AL3" s="1">
        <v>9415</v>
      </c>
      <c r="AM3" s="1">
        <v>3690</v>
      </c>
      <c r="AN3" s="1">
        <v>13500</v>
      </c>
      <c r="AO3" s="6" t="s">
        <v>107</v>
      </c>
      <c r="AP3" s="6" t="s">
        <v>107</v>
      </c>
      <c r="AQ3" s="6" t="s">
        <v>107</v>
      </c>
      <c r="AR3" s="6" t="s">
        <v>107</v>
      </c>
      <c r="AS3" s="1">
        <v>7863</v>
      </c>
      <c r="AT3" s="1">
        <v>0</v>
      </c>
      <c r="AU3" s="1">
        <v>7863</v>
      </c>
    </row>
    <row r="4" spans="1:47" x14ac:dyDescent="0.4">
      <c r="A4" s="3" t="s">
        <v>45</v>
      </c>
      <c r="B4" s="3" t="s">
        <v>46</v>
      </c>
      <c r="C4" s="3" t="s">
        <v>47</v>
      </c>
      <c r="D4" s="3" t="s">
        <v>60</v>
      </c>
      <c r="E4" s="3" t="s">
        <v>48</v>
      </c>
      <c r="F4" s="3" t="s">
        <v>49</v>
      </c>
      <c r="G4" s="3" t="s">
        <v>108</v>
      </c>
      <c r="H4" s="3" t="s">
        <v>109</v>
      </c>
      <c r="I4" s="3" t="s">
        <v>50</v>
      </c>
      <c r="J4" s="3" t="s">
        <v>62</v>
      </c>
      <c r="K4" s="3" t="s">
        <v>110</v>
      </c>
      <c r="L4" s="3" t="s">
        <v>111</v>
      </c>
      <c r="M4" s="3" t="s">
        <v>112</v>
      </c>
      <c r="N4" s="3" t="s">
        <v>51</v>
      </c>
      <c r="O4" s="3" t="s">
        <v>51</v>
      </c>
      <c r="P4" s="3" t="s">
        <v>51</v>
      </c>
      <c r="Q4" s="3" t="s">
        <v>113</v>
      </c>
      <c r="R4" s="3" t="s">
        <v>52</v>
      </c>
      <c r="S4" s="3" t="s">
        <v>54</v>
      </c>
      <c r="T4" s="1">
        <v>0</v>
      </c>
      <c r="U4" s="1">
        <v>8100</v>
      </c>
      <c r="V4" s="1">
        <v>0</v>
      </c>
      <c r="W4" s="1">
        <v>0</v>
      </c>
      <c r="X4" s="1">
        <v>8100</v>
      </c>
      <c r="Y4" s="1">
        <v>0</v>
      </c>
      <c r="Z4" s="1">
        <v>8100</v>
      </c>
      <c r="AA4" s="1">
        <v>0</v>
      </c>
      <c r="AB4" s="1">
        <v>8100</v>
      </c>
      <c r="AC4" s="1">
        <v>0</v>
      </c>
      <c r="AD4" s="1">
        <v>0</v>
      </c>
      <c r="AE4" s="1">
        <v>8100</v>
      </c>
      <c r="AF4" s="1">
        <v>0</v>
      </c>
      <c r="AG4" s="1">
        <v>8100</v>
      </c>
      <c r="AH4" s="1">
        <v>0</v>
      </c>
      <c r="AI4" s="1">
        <v>7857</v>
      </c>
      <c r="AJ4" s="1">
        <v>0</v>
      </c>
      <c r="AK4" s="1">
        <v>0</v>
      </c>
      <c r="AL4" s="1">
        <v>7857</v>
      </c>
      <c r="AM4" s="1">
        <v>0</v>
      </c>
      <c r="AN4" s="1">
        <v>8100</v>
      </c>
      <c r="AO4" s="6" t="s">
        <v>107</v>
      </c>
      <c r="AP4" s="6" t="s">
        <v>107</v>
      </c>
      <c r="AQ4" s="6" t="s">
        <v>107</v>
      </c>
      <c r="AR4" s="6" t="s">
        <v>107</v>
      </c>
      <c r="AS4" s="1">
        <v>4714</v>
      </c>
      <c r="AT4" s="1">
        <v>0</v>
      </c>
      <c r="AU4" s="1">
        <v>4714</v>
      </c>
    </row>
    <row r="5" spans="1:47" x14ac:dyDescent="0.4">
      <c r="A5" s="3" t="s">
        <v>45</v>
      </c>
      <c r="B5" s="3" t="s">
        <v>46</v>
      </c>
      <c r="C5" s="3" t="s">
        <v>47</v>
      </c>
      <c r="D5" s="3" t="s">
        <v>60</v>
      </c>
      <c r="E5" s="3" t="s">
        <v>48</v>
      </c>
      <c r="F5" s="3" t="s">
        <v>49</v>
      </c>
      <c r="G5" s="3" t="s">
        <v>108</v>
      </c>
      <c r="H5" s="3" t="s">
        <v>109</v>
      </c>
      <c r="I5" s="3" t="s">
        <v>50</v>
      </c>
      <c r="J5" s="3" t="s">
        <v>62</v>
      </c>
      <c r="K5" s="3" t="s">
        <v>110</v>
      </c>
      <c r="L5" s="3" t="s">
        <v>111</v>
      </c>
      <c r="M5" s="3" t="s">
        <v>112</v>
      </c>
      <c r="N5" s="3" t="s">
        <v>51</v>
      </c>
      <c r="O5" s="3" t="s">
        <v>51</v>
      </c>
      <c r="P5" s="3" t="s">
        <v>51</v>
      </c>
      <c r="Q5" s="3" t="s">
        <v>113</v>
      </c>
      <c r="R5" s="3" t="s">
        <v>52</v>
      </c>
      <c r="S5" s="3" t="s">
        <v>57</v>
      </c>
      <c r="T5" s="1">
        <v>97950</v>
      </c>
      <c r="U5" s="1">
        <v>69860</v>
      </c>
      <c r="V5" s="1">
        <v>16080</v>
      </c>
      <c r="W5" s="1">
        <v>236710</v>
      </c>
      <c r="X5" s="1">
        <v>183890</v>
      </c>
      <c r="Y5" s="1">
        <v>236710</v>
      </c>
      <c r="Z5" s="1">
        <v>420600</v>
      </c>
      <c r="AA5" s="1">
        <v>117540</v>
      </c>
      <c r="AB5" s="1">
        <v>69860</v>
      </c>
      <c r="AC5" s="1">
        <v>19296</v>
      </c>
      <c r="AD5" s="1">
        <v>236710</v>
      </c>
      <c r="AE5" s="1">
        <v>206696</v>
      </c>
      <c r="AF5" s="1">
        <v>236710</v>
      </c>
      <c r="AG5" s="1">
        <v>443406</v>
      </c>
      <c r="AH5" s="1">
        <v>105786</v>
      </c>
      <c r="AI5" s="1">
        <v>67764.2</v>
      </c>
      <c r="AJ5" s="1">
        <v>13507.2</v>
      </c>
      <c r="AK5" s="1">
        <v>213039</v>
      </c>
      <c r="AL5" s="1">
        <v>187057.4</v>
      </c>
      <c r="AM5" s="1">
        <v>213039</v>
      </c>
      <c r="AN5" s="1">
        <v>420600</v>
      </c>
      <c r="AO5" s="6" t="s">
        <v>107</v>
      </c>
      <c r="AP5" s="6" t="s">
        <v>107</v>
      </c>
      <c r="AQ5" s="6" t="s">
        <v>107</v>
      </c>
      <c r="AR5" s="6" t="s">
        <v>107</v>
      </c>
      <c r="AS5" s="1">
        <v>240058</v>
      </c>
      <c r="AT5" s="1">
        <v>0</v>
      </c>
      <c r="AU5" s="1">
        <v>240058</v>
      </c>
    </row>
    <row r="6" spans="1:47" x14ac:dyDescent="0.4">
      <c r="A6" s="3" t="s">
        <v>45</v>
      </c>
      <c r="B6" s="3" t="s">
        <v>46</v>
      </c>
      <c r="C6" s="3" t="s">
        <v>47</v>
      </c>
      <c r="D6" s="3" t="s">
        <v>60</v>
      </c>
      <c r="E6" s="3" t="s">
        <v>48</v>
      </c>
      <c r="F6" s="3" t="s">
        <v>49</v>
      </c>
      <c r="G6" s="3" t="s">
        <v>108</v>
      </c>
      <c r="H6" s="3" t="s">
        <v>109</v>
      </c>
      <c r="I6" s="3" t="s">
        <v>50</v>
      </c>
      <c r="J6" s="3" t="s">
        <v>62</v>
      </c>
      <c r="K6" s="3" t="s">
        <v>110</v>
      </c>
      <c r="L6" s="3" t="s">
        <v>111</v>
      </c>
      <c r="M6" s="3" t="s">
        <v>112</v>
      </c>
      <c r="N6" s="3" t="s">
        <v>51</v>
      </c>
      <c r="O6" s="3" t="s">
        <v>51</v>
      </c>
      <c r="P6" s="3" t="s">
        <v>51</v>
      </c>
      <c r="Q6" s="3" t="s">
        <v>113</v>
      </c>
      <c r="R6" s="3" t="s">
        <v>52</v>
      </c>
      <c r="S6" s="3" t="s">
        <v>58</v>
      </c>
      <c r="T6" s="1">
        <v>29400</v>
      </c>
      <c r="U6" s="1">
        <v>43200</v>
      </c>
      <c r="V6" s="1">
        <v>12300</v>
      </c>
      <c r="W6" s="1">
        <v>23300</v>
      </c>
      <c r="X6" s="1">
        <v>84900</v>
      </c>
      <c r="Y6" s="1">
        <v>23300</v>
      </c>
      <c r="Z6" s="1">
        <v>108200</v>
      </c>
      <c r="AA6" s="1">
        <v>35280</v>
      </c>
      <c r="AB6" s="1">
        <v>43200</v>
      </c>
      <c r="AC6" s="1">
        <v>14760</v>
      </c>
      <c r="AD6" s="1">
        <v>23300</v>
      </c>
      <c r="AE6" s="1">
        <v>93240</v>
      </c>
      <c r="AF6" s="1">
        <v>23300</v>
      </c>
      <c r="AG6" s="1">
        <v>116540</v>
      </c>
      <c r="AH6" s="1">
        <v>31752</v>
      </c>
      <c r="AI6" s="1">
        <v>41904</v>
      </c>
      <c r="AJ6" s="1">
        <v>10332</v>
      </c>
      <c r="AK6" s="1">
        <v>20970</v>
      </c>
      <c r="AL6" s="1">
        <v>83988</v>
      </c>
      <c r="AM6" s="1">
        <v>20970</v>
      </c>
      <c r="AN6" s="1">
        <v>108200</v>
      </c>
      <c r="AO6" s="6" t="s">
        <v>107</v>
      </c>
      <c r="AP6" s="6" t="s">
        <v>107</v>
      </c>
      <c r="AQ6" s="6" t="s">
        <v>107</v>
      </c>
      <c r="AR6" s="6" t="s">
        <v>107</v>
      </c>
      <c r="AS6" s="1">
        <v>62974</v>
      </c>
      <c r="AT6" s="1">
        <v>0</v>
      </c>
      <c r="AU6" s="1">
        <v>62974</v>
      </c>
    </row>
    <row r="7" spans="1:47" x14ac:dyDescent="0.4">
      <c r="A7" s="3" t="s">
        <v>45</v>
      </c>
      <c r="B7" s="3" t="s">
        <v>46</v>
      </c>
      <c r="C7" s="3" t="s">
        <v>47</v>
      </c>
      <c r="D7" s="3" t="s">
        <v>60</v>
      </c>
      <c r="E7" s="3" t="s">
        <v>48</v>
      </c>
      <c r="F7" s="3" t="s">
        <v>49</v>
      </c>
      <c r="G7" s="3" t="s">
        <v>108</v>
      </c>
      <c r="H7" s="3" t="s">
        <v>109</v>
      </c>
      <c r="I7" s="3" t="s">
        <v>50</v>
      </c>
      <c r="J7" s="3" t="s">
        <v>62</v>
      </c>
      <c r="K7" s="3" t="s">
        <v>110</v>
      </c>
      <c r="L7" s="3" t="s">
        <v>111</v>
      </c>
      <c r="M7" s="3" t="s">
        <v>112</v>
      </c>
      <c r="N7" s="3" t="s">
        <v>51</v>
      </c>
      <c r="O7" s="3" t="s">
        <v>51</v>
      </c>
      <c r="P7" s="3" t="s">
        <v>51</v>
      </c>
      <c r="Q7" s="3" t="s">
        <v>113</v>
      </c>
      <c r="R7" s="3" t="s">
        <v>52</v>
      </c>
      <c r="S7" s="3" t="s">
        <v>58</v>
      </c>
      <c r="T7" s="1">
        <v>5800</v>
      </c>
      <c r="U7" s="1">
        <v>7200</v>
      </c>
      <c r="V7" s="1">
        <v>0</v>
      </c>
      <c r="W7" s="1">
        <v>-2000</v>
      </c>
      <c r="X7" s="1">
        <v>13000</v>
      </c>
      <c r="Y7" s="1">
        <v>-2000</v>
      </c>
      <c r="Z7" s="1">
        <v>11000</v>
      </c>
      <c r="AA7" s="1">
        <v>6960</v>
      </c>
      <c r="AB7" s="1">
        <v>7200</v>
      </c>
      <c r="AC7" s="1">
        <v>0</v>
      </c>
      <c r="AD7" s="1">
        <v>-2000</v>
      </c>
      <c r="AE7" s="1">
        <v>14160</v>
      </c>
      <c r="AF7" s="1">
        <v>-2000</v>
      </c>
      <c r="AG7" s="1">
        <v>12160</v>
      </c>
      <c r="AH7" s="1">
        <v>6264</v>
      </c>
      <c r="AI7" s="1">
        <v>6984</v>
      </c>
      <c r="AJ7" s="1">
        <v>0</v>
      </c>
      <c r="AK7" s="1">
        <v>-1800</v>
      </c>
      <c r="AL7" s="1">
        <v>13248</v>
      </c>
      <c r="AM7" s="1">
        <v>-1800</v>
      </c>
      <c r="AN7" s="1">
        <v>11000</v>
      </c>
      <c r="AO7" s="6" t="s">
        <v>107</v>
      </c>
      <c r="AP7" s="6" t="s">
        <v>107</v>
      </c>
      <c r="AQ7" s="6" t="s">
        <v>107</v>
      </c>
      <c r="AR7" s="6" t="s">
        <v>107</v>
      </c>
      <c r="AS7" s="1">
        <v>6868</v>
      </c>
      <c r="AT7" s="1">
        <v>0</v>
      </c>
      <c r="AU7" s="1">
        <v>6868</v>
      </c>
    </row>
    <row r="8" spans="1:47" x14ac:dyDescent="0.4">
      <c r="AU8" s="5">
        <f>SUM(AU2:AU7)</f>
        <v>336695</v>
      </c>
    </row>
    <row r="11" spans="1:47" s="3" customFormat="1" x14ac:dyDescent="0.4">
      <c r="A11" s="7" t="s">
        <v>170</v>
      </c>
    </row>
    <row r="12" spans="1:47" s="3" customFormat="1" x14ac:dyDescent="0.4">
      <c r="A12" s="37" t="s">
        <v>137</v>
      </c>
      <c r="B12" s="37" t="s">
        <v>138</v>
      </c>
      <c r="C12" s="37" t="s">
        <v>139</v>
      </c>
      <c r="D12" s="37"/>
      <c r="E12" s="37" t="s">
        <v>140</v>
      </c>
    </row>
    <row r="13" spans="1:47" s="3" customFormat="1" x14ac:dyDescent="0.4">
      <c r="A13" s="37"/>
      <c r="B13" s="37"/>
      <c r="C13" s="10" t="s">
        <v>141</v>
      </c>
      <c r="D13" s="10" t="s">
        <v>142</v>
      </c>
      <c r="E13" s="37"/>
    </row>
    <row r="14" spans="1:47" s="3" customFormat="1" x14ac:dyDescent="0.4">
      <c r="A14" s="11">
        <v>202211</v>
      </c>
      <c r="B14" s="12">
        <v>20000000</v>
      </c>
      <c r="C14" s="12">
        <v>1716397</v>
      </c>
      <c r="D14" s="13">
        <v>889576</v>
      </c>
      <c r="E14" s="14">
        <f>B14-C14-D14</f>
        <v>17394027</v>
      </c>
    </row>
    <row r="15" spans="1:47" s="3" customFormat="1" x14ac:dyDescent="0.4">
      <c r="A15" s="11">
        <v>202212</v>
      </c>
      <c r="B15" s="12"/>
      <c r="C15" s="15">
        <f>AU8</f>
        <v>336695</v>
      </c>
      <c r="D15" s="15"/>
      <c r="E15" s="14">
        <f>E14+B15-C15-D15</f>
        <v>17057332</v>
      </c>
    </row>
    <row r="16" spans="1:47" s="3" customFormat="1" x14ac:dyDescent="0.4">
      <c r="A16" s="24" t="s">
        <v>143</v>
      </c>
      <c r="B16" s="25">
        <f>SUM(B14:B15)</f>
        <v>20000000</v>
      </c>
      <c r="C16" s="25"/>
      <c r="D16" s="25"/>
      <c r="E16" s="25"/>
    </row>
  </sheetData>
  <mergeCells count="4">
    <mergeCell ref="A12:A13"/>
    <mergeCell ref="B12:B13"/>
    <mergeCell ref="C12:D12"/>
    <mergeCell ref="E12:E1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U23"/>
  <sheetViews>
    <sheetView zoomScale="70" zoomScaleNormal="70" workbookViewId="0">
      <selection activeCell="B18" sqref="B18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6.796875" bestFit="1" customWidth="1"/>
    <col min="4" max="4" width="12.1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39.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7.5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18.898437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114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4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24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4" t="s">
        <v>44</v>
      </c>
    </row>
    <row r="2" spans="1:47" x14ac:dyDescent="0.4">
      <c r="A2" s="3" t="s">
        <v>45</v>
      </c>
      <c r="B2" s="3" t="s">
        <v>46</v>
      </c>
      <c r="C2" s="3" t="s">
        <v>47</v>
      </c>
      <c r="D2" s="3" t="s">
        <v>60</v>
      </c>
      <c r="E2" s="3" t="s">
        <v>48</v>
      </c>
      <c r="F2" s="3" t="s">
        <v>49</v>
      </c>
      <c r="G2" s="3" t="s">
        <v>78</v>
      </c>
      <c r="H2" s="3" t="s">
        <v>79</v>
      </c>
      <c r="I2" s="3" t="s">
        <v>50</v>
      </c>
      <c r="J2" s="3" t="s">
        <v>62</v>
      </c>
      <c r="K2" s="3" t="s">
        <v>80</v>
      </c>
      <c r="L2" s="3" t="s">
        <v>55</v>
      </c>
      <c r="M2" s="3" t="s">
        <v>81</v>
      </c>
      <c r="N2" s="3" t="s">
        <v>51</v>
      </c>
      <c r="O2" s="3" t="s">
        <v>51</v>
      </c>
      <c r="P2" s="3" t="s">
        <v>51</v>
      </c>
      <c r="Q2" s="3" t="s">
        <v>82</v>
      </c>
      <c r="R2" s="3" t="s">
        <v>52</v>
      </c>
      <c r="S2" s="3" t="s">
        <v>53</v>
      </c>
      <c r="T2" s="1">
        <v>0</v>
      </c>
      <c r="U2" s="1">
        <v>17200</v>
      </c>
      <c r="V2" s="1">
        <v>400</v>
      </c>
      <c r="W2" s="1">
        <v>6400</v>
      </c>
      <c r="X2" s="1">
        <v>17600</v>
      </c>
      <c r="Y2" s="1">
        <v>6400</v>
      </c>
      <c r="Z2" s="1">
        <v>24000</v>
      </c>
      <c r="AA2" s="1">
        <v>0</v>
      </c>
      <c r="AB2" s="1">
        <v>17200</v>
      </c>
      <c r="AC2" s="1">
        <v>480</v>
      </c>
      <c r="AD2" s="1">
        <v>6400</v>
      </c>
      <c r="AE2" s="1">
        <v>17680</v>
      </c>
      <c r="AF2" s="1">
        <v>6400</v>
      </c>
      <c r="AG2" s="1">
        <v>24080</v>
      </c>
      <c r="AH2" s="1">
        <v>0</v>
      </c>
      <c r="AI2" s="1">
        <v>16684</v>
      </c>
      <c r="AJ2" s="1">
        <v>336</v>
      </c>
      <c r="AK2" s="1">
        <v>5760</v>
      </c>
      <c r="AL2" s="1">
        <v>17020</v>
      </c>
      <c r="AM2" s="1">
        <v>5760</v>
      </c>
      <c r="AN2" s="1">
        <v>24000</v>
      </c>
      <c r="AO2" s="6" t="s">
        <v>107</v>
      </c>
      <c r="AP2" s="6" t="s">
        <v>107</v>
      </c>
      <c r="AQ2" s="6" t="s">
        <v>107</v>
      </c>
      <c r="AR2" s="6" t="s">
        <v>107</v>
      </c>
      <c r="AS2" s="1">
        <v>13668</v>
      </c>
      <c r="AT2" s="1">
        <v>0</v>
      </c>
      <c r="AU2" s="1">
        <v>13668</v>
      </c>
    </row>
    <row r="3" spans="1:47" x14ac:dyDescent="0.4">
      <c r="A3" s="3" t="s">
        <v>45</v>
      </c>
      <c r="B3" s="3" t="s">
        <v>46</v>
      </c>
      <c r="C3" s="3" t="s">
        <v>47</v>
      </c>
      <c r="D3" s="3" t="s">
        <v>60</v>
      </c>
      <c r="E3" s="3" t="s">
        <v>48</v>
      </c>
      <c r="F3" s="3" t="s">
        <v>49</v>
      </c>
      <c r="G3" s="3" t="s">
        <v>78</v>
      </c>
      <c r="H3" s="3" t="s">
        <v>79</v>
      </c>
      <c r="I3" s="3" t="s">
        <v>50</v>
      </c>
      <c r="J3" s="3" t="s">
        <v>62</v>
      </c>
      <c r="K3" s="3" t="s">
        <v>80</v>
      </c>
      <c r="L3" s="3" t="s">
        <v>55</v>
      </c>
      <c r="M3" s="3" t="s">
        <v>81</v>
      </c>
      <c r="N3" s="3" t="s">
        <v>51</v>
      </c>
      <c r="O3" s="3" t="s">
        <v>51</v>
      </c>
      <c r="P3" s="3" t="s">
        <v>51</v>
      </c>
      <c r="Q3" s="3" t="s">
        <v>82</v>
      </c>
      <c r="R3" s="3" t="s">
        <v>52</v>
      </c>
      <c r="S3" s="3" t="s">
        <v>54</v>
      </c>
      <c r="T3" s="1">
        <v>3600</v>
      </c>
      <c r="U3" s="1">
        <v>7200</v>
      </c>
      <c r="V3" s="1">
        <v>0</v>
      </c>
      <c r="W3" s="1">
        <v>0</v>
      </c>
      <c r="X3" s="1">
        <v>10800</v>
      </c>
      <c r="Y3" s="1">
        <v>0</v>
      </c>
      <c r="Z3" s="1">
        <v>10800</v>
      </c>
      <c r="AA3" s="1">
        <v>4320</v>
      </c>
      <c r="AB3" s="1">
        <v>7200</v>
      </c>
      <c r="AC3" s="1">
        <v>0</v>
      </c>
      <c r="AD3" s="1">
        <v>0</v>
      </c>
      <c r="AE3" s="1">
        <v>11520</v>
      </c>
      <c r="AF3" s="1">
        <v>0</v>
      </c>
      <c r="AG3" s="1">
        <v>11520</v>
      </c>
      <c r="AH3" s="1">
        <v>3888</v>
      </c>
      <c r="AI3" s="1">
        <v>6984</v>
      </c>
      <c r="AJ3" s="1">
        <v>0</v>
      </c>
      <c r="AK3" s="1">
        <v>0</v>
      </c>
      <c r="AL3" s="1">
        <v>10872</v>
      </c>
      <c r="AM3" s="1">
        <v>0</v>
      </c>
      <c r="AN3" s="1">
        <v>10800</v>
      </c>
      <c r="AO3" s="6" t="s">
        <v>107</v>
      </c>
      <c r="AP3" s="6" t="s">
        <v>107</v>
      </c>
      <c r="AQ3" s="6" t="s">
        <v>107</v>
      </c>
      <c r="AR3" s="6" t="s">
        <v>107</v>
      </c>
      <c r="AS3" s="1">
        <v>6523</v>
      </c>
      <c r="AT3" s="1">
        <v>0</v>
      </c>
      <c r="AU3" s="1">
        <v>6523</v>
      </c>
    </row>
    <row r="4" spans="1:47" x14ac:dyDescent="0.4">
      <c r="A4" s="3" t="s">
        <v>45</v>
      </c>
      <c r="B4" s="3" t="s">
        <v>46</v>
      </c>
      <c r="C4" s="3" t="s">
        <v>47</v>
      </c>
      <c r="D4" s="3" t="s">
        <v>60</v>
      </c>
      <c r="E4" s="3" t="s">
        <v>48</v>
      </c>
      <c r="F4" s="3" t="s">
        <v>49</v>
      </c>
      <c r="G4" s="3" t="s">
        <v>78</v>
      </c>
      <c r="H4" s="3" t="s">
        <v>79</v>
      </c>
      <c r="I4" s="3" t="s">
        <v>50</v>
      </c>
      <c r="J4" s="3" t="s">
        <v>62</v>
      </c>
      <c r="K4" s="3" t="s">
        <v>80</v>
      </c>
      <c r="L4" s="3" t="s">
        <v>55</v>
      </c>
      <c r="M4" s="3" t="s">
        <v>81</v>
      </c>
      <c r="N4" s="3" t="s">
        <v>51</v>
      </c>
      <c r="O4" s="3" t="s">
        <v>51</v>
      </c>
      <c r="P4" s="3" t="s">
        <v>51</v>
      </c>
      <c r="Q4" s="3" t="s">
        <v>82</v>
      </c>
      <c r="R4" s="3" t="s">
        <v>52</v>
      </c>
      <c r="S4" s="3" t="s">
        <v>54</v>
      </c>
      <c r="T4" s="1">
        <v>10800</v>
      </c>
      <c r="U4" s="1">
        <v>0</v>
      </c>
      <c r="V4" s="1">
        <v>0</v>
      </c>
      <c r="W4" s="1">
        <v>0</v>
      </c>
      <c r="X4" s="1">
        <v>10800</v>
      </c>
      <c r="Y4" s="1">
        <v>0</v>
      </c>
      <c r="Z4" s="1">
        <v>10800</v>
      </c>
      <c r="AA4" s="1">
        <v>12960</v>
      </c>
      <c r="AB4" s="1">
        <v>0</v>
      </c>
      <c r="AC4" s="1">
        <v>0</v>
      </c>
      <c r="AD4" s="1">
        <v>0</v>
      </c>
      <c r="AE4" s="1">
        <v>12960</v>
      </c>
      <c r="AF4" s="1">
        <v>0</v>
      </c>
      <c r="AG4" s="1">
        <v>12960</v>
      </c>
      <c r="AH4" s="1">
        <v>11664</v>
      </c>
      <c r="AI4" s="1">
        <v>0</v>
      </c>
      <c r="AJ4" s="1">
        <v>0</v>
      </c>
      <c r="AK4" s="1">
        <v>0</v>
      </c>
      <c r="AL4" s="1">
        <v>11664</v>
      </c>
      <c r="AM4" s="1">
        <v>0</v>
      </c>
      <c r="AN4" s="1">
        <v>10800</v>
      </c>
      <c r="AO4" s="6" t="s">
        <v>107</v>
      </c>
      <c r="AP4" s="6" t="s">
        <v>107</v>
      </c>
      <c r="AQ4" s="6" t="s">
        <v>107</v>
      </c>
      <c r="AR4" s="6" t="s">
        <v>107</v>
      </c>
      <c r="AS4" s="1">
        <v>6998</v>
      </c>
      <c r="AT4" s="1">
        <v>0</v>
      </c>
      <c r="AU4" s="1">
        <v>6998</v>
      </c>
    </row>
    <row r="5" spans="1:47" x14ac:dyDescent="0.4">
      <c r="A5" s="3" t="s">
        <v>45</v>
      </c>
      <c r="B5" s="3" t="s">
        <v>46</v>
      </c>
      <c r="C5" s="3" t="s">
        <v>47</v>
      </c>
      <c r="D5" s="3" t="s">
        <v>60</v>
      </c>
      <c r="E5" s="3" t="s">
        <v>48</v>
      </c>
      <c r="F5" s="3" t="s">
        <v>49</v>
      </c>
      <c r="G5" s="3" t="s">
        <v>78</v>
      </c>
      <c r="H5" s="3" t="s">
        <v>79</v>
      </c>
      <c r="I5" s="3" t="s">
        <v>50</v>
      </c>
      <c r="J5" s="3" t="s">
        <v>62</v>
      </c>
      <c r="K5" s="3" t="s">
        <v>80</v>
      </c>
      <c r="L5" s="3" t="s">
        <v>55</v>
      </c>
      <c r="M5" s="3" t="s">
        <v>81</v>
      </c>
      <c r="N5" s="3" t="s">
        <v>51</v>
      </c>
      <c r="O5" s="3" t="s">
        <v>51</v>
      </c>
      <c r="P5" s="3" t="s">
        <v>51</v>
      </c>
      <c r="Q5" s="3" t="s">
        <v>82</v>
      </c>
      <c r="R5" s="3" t="s">
        <v>52</v>
      </c>
      <c r="S5" s="3" t="s">
        <v>54</v>
      </c>
      <c r="T5" s="1">
        <v>0</v>
      </c>
      <c r="U5" s="1">
        <v>16800</v>
      </c>
      <c r="V5" s="1">
        <v>0</v>
      </c>
      <c r="W5" s="1">
        <v>1200</v>
      </c>
      <c r="X5" s="1">
        <v>16800</v>
      </c>
      <c r="Y5" s="1">
        <v>1200</v>
      </c>
      <c r="Z5" s="1">
        <v>18000</v>
      </c>
      <c r="AA5" s="1">
        <v>0</v>
      </c>
      <c r="AB5" s="1">
        <v>16800</v>
      </c>
      <c r="AC5" s="1">
        <v>0</v>
      </c>
      <c r="AD5" s="1">
        <v>1200</v>
      </c>
      <c r="AE5" s="1">
        <v>16800</v>
      </c>
      <c r="AF5" s="1">
        <v>1200</v>
      </c>
      <c r="AG5" s="1">
        <v>18000</v>
      </c>
      <c r="AH5" s="1">
        <v>0</v>
      </c>
      <c r="AI5" s="1">
        <v>16296</v>
      </c>
      <c r="AJ5" s="1">
        <v>0</v>
      </c>
      <c r="AK5" s="1">
        <v>1080</v>
      </c>
      <c r="AL5" s="1">
        <v>16296</v>
      </c>
      <c r="AM5" s="1">
        <v>1080</v>
      </c>
      <c r="AN5" s="1">
        <v>18000</v>
      </c>
      <c r="AO5" s="6" t="s">
        <v>107</v>
      </c>
      <c r="AP5" s="6" t="s">
        <v>107</v>
      </c>
      <c r="AQ5" s="6" t="s">
        <v>107</v>
      </c>
      <c r="AR5" s="6" t="s">
        <v>107</v>
      </c>
      <c r="AS5" s="1">
        <v>10426</v>
      </c>
      <c r="AT5" s="1">
        <v>0</v>
      </c>
      <c r="AU5" s="1">
        <v>10426</v>
      </c>
    </row>
    <row r="6" spans="1:47" x14ac:dyDescent="0.4">
      <c r="A6" s="3" t="s">
        <v>45</v>
      </c>
      <c r="B6" s="3" t="s">
        <v>46</v>
      </c>
      <c r="C6" s="3" t="s">
        <v>47</v>
      </c>
      <c r="D6" s="3" t="s">
        <v>60</v>
      </c>
      <c r="E6" s="3" t="s">
        <v>48</v>
      </c>
      <c r="F6" s="3" t="s">
        <v>49</v>
      </c>
      <c r="G6" s="3" t="s">
        <v>78</v>
      </c>
      <c r="H6" s="3" t="s">
        <v>79</v>
      </c>
      <c r="I6" s="3" t="s">
        <v>50</v>
      </c>
      <c r="J6" s="3" t="s">
        <v>62</v>
      </c>
      <c r="K6" s="3" t="s">
        <v>80</v>
      </c>
      <c r="L6" s="3" t="s">
        <v>55</v>
      </c>
      <c r="M6" s="3" t="s">
        <v>81</v>
      </c>
      <c r="N6" s="3" t="s">
        <v>51</v>
      </c>
      <c r="O6" s="3" t="s">
        <v>51</v>
      </c>
      <c r="P6" s="3" t="s">
        <v>51</v>
      </c>
      <c r="Q6" s="3" t="s">
        <v>82</v>
      </c>
      <c r="R6" s="3" t="s">
        <v>52</v>
      </c>
      <c r="S6" s="3" t="s">
        <v>57</v>
      </c>
      <c r="T6" s="1">
        <v>18900</v>
      </c>
      <c r="U6" s="1">
        <v>35580</v>
      </c>
      <c r="V6" s="1">
        <v>9500</v>
      </c>
      <c r="W6" s="1">
        <v>116420</v>
      </c>
      <c r="X6" s="1">
        <v>63980</v>
      </c>
      <c r="Y6" s="1">
        <v>116420</v>
      </c>
      <c r="Z6" s="1">
        <v>180400</v>
      </c>
      <c r="AA6" s="1">
        <v>22680</v>
      </c>
      <c r="AB6" s="1">
        <v>35580</v>
      </c>
      <c r="AC6" s="1">
        <v>11400</v>
      </c>
      <c r="AD6" s="1">
        <v>116420</v>
      </c>
      <c r="AE6" s="1">
        <v>69660</v>
      </c>
      <c r="AF6" s="1">
        <v>116420</v>
      </c>
      <c r="AG6" s="1">
        <v>186080</v>
      </c>
      <c r="AH6" s="1">
        <v>20412</v>
      </c>
      <c r="AI6" s="1">
        <v>34512.6</v>
      </c>
      <c r="AJ6" s="1">
        <v>7980</v>
      </c>
      <c r="AK6" s="1">
        <v>104778</v>
      </c>
      <c r="AL6" s="1">
        <v>62904.6</v>
      </c>
      <c r="AM6" s="1">
        <v>104778</v>
      </c>
      <c r="AN6" s="1">
        <v>180400</v>
      </c>
      <c r="AO6" s="6" t="s">
        <v>107</v>
      </c>
      <c r="AP6" s="6" t="s">
        <v>107</v>
      </c>
      <c r="AQ6" s="6" t="s">
        <v>107</v>
      </c>
      <c r="AR6" s="6" t="s">
        <v>107</v>
      </c>
      <c r="AS6" s="1">
        <v>100610</v>
      </c>
      <c r="AT6" s="1">
        <v>0</v>
      </c>
      <c r="AU6" s="1">
        <v>100610</v>
      </c>
    </row>
    <row r="7" spans="1:47" x14ac:dyDescent="0.4">
      <c r="A7" s="3" t="s">
        <v>45</v>
      </c>
      <c r="B7" s="3" t="s">
        <v>46</v>
      </c>
      <c r="C7" s="3" t="s">
        <v>47</v>
      </c>
      <c r="D7" s="3" t="s">
        <v>60</v>
      </c>
      <c r="E7" s="3" t="s">
        <v>48</v>
      </c>
      <c r="F7" s="3" t="s">
        <v>49</v>
      </c>
      <c r="G7" s="3" t="s">
        <v>78</v>
      </c>
      <c r="H7" s="3" t="s">
        <v>79</v>
      </c>
      <c r="I7" s="3" t="s">
        <v>50</v>
      </c>
      <c r="J7" s="3" t="s">
        <v>62</v>
      </c>
      <c r="K7" s="3" t="s">
        <v>80</v>
      </c>
      <c r="L7" s="3" t="s">
        <v>55</v>
      </c>
      <c r="M7" s="3" t="s">
        <v>81</v>
      </c>
      <c r="N7" s="3" t="s">
        <v>51</v>
      </c>
      <c r="O7" s="3" t="s">
        <v>51</v>
      </c>
      <c r="P7" s="3" t="s">
        <v>51</v>
      </c>
      <c r="Q7" s="3" t="s">
        <v>82</v>
      </c>
      <c r="R7" s="3" t="s">
        <v>52</v>
      </c>
      <c r="S7" s="3" t="s">
        <v>58</v>
      </c>
      <c r="T7" s="1">
        <v>35200</v>
      </c>
      <c r="U7" s="1">
        <v>83700</v>
      </c>
      <c r="V7" s="1">
        <v>10800</v>
      </c>
      <c r="W7" s="1">
        <v>32900</v>
      </c>
      <c r="X7" s="1">
        <v>129700</v>
      </c>
      <c r="Y7" s="1">
        <v>32900</v>
      </c>
      <c r="Z7" s="1">
        <v>162600</v>
      </c>
      <c r="AA7" s="1">
        <v>42240</v>
      </c>
      <c r="AB7" s="1">
        <v>83700</v>
      </c>
      <c r="AC7" s="1">
        <v>12960</v>
      </c>
      <c r="AD7" s="1">
        <v>32900</v>
      </c>
      <c r="AE7" s="1">
        <v>138900</v>
      </c>
      <c r="AF7" s="1">
        <v>32900</v>
      </c>
      <c r="AG7" s="1">
        <v>171800</v>
      </c>
      <c r="AH7" s="1">
        <v>38016</v>
      </c>
      <c r="AI7" s="1">
        <v>81189</v>
      </c>
      <c r="AJ7" s="1">
        <v>9072</v>
      </c>
      <c r="AK7" s="1">
        <v>29610</v>
      </c>
      <c r="AL7" s="1">
        <v>128277</v>
      </c>
      <c r="AM7" s="1">
        <v>29610</v>
      </c>
      <c r="AN7" s="1">
        <v>162600</v>
      </c>
      <c r="AO7" s="6" t="s">
        <v>107</v>
      </c>
      <c r="AP7" s="6" t="s">
        <v>107</v>
      </c>
      <c r="AQ7" s="6" t="s">
        <v>107</v>
      </c>
      <c r="AR7" s="6" t="s">
        <v>107</v>
      </c>
      <c r="AS7" s="1">
        <v>94732</v>
      </c>
      <c r="AT7" s="1">
        <v>0</v>
      </c>
      <c r="AU7" s="1">
        <v>94732</v>
      </c>
    </row>
    <row r="8" spans="1:47" x14ac:dyDescent="0.4">
      <c r="A8" s="3" t="s">
        <v>45</v>
      </c>
      <c r="B8" s="3" t="s">
        <v>46</v>
      </c>
      <c r="C8" s="3" t="s">
        <v>47</v>
      </c>
      <c r="D8" s="3" t="s">
        <v>60</v>
      </c>
      <c r="E8" s="3" t="s">
        <v>48</v>
      </c>
      <c r="F8" s="3" t="s">
        <v>49</v>
      </c>
      <c r="G8" s="3" t="s">
        <v>78</v>
      </c>
      <c r="H8" s="3" t="s">
        <v>79</v>
      </c>
      <c r="I8" s="3" t="s">
        <v>50</v>
      </c>
      <c r="J8" s="3" t="s">
        <v>62</v>
      </c>
      <c r="K8" s="3" t="s">
        <v>80</v>
      </c>
      <c r="L8" s="3" t="s">
        <v>55</v>
      </c>
      <c r="M8" s="3" t="s">
        <v>81</v>
      </c>
      <c r="N8" s="3" t="s">
        <v>51</v>
      </c>
      <c r="O8" s="3" t="s">
        <v>51</v>
      </c>
      <c r="P8" s="3" t="s">
        <v>51</v>
      </c>
      <c r="Q8" s="3" t="s">
        <v>82</v>
      </c>
      <c r="R8" s="3" t="s">
        <v>52</v>
      </c>
      <c r="S8" s="3" t="s">
        <v>58</v>
      </c>
      <c r="T8" s="1">
        <v>27000</v>
      </c>
      <c r="U8" s="1">
        <v>24000</v>
      </c>
      <c r="V8" s="1">
        <v>0</v>
      </c>
      <c r="W8" s="1">
        <v>0</v>
      </c>
      <c r="X8" s="1">
        <v>51000</v>
      </c>
      <c r="Y8" s="1">
        <v>0</v>
      </c>
      <c r="Z8" s="1">
        <v>51000</v>
      </c>
      <c r="AA8" s="1">
        <v>32400</v>
      </c>
      <c r="AB8" s="1">
        <v>24000</v>
      </c>
      <c r="AC8" s="1">
        <v>0</v>
      </c>
      <c r="AD8" s="1">
        <v>0</v>
      </c>
      <c r="AE8" s="1">
        <v>56400</v>
      </c>
      <c r="AF8" s="1">
        <v>0</v>
      </c>
      <c r="AG8" s="1">
        <v>56400</v>
      </c>
      <c r="AH8" s="1">
        <v>29160</v>
      </c>
      <c r="AI8" s="1">
        <v>23280</v>
      </c>
      <c r="AJ8" s="1">
        <v>0</v>
      </c>
      <c r="AK8" s="1">
        <v>0</v>
      </c>
      <c r="AL8" s="1">
        <v>52440</v>
      </c>
      <c r="AM8" s="1">
        <v>0</v>
      </c>
      <c r="AN8" s="1">
        <v>51000</v>
      </c>
      <c r="AO8" s="6" t="s">
        <v>107</v>
      </c>
      <c r="AP8" s="6" t="s">
        <v>107</v>
      </c>
      <c r="AQ8" s="6" t="s">
        <v>107</v>
      </c>
      <c r="AR8" s="6" t="s">
        <v>107</v>
      </c>
      <c r="AS8" s="1">
        <v>31464</v>
      </c>
      <c r="AT8" s="1">
        <v>0</v>
      </c>
      <c r="AU8" s="1">
        <v>31464</v>
      </c>
    </row>
    <row r="9" spans="1:47" x14ac:dyDescent="0.4">
      <c r="AU9" s="5">
        <f>SUM(AU2:AU8)</f>
        <v>264421</v>
      </c>
    </row>
    <row r="12" spans="1:47" s="3" customFormat="1" x14ac:dyDescent="0.4">
      <c r="A12" s="7" t="s">
        <v>144</v>
      </c>
      <c r="B12" s="8"/>
      <c r="C12" s="8"/>
      <c r="D12" s="9"/>
    </row>
    <row r="13" spans="1:47" s="3" customFormat="1" x14ac:dyDescent="0.4">
      <c r="A13" s="10" t="s">
        <v>137</v>
      </c>
      <c r="B13" s="10" t="s">
        <v>138</v>
      </c>
      <c r="C13" s="10" t="s">
        <v>136</v>
      </c>
      <c r="D13" s="10" t="s">
        <v>140</v>
      </c>
    </row>
    <row r="14" spans="1:47" s="3" customFormat="1" x14ac:dyDescent="0.4">
      <c r="A14" s="11">
        <v>202204</v>
      </c>
      <c r="B14" s="12">
        <v>60000000</v>
      </c>
      <c r="C14" s="31">
        <v>9290139</v>
      </c>
      <c r="D14" s="14">
        <f>B14-C14</f>
        <v>50709861</v>
      </c>
    </row>
    <row r="15" spans="1:47" s="3" customFormat="1" x14ac:dyDescent="0.4">
      <c r="A15" s="11">
        <v>202205</v>
      </c>
      <c r="B15" s="12"/>
      <c r="C15" s="32">
        <v>1592754</v>
      </c>
      <c r="D15" s="14">
        <f t="shared" ref="D15:D21" si="0">D14-C15</f>
        <v>49117107</v>
      </c>
    </row>
    <row r="16" spans="1:47" s="3" customFormat="1" x14ac:dyDescent="0.4">
      <c r="A16" s="11">
        <v>202206</v>
      </c>
      <c r="B16" s="12"/>
      <c r="C16" s="26">
        <v>781248</v>
      </c>
      <c r="D16" s="14">
        <f t="shared" si="0"/>
        <v>48335859</v>
      </c>
    </row>
    <row r="17" spans="1:4" s="3" customFormat="1" x14ac:dyDescent="0.4">
      <c r="A17" s="11">
        <v>202207</v>
      </c>
      <c r="B17" s="12"/>
      <c r="C17" s="26">
        <v>689108</v>
      </c>
      <c r="D17" s="14">
        <f t="shared" si="0"/>
        <v>47646751</v>
      </c>
    </row>
    <row r="18" spans="1:4" s="3" customFormat="1" x14ac:dyDescent="0.4">
      <c r="A18" s="11">
        <v>202208</v>
      </c>
      <c r="B18" s="12"/>
      <c r="C18" s="12">
        <v>1152081</v>
      </c>
      <c r="D18" s="14">
        <f t="shared" si="0"/>
        <v>46494670</v>
      </c>
    </row>
    <row r="19" spans="1:4" s="3" customFormat="1" x14ac:dyDescent="0.4">
      <c r="A19" s="11">
        <v>202209</v>
      </c>
      <c r="B19" s="12"/>
      <c r="C19" s="12">
        <v>1236874</v>
      </c>
      <c r="D19" s="14">
        <f t="shared" si="0"/>
        <v>45257796</v>
      </c>
    </row>
    <row r="20" spans="1:4" s="3" customFormat="1" x14ac:dyDescent="0.4">
      <c r="A20" s="11">
        <v>202210</v>
      </c>
      <c r="B20" s="12"/>
      <c r="C20" s="12">
        <v>1808863</v>
      </c>
      <c r="D20" s="14">
        <f t="shared" si="0"/>
        <v>43448933</v>
      </c>
    </row>
    <row r="21" spans="1:4" s="3" customFormat="1" x14ac:dyDescent="0.4">
      <c r="A21" s="11">
        <v>202211</v>
      </c>
      <c r="B21" s="12"/>
      <c r="C21" s="14">
        <v>2583498</v>
      </c>
      <c r="D21" s="14">
        <f t="shared" si="0"/>
        <v>40865435</v>
      </c>
    </row>
    <row r="22" spans="1:4" s="3" customFormat="1" x14ac:dyDescent="0.4">
      <c r="A22" s="11">
        <v>202212</v>
      </c>
      <c r="B22" s="12"/>
      <c r="C22" s="14">
        <f>AU9</f>
        <v>264421</v>
      </c>
      <c r="D22" s="14">
        <f>D21-C22</f>
        <v>40601014</v>
      </c>
    </row>
    <row r="23" spans="1:4" s="3" customFormat="1" x14ac:dyDescent="0.4">
      <c r="A23" s="24" t="s">
        <v>143</v>
      </c>
      <c r="B23" s="25">
        <f>SUM(B14:B22)</f>
        <v>60000000</v>
      </c>
      <c r="C23" s="25">
        <f>SUM(C14:C22)</f>
        <v>19398986</v>
      </c>
      <c r="D23" s="25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U22"/>
  <sheetViews>
    <sheetView zoomScale="70" zoomScaleNormal="70" workbookViewId="0">
      <selection activeCell="C23" sqref="C23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6.796875" bestFit="1" customWidth="1"/>
    <col min="4" max="4" width="12.1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47.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5.6992187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19.0976562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9.5" bestFit="1" customWidth="1"/>
  </cols>
  <sheetData>
    <row r="1" spans="1:47" x14ac:dyDescent="0.4">
      <c r="A1" s="2" t="s">
        <v>114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4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24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4" t="s">
        <v>44</v>
      </c>
    </row>
    <row r="2" spans="1:47" x14ac:dyDescent="0.4">
      <c r="A2" s="3" t="s">
        <v>45</v>
      </c>
      <c r="B2" s="3" t="s">
        <v>46</v>
      </c>
      <c r="C2" s="3" t="s">
        <v>47</v>
      </c>
      <c r="D2" s="3" t="s">
        <v>60</v>
      </c>
      <c r="E2" s="3" t="s">
        <v>48</v>
      </c>
      <c r="F2" s="3" t="s">
        <v>49</v>
      </c>
      <c r="G2" s="3" t="s">
        <v>83</v>
      </c>
      <c r="H2" s="3" t="s">
        <v>84</v>
      </c>
      <c r="I2" s="3" t="s">
        <v>50</v>
      </c>
      <c r="J2" s="3" t="s">
        <v>62</v>
      </c>
      <c r="K2" s="3" t="s">
        <v>85</v>
      </c>
      <c r="L2" s="3" t="s">
        <v>56</v>
      </c>
      <c r="M2" s="3" t="s">
        <v>86</v>
      </c>
      <c r="N2" s="3" t="s">
        <v>51</v>
      </c>
      <c r="O2" s="3" t="s">
        <v>51</v>
      </c>
      <c r="P2" s="3" t="s">
        <v>51</v>
      </c>
      <c r="Q2" s="3" t="s">
        <v>87</v>
      </c>
      <c r="R2" s="3" t="s">
        <v>52</v>
      </c>
      <c r="S2" s="3" t="s">
        <v>53</v>
      </c>
      <c r="T2" s="1">
        <v>11600</v>
      </c>
      <c r="U2" s="1">
        <v>16600</v>
      </c>
      <c r="V2" s="1">
        <v>2000</v>
      </c>
      <c r="W2" s="1">
        <v>5400</v>
      </c>
      <c r="X2" s="1">
        <v>30200</v>
      </c>
      <c r="Y2" s="1">
        <v>5400</v>
      </c>
      <c r="Z2" s="1">
        <v>35600</v>
      </c>
      <c r="AA2" s="1">
        <v>13920</v>
      </c>
      <c r="AB2" s="1">
        <v>16600</v>
      </c>
      <c r="AC2" s="1">
        <v>2400</v>
      </c>
      <c r="AD2" s="1">
        <v>5400</v>
      </c>
      <c r="AE2" s="1">
        <v>32920</v>
      </c>
      <c r="AF2" s="1">
        <v>5400</v>
      </c>
      <c r="AG2" s="1">
        <v>38320</v>
      </c>
      <c r="AH2" s="1">
        <v>12528</v>
      </c>
      <c r="AI2" s="1">
        <v>16102</v>
      </c>
      <c r="AJ2" s="1">
        <v>1680</v>
      </c>
      <c r="AK2" s="1">
        <v>4860</v>
      </c>
      <c r="AL2" s="1">
        <v>30310</v>
      </c>
      <c r="AM2" s="1">
        <v>4860</v>
      </c>
      <c r="AN2" s="1">
        <v>35600</v>
      </c>
      <c r="AO2" s="6" t="s">
        <v>107</v>
      </c>
      <c r="AP2" s="6" t="s">
        <v>107</v>
      </c>
      <c r="AQ2" s="6" t="s">
        <v>107</v>
      </c>
      <c r="AR2" s="6" t="s">
        <v>107</v>
      </c>
      <c r="AS2" s="1">
        <v>21102</v>
      </c>
      <c r="AT2" s="1">
        <v>0</v>
      </c>
      <c r="AU2" s="1">
        <v>21102</v>
      </c>
    </row>
    <row r="3" spans="1:47" x14ac:dyDescent="0.4">
      <c r="A3" s="3" t="s">
        <v>45</v>
      </c>
      <c r="B3" s="3" t="s">
        <v>46</v>
      </c>
      <c r="C3" s="3" t="s">
        <v>47</v>
      </c>
      <c r="D3" s="3" t="s">
        <v>60</v>
      </c>
      <c r="E3" s="3" t="s">
        <v>48</v>
      </c>
      <c r="F3" s="3" t="s">
        <v>49</v>
      </c>
      <c r="G3" s="3" t="s">
        <v>83</v>
      </c>
      <c r="H3" s="3" t="s">
        <v>84</v>
      </c>
      <c r="I3" s="3" t="s">
        <v>50</v>
      </c>
      <c r="J3" s="3" t="s">
        <v>62</v>
      </c>
      <c r="K3" s="3" t="s">
        <v>85</v>
      </c>
      <c r="L3" s="3" t="s">
        <v>56</v>
      </c>
      <c r="M3" s="3" t="s">
        <v>86</v>
      </c>
      <c r="N3" s="3" t="s">
        <v>51</v>
      </c>
      <c r="O3" s="3" t="s">
        <v>51</v>
      </c>
      <c r="P3" s="3" t="s">
        <v>51</v>
      </c>
      <c r="Q3" s="3" t="s">
        <v>87</v>
      </c>
      <c r="R3" s="3" t="s">
        <v>52</v>
      </c>
      <c r="S3" s="3" t="s">
        <v>54</v>
      </c>
      <c r="T3" s="1">
        <v>12400</v>
      </c>
      <c r="U3" s="1">
        <v>32200</v>
      </c>
      <c r="V3" s="1">
        <v>0</v>
      </c>
      <c r="W3" s="1">
        <v>1400</v>
      </c>
      <c r="X3" s="1">
        <v>44600</v>
      </c>
      <c r="Y3" s="1">
        <v>1400</v>
      </c>
      <c r="Z3" s="1">
        <v>46000</v>
      </c>
      <c r="AA3" s="1">
        <v>14880</v>
      </c>
      <c r="AB3" s="1">
        <v>32200</v>
      </c>
      <c r="AC3" s="1">
        <v>0</v>
      </c>
      <c r="AD3" s="1">
        <v>1400</v>
      </c>
      <c r="AE3" s="1">
        <v>47080</v>
      </c>
      <c r="AF3" s="1">
        <v>1400</v>
      </c>
      <c r="AG3" s="1">
        <v>48480</v>
      </c>
      <c r="AH3" s="1">
        <v>13392</v>
      </c>
      <c r="AI3" s="1">
        <v>31234</v>
      </c>
      <c r="AJ3" s="1">
        <v>0</v>
      </c>
      <c r="AK3" s="1">
        <v>1260</v>
      </c>
      <c r="AL3" s="1">
        <v>44626</v>
      </c>
      <c r="AM3" s="1">
        <v>1260</v>
      </c>
      <c r="AN3" s="1">
        <v>46000</v>
      </c>
      <c r="AO3" s="6" t="s">
        <v>107</v>
      </c>
      <c r="AP3" s="6" t="s">
        <v>107</v>
      </c>
      <c r="AQ3" s="6" t="s">
        <v>107</v>
      </c>
      <c r="AR3" s="6" t="s">
        <v>107</v>
      </c>
      <c r="AS3" s="1">
        <v>27531</v>
      </c>
      <c r="AT3" s="1">
        <v>0</v>
      </c>
      <c r="AU3" s="1">
        <v>27531</v>
      </c>
    </row>
    <row r="4" spans="1:47" x14ac:dyDescent="0.4">
      <c r="A4" s="3" t="s">
        <v>45</v>
      </c>
      <c r="B4" s="3" t="s">
        <v>46</v>
      </c>
      <c r="C4" s="3" t="s">
        <v>47</v>
      </c>
      <c r="D4" s="3" t="s">
        <v>60</v>
      </c>
      <c r="E4" s="3" t="s">
        <v>48</v>
      </c>
      <c r="F4" s="3" t="s">
        <v>49</v>
      </c>
      <c r="G4" s="3" t="s">
        <v>83</v>
      </c>
      <c r="H4" s="3" t="s">
        <v>84</v>
      </c>
      <c r="I4" s="3" t="s">
        <v>50</v>
      </c>
      <c r="J4" s="3" t="s">
        <v>62</v>
      </c>
      <c r="K4" s="3" t="s">
        <v>85</v>
      </c>
      <c r="L4" s="3" t="s">
        <v>56</v>
      </c>
      <c r="M4" s="3" t="s">
        <v>86</v>
      </c>
      <c r="N4" s="3" t="s">
        <v>51</v>
      </c>
      <c r="O4" s="3" t="s">
        <v>51</v>
      </c>
      <c r="P4" s="3" t="s">
        <v>51</v>
      </c>
      <c r="Q4" s="3" t="s">
        <v>87</v>
      </c>
      <c r="R4" s="3" t="s">
        <v>52</v>
      </c>
      <c r="S4" s="3" t="s">
        <v>54</v>
      </c>
      <c r="T4" s="1">
        <v>14400</v>
      </c>
      <c r="U4" s="1">
        <v>1200</v>
      </c>
      <c r="V4" s="1">
        <v>0</v>
      </c>
      <c r="W4" s="1">
        <v>0</v>
      </c>
      <c r="X4" s="1">
        <v>15600</v>
      </c>
      <c r="Y4" s="1">
        <v>0</v>
      </c>
      <c r="Z4" s="1">
        <v>15600</v>
      </c>
      <c r="AA4" s="1">
        <v>17280</v>
      </c>
      <c r="AB4" s="1">
        <v>1200</v>
      </c>
      <c r="AC4" s="1">
        <v>0</v>
      </c>
      <c r="AD4" s="1">
        <v>0</v>
      </c>
      <c r="AE4" s="1">
        <v>18480</v>
      </c>
      <c r="AF4" s="1">
        <v>0</v>
      </c>
      <c r="AG4" s="1">
        <v>18480</v>
      </c>
      <c r="AH4" s="1">
        <v>15552</v>
      </c>
      <c r="AI4" s="1">
        <v>1164</v>
      </c>
      <c r="AJ4" s="1">
        <v>0</v>
      </c>
      <c r="AK4" s="1">
        <v>0</v>
      </c>
      <c r="AL4" s="1">
        <v>16716</v>
      </c>
      <c r="AM4" s="1">
        <v>0</v>
      </c>
      <c r="AN4" s="1">
        <v>15600</v>
      </c>
      <c r="AO4" s="6" t="s">
        <v>107</v>
      </c>
      <c r="AP4" s="6" t="s">
        <v>107</v>
      </c>
      <c r="AQ4" s="6" t="s">
        <v>107</v>
      </c>
      <c r="AR4" s="6" t="s">
        <v>107</v>
      </c>
      <c r="AS4" s="1">
        <v>10029</v>
      </c>
      <c r="AT4" s="1">
        <v>0</v>
      </c>
      <c r="AU4" s="1">
        <v>10029</v>
      </c>
    </row>
    <row r="5" spans="1:47" x14ac:dyDescent="0.4">
      <c r="A5" s="3" t="s">
        <v>45</v>
      </c>
      <c r="B5" s="3" t="s">
        <v>46</v>
      </c>
      <c r="C5" s="3" t="s">
        <v>47</v>
      </c>
      <c r="D5" s="3" t="s">
        <v>60</v>
      </c>
      <c r="E5" s="3" t="s">
        <v>48</v>
      </c>
      <c r="F5" s="3" t="s">
        <v>49</v>
      </c>
      <c r="G5" s="3" t="s">
        <v>83</v>
      </c>
      <c r="H5" s="3" t="s">
        <v>84</v>
      </c>
      <c r="I5" s="3" t="s">
        <v>50</v>
      </c>
      <c r="J5" s="3" t="s">
        <v>62</v>
      </c>
      <c r="K5" s="3" t="s">
        <v>85</v>
      </c>
      <c r="L5" s="3" t="s">
        <v>56</v>
      </c>
      <c r="M5" s="3" t="s">
        <v>86</v>
      </c>
      <c r="N5" s="3" t="s">
        <v>51</v>
      </c>
      <c r="O5" s="3" t="s">
        <v>51</v>
      </c>
      <c r="P5" s="3" t="s">
        <v>51</v>
      </c>
      <c r="Q5" s="3" t="s">
        <v>87</v>
      </c>
      <c r="R5" s="3" t="s">
        <v>52</v>
      </c>
      <c r="S5" s="3" t="s">
        <v>54</v>
      </c>
      <c r="T5" s="1">
        <v>21600</v>
      </c>
      <c r="U5" s="1">
        <v>32400</v>
      </c>
      <c r="V5" s="1">
        <v>0</v>
      </c>
      <c r="W5" s="1">
        <v>0</v>
      </c>
      <c r="X5" s="1">
        <v>54000</v>
      </c>
      <c r="Y5" s="1">
        <v>0</v>
      </c>
      <c r="Z5" s="1">
        <v>54000</v>
      </c>
      <c r="AA5" s="1">
        <v>25920</v>
      </c>
      <c r="AB5" s="1">
        <v>32400</v>
      </c>
      <c r="AC5" s="1">
        <v>0</v>
      </c>
      <c r="AD5" s="1">
        <v>0</v>
      </c>
      <c r="AE5" s="1">
        <v>58320</v>
      </c>
      <c r="AF5" s="1">
        <v>0</v>
      </c>
      <c r="AG5" s="1">
        <v>58320</v>
      </c>
      <c r="AH5" s="1">
        <v>23328</v>
      </c>
      <c r="AI5" s="1">
        <v>31428</v>
      </c>
      <c r="AJ5" s="1">
        <v>0</v>
      </c>
      <c r="AK5" s="1">
        <v>0</v>
      </c>
      <c r="AL5" s="1">
        <v>54756</v>
      </c>
      <c r="AM5" s="1">
        <v>0</v>
      </c>
      <c r="AN5" s="1">
        <v>54000</v>
      </c>
      <c r="AO5" s="6" t="s">
        <v>107</v>
      </c>
      <c r="AP5" s="6" t="s">
        <v>107</v>
      </c>
      <c r="AQ5" s="6" t="s">
        <v>107</v>
      </c>
      <c r="AR5" s="6" t="s">
        <v>107</v>
      </c>
      <c r="AS5" s="1">
        <v>32854</v>
      </c>
      <c r="AT5" s="1">
        <v>0</v>
      </c>
      <c r="AU5" s="1">
        <v>32854</v>
      </c>
    </row>
    <row r="6" spans="1:47" x14ac:dyDescent="0.4">
      <c r="A6" s="3" t="s">
        <v>45</v>
      </c>
      <c r="B6" s="3" t="s">
        <v>46</v>
      </c>
      <c r="C6" s="3" t="s">
        <v>47</v>
      </c>
      <c r="D6" s="3" t="s">
        <v>60</v>
      </c>
      <c r="E6" s="3" t="s">
        <v>48</v>
      </c>
      <c r="F6" s="3" t="s">
        <v>49</v>
      </c>
      <c r="G6" s="3" t="s">
        <v>83</v>
      </c>
      <c r="H6" s="3" t="s">
        <v>84</v>
      </c>
      <c r="I6" s="3" t="s">
        <v>50</v>
      </c>
      <c r="J6" s="3" t="s">
        <v>62</v>
      </c>
      <c r="K6" s="3" t="s">
        <v>85</v>
      </c>
      <c r="L6" s="3" t="s">
        <v>56</v>
      </c>
      <c r="M6" s="3" t="s">
        <v>86</v>
      </c>
      <c r="N6" s="3" t="s">
        <v>51</v>
      </c>
      <c r="O6" s="3" t="s">
        <v>51</v>
      </c>
      <c r="P6" s="3" t="s">
        <v>51</v>
      </c>
      <c r="Q6" s="3" t="s">
        <v>87</v>
      </c>
      <c r="R6" s="3" t="s">
        <v>52</v>
      </c>
      <c r="S6" s="3" t="s">
        <v>57</v>
      </c>
      <c r="T6" s="1">
        <v>488510</v>
      </c>
      <c r="U6" s="1">
        <v>211530</v>
      </c>
      <c r="V6" s="1">
        <v>64000</v>
      </c>
      <c r="W6" s="1">
        <v>151360</v>
      </c>
      <c r="X6" s="1">
        <v>764040</v>
      </c>
      <c r="Y6" s="1">
        <v>151360</v>
      </c>
      <c r="Z6" s="1">
        <v>915400</v>
      </c>
      <c r="AA6" s="1">
        <v>586212</v>
      </c>
      <c r="AB6" s="1">
        <v>211530</v>
      </c>
      <c r="AC6" s="1">
        <v>76800</v>
      </c>
      <c r="AD6" s="1">
        <v>151360</v>
      </c>
      <c r="AE6" s="1">
        <v>874542</v>
      </c>
      <c r="AF6" s="1">
        <v>151360</v>
      </c>
      <c r="AG6" s="1">
        <v>1025902</v>
      </c>
      <c r="AH6" s="1">
        <v>527590.80000000005</v>
      </c>
      <c r="AI6" s="1">
        <v>205184.1</v>
      </c>
      <c r="AJ6" s="1">
        <v>53760</v>
      </c>
      <c r="AK6" s="1">
        <v>136224</v>
      </c>
      <c r="AL6" s="1">
        <v>786534.9</v>
      </c>
      <c r="AM6" s="1">
        <v>136224</v>
      </c>
      <c r="AN6" s="1">
        <v>915400</v>
      </c>
      <c r="AO6" s="6" t="s">
        <v>107</v>
      </c>
      <c r="AP6" s="6" t="s">
        <v>107</v>
      </c>
      <c r="AQ6" s="6" t="s">
        <v>107</v>
      </c>
      <c r="AR6" s="6" t="s">
        <v>107</v>
      </c>
      <c r="AS6" s="1">
        <v>553654</v>
      </c>
      <c r="AT6" s="1">
        <v>0</v>
      </c>
      <c r="AU6" s="1">
        <v>553654</v>
      </c>
    </row>
    <row r="7" spans="1:47" x14ac:dyDescent="0.4">
      <c r="A7" s="3" t="s">
        <v>45</v>
      </c>
      <c r="B7" s="3" t="s">
        <v>46</v>
      </c>
      <c r="C7" s="3" t="s">
        <v>47</v>
      </c>
      <c r="D7" s="3" t="s">
        <v>60</v>
      </c>
      <c r="E7" s="3" t="s">
        <v>48</v>
      </c>
      <c r="F7" s="3" t="s">
        <v>49</v>
      </c>
      <c r="G7" s="3" t="s">
        <v>83</v>
      </c>
      <c r="H7" s="3" t="s">
        <v>84</v>
      </c>
      <c r="I7" s="3" t="s">
        <v>50</v>
      </c>
      <c r="J7" s="3" t="s">
        <v>62</v>
      </c>
      <c r="K7" s="3" t="s">
        <v>85</v>
      </c>
      <c r="L7" s="3" t="s">
        <v>56</v>
      </c>
      <c r="M7" s="3" t="s">
        <v>86</v>
      </c>
      <c r="N7" s="3" t="s">
        <v>51</v>
      </c>
      <c r="O7" s="3" t="s">
        <v>51</v>
      </c>
      <c r="P7" s="3" t="s">
        <v>51</v>
      </c>
      <c r="Q7" s="3" t="s">
        <v>87</v>
      </c>
      <c r="R7" s="3" t="s">
        <v>52</v>
      </c>
      <c r="S7" s="3" t="s">
        <v>58</v>
      </c>
      <c r="T7" s="1">
        <v>448800</v>
      </c>
      <c r="U7" s="1">
        <v>292800</v>
      </c>
      <c r="V7" s="1">
        <v>39300</v>
      </c>
      <c r="W7" s="1">
        <v>44900</v>
      </c>
      <c r="X7" s="1">
        <v>780900</v>
      </c>
      <c r="Y7" s="1">
        <v>44900</v>
      </c>
      <c r="Z7" s="1">
        <v>825800</v>
      </c>
      <c r="AA7" s="1">
        <v>538560</v>
      </c>
      <c r="AB7" s="1">
        <v>292800</v>
      </c>
      <c r="AC7" s="1">
        <v>47160</v>
      </c>
      <c r="AD7" s="1">
        <v>44900</v>
      </c>
      <c r="AE7" s="1">
        <v>878520</v>
      </c>
      <c r="AF7" s="1">
        <v>44900</v>
      </c>
      <c r="AG7" s="1">
        <v>923420</v>
      </c>
      <c r="AH7" s="1">
        <v>484704</v>
      </c>
      <c r="AI7" s="1">
        <v>284016</v>
      </c>
      <c r="AJ7" s="1">
        <v>33012</v>
      </c>
      <c r="AK7" s="1">
        <v>40410</v>
      </c>
      <c r="AL7" s="1">
        <v>801732</v>
      </c>
      <c r="AM7" s="1">
        <v>40410</v>
      </c>
      <c r="AN7" s="1">
        <v>825800</v>
      </c>
      <c r="AO7" s="6" t="s">
        <v>107</v>
      </c>
      <c r="AP7" s="6" t="s">
        <v>107</v>
      </c>
      <c r="AQ7" s="6" t="s">
        <v>107</v>
      </c>
      <c r="AR7" s="6" t="s">
        <v>107</v>
      </c>
      <c r="AS7" s="1">
        <v>505285</v>
      </c>
      <c r="AT7" s="1">
        <v>0</v>
      </c>
      <c r="AU7" s="1">
        <v>505285</v>
      </c>
    </row>
    <row r="8" spans="1:47" x14ac:dyDescent="0.4">
      <c r="A8" s="3" t="s">
        <v>45</v>
      </c>
      <c r="B8" s="3" t="s">
        <v>46</v>
      </c>
      <c r="C8" s="3" t="s">
        <v>47</v>
      </c>
      <c r="D8" s="3" t="s">
        <v>60</v>
      </c>
      <c r="E8" s="3" t="s">
        <v>48</v>
      </c>
      <c r="F8" s="3" t="s">
        <v>49</v>
      </c>
      <c r="G8" s="3" t="s">
        <v>83</v>
      </c>
      <c r="H8" s="3" t="s">
        <v>84</v>
      </c>
      <c r="I8" s="3" t="s">
        <v>50</v>
      </c>
      <c r="J8" s="3" t="s">
        <v>62</v>
      </c>
      <c r="K8" s="3" t="s">
        <v>85</v>
      </c>
      <c r="L8" s="3" t="s">
        <v>56</v>
      </c>
      <c r="M8" s="3" t="s">
        <v>86</v>
      </c>
      <c r="N8" s="3" t="s">
        <v>51</v>
      </c>
      <c r="O8" s="3" t="s">
        <v>51</v>
      </c>
      <c r="P8" s="3" t="s">
        <v>51</v>
      </c>
      <c r="Q8" s="3" t="s">
        <v>87</v>
      </c>
      <c r="R8" s="3" t="s">
        <v>52</v>
      </c>
      <c r="S8" s="3" t="s">
        <v>58</v>
      </c>
      <c r="T8" s="1">
        <v>69400</v>
      </c>
      <c r="U8" s="1">
        <v>57600</v>
      </c>
      <c r="V8" s="1">
        <v>7200</v>
      </c>
      <c r="W8" s="1">
        <v>14400</v>
      </c>
      <c r="X8" s="1">
        <v>134200</v>
      </c>
      <c r="Y8" s="1">
        <v>14400</v>
      </c>
      <c r="Z8" s="1">
        <v>148600</v>
      </c>
      <c r="AA8" s="1">
        <v>83280</v>
      </c>
      <c r="AB8" s="1">
        <v>57600</v>
      </c>
      <c r="AC8" s="1">
        <v>8640</v>
      </c>
      <c r="AD8" s="1">
        <v>14400</v>
      </c>
      <c r="AE8" s="1">
        <v>149520</v>
      </c>
      <c r="AF8" s="1">
        <v>14400</v>
      </c>
      <c r="AG8" s="1">
        <v>163920</v>
      </c>
      <c r="AH8" s="1">
        <v>74952</v>
      </c>
      <c r="AI8" s="1">
        <v>55872</v>
      </c>
      <c r="AJ8" s="1">
        <v>6048</v>
      </c>
      <c r="AK8" s="1">
        <v>12960</v>
      </c>
      <c r="AL8" s="1">
        <v>136872</v>
      </c>
      <c r="AM8" s="1">
        <v>12960</v>
      </c>
      <c r="AN8" s="1">
        <v>148600</v>
      </c>
      <c r="AO8" s="6" t="s">
        <v>107</v>
      </c>
      <c r="AP8" s="6" t="s">
        <v>107</v>
      </c>
      <c r="AQ8" s="6" t="s">
        <v>107</v>
      </c>
      <c r="AR8" s="6" t="s">
        <v>107</v>
      </c>
      <c r="AS8" s="1">
        <v>89899</v>
      </c>
      <c r="AT8" s="1">
        <v>0</v>
      </c>
      <c r="AU8" s="1">
        <v>89899</v>
      </c>
    </row>
    <row r="9" spans="1:47" x14ac:dyDescent="0.4">
      <c r="A9" s="3" t="s">
        <v>45</v>
      </c>
      <c r="B9" s="3" t="s">
        <v>46</v>
      </c>
      <c r="C9" s="3" t="s">
        <v>47</v>
      </c>
      <c r="D9" s="3" t="s">
        <v>60</v>
      </c>
      <c r="E9" s="3" t="s">
        <v>48</v>
      </c>
      <c r="F9" s="3" t="s">
        <v>49</v>
      </c>
      <c r="G9" s="3" t="s">
        <v>83</v>
      </c>
      <c r="H9" s="3" t="s">
        <v>84</v>
      </c>
      <c r="I9" s="3" t="s">
        <v>50</v>
      </c>
      <c r="J9" s="3" t="s">
        <v>62</v>
      </c>
      <c r="K9" s="3" t="s">
        <v>85</v>
      </c>
      <c r="L9" s="3" t="s">
        <v>56</v>
      </c>
      <c r="M9" s="3" t="s">
        <v>86</v>
      </c>
      <c r="N9" s="3" t="s">
        <v>51</v>
      </c>
      <c r="O9" s="3" t="s">
        <v>51</v>
      </c>
      <c r="P9" s="3" t="s">
        <v>51</v>
      </c>
      <c r="Q9" s="3" t="s">
        <v>87</v>
      </c>
      <c r="R9" s="3" t="s">
        <v>52</v>
      </c>
      <c r="S9" s="3" t="s">
        <v>58</v>
      </c>
      <c r="T9" s="1">
        <v>144200</v>
      </c>
      <c r="U9" s="1">
        <v>115500</v>
      </c>
      <c r="V9" s="1">
        <v>16200</v>
      </c>
      <c r="W9" s="1">
        <v>18300</v>
      </c>
      <c r="X9" s="1">
        <v>275900</v>
      </c>
      <c r="Y9" s="1">
        <v>18300</v>
      </c>
      <c r="Z9" s="1">
        <v>294200</v>
      </c>
      <c r="AA9" s="1">
        <v>173040</v>
      </c>
      <c r="AB9" s="1">
        <v>115500</v>
      </c>
      <c r="AC9" s="1">
        <v>19440</v>
      </c>
      <c r="AD9" s="1">
        <v>18300</v>
      </c>
      <c r="AE9" s="1">
        <v>307980</v>
      </c>
      <c r="AF9" s="1">
        <v>18300</v>
      </c>
      <c r="AG9" s="1">
        <v>326280</v>
      </c>
      <c r="AH9" s="1">
        <v>155736</v>
      </c>
      <c r="AI9" s="1">
        <v>112035</v>
      </c>
      <c r="AJ9" s="1">
        <v>13608</v>
      </c>
      <c r="AK9" s="1">
        <v>16470</v>
      </c>
      <c r="AL9" s="1">
        <v>281379</v>
      </c>
      <c r="AM9" s="1">
        <v>16470</v>
      </c>
      <c r="AN9" s="1">
        <v>294200</v>
      </c>
      <c r="AO9" s="6" t="s">
        <v>107</v>
      </c>
      <c r="AP9" s="6" t="s">
        <v>107</v>
      </c>
      <c r="AQ9" s="6" t="s">
        <v>107</v>
      </c>
      <c r="AR9" s="6" t="s">
        <v>107</v>
      </c>
      <c r="AS9" s="1">
        <v>178710</v>
      </c>
      <c r="AT9" s="1">
        <v>0</v>
      </c>
      <c r="AU9" s="1">
        <v>178710</v>
      </c>
    </row>
    <row r="10" spans="1:47" x14ac:dyDescent="0.4">
      <c r="AU10" s="5">
        <f>SUM(AU2:AU9)</f>
        <v>1419064</v>
      </c>
    </row>
    <row r="13" spans="1:47" s="3" customFormat="1" x14ac:dyDescent="0.4">
      <c r="A13" s="7" t="s">
        <v>145</v>
      </c>
      <c r="B13" s="8"/>
      <c r="C13" s="8"/>
      <c r="D13" s="9"/>
    </row>
    <row r="14" spans="1:47" s="3" customFormat="1" x14ac:dyDescent="0.4">
      <c r="A14" s="10" t="s">
        <v>146</v>
      </c>
      <c r="B14" s="10" t="s">
        <v>147</v>
      </c>
      <c r="C14" s="10" t="s">
        <v>148</v>
      </c>
      <c r="D14" s="10" t="s">
        <v>149</v>
      </c>
    </row>
    <row r="15" spans="1:47" s="3" customFormat="1" x14ac:dyDescent="0.4">
      <c r="A15" s="11">
        <v>202206</v>
      </c>
      <c r="B15" s="12">
        <v>40000000</v>
      </c>
      <c r="C15" s="26">
        <v>7053658</v>
      </c>
      <c r="D15" s="12">
        <f>B15-C15</f>
        <v>32946342</v>
      </c>
    </row>
    <row r="16" spans="1:47" s="3" customFormat="1" x14ac:dyDescent="0.4">
      <c r="A16" s="11">
        <v>202207</v>
      </c>
      <c r="B16" s="17"/>
      <c r="C16" s="33">
        <v>5166886</v>
      </c>
      <c r="D16" s="12">
        <f t="shared" ref="D16:D21" si="0">D15-C16</f>
        <v>27779456</v>
      </c>
    </row>
    <row r="17" spans="1:4" s="3" customFormat="1" x14ac:dyDescent="0.4">
      <c r="A17" s="11">
        <v>202208</v>
      </c>
      <c r="B17" s="17"/>
      <c r="C17" s="12">
        <v>2564578</v>
      </c>
      <c r="D17" s="12">
        <f t="shared" si="0"/>
        <v>25214878</v>
      </c>
    </row>
    <row r="18" spans="1:4" s="3" customFormat="1" x14ac:dyDescent="0.4">
      <c r="A18" s="11">
        <v>202209</v>
      </c>
      <c r="B18" s="17"/>
      <c r="C18" s="12">
        <v>1746291</v>
      </c>
      <c r="D18" s="12">
        <f t="shared" si="0"/>
        <v>23468587</v>
      </c>
    </row>
    <row r="19" spans="1:4" s="3" customFormat="1" x14ac:dyDescent="0.4">
      <c r="A19" s="11">
        <v>202210</v>
      </c>
      <c r="B19" s="17"/>
      <c r="C19" s="12">
        <v>2031647</v>
      </c>
      <c r="D19" s="12">
        <f t="shared" si="0"/>
        <v>21436940</v>
      </c>
    </row>
    <row r="20" spans="1:4" s="3" customFormat="1" x14ac:dyDescent="0.4">
      <c r="A20" s="11">
        <v>202211</v>
      </c>
      <c r="B20" s="17"/>
      <c r="C20" s="12">
        <v>1620206</v>
      </c>
      <c r="D20" s="12">
        <f t="shared" si="0"/>
        <v>19816734</v>
      </c>
    </row>
    <row r="21" spans="1:4" s="3" customFormat="1" x14ac:dyDescent="0.4">
      <c r="A21" s="11">
        <v>202212</v>
      </c>
      <c r="B21" s="17"/>
      <c r="C21" s="12">
        <f>AU10</f>
        <v>1419064</v>
      </c>
      <c r="D21" s="12">
        <f t="shared" si="0"/>
        <v>18397670</v>
      </c>
    </row>
    <row r="22" spans="1:4" s="3" customFormat="1" x14ac:dyDescent="0.4">
      <c r="A22" s="24" t="s">
        <v>150</v>
      </c>
      <c r="B22" s="25">
        <f>SUM(B15:B17)</f>
        <v>40000000</v>
      </c>
      <c r="C22" s="25">
        <f>SUM(C15:C21)</f>
        <v>21602330</v>
      </c>
      <c r="D22" s="14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U19"/>
  <sheetViews>
    <sheetView zoomScale="70" zoomScaleNormal="70" workbookViewId="0">
      <selection activeCell="C36" sqref="C3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6.796875" bestFit="1" customWidth="1"/>
    <col min="4" max="4" width="12.1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39.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7.5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19.1992187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9.5" bestFit="1" customWidth="1"/>
  </cols>
  <sheetData>
    <row r="1" spans="1:47" x14ac:dyDescent="0.4">
      <c r="A1" s="2" t="s">
        <v>114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4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24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4" t="s">
        <v>44</v>
      </c>
    </row>
    <row r="2" spans="1:47" x14ac:dyDescent="0.4">
      <c r="A2" s="3" t="s">
        <v>45</v>
      </c>
      <c r="B2" s="3" t="s">
        <v>46</v>
      </c>
      <c r="C2" s="3" t="s">
        <v>47</v>
      </c>
      <c r="D2" s="3" t="s">
        <v>60</v>
      </c>
      <c r="E2" s="3" t="s">
        <v>48</v>
      </c>
      <c r="F2" s="3" t="s">
        <v>49</v>
      </c>
      <c r="G2" s="3" t="s">
        <v>101</v>
      </c>
      <c r="H2" s="3" t="s">
        <v>102</v>
      </c>
      <c r="I2" s="3" t="s">
        <v>50</v>
      </c>
      <c r="J2" s="3" t="s">
        <v>62</v>
      </c>
      <c r="K2" s="3" t="s">
        <v>103</v>
      </c>
      <c r="L2" s="3" t="s">
        <v>104</v>
      </c>
      <c r="M2" s="3" t="s">
        <v>105</v>
      </c>
      <c r="N2" s="3" t="s">
        <v>51</v>
      </c>
      <c r="O2" s="3" t="s">
        <v>51</v>
      </c>
      <c r="P2" s="3" t="s">
        <v>51</v>
      </c>
      <c r="Q2" s="3" t="s">
        <v>106</v>
      </c>
      <c r="R2" s="3" t="s">
        <v>52</v>
      </c>
      <c r="S2" s="3" t="s">
        <v>53</v>
      </c>
      <c r="T2" s="1">
        <v>14600</v>
      </c>
      <c r="U2" s="1">
        <v>13200</v>
      </c>
      <c r="V2" s="1">
        <v>4000</v>
      </c>
      <c r="W2" s="1">
        <v>7400</v>
      </c>
      <c r="X2" s="1">
        <v>31800</v>
      </c>
      <c r="Y2" s="1">
        <v>7400</v>
      </c>
      <c r="Z2" s="1">
        <v>39200</v>
      </c>
      <c r="AA2" s="1">
        <v>17520</v>
      </c>
      <c r="AB2" s="1">
        <v>13200</v>
      </c>
      <c r="AC2" s="1">
        <v>4800</v>
      </c>
      <c r="AD2" s="1">
        <v>7400</v>
      </c>
      <c r="AE2" s="1">
        <v>35520</v>
      </c>
      <c r="AF2" s="1">
        <v>7400</v>
      </c>
      <c r="AG2" s="1">
        <v>42920</v>
      </c>
      <c r="AH2" s="1">
        <v>15768</v>
      </c>
      <c r="AI2" s="1">
        <v>12804</v>
      </c>
      <c r="AJ2" s="1">
        <v>3360</v>
      </c>
      <c r="AK2" s="1">
        <v>6660</v>
      </c>
      <c r="AL2" s="1">
        <v>31932</v>
      </c>
      <c r="AM2" s="1">
        <v>6660</v>
      </c>
      <c r="AN2" s="1">
        <v>39200</v>
      </c>
      <c r="AO2" s="6" t="s">
        <v>107</v>
      </c>
      <c r="AP2" s="6" t="s">
        <v>107</v>
      </c>
      <c r="AQ2" s="6" t="s">
        <v>107</v>
      </c>
      <c r="AR2" s="6" t="s">
        <v>107</v>
      </c>
      <c r="AS2" s="1">
        <v>23155</v>
      </c>
      <c r="AT2" s="1">
        <v>0</v>
      </c>
      <c r="AU2" s="1">
        <v>23155</v>
      </c>
    </row>
    <row r="3" spans="1:47" x14ac:dyDescent="0.4">
      <c r="A3" s="3" t="s">
        <v>45</v>
      </c>
      <c r="B3" s="3" t="s">
        <v>46</v>
      </c>
      <c r="C3" s="3" t="s">
        <v>47</v>
      </c>
      <c r="D3" s="3" t="s">
        <v>60</v>
      </c>
      <c r="E3" s="3" t="s">
        <v>48</v>
      </c>
      <c r="F3" s="3" t="s">
        <v>49</v>
      </c>
      <c r="G3" s="3" t="s">
        <v>101</v>
      </c>
      <c r="H3" s="3" t="s">
        <v>102</v>
      </c>
      <c r="I3" s="3" t="s">
        <v>50</v>
      </c>
      <c r="J3" s="3" t="s">
        <v>62</v>
      </c>
      <c r="K3" s="3" t="s">
        <v>103</v>
      </c>
      <c r="L3" s="3" t="s">
        <v>104</v>
      </c>
      <c r="M3" s="3" t="s">
        <v>105</v>
      </c>
      <c r="N3" s="3" t="s">
        <v>51</v>
      </c>
      <c r="O3" s="3" t="s">
        <v>51</v>
      </c>
      <c r="P3" s="3" t="s">
        <v>51</v>
      </c>
      <c r="Q3" s="3" t="s">
        <v>106</v>
      </c>
      <c r="R3" s="3" t="s">
        <v>52</v>
      </c>
      <c r="S3" s="3" t="s">
        <v>54</v>
      </c>
      <c r="T3" s="1">
        <v>3600</v>
      </c>
      <c r="U3" s="1">
        <v>40900</v>
      </c>
      <c r="V3" s="1">
        <v>0</v>
      </c>
      <c r="W3" s="1">
        <v>2300</v>
      </c>
      <c r="X3" s="1">
        <v>44500</v>
      </c>
      <c r="Y3" s="1">
        <v>2300</v>
      </c>
      <c r="Z3" s="1">
        <v>46800</v>
      </c>
      <c r="AA3" s="1">
        <v>4320</v>
      </c>
      <c r="AB3" s="1">
        <v>40900</v>
      </c>
      <c r="AC3" s="1">
        <v>0</v>
      </c>
      <c r="AD3" s="1">
        <v>2300</v>
      </c>
      <c r="AE3" s="1">
        <v>45220</v>
      </c>
      <c r="AF3" s="1">
        <v>2300</v>
      </c>
      <c r="AG3" s="1">
        <v>47520</v>
      </c>
      <c r="AH3" s="1">
        <v>3888</v>
      </c>
      <c r="AI3" s="1">
        <v>39673</v>
      </c>
      <c r="AJ3" s="1">
        <v>0</v>
      </c>
      <c r="AK3" s="1">
        <v>2070</v>
      </c>
      <c r="AL3" s="1">
        <v>43561</v>
      </c>
      <c r="AM3" s="1">
        <v>2070</v>
      </c>
      <c r="AN3" s="1">
        <v>46800</v>
      </c>
      <c r="AO3" s="6" t="s">
        <v>107</v>
      </c>
      <c r="AP3" s="6" t="s">
        <v>107</v>
      </c>
      <c r="AQ3" s="6" t="s">
        <v>107</v>
      </c>
      <c r="AR3" s="6" t="s">
        <v>107</v>
      </c>
      <c r="AS3" s="1">
        <v>27379</v>
      </c>
      <c r="AT3" s="1">
        <v>0</v>
      </c>
      <c r="AU3" s="1">
        <v>27379</v>
      </c>
    </row>
    <row r="4" spans="1:47" x14ac:dyDescent="0.4">
      <c r="A4" s="3" t="s">
        <v>45</v>
      </c>
      <c r="B4" s="3" t="s">
        <v>46</v>
      </c>
      <c r="C4" s="3" t="s">
        <v>47</v>
      </c>
      <c r="D4" s="3" t="s">
        <v>60</v>
      </c>
      <c r="E4" s="3" t="s">
        <v>48</v>
      </c>
      <c r="F4" s="3" t="s">
        <v>49</v>
      </c>
      <c r="G4" s="3" t="s">
        <v>101</v>
      </c>
      <c r="H4" s="3" t="s">
        <v>102</v>
      </c>
      <c r="I4" s="3" t="s">
        <v>50</v>
      </c>
      <c r="J4" s="3" t="s">
        <v>62</v>
      </c>
      <c r="K4" s="3" t="s">
        <v>103</v>
      </c>
      <c r="L4" s="3" t="s">
        <v>104</v>
      </c>
      <c r="M4" s="3" t="s">
        <v>105</v>
      </c>
      <c r="N4" s="3" t="s">
        <v>51</v>
      </c>
      <c r="O4" s="3" t="s">
        <v>51</v>
      </c>
      <c r="P4" s="3" t="s">
        <v>51</v>
      </c>
      <c r="Q4" s="3" t="s">
        <v>106</v>
      </c>
      <c r="R4" s="3" t="s">
        <v>52</v>
      </c>
      <c r="S4" s="3" t="s">
        <v>54</v>
      </c>
      <c r="T4" s="1">
        <v>21600</v>
      </c>
      <c r="U4" s="1">
        <v>23900</v>
      </c>
      <c r="V4" s="1">
        <v>7200</v>
      </c>
      <c r="W4" s="1">
        <v>3700</v>
      </c>
      <c r="X4" s="1">
        <v>52700</v>
      </c>
      <c r="Y4" s="1">
        <v>3700</v>
      </c>
      <c r="Z4" s="1">
        <v>56400</v>
      </c>
      <c r="AA4" s="1">
        <v>25920</v>
      </c>
      <c r="AB4" s="1">
        <v>23900</v>
      </c>
      <c r="AC4" s="1">
        <v>8640</v>
      </c>
      <c r="AD4" s="1">
        <v>3700</v>
      </c>
      <c r="AE4" s="1">
        <v>58460</v>
      </c>
      <c r="AF4" s="1">
        <v>3700</v>
      </c>
      <c r="AG4" s="1">
        <v>62160</v>
      </c>
      <c r="AH4" s="1">
        <v>23328</v>
      </c>
      <c r="AI4" s="1">
        <v>23183</v>
      </c>
      <c r="AJ4" s="1">
        <v>6048</v>
      </c>
      <c r="AK4" s="1">
        <v>3330</v>
      </c>
      <c r="AL4" s="1">
        <v>52559</v>
      </c>
      <c r="AM4" s="1">
        <v>3330</v>
      </c>
      <c r="AN4" s="1">
        <v>56400</v>
      </c>
      <c r="AO4" s="6" t="s">
        <v>107</v>
      </c>
      <c r="AP4" s="6" t="s">
        <v>107</v>
      </c>
      <c r="AQ4" s="6" t="s">
        <v>107</v>
      </c>
      <c r="AR4" s="6" t="s">
        <v>107</v>
      </c>
      <c r="AS4" s="1">
        <v>33534</v>
      </c>
      <c r="AT4" s="1">
        <v>0</v>
      </c>
      <c r="AU4" s="1">
        <v>33534</v>
      </c>
    </row>
    <row r="5" spans="1:47" x14ac:dyDescent="0.4">
      <c r="A5" s="3" t="s">
        <v>45</v>
      </c>
      <c r="B5" s="3" t="s">
        <v>46</v>
      </c>
      <c r="C5" s="3" t="s">
        <v>47</v>
      </c>
      <c r="D5" s="3" t="s">
        <v>60</v>
      </c>
      <c r="E5" s="3" t="s">
        <v>48</v>
      </c>
      <c r="F5" s="3" t="s">
        <v>49</v>
      </c>
      <c r="G5" s="3" t="s">
        <v>101</v>
      </c>
      <c r="H5" s="3" t="s">
        <v>102</v>
      </c>
      <c r="I5" s="3" t="s">
        <v>50</v>
      </c>
      <c r="J5" s="3" t="s">
        <v>62</v>
      </c>
      <c r="K5" s="3" t="s">
        <v>103</v>
      </c>
      <c r="L5" s="3" t="s">
        <v>104</v>
      </c>
      <c r="M5" s="3" t="s">
        <v>105</v>
      </c>
      <c r="N5" s="3" t="s">
        <v>51</v>
      </c>
      <c r="O5" s="3" t="s">
        <v>51</v>
      </c>
      <c r="P5" s="3" t="s">
        <v>51</v>
      </c>
      <c r="Q5" s="3" t="s">
        <v>106</v>
      </c>
      <c r="R5" s="3" t="s">
        <v>52</v>
      </c>
      <c r="S5" s="3" t="s">
        <v>54</v>
      </c>
      <c r="T5" s="1">
        <v>-3200</v>
      </c>
      <c r="U5" s="1">
        <v>28900</v>
      </c>
      <c r="V5" s="1">
        <v>21600</v>
      </c>
      <c r="W5" s="1">
        <v>3500</v>
      </c>
      <c r="X5" s="1">
        <v>47300</v>
      </c>
      <c r="Y5" s="1">
        <v>3500</v>
      </c>
      <c r="Z5" s="1">
        <v>50800</v>
      </c>
      <c r="AA5" s="1">
        <v>-3840</v>
      </c>
      <c r="AB5" s="1">
        <v>28900</v>
      </c>
      <c r="AC5" s="1">
        <v>25920</v>
      </c>
      <c r="AD5" s="1">
        <v>3500</v>
      </c>
      <c r="AE5" s="1">
        <v>50980</v>
      </c>
      <c r="AF5" s="1">
        <v>3500</v>
      </c>
      <c r="AG5" s="1">
        <v>54480</v>
      </c>
      <c r="AH5" s="1">
        <v>-3456</v>
      </c>
      <c r="AI5" s="1">
        <v>28033</v>
      </c>
      <c r="AJ5" s="1">
        <v>18144</v>
      </c>
      <c r="AK5" s="1">
        <v>3150</v>
      </c>
      <c r="AL5" s="1">
        <v>42721</v>
      </c>
      <c r="AM5" s="1">
        <v>3150</v>
      </c>
      <c r="AN5" s="1">
        <v>50800</v>
      </c>
      <c r="AO5" s="6" t="s">
        <v>107</v>
      </c>
      <c r="AP5" s="6" t="s">
        <v>107</v>
      </c>
      <c r="AQ5" s="6" t="s">
        <v>107</v>
      </c>
      <c r="AR5" s="6" t="s">
        <v>107</v>
      </c>
      <c r="AS5" s="1">
        <v>27522</v>
      </c>
      <c r="AT5" s="1">
        <v>0</v>
      </c>
      <c r="AU5" s="1">
        <v>27522</v>
      </c>
    </row>
    <row r="6" spans="1:47" x14ac:dyDescent="0.4">
      <c r="A6" s="3" t="s">
        <v>45</v>
      </c>
      <c r="B6" s="3" t="s">
        <v>46</v>
      </c>
      <c r="C6" s="3" t="s">
        <v>47</v>
      </c>
      <c r="D6" s="3" t="s">
        <v>60</v>
      </c>
      <c r="E6" s="3" t="s">
        <v>48</v>
      </c>
      <c r="F6" s="3" t="s">
        <v>49</v>
      </c>
      <c r="G6" s="3" t="s">
        <v>101</v>
      </c>
      <c r="H6" s="3" t="s">
        <v>102</v>
      </c>
      <c r="I6" s="3" t="s">
        <v>50</v>
      </c>
      <c r="J6" s="3" t="s">
        <v>62</v>
      </c>
      <c r="K6" s="3" t="s">
        <v>103</v>
      </c>
      <c r="L6" s="3" t="s">
        <v>104</v>
      </c>
      <c r="M6" s="3" t="s">
        <v>105</v>
      </c>
      <c r="N6" s="3" t="s">
        <v>51</v>
      </c>
      <c r="O6" s="3" t="s">
        <v>51</v>
      </c>
      <c r="P6" s="3" t="s">
        <v>51</v>
      </c>
      <c r="Q6" s="3" t="s">
        <v>106</v>
      </c>
      <c r="R6" s="3" t="s">
        <v>52</v>
      </c>
      <c r="S6" s="3" t="s">
        <v>57</v>
      </c>
      <c r="T6" s="1">
        <v>471640</v>
      </c>
      <c r="U6" s="1">
        <v>301950</v>
      </c>
      <c r="V6" s="1">
        <v>88550</v>
      </c>
      <c r="W6" s="1">
        <v>273660</v>
      </c>
      <c r="X6" s="1">
        <v>862140</v>
      </c>
      <c r="Y6" s="1">
        <v>273660</v>
      </c>
      <c r="Z6" s="1">
        <v>1135800</v>
      </c>
      <c r="AA6" s="1">
        <v>565968</v>
      </c>
      <c r="AB6" s="1">
        <v>301950</v>
      </c>
      <c r="AC6" s="1">
        <v>106260</v>
      </c>
      <c r="AD6" s="1">
        <v>273660</v>
      </c>
      <c r="AE6" s="1">
        <v>974178</v>
      </c>
      <c r="AF6" s="1">
        <v>273660</v>
      </c>
      <c r="AG6" s="1">
        <v>1247838</v>
      </c>
      <c r="AH6" s="1">
        <v>509371.2</v>
      </c>
      <c r="AI6" s="1">
        <v>292891.5</v>
      </c>
      <c r="AJ6" s="1">
        <v>74382</v>
      </c>
      <c r="AK6" s="1">
        <v>246294</v>
      </c>
      <c r="AL6" s="1">
        <v>876644.7</v>
      </c>
      <c r="AM6" s="1">
        <v>246294</v>
      </c>
      <c r="AN6" s="1">
        <v>1135800</v>
      </c>
      <c r="AO6" s="6" t="s">
        <v>107</v>
      </c>
      <c r="AP6" s="6" t="s">
        <v>107</v>
      </c>
      <c r="AQ6" s="6" t="s">
        <v>107</v>
      </c>
      <c r="AR6" s="6" t="s">
        <v>107</v>
      </c>
      <c r="AS6" s="1">
        <v>673763</v>
      </c>
      <c r="AT6" s="1">
        <v>0</v>
      </c>
      <c r="AU6" s="1">
        <v>673763</v>
      </c>
    </row>
    <row r="7" spans="1:47" x14ac:dyDescent="0.4">
      <c r="A7" s="3" t="s">
        <v>45</v>
      </c>
      <c r="B7" s="3" t="s">
        <v>46</v>
      </c>
      <c r="C7" s="3" t="s">
        <v>47</v>
      </c>
      <c r="D7" s="3" t="s">
        <v>60</v>
      </c>
      <c r="E7" s="3" t="s">
        <v>48</v>
      </c>
      <c r="F7" s="3" t="s">
        <v>49</v>
      </c>
      <c r="G7" s="3" t="s">
        <v>101</v>
      </c>
      <c r="H7" s="3" t="s">
        <v>102</v>
      </c>
      <c r="I7" s="3" t="s">
        <v>50</v>
      </c>
      <c r="J7" s="3" t="s">
        <v>62</v>
      </c>
      <c r="K7" s="3" t="s">
        <v>103</v>
      </c>
      <c r="L7" s="3" t="s">
        <v>104</v>
      </c>
      <c r="M7" s="3" t="s">
        <v>105</v>
      </c>
      <c r="N7" s="3" t="s">
        <v>51</v>
      </c>
      <c r="O7" s="3" t="s">
        <v>51</v>
      </c>
      <c r="P7" s="3" t="s">
        <v>51</v>
      </c>
      <c r="Q7" s="3" t="s">
        <v>106</v>
      </c>
      <c r="R7" s="3" t="s">
        <v>52</v>
      </c>
      <c r="S7" s="3" t="s">
        <v>58</v>
      </c>
      <c r="T7" s="1">
        <v>346100</v>
      </c>
      <c r="U7" s="1">
        <v>220540</v>
      </c>
      <c r="V7" s="1">
        <v>25800</v>
      </c>
      <c r="W7" s="1">
        <v>61760</v>
      </c>
      <c r="X7" s="1">
        <v>592440</v>
      </c>
      <c r="Y7" s="1">
        <v>61760</v>
      </c>
      <c r="Z7" s="1">
        <v>654200</v>
      </c>
      <c r="AA7" s="1">
        <v>415320</v>
      </c>
      <c r="AB7" s="1">
        <v>220540</v>
      </c>
      <c r="AC7" s="1">
        <v>30960</v>
      </c>
      <c r="AD7" s="1">
        <v>61760</v>
      </c>
      <c r="AE7" s="1">
        <v>666820</v>
      </c>
      <c r="AF7" s="1">
        <v>61760</v>
      </c>
      <c r="AG7" s="1">
        <v>728580</v>
      </c>
      <c r="AH7" s="1">
        <v>373788</v>
      </c>
      <c r="AI7" s="1">
        <v>213923.8</v>
      </c>
      <c r="AJ7" s="1">
        <v>21672</v>
      </c>
      <c r="AK7" s="1">
        <v>55584</v>
      </c>
      <c r="AL7" s="1">
        <v>609383.80000000005</v>
      </c>
      <c r="AM7" s="1">
        <v>55584</v>
      </c>
      <c r="AN7" s="1">
        <v>654200</v>
      </c>
      <c r="AO7" s="6" t="s">
        <v>107</v>
      </c>
      <c r="AP7" s="6" t="s">
        <v>107</v>
      </c>
      <c r="AQ7" s="6" t="s">
        <v>107</v>
      </c>
      <c r="AR7" s="6" t="s">
        <v>107</v>
      </c>
      <c r="AS7" s="1">
        <v>398980</v>
      </c>
      <c r="AT7" s="1">
        <v>0</v>
      </c>
      <c r="AU7" s="1">
        <v>398980</v>
      </c>
    </row>
    <row r="8" spans="1:47" x14ac:dyDescent="0.4">
      <c r="A8" s="3" t="s">
        <v>45</v>
      </c>
      <c r="B8" s="3" t="s">
        <v>46</v>
      </c>
      <c r="C8" s="3" t="s">
        <v>47</v>
      </c>
      <c r="D8" s="3" t="s">
        <v>60</v>
      </c>
      <c r="E8" s="3" t="s">
        <v>48</v>
      </c>
      <c r="F8" s="3" t="s">
        <v>49</v>
      </c>
      <c r="G8" s="3" t="s">
        <v>101</v>
      </c>
      <c r="H8" s="3" t="s">
        <v>102</v>
      </c>
      <c r="I8" s="3" t="s">
        <v>50</v>
      </c>
      <c r="J8" s="3" t="s">
        <v>62</v>
      </c>
      <c r="K8" s="3" t="s">
        <v>103</v>
      </c>
      <c r="L8" s="3" t="s">
        <v>104</v>
      </c>
      <c r="M8" s="3" t="s">
        <v>105</v>
      </c>
      <c r="N8" s="3" t="s">
        <v>51</v>
      </c>
      <c r="O8" s="3" t="s">
        <v>51</v>
      </c>
      <c r="P8" s="3" t="s">
        <v>51</v>
      </c>
      <c r="Q8" s="3" t="s">
        <v>106</v>
      </c>
      <c r="R8" s="3" t="s">
        <v>52</v>
      </c>
      <c r="S8" s="3" t="s">
        <v>58</v>
      </c>
      <c r="T8" s="1">
        <v>104300</v>
      </c>
      <c r="U8" s="1">
        <v>48000</v>
      </c>
      <c r="V8" s="1">
        <v>18000</v>
      </c>
      <c r="W8" s="1">
        <v>5300</v>
      </c>
      <c r="X8" s="1">
        <v>170300</v>
      </c>
      <c r="Y8" s="1">
        <v>5300</v>
      </c>
      <c r="Z8" s="1">
        <v>175600</v>
      </c>
      <c r="AA8" s="1">
        <v>125160</v>
      </c>
      <c r="AB8" s="1">
        <v>48000</v>
      </c>
      <c r="AC8" s="1">
        <v>21600</v>
      </c>
      <c r="AD8" s="1">
        <v>5300</v>
      </c>
      <c r="AE8" s="1">
        <v>194760</v>
      </c>
      <c r="AF8" s="1">
        <v>5300</v>
      </c>
      <c r="AG8" s="1">
        <v>200060</v>
      </c>
      <c r="AH8" s="1">
        <v>112644</v>
      </c>
      <c r="AI8" s="1">
        <v>46560</v>
      </c>
      <c r="AJ8" s="1">
        <v>15120</v>
      </c>
      <c r="AK8" s="1">
        <v>4770</v>
      </c>
      <c r="AL8" s="1">
        <v>174324</v>
      </c>
      <c r="AM8" s="1">
        <v>4770</v>
      </c>
      <c r="AN8" s="1">
        <v>175600</v>
      </c>
      <c r="AO8" s="6" t="s">
        <v>107</v>
      </c>
      <c r="AP8" s="6" t="s">
        <v>107</v>
      </c>
      <c r="AQ8" s="6" t="s">
        <v>107</v>
      </c>
      <c r="AR8" s="6" t="s">
        <v>107</v>
      </c>
      <c r="AS8" s="1">
        <v>107456</v>
      </c>
      <c r="AT8" s="1">
        <v>0</v>
      </c>
      <c r="AU8" s="1">
        <v>107456</v>
      </c>
    </row>
    <row r="9" spans="1:47" x14ac:dyDescent="0.4">
      <c r="A9" s="3" t="s">
        <v>45</v>
      </c>
      <c r="B9" s="3" t="s">
        <v>46</v>
      </c>
      <c r="C9" s="3" t="s">
        <v>47</v>
      </c>
      <c r="D9" s="3" t="s">
        <v>60</v>
      </c>
      <c r="E9" s="3" t="s">
        <v>48</v>
      </c>
      <c r="F9" s="3" t="s">
        <v>49</v>
      </c>
      <c r="G9" s="3" t="s">
        <v>101</v>
      </c>
      <c r="H9" s="3" t="s">
        <v>102</v>
      </c>
      <c r="I9" s="3" t="s">
        <v>50</v>
      </c>
      <c r="J9" s="3" t="s">
        <v>62</v>
      </c>
      <c r="K9" s="3" t="s">
        <v>103</v>
      </c>
      <c r="L9" s="3" t="s">
        <v>104</v>
      </c>
      <c r="M9" s="3" t="s">
        <v>105</v>
      </c>
      <c r="N9" s="3" t="s">
        <v>51</v>
      </c>
      <c r="O9" s="3" t="s">
        <v>51</v>
      </c>
      <c r="P9" s="3" t="s">
        <v>51</v>
      </c>
      <c r="Q9" s="3" t="s">
        <v>106</v>
      </c>
      <c r="R9" s="3" t="s">
        <v>52</v>
      </c>
      <c r="S9" s="3" t="s">
        <v>58</v>
      </c>
      <c r="T9" s="1">
        <v>97300</v>
      </c>
      <c r="U9" s="1">
        <v>86500</v>
      </c>
      <c r="V9" s="1">
        <v>10800</v>
      </c>
      <c r="W9" s="1">
        <v>20800</v>
      </c>
      <c r="X9" s="1">
        <v>194600</v>
      </c>
      <c r="Y9" s="1">
        <v>20800</v>
      </c>
      <c r="Z9" s="1">
        <v>215400</v>
      </c>
      <c r="AA9" s="1">
        <v>116760</v>
      </c>
      <c r="AB9" s="1">
        <v>86500</v>
      </c>
      <c r="AC9" s="1">
        <v>12960</v>
      </c>
      <c r="AD9" s="1">
        <v>20800</v>
      </c>
      <c r="AE9" s="1">
        <v>216220</v>
      </c>
      <c r="AF9" s="1">
        <v>20800</v>
      </c>
      <c r="AG9" s="1">
        <v>237020</v>
      </c>
      <c r="AH9" s="1">
        <v>105084</v>
      </c>
      <c r="AI9" s="1">
        <v>83905</v>
      </c>
      <c r="AJ9" s="1">
        <v>9072</v>
      </c>
      <c r="AK9" s="1">
        <v>18720</v>
      </c>
      <c r="AL9" s="1">
        <v>198061</v>
      </c>
      <c r="AM9" s="1">
        <v>18720</v>
      </c>
      <c r="AN9" s="1">
        <v>215400</v>
      </c>
      <c r="AO9" s="6" t="s">
        <v>107</v>
      </c>
      <c r="AP9" s="6" t="s">
        <v>107</v>
      </c>
      <c r="AQ9" s="6" t="s">
        <v>107</v>
      </c>
      <c r="AR9" s="6" t="s">
        <v>107</v>
      </c>
      <c r="AS9" s="1">
        <v>130068</v>
      </c>
      <c r="AT9" s="1">
        <v>0</v>
      </c>
      <c r="AU9" s="1">
        <v>130068</v>
      </c>
    </row>
    <row r="10" spans="1:47" x14ac:dyDescent="0.4">
      <c r="AU10" s="5">
        <f>SUM(AU2:AU9)</f>
        <v>1421857</v>
      </c>
    </row>
    <row r="13" spans="1:47" s="3" customFormat="1" x14ac:dyDescent="0.4">
      <c r="A13" s="7" t="s">
        <v>151</v>
      </c>
      <c r="B13" s="8"/>
      <c r="C13" s="8"/>
      <c r="D13" s="9"/>
    </row>
    <row r="14" spans="1:47" s="3" customFormat="1" x14ac:dyDescent="0.4">
      <c r="A14" s="10" t="s">
        <v>116</v>
      </c>
      <c r="B14" s="10" t="s">
        <v>152</v>
      </c>
      <c r="C14" s="10" t="s">
        <v>153</v>
      </c>
      <c r="D14" s="10" t="s">
        <v>154</v>
      </c>
    </row>
    <row r="15" spans="1:47" s="3" customFormat="1" x14ac:dyDescent="0.4">
      <c r="A15" s="11">
        <v>202209</v>
      </c>
      <c r="B15" s="12">
        <v>60000000</v>
      </c>
      <c r="C15" s="34">
        <v>14924815</v>
      </c>
      <c r="D15" s="14">
        <f>B15-C15</f>
        <v>45075185</v>
      </c>
    </row>
    <row r="16" spans="1:47" s="3" customFormat="1" x14ac:dyDescent="0.4">
      <c r="A16" s="11">
        <v>202210</v>
      </c>
      <c r="B16" s="12"/>
      <c r="C16" s="34">
        <v>2925888</v>
      </c>
      <c r="D16" s="14">
        <f>D15-C16</f>
        <v>42149297</v>
      </c>
    </row>
    <row r="17" spans="1:4" s="3" customFormat="1" x14ac:dyDescent="0.4">
      <c r="A17" s="11">
        <v>202211</v>
      </c>
      <c r="B17" s="12"/>
      <c r="C17" s="34">
        <v>2022478</v>
      </c>
      <c r="D17" s="14">
        <f>D16-C17</f>
        <v>40126819</v>
      </c>
    </row>
    <row r="18" spans="1:4" s="3" customFormat="1" x14ac:dyDescent="0.4">
      <c r="A18" s="11">
        <v>202212</v>
      </c>
      <c r="B18" s="12"/>
      <c r="C18" s="34">
        <f>AU10</f>
        <v>1421857</v>
      </c>
      <c r="D18" s="14">
        <f>D17-C18</f>
        <v>38704962</v>
      </c>
    </row>
    <row r="19" spans="1:4" s="3" customFormat="1" x14ac:dyDescent="0.4">
      <c r="A19" s="24" t="s">
        <v>125</v>
      </c>
      <c r="B19" s="25">
        <f>SUM(B15:B16)</f>
        <v>60000000</v>
      </c>
      <c r="C19" s="30">
        <f>SUM(C15:C18)</f>
        <v>21295038</v>
      </c>
      <c r="D19" s="17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U22"/>
  <sheetViews>
    <sheetView zoomScale="70" zoomScaleNormal="70"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6.796875" bestFit="1" customWidth="1"/>
    <col min="4" max="4" width="12.1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34.89843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3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21.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114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4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24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4" t="s">
        <v>44</v>
      </c>
    </row>
    <row r="2" spans="1:47" x14ac:dyDescent="0.4">
      <c r="A2" s="3" t="s">
        <v>45</v>
      </c>
      <c r="B2" s="3" t="s">
        <v>46</v>
      </c>
      <c r="C2" s="3" t="s">
        <v>47</v>
      </c>
      <c r="D2" s="3" t="s">
        <v>60</v>
      </c>
      <c r="E2" s="3" t="s">
        <v>48</v>
      </c>
      <c r="F2" s="3" t="s">
        <v>49</v>
      </c>
      <c r="G2" s="3" t="s">
        <v>88</v>
      </c>
      <c r="H2" s="3" t="s">
        <v>89</v>
      </c>
      <c r="I2" s="3" t="s">
        <v>50</v>
      </c>
      <c r="J2" s="3" t="s">
        <v>62</v>
      </c>
      <c r="K2" s="3" t="s">
        <v>90</v>
      </c>
      <c r="L2" s="3" t="s">
        <v>91</v>
      </c>
      <c r="M2" s="3" t="s">
        <v>92</v>
      </c>
      <c r="N2" s="3" t="s">
        <v>51</v>
      </c>
      <c r="O2" s="3" t="s">
        <v>51</v>
      </c>
      <c r="P2" s="3" t="s">
        <v>51</v>
      </c>
      <c r="Q2" s="3" t="s">
        <v>93</v>
      </c>
      <c r="R2" s="3" t="s">
        <v>52</v>
      </c>
      <c r="S2" s="3" t="s">
        <v>53</v>
      </c>
      <c r="T2" s="1">
        <v>6000</v>
      </c>
      <c r="U2" s="1">
        <v>13400</v>
      </c>
      <c r="V2" s="1">
        <v>0</v>
      </c>
      <c r="W2" s="1">
        <v>54200</v>
      </c>
      <c r="X2" s="1">
        <v>19400</v>
      </c>
      <c r="Y2" s="1">
        <v>54200</v>
      </c>
      <c r="Z2" s="1">
        <v>73600</v>
      </c>
      <c r="AA2" s="1">
        <v>7200</v>
      </c>
      <c r="AB2" s="1">
        <v>13400</v>
      </c>
      <c r="AC2" s="1">
        <v>0</v>
      </c>
      <c r="AD2" s="1">
        <v>54200</v>
      </c>
      <c r="AE2" s="1">
        <v>20600</v>
      </c>
      <c r="AF2" s="1">
        <v>54200</v>
      </c>
      <c r="AG2" s="1">
        <v>74800</v>
      </c>
      <c r="AH2" s="1">
        <v>6480</v>
      </c>
      <c r="AI2" s="1">
        <v>12998</v>
      </c>
      <c r="AJ2" s="1">
        <v>0</v>
      </c>
      <c r="AK2" s="1">
        <v>48780</v>
      </c>
      <c r="AL2" s="1">
        <v>19478</v>
      </c>
      <c r="AM2" s="1">
        <v>48780</v>
      </c>
      <c r="AN2" s="1">
        <v>73600</v>
      </c>
      <c r="AO2" s="6" t="s">
        <v>107</v>
      </c>
      <c r="AP2" s="6" t="s">
        <v>107</v>
      </c>
      <c r="AQ2" s="6" t="s">
        <v>107</v>
      </c>
      <c r="AR2" s="6" t="s">
        <v>107</v>
      </c>
      <c r="AS2" s="1">
        <v>40955</v>
      </c>
      <c r="AT2" s="1">
        <v>0</v>
      </c>
      <c r="AU2" s="1">
        <v>40955</v>
      </c>
    </row>
    <row r="3" spans="1:47" x14ac:dyDescent="0.4">
      <c r="A3" s="3" t="s">
        <v>45</v>
      </c>
      <c r="B3" s="3" t="s">
        <v>46</v>
      </c>
      <c r="C3" s="3" t="s">
        <v>47</v>
      </c>
      <c r="D3" s="3" t="s">
        <v>60</v>
      </c>
      <c r="E3" s="3" t="s">
        <v>48</v>
      </c>
      <c r="F3" s="3" t="s">
        <v>49</v>
      </c>
      <c r="G3" s="3" t="s">
        <v>88</v>
      </c>
      <c r="H3" s="3" t="s">
        <v>89</v>
      </c>
      <c r="I3" s="3" t="s">
        <v>50</v>
      </c>
      <c r="J3" s="3" t="s">
        <v>62</v>
      </c>
      <c r="K3" s="3" t="s">
        <v>90</v>
      </c>
      <c r="L3" s="3" t="s">
        <v>91</v>
      </c>
      <c r="M3" s="3" t="s">
        <v>92</v>
      </c>
      <c r="N3" s="3" t="s">
        <v>51</v>
      </c>
      <c r="O3" s="3" t="s">
        <v>51</v>
      </c>
      <c r="P3" s="3" t="s">
        <v>51</v>
      </c>
      <c r="Q3" s="3" t="s">
        <v>93</v>
      </c>
      <c r="R3" s="3" t="s">
        <v>52</v>
      </c>
      <c r="S3" s="3" t="s">
        <v>54</v>
      </c>
      <c r="T3" s="1">
        <v>14400</v>
      </c>
      <c r="U3" s="1">
        <v>19800</v>
      </c>
      <c r="V3" s="1">
        <v>0</v>
      </c>
      <c r="W3" s="1">
        <v>5400</v>
      </c>
      <c r="X3" s="1">
        <v>34200</v>
      </c>
      <c r="Y3" s="1">
        <v>5400</v>
      </c>
      <c r="Z3" s="1">
        <v>39600</v>
      </c>
      <c r="AA3" s="1">
        <v>17280</v>
      </c>
      <c r="AB3" s="1">
        <v>19800</v>
      </c>
      <c r="AC3" s="1">
        <v>0</v>
      </c>
      <c r="AD3" s="1">
        <v>5400</v>
      </c>
      <c r="AE3" s="1">
        <v>37080</v>
      </c>
      <c r="AF3" s="1">
        <v>5400</v>
      </c>
      <c r="AG3" s="1">
        <v>42480</v>
      </c>
      <c r="AH3" s="1">
        <v>15552</v>
      </c>
      <c r="AI3" s="1">
        <v>19206</v>
      </c>
      <c r="AJ3" s="1">
        <v>0</v>
      </c>
      <c r="AK3" s="1">
        <v>4860</v>
      </c>
      <c r="AL3" s="1">
        <v>34758</v>
      </c>
      <c r="AM3" s="1">
        <v>4860</v>
      </c>
      <c r="AN3" s="1">
        <v>39600</v>
      </c>
      <c r="AO3" s="6" t="s">
        <v>107</v>
      </c>
      <c r="AP3" s="6" t="s">
        <v>107</v>
      </c>
      <c r="AQ3" s="6" t="s">
        <v>107</v>
      </c>
      <c r="AR3" s="6" t="s">
        <v>107</v>
      </c>
      <c r="AS3" s="1">
        <v>23771</v>
      </c>
      <c r="AT3" s="1">
        <v>0</v>
      </c>
      <c r="AU3" s="1">
        <v>23771</v>
      </c>
    </row>
    <row r="4" spans="1:47" x14ac:dyDescent="0.4">
      <c r="A4" s="3" t="s">
        <v>45</v>
      </c>
      <c r="B4" s="3" t="s">
        <v>46</v>
      </c>
      <c r="C4" s="3" t="s">
        <v>47</v>
      </c>
      <c r="D4" s="3" t="s">
        <v>60</v>
      </c>
      <c r="E4" s="3" t="s">
        <v>48</v>
      </c>
      <c r="F4" s="3" t="s">
        <v>49</v>
      </c>
      <c r="G4" s="3" t="s">
        <v>88</v>
      </c>
      <c r="H4" s="3" t="s">
        <v>89</v>
      </c>
      <c r="I4" s="3" t="s">
        <v>50</v>
      </c>
      <c r="J4" s="3" t="s">
        <v>62</v>
      </c>
      <c r="K4" s="3" t="s">
        <v>90</v>
      </c>
      <c r="L4" s="3" t="s">
        <v>91</v>
      </c>
      <c r="M4" s="3" t="s">
        <v>92</v>
      </c>
      <c r="N4" s="3" t="s">
        <v>51</v>
      </c>
      <c r="O4" s="3" t="s">
        <v>51</v>
      </c>
      <c r="P4" s="3" t="s">
        <v>51</v>
      </c>
      <c r="Q4" s="3" t="s">
        <v>93</v>
      </c>
      <c r="R4" s="3" t="s">
        <v>52</v>
      </c>
      <c r="S4" s="3" t="s">
        <v>54</v>
      </c>
      <c r="T4" s="1">
        <v>0</v>
      </c>
      <c r="U4" s="1">
        <v>0</v>
      </c>
      <c r="V4" s="1">
        <v>0</v>
      </c>
      <c r="W4" s="1">
        <v>7200</v>
      </c>
      <c r="X4" s="1">
        <v>0</v>
      </c>
      <c r="Y4" s="1">
        <v>7200</v>
      </c>
      <c r="Z4" s="1">
        <v>7200</v>
      </c>
      <c r="AA4" s="1">
        <v>0</v>
      </c>
      <c r="AB4" s="1">
        <v>0</v>
      </c>
      <c r="AC4" s="1">
        <v>0</v>
      </c>
      <c r="AD4" s="1">
        <v>7200</v>
      </c>
      <c r="AE4" s="1">
        <v>0</v>
      </c>
      <c r="AF4" s="1">
        <v>7200</v>
      </c>
      <c r="AG4" s="1">
        <v>7200</v>
      </c>
      <c r="AH4" s="1">
        <v>0</v>
      </c>
      <c r="AI4" s="1">
        <v>0</v>
      </c>
      <c r="AJ4" s="1">
        <v>0</v>
      </c>
      <c r="AK4" s="1">
        <v>6480</v>
      </c>
      <c r="AL4" s="1">
        <v>0</v>
      </c>
      <c r="AM4" s="1">
        <v>6480</v>
      </c>
      <c r="AN4" s="1">
        <v>7200</v>
      </c>
      <c r="AO4" s="6" t="s">
        <v>107</v>
      </c>
      <c r="AP4" s="6" t="s">
        <v>107</v>
      </c>
      <c r="AQ4" s="6" t="s">
        <v>107</v>
      </c>
      <c r="AR4" s="6" t="s">
        <v>107</v>
      </c>
      <c r="AS4" s="1">
        <v>3888</v>
      </c>
      <c r="AT4" s="1">
        <v>0</v>
      </c>
      <c r="AU4" s="1">
        <v>3888</v>
      </c>
    </row>
    <row r="5" spans="1:47" x14ac:dyDescent="0.4">
      <c r="A5" s="3" t="s">
        <v>45</v>
      </c>
      <c r="B5" s="3" t="s">
        <v>46</v>
      </c>
      <c r="C5" s="3" t="s">
        <v>47</v>
      </c>
      <c r="D5" s="3" t="s">
        <v>60</v>
      </c>
      <c r="E5" s="3" t="s">
        <v>48</v>
      </c>
      <c r="F5" s="3" t="s">
        <v>49</v>
      </c>
      <c r="G5" s="3" t="s">
        <v>88</v>
      </c>
      <c r="H5" s="3" t="s">
        <v>89</v>
      </c>
      <c r="I5" s="3" t="s">
        <v>50</v>
      </c>
      <c r="J5" s="3" t="s">
        <v>62</v>
      </c>
      <c r="K5" s="3" t="s">
        <v>90</v>
      </c>
      <c r="L5" s="3" t="s">
        <v>91</v>
      </c>
      <c r="M5" s="3" t="s">
        <v>92</v>
      </c>
      <c r="N5" s="3" t="s">
        <v>51</v>
      </c>
      <c r="O5" s="3" t="s">
        <v>51</v>
      </c>
      <c r="P5" s="3" t="s">
        <v>51</v>
      </c>
      <c r="Q5" s="3" t="s">
        <v>93</v>
      </c>
      <c r="R5" s="3" t="s">
        <v>52</v>
      </c>
      <c r="S5" s="3" t="s">
        <v>54</v>
      </c>
      <c r="T5" s="1">
        <v>10800</v>
      </c>
      <c r="U5" s="1">
        <v>11600</v>
      </c>
      <c r="V5" s="1">
        <v>0</v>
      </c>
      <c r="W5" s="1">
        <v>10000</v>
      </c>
      <c r="X5" s="1">
        <v>22400</v>
      </c>
      <c r="Y5" s="1">
        <v>10000</v>
      </c>
      <c r="Z5" s="1">
        <v>32400</v>
      </c>
      <c r="AA5" s="1">
        <v>12960</v>
      </c>
      <c r="AB5" s="1">
        <v>11600</v>
      </c>
      <c r="AC5" s="1">
        <v>0</v>
      </c>
      <c r="AD5" s="1">
        <v>10000</v>
      </c>
      <c r="AE5" s="1">
        <v>24560</v>
      </c>
      <c r="AF5" s="1">
        <v>10000</v>
      </c>
      <c r="AG5" s="1">
        <v>34560</v>
      </c>
      <c r="AH5" s="1">
        <v>11664</v>
      </c>
      <c r="AI5" s="1">
        <v>11252</v>
      </c>
      <c r="AJ5" s="1">
        <v>0</v>
      </c>
      <c r="AK5" s="1">
        <v>9000</v>
      </c>
      <c r="AL5" s="1">
        <v>22916</v>
      </c>
      <c r="AM5" s="1">
        <v>9000</v>
      </c>
      <c r="AN5" s="1">
        <v>32400</v>
      </c>
      <c r="AO5" s="6" t="s">
        <v>107</v>
      </c>
      <c r="AP5" s="6" t="s">
        <v>107</v>
      </c>
      <c r="AQ5" s="6" t="s">
        <v>107</v>
      </c>
      <c r="AR5" s="6" t="s">
        <v>107</v>
      </c>
      <c r="AS5" s="1">
        <v>19149</v>
      </c>
      <c r="AT5" s="1">
        <v>0</v>
      </c>
      <c r="AU5" s="1">
        <v>19149</v>
      </c>
    </row>
    <row r="6" spans="1:47" x14ac:dyDescent="0.4">
      <c r="A6" s="3" t="s">
        <v>45</v>
      </c>
      <c r="B6" s="3" t="s">
        <v>46</v>
      </c>
      <c r="C6" s="3" t="s">
        <v>47</v>
      </c>
      <c r="D6" s="3" t="s">
        <v>60</v>
      </c>
      <c r="E6" s="3" t="s">
        <v>48</v>
      </c>
      <c r="F6" s="3" t="s">
        <v>49</v>
      </c>
      <c r="G6" s="3" t="s">
        <v>88</v>
      </c>
      <c r="H6" s="3" t="s">
        <v>89</v>
      </c>
      <c r="I6" s="3" t="s">
        <v>50</v>
      </c>
      <c r="J6" s="3" t="s">
        <v>62</v>
      </c>
      <c r="K6" s="3" t="s">
        <v>90</v>
      </c>
      <c r="L6" s="3" t="s">
        <v>91</v>
      </c>
      <c r="M6" s="3" t="s">
        <v>92</v>
      </c>
      <c r="N6" s="3" t="s">
        <v>51</v>
      </c>
      <c r="O6" s="3" t="s">
        <v>51</v>
      </c>
      <c r="P6" s="3" t="s">
        <v>51</v>
      </c>
      <c r="Q6" s="3" t="s">
        <v>93</v>
      </c>
      <c r="R6" s="3" t="s">
        <v>52</v>
      </c>
      <c r="S6" s="3" t="s">
        <v>57</v>
      </c>
      <c r="T6" s="1">
        <v>108810</v>
      </c>
      <c r="U6" s="1">
        <v>49410</v>
      </c>
      <c r="V6" s="1">
        <v>28880</v>
      </c>
      <c r="W6" s="1">
        <v>314500</v>
      </c>
      <c r="X6" s="1">
        <v>187100</v>
      </c>
      <c r="Y6" s="1">
        <v>314500</v>
      </c>
      <c r="Z6" s="1">
        <v>501600</v>
      </c>
      <c r="AA6" s="1">
        <v>130572</v>
      </c>
      <c r="AB6" s="1">
        <v>49410</v>
      </c>
      <c r="AC6" s="1">
        <v>34616</v>
      </c>
      <c r="AD6" s="1">
        <v>314500</v>
      </c>
      <c r="AE6" s="1">
        <v>214598</v>
      </c>
      <c r="AF6" s="1">
        <v>314500</v>
      </c>
      <c r="AG6" s="1">
        <v>529098</v>
      </c>
      <c r="AH6" s="1">
        <v>117514.8</v>
      </c>
      <c r="AI6" s="1">
        <v>47927.7</v>
      </c>
      <c r="AJ6" s="1">
        <v>24231.200000000001</v>
      </c>
      <c r="AK6" s="1">
        <v>283050</v>
      </c>
      <c r="AL6" s="1">
        <v>189673.7</v>
      </c>
      <c r="AM6" s="1">
        <v>283050</v>
      </c>
      <c r="AN6" s="1">
        <v>501600</v>
      </c>
      <c r="AO6" s="6" t="s">
        <v>107</v>
      </c>
      <c r="AP6" s="6" t="s">
        <v>107</v>
      </c>
      <c r="AQ6" s="6" t="s">
        <v>107</v>
      </c>
      <c r="AR6" s="6" t="s">
        <v>107</v>
      </c>
      <c r="AS6" s="1">
        <v>283635</v>
      </c>
      <c r="AT6" s="1">
        <v>0</v>
      </c>
      <c r="AU6" s="1">
        <v>283635</v>
      </c>
    </row>
    <row r="7" spans="1:47" x14ac:dyDescent="0.4">
      <c r="A7" s="3" t="s">
        <v>45</v>
      </c>
      <c r="B7" s="3" t="s">
        <v>46</v>
      </c>
      <c r="C7" s="3" t="s">
        <v>47</v>
      </c>
      <c r="D7" s="3" t="s">
        <v>60</v>
      </c>
      <c r="E7" s="3" t="s">
        <v>48</v>
      </c>
      <c r="F7" s="3" t="s">
        <v>49</v>
      </c>
      <c r="G7" s="3" t="s">
        <v>88</v>
      </c>
      <c r="H7" s="3" t="s">
        <v>89</v>
      </c>
      <c r="I7" s="3" t="s">
        <v>50</v>
      </c>
      <c r="J7" s="3" t="s">
        <v>62</v>
      </c>
      <c r="K7" s="3" t="s">
        <v>90</v>
      </c>
      <c r="L7" s="3" t="s">
        <v>91</v>
      </c>
      <c r="M7" s="3" t="s">
        <v>92</v>
      </c>
      <c r="N7" s="3" t="s">
        <v>51</v>
      </c>
      <c r="O7" s="3" t="s">
        <v>51</v>
      </c>
      <c r="P7" s="3" t="s">
        <v>51</v>
      </c>
      <c r="Q7" s="3" t="s">
        <v>93</v>
      </c>
      <c r="R7" s="3" t="s">
        <v>52</v>
      </c>
      <c r="S7" s="3" t="s">
        <v>58</v>
      </c>
      <c r="T7" s="1">
        <v>63880</v>
      </c>
      <c r="U7" s="1">
        <v>87320</v>
      </c>
      <c r="V7" s="1">
        <v>12600</v>
      </c>
      <c r="W7" s="1">
        <v>71000</v>
      </c>
      <c r="X7" s="1">
        <v>163800</v>
      </c>
      <c r="Y7" s="1">
        <v>71000</v>
      </c>
      <c r="Z7" s="1">
        <v>234800</v>
      </c>
      <c r="AA7" s="1">
        <v>76656</v>
      </c>
      <c r="AB7" s="1">
        <v>87320</v>
      </c>
      <c r="AC7" s="1">
        <v>15120</v>
      </c>
      <c r="AD7" s="1">
        <v>71000</v>
      </c>
      <c r="AE7" s="1">
        <v>179096</v>
      </c>
      <c r="AF7" s="1">
        <v>71000</v>
      </c>
      <c r="AG7" s="1">
        <v>250096</v>
      </c>
      <c r="AH7" s="1">
        <v>68990.399999999994</v>
      </c>
      <c r="AI7" s="1">
        <v>84700.4</v>
      </c>
      <c r="AJ7" s="1">
        <v>10584</v>
      </c>
      <c r="AK7" s="1">
        <v>63900</v>
      </c>
      <c r="AL7" s="1">
        <v>164274.79999999999</v>
      </c>
      <c r="AM7" s="1">
        <v>63900</v>
      </c>
      <c r="AN7" s="1">
        <v>234800</v>
      </c>
      <c r="AO7" s="6" t="s">
        <v>107</v>
      </c>
      <c r="AP7" s="6" t="s">
        <v>107</v>
      </c>
      <c r="AQ7" s="6" t="s">
        <v>107</v>
      </c>
      <c r="AR7" s="6" t="s">
        <v>107</v>
      </c>
      <c r="AS7" s="1">
        <v>136904</v>
      </c>
      <c r="AT7" s="1">
        <v>0</v>
      </c>
      <c r="AU7" s="1">
        <v>136904</v>
      </c>
    </row>
    <row r="8" spans="1:47" x14ac:dyDescent="0.4">
      <c r="A8" s="3" t="s">
        <v>45</v>
      </c>
      <c r="B8" s="3" t="s">
        <v>46</v>
      </c>
      <c r="C8" s="3" t="s">
        <v>47</v>
      </c>
      <c r="D8" s="3" t="s">
        <v>60</v>
      </c>
      <c r="E8" s="3" t="s">
        <v>48</v>
      </c>
      <c r="F8" s="3" t="s">
        <v>49</v>
      </c>
      <c r="G8" s="3" t="s">
        <v>88</v>
      </c>
      <c r="H8" s="3" t="s">
        <v>89</v>
      </c>
      <c r="I8" s="3" t="s">
        <v>50</v>
      </c>
      <c r="J8" s="3" t="s">
        <v>62</v>
      </c>
      <c r="K8" s="3" t="s">
        <v>90</v>
      </c>
      <c r="L8" s="3" t="s">
        <v>91</v>
      </c>
      <c r="M8" s="3" t="s">
        <v>92</v>
      </c>
      <c r="N8" s="3" t="s">
        <v>51</v>
      </c>
      <c r="O8" s="3" t="s">
        <v>51</v>
      </c>
      <c r="P8" s="3" t="s">
        <v>51</v>
      </c>
      <c r="Q8" s="3" t="s">
        <v>93</v>
      </c>
      <c r="R8" s="3" t="s">
        <v>52</v>
      </c>
      <c r="S8" s="3" t="s">
        <v>58</v>
      </c>
      <c r="T8" s="1">
        <v>21600</v>
      </c>
      <c r="U8" s="1">
        <v>17600</v>
      </c>
      <c r="V8" s="1">
        <v>3600</v>
      </c>
      <c r="W8" s="1">
        <v>18000</v>
      </c>
      <c r="X8" s="1">
        <v>42800</v>
      </c>
      <c r="Y8" s="1">
        <v>18000</v>
      </c>
      <c r="Z8" s="1">
        <v>60800</v>
      </c>
      <c r="AA8" s="1">
        <v>25920</v>
      </c>
      <c r="AB8" s="1">
        <v>17600</v>
      </c>
      <c r="AC8" s="1">
        <v>4320</v>
      </c>
      <c r="AD8" s="1">
        <v>18000</v>
      </c>
      <c r="AE8" s="1">
        <v>47840</v>
      </c>
      <c r="AF8" s="1">
        <v>18000</v>
      </c>
      <c r="AG8" s="1">
        <v>65840</v>
      </c>
      <c r="AH8" s="1">
        <v>23328</v>
      </c>
      <c r="AI8" s="1">
        <v>17072</v>
      </c>
      <c r="AJ8" s="1">
        <v>3024</v>
      </c>
      <c r="AK8" s="1">
        <v>16200</v>
      </c>
      <c r="AL8" s="1">
        <v>43424</v>
      </c>
      <c r="AM8" s="1">
        <v>16200</v>
      </c>
      <c r="AN8" s="1">
        <v>60800</v>
      </c>
      <c r="AO8" s="6" t="s">
        <v>107</v>
      </c>
      <c r="AP8" s="6" t="s">
        <v>107</v>
      </c>
      <c r="AQ8" s="6" t="s">
        <v>107</v>
      </c>
      <c r="AR8" s="6" t="s">
        <v>107</v>
      </c>
      <c r="AS8" s="1">
        <v>35774</v>
      </c>
      <c r="AT8" s="1">
        <v>0</v>
      </c>
      <c r="AU8" s="1">
        <v>35774</v>
      </c>
    </row>
    <row r="9" spans="1:47" x14ac:dyDescent="0.4">
      <c r="A9" s="3" t="s">
        <v>45</v>
      </c>
      <c r="B9" s="3" t="s">
        <v>46</v>
      </c>
      <c r="C9" s="3" t="s">
        <v>47</v>
      </c>
      <c r="D9" s="3" t="s">
        <v>60</v>
      </c>
      <c r="E9" s="3" t="s">
        <v>48</v>
      </c>
      <c r="F9" s="3" t="s">
        <v>49</v>
      </c>
      <c r="G9" s="3" t="s">
        <v>88</v>
      </c>
      <c r="H9" s="3" t="s">
        <v>89</v>
      </c>
      <c r="I9" s="3" t="s">
        <v>50</v>
      </c>
      <c r="J9" s="3" t="s">
        <v>62</v>
      </c>
      <c r="K9" s="3" t="s">
        <v>90</v>
      </c>
      <c r="L9" s="3" t="s">
        <v>91</v>
      </c>
      <c r="M9" s="3" t="s">
        <v>92</v>
      </c>
      <c r="N9" s="3" t="s">
        <v>51</v>
      </c>
      <c r="O9" s="3" t="s">
        <v>51</v>
      </c>
      <c r="P9" s="3" t="s">
        <v>51</v>
      </c>
      <c r="Q9" s="3" t="s">
        <v>93</v>
      </c>
      <c r="R9" s="3" t="s">
        <v>52</v>
      </c>
      <c r="S9" s="3" t="s">
        <v>58</v>
      </c>
      <c r="T9" s="1">
        <v>21000</v>
      </c>
      <c r="U9" s="1">
        <v>10800</v>
      </c>
      <c r="V9" s="1">
        <v>16200</v>
      </c>
      <c r="W9" s="1">
        <v>6000</v>
      </c>
      <c r="X9" s="1">
        <v>48000</v>
      </c>
      <c r="Y9" s="1">
        <v>6000</v>
      </c>
      <c r="Z9" s="1">
        <v>54000</v>
      </c>
      <c r="AA9" s="1">
        <v>25200</v>
      </c>
      <c r="AB9" s="1">
        <v>10800</v>
      </c>
      <c r="AC9" s="1">
        <v>19440</v>
      </c>
      <c r="AD9" s="1">
        <v>6000</v>
      </c>
      <c r="AE9" s="1">
        <v>55440</v>
      </c>
      <c r="AF9" s="1">
        <v>6000</v>
      </c>
      <c r="AG9" s="1">
        <v>61440</v>
      </c>
      <c r="AH9" s="1">
        <v>22680</v>
      </c>
      <c r="AI9" s="1">
        <v>10476</v>
      </c>
      <c r="AJ9" s="1">
        <v>13608</v>
      </c>
      <c r="AK9" s="1">
        <v>5400</v>
      </c>
      <c r="AL9" s="1">
        <v>46764</v>
      </c>
      <c r="AM9" s="1">
        <v>5400</v>
      </c>
      <c r="AN9" s="1">
        <v>54000</v>
      </c>
      <c r="AO9" s="6" t="s">
        <v>107</v>
      </c>
      <c r="AP9" s="6" t="s">
        <v>107</v>
      </c>
      <c r="AQ9" s="6" t="s">
        <v>107</v>
      </c>
      <c r="AR9" s="6" t="s">
        <v>107</v>
      </c>
      <c r="AS9" s="1">
        <v>31299</v>
      </c>
      <c r="AT9" s="1">
        <v>0</v>
      </c>
      <c r="AU9" s="1">
        <v>31299</v>
      </c>
    </row>
    <row r="10" spans="1:47" x14ac:dyDescent="0.4">
      <c r="AU10" s="5">
        <f>SUM(AU2:AU9)</f>
        <v>575375</v>
      </c>
    </row>
    <row r="13" spans="1:47" s="3" customFormat="1" x14ac:dyDescent="0.4">
      <c r="A13" s="7" t="s">
        <v>155</v>
      </c>
      <c r="B13" s="8"/>
      <c r="C13" s="8"/>
      <c r="D13" s="9"/>
    </row>
    <row r="14" spans="1:47" s="3" customFormat="1" x14ac:dyDescent="0.4">
      <c r="A14" s="10" t="s">
        <v>116</v>
      </c>
      <c r="B14" s="10" t="s">
        <v>156</v>
      </c>
      <c r="C14" s="10" t="s">
        <v>158</v>
      </c>
      <c r="D14" s="10" t="s">
        <v>154</v>
      </c>
    </row>
    <row r="15" spans="1:47" s="3" customFormat="1" x14ac:dyDescent="0.4">
      <c r="A15" s="11">
        <v>202206</v>
      </c>
      <c r="B15" s="12">
        <v>20000000</v>
      </c>
      <c r="C15" s="26">
        <v>928040</v>
      </c>
      <c r="D15" s="12">
        <f>B15-C15</f>
        <v>19071960</v>
      </c>
    </row>
    <row r="16" spans="1:47" s="3" customFormat="1" x14ac:dyDescent="0.4">
      <c r="A16" s="11">
        <v>202207</v>
      </c>
      <c r="B16" s="12"/>
      <c r="C16" s="35">
        <v>789511</v>
      </c>
      <c r="D16" s="12">
        <f t="shared" ref="D16:D21" si="0">D15-C16</f>
        <v>18282449</v>
      </c>
    </row>
    <row r="17" spans="1:4" s="3" customFormat="1" x14ac:dyDescent="0.4">
      <c r="A17" s="11">
        <v>202208</v>
      </c>
      <c r="B17" s="17"/>
      <c r="C17" s="12">
        <v>590337</v>
      </c>
      <c r="D17" s="12">
        <f t="shared" si="0"/>
        <v>17692112</v>
      </c>
    </row>
    <row r="18" spans="1:4" s="3" customFormat="1" x14ac:dyDescent="0.4">
      <c r="A18" s="11">
        <v>202209</v>
      </c>
      <c r="B18" s="17"/>
      <c r="C18" s="12">
        <v>548263</v>
      </c>
      <c r="D18" s="12">
        <f t="shared" si="0"/>
        <v>17143849</v>
      </c>
    </row>
    <row r="19" spans="1:4" s="3" customFormat="1" x14ac:dyDescent="0.4">
      <c r="A19" s="11">
        <v>202210</v>
      </c>
      <c r="B19" s="17"/>
      <c r="C19" s="12">
        <v>412591</v>
      </c>
      <c r="D19" s="12">
        <f t="shared" si="0"/>
        <v>16731258</v>
      </c>
    </row>
    <row r="20" spans="1:4" s="3" customFormat="1" x14ac:dyDescent="0.4">
      <c r="A20" s="11">
        <v>202211</v>
      </c>
      <c r="B20" s="17"/>
      <c r="C20" s="12">
        <v>363427</v>
      </c>
      <c r="D20" s="12">
        <f t="shared" si="0"/>
        <v>16367831</v>
      </c>
    </row>
    <row r="21" spans="1:4" s="3" customFormat="1" x14ac:dyDescent="0.4">
      <c r="A21" s="11">
        <v>202212</v>
      </c>
      <c r="B21" s="17"/>
      <c r="C21" s="12">
        <f>AU10</f>
        <v>575375</v>
      </c>
      <c r="D21" s="12">
        <f t="shared" si="0"/>
        <v>15792456</v>
      </c>
    </row>
    <row r="22" spans="1:4" s="3" customFormat="1" x14ac:dyDescent="0.4">
      <c r="A22" s="24" t="s">
        <v>157</v>
      </c>
      <c r="B22" s="25">
        <f>SUM(B15:B17)</f>
        <v>20000000</v>
      </c>
      <c r="C22" s="25">
        <f>SUM(C15:C21)</f>
        <v>4207544</v>
      </c>
      <c r="D22" s="25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U22"/>
  <sheetViews>
    <sheetView zoomScale="70" zoomScaleNormal="70" workbookViewId="0">
      <selection activeCell="H22" sqref="H22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3.09765625" bestFit="1" customWidth="1"/>
    <col min="4" max="4" width="11.0976562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35.1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4.5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17.1992187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9.19921875" bestFit="1" customWidth="1"/>
    <col min="46" max="46" width="5" bestFit="1" customWidth="1"/>
    <col min="47" max="47" width="9.19921875" bestFit="1" customWidth="1"/>
  </cols>
  <sheetData>
    <row r="1" spans="1:47" x14ac:dyDescent="0.4">
      <c r="A1" s="2" t="s">
        <v>114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4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24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4" t="s">
        <v>44</v>
      </c>
    </row>
    <row r="2" spans="1:47" x14ac:dyDescent="0.4">
      <c r="A2" s="3" t="s">
        <v>45</v>
      </c>
      <c r="B2" s="3" t="s">
        <v>46</v>
      </c>
      <c r="C2" s="3" t="s">
        <v>47</v>
      </c>
      <c r="D2" s="3" t="s">
        <v>60</v>
      </c>
      <c r="E2" s="3" t="s">
        <v>48</v>
      </c>
      <c r="F2" s="3" t="s">
        <v>49</v>
      </c>
      <c r="G2" s="3" t="s">
        <v>72</v>
      </c>
      <c r="H2" s="3" t="s">
        <v>73</v>
      </c>
      <c r="I2" s="3" t="s">
        <v>50</v>
      </c>
      <c r="J2" s="3" t="s">
        <v>62</v>
      </c>
      <c r="K2" s="3" t="s">
        <v>74</v>
      </c>
      <c r="L2" s="3" t="s">
        <v>75</v>
      </c>
      <c r="M2" s="3" t="s">
        <v>76</v>
      </c>
      <c r="N2" s="3" t="s">
        <v>51</v>
      </c>
      <c r="O2" s="3" t="s">
        <v>51</v>
      </c>
      <c r="P2" s="3" t="s">
        <v>51</v>
      </c>
      <c r="Q2" s="3" t="s">
        <v>77</v>
      </c>
      <c r="R2" s="3" t="s">
        <v>52</v>
      </c>
      <c r="S2" s="3" t="s">
        <v>53</v>
      </c>
      <c r="T2" s="1">
        <v>88120</v>
      </c>
      <c r="U2" s="1">
        <v>150890</v>
      </c>
      <c r="V2" s="1">
        <v>39750</v>
      </c>
      <c r="W2" s="1">
        <v>68240</v>
      </c>
      <c r="X2" s="1">
        <v>278760</v>
      </c>
      <c r="Y2" s="1">
        <v>68240</v>
      </c>
      <c r="Z2" s="1">
        <v>347000</v>
      </c>
      <c r="AA2" s="1">
        <v>105744</v>
      </c>
      <c r="AB2" s="1">
        <v>150890</v>
      </c>
      <c r="AC2" s="1">
        <v>47700</v>
      </c>
      <c r="AD2" s="1">
        <v>68240</v>
      </c>
      <c r="AE2" s="1">
        <v>304334</v>
      </c>
      <c r="AF2" s="1">
        <v>68240</v>
      </c>
      <c r="AG2" s="1">
        <v>372574</v>
      </c>
      <c r="AH2" s="1">
        <v>95169.600000000006</v>
      </c>
      <c r="AI2" s="1">
        <v>146363.29999999999</v>
      </c>
      <c r="AJ2" s="1">
        <v>33390</v>
      </c>
      <c r="AK2" s="1">
        <v>61416</v>
      </c>
      <c r="AL2" s="1">
        <v>274922.90000000002</v>
      </c>
      <c r="AM2" s="1">
        <v>61416</v>
      </c>
      <c r="AN2" s="1">
        <v>347000</v>
      </c>
      <c r="AO2" s="6" t="s">
        <v>107</v>
      </c>
      <c r="AP2" s="6" t="s">
        <v>107</v>
      </c>
      <c r="AQ2" s="6" t="s">
        <v>107</v>
      </c>
      <c r="AR2" s="6" t="s">
        <v>107</v>
      </c>
      <c r="AS2" s="1">
        <v>201804</v>
      </c>
      <c r="AT2" s="1">
        <v>0</v>
      </c>
      <c r="AU2" s="1">
        <v>201804</v>
      </c>
    </row>
    <row r="3" spans="1:47" x14ac:dyDescent="0.4">
      <c r="A3" s="3" t="s">
        <v>45</v>
      </c>
      <c r="B3" s="3" t="s">
        <v>46</v>
      </c>
      <c r="C3" s="3" t="s">
        <v>47</v>
      </c>
      <c r="D3" s="3" t="s">
        <v>60</v>
      </c>
      <c r="E3" s="3" t="s">
        <v>48</v>
      </c>
      <c r="F3" s="3" t="s">
        <v>49</v>
      </c>
      <c r="G3" s="3" t="s">
        <v>72</v>
      </c>
      <c r="H3" s="3" t="s">
        <v>73</v>
      </c>
      <c r="I3" s="3" t="s">
        <v>50</v>
      </c>
      <c r="J3" s="3" t="s">
        <v>62</v>
      </c>
      <c r="K3" s="3" t="s">
        <v>74</v>
      </c>
      <c r="L3" s="3" t="s">
        <v>75</v>
      </c>
      <c r="M3" s="3" t="s">
        <v>76</v>
      </c>
      <c r="N3" s="3" t="s">
        <v>51</v>
      </c>
      <c r="O3" s="3" t="s">
        <v>51</v>
      </c>
      <c r="P3" s="3" t="s">
        <v>51</v>
      </c>
      <c r="Q3" s="3" t="s">
        <v>77</v>
      </c>
      <c r="R3" s="3" t="s">
        <v>52</v>
      </c>
      <c r="S3" s="3" t="s">
        <v>54</v>
      </c>
      <c r="T3" s="1">
        <v>157180</v>
      </c>
      <c r="U3" s="1">
        <v>241520</v>
      </c>
      <c r="V3" s="1">
        <v>20200</v>
      </c>
      <c r="W3" s="1">
        <v>19100</v>
      </c>
      <c r="X3" s="1">
        <v>418900</v>
      </c>
      <c r="Y3" s="1">
        <v>19100</v>
      </c>
      <c r="Z3" s="1">
        <v>438000</v>
      </c>
      <c r="AA3" s="1">
        <v>188616</v>
      </c>
      <c r="AB3" s="1">
        <v>241520</v>
      </c>
      <c r="AC3" s="1">
        <v>24240</v>
      </c>
      <c r="AD3" s="1">
        <v>19100</v>
      </c>
      <c r="AE3" s="1">
        <v>454376</v>
      </c>
      <c r="AF3" s="1">
        <v>19100</v>
      </c>
      <c r="AG3" s="1">
        <v>473476</v>
      </c>
      <c r="AH3" s="1">
        <v>169754.4</v>
      </c>
      <c r="AI3" s="1">
        <v>234274.4</v>
      </c>
      <c r="AJ3" s="1">
        <v>16968</v>
      </c>
      <c r="AK3" s="1">
        <v>17190</v>
      </c>
      <c r="AL3" s="1">
        <v>420996.8</v>
      </c>
      <c r="AM3" s="1">
        <v>17190</v>
      </c>
      <c r="AN3" s="1">
        <v>438000</v>
      </c>
      <c r="AO3" s="6" t="s">
        <v>107</v>
      </c>
      <c r="AP3" s="6" t="s">
        <v>107</v>
      </c>
      <c r="AQ3" s="6" t="s">
        <v>107</v>
      </c>
      <c r="AR3" s="6" t="s">
        <v>107</v>
      </c>
      <c r="AS3" s="1">
        <v>262913</v>
      </c>
      <c r="AT3" s="1">
        <v>0</v>
      </c>
      <c r="AU3" s="1">
        <v>262913</v>
      </c>
    </row>
    <row r="4" spans="1:47" x14ac:dyDescent="0.4">
      <c r="A4" s="3" t="s">
        <v>45</v>
      </c>
      <c r="B4" s="3" t="s">
        <v>46</v>
      </c>
      <c r="C4" s="3" t="s">
        <v>47</v>
      </c>
      <c r="D4" s="3" t="s">
        <v>60</v>
      </c>
      <c r="E4" s="3" t="s">
        <v>48</v>
      </c>
      <c r="F4" s="3" t="s">
        <v>49</v>
      </c>
      <c r="G4" s="3" t="s">
        <v>72</v>
      </c>
      <c r="H4" s="3" t="s">
        <v>73</v>
      </c>
      <c r="I4" s="3" t="s">
        <v>50</v>
      </c>
      <c r="J4" s="3" t="s">
        <v>62</v>
      </c>
      <c r="K4" s="3" t="s">
        <v>74</v>
      </c>
      <c r="L4" s="3" t="s">
        <v>75</v>
      </c>
      <c r="M4" s="3" t="s">
        <v>76</v>
      </c>
      <c r="N4" s="3" t="s">
        <v>51</v>
      </c>
      <c r="O4" s="3" t="s">
        <v>51</v>
      </c>
      <c r="P4" s="3" t="s">
        <v>51</v>
      </c>
      <c r="Q4" s="3" t="s">
        <v>77</v>
      </c>
      <c r="R4" s="3" t="s">
        <v>52</v>
      </c>
      <c r="S4" s="3" t="s">
        <v>54</v>
      </c>
      <c r="T4" s="1">
        <v>75900</v>
      </c>
      <c r="U4" s="1">
        <v>152400</v>
      </c>
      <c r="V4" s="1">
        <v>9000</v>
      </c>
      <c r="W4" s="1">
        <v>5700</v>
      </c>
      <c r="X4" s="1">
        <v>237300</v>
      </c>
      <c r="Y4" s="1">
        <v>5700</v>
      </c>
      <c r="Z4" s="1">
        <v>243000</v>
      </c>
      <c r="AA4" s="1">
        <v>91080</v>
      </c>
      <c r="AB4" s="1">
        <v>152400</v>
      </c>
      <c r="AC4" s="1">
        <v>10800</v>
      </c>
      <c r="AD4" s="1">
        <v>5700</v>
      </c>
      <c r="AE4" s="1">
        <v>254280</v>
      </c>
      <c r="AF4" s="1">
        <v>5700</v>
      </c>
      <c r="AG4" s="1">
        <v>259980</v>
      </c>
      <c r="AH4" s="1">
        <v>81972</v>
      </c>
      <c r="AI4" s="1">
        <v>147828</v>
      </c>
      <c r="AJ4" s="1">
        <v>7560</v>
      </c>
      <c r="AK4" s="1">
        <v>5130</v>
      </c>
      <c r="AL4" s="1">
        <v>237360</v>
      </c>
      <c r="AM4" s="1">
        <v>5130</v>
      </c>
      <c r="AN4" s="1">
        <v>243000</v>
      </c>
      <c r="AO4" s="6" t="s">
        <v>107</v>
      </c>
      <c r="AP4" s="6" t="s">
        <v>107</v>
      </c>
      <c r="AQ4" s="6" t="s">
        <v>107</v>
      </c>
      <c r="AR4" s="6" t="s">
        <v>107</v>
      </c>
      <c r="AS4" s="1">
        <v>145494</v>
      </c>
      <c r="AT4" s="1">
        <v>0</v>
      </c>
      <c r="AU4" s="1">
        <v>145494</v>
      </c>
    </row>
    <row r="5" spans="1:47" x14ac:dyDescent="0.4">
      <c r="A5" s="3" t="s">
        <v>45</v>
      </c>
      <c r="B5" s="3" t="s">
        <v>46</v>
      </c>
      <c r="C5" s="3" t="s">
        <v>47</v>
      </c>
      <c r="D5" s="3" t="s">
        <v>60</v>
      </c>
      <c r="E5" s="3" t="s">
        <v>48</v>
      </c>
      <c r="F5" s="3" t="s">
        <v>49</v>
      </c>
      <c r="G5" s="3" t="s">
        <v>72</v>
      </c>
      <c r="H5" s="3" t="s">
        <v>73</v>
      </c>
      <c r="I5" s="3" t="s">
        <v>50</v>
      </c>
      <c r="J5" s="3" t="s">
        <v>62</v>
      </c>
      <c r="K5" s="3" t="s">
        <v>74</v>
      </c>
      <c r="L5" s="3" t="s">
        <v>75</v>
      </c>
      <c r="M5" s="3" t="s">
        <v>76</v>
      </c>
      <c r="N5" s="3" t="s">
        <v>51</v>
      </c>
      <c r="O5" s="3" t="s">
        <v>51</v>
      </c>
      <c r="P5" s="3" t="s">
        <v>51</v>
      </c>
      <c r="Q5" s="3" t="s">
        <v>77</v>
      </c>
      <c r="R5" s="3" t="s">
        <v>52</v>
      </c>
      <c r="S5" s="3" t="s">
        <v>54</v>
      </c>
      <c r="T5" s="1">
        <v>62500</v>
      </c>
      <c r="U5" s="1">
        <v>167000</v>
      </c>
      <c r="V5" s="1">
        <v>40500</v>
      </c>
      <c r="W5" s="1">
        <v>13500</v>
      </c>
      <c r="X5" s="1">
        <v>270000</v>
      </c>
      <c r="Y5" s="1">
        <v>13500</v>
      </c>
      <c r="Z5" s="1">
        <v>283500</v>
      </c>
      <c r="AA5" s="1">
        <v>75000</v>
      </c>
      <c r="AB5" s="1">
        <v>167000</v>
      </c>
      <c r="AC5" s="1">
        <v>48600</v>
      </c>
      <c r="AD5" s="1">
        <v>13500</v>
      </c>
      <c r="AE5" s="1">
        <v>290600</v>
      </c>
      <c r="AF5" s="1">
        <v>13500</v>
      </c>
      <c r="AG5" s="1">
        <v>304100</v>
      </c>
      <c r="AH5" s="1">
        <v>67500</v>
      </c>
      <c r="AI5" s="1">
        <v>161990</v>
      </c>
      <c r="AJ5" s="1">
        <v>34020</v>
      </c>
      <c r="AK5" s="1">
        <v>12150</v>
      </c>
      <c r="AL5" s="1">
        <v>263510</v>
      </c>
      <c r="AM5" s="1">
        <v>12150</v>
      </c>
      <c r="AN5" s="1">
        <v>283500</v>
      </c>
      <c r="AO5" s="6" t="s">
        <v>107</v>
      </c>
      <c r="AP5" s="6" t="s">
        <v>107</v>
      </c>
      <c r="AQ5" s="6" t="s">
        <v>107</v>
      </c>
      <c r="AR5" s="6" t="s">
        <v>107</v>
      </c>
      <c r="AS5" s="1">
        <v>165396</v>
      </c>
      <c r="AT5" s="1">
        <v>0</v>
      </c>
      <c r="AU5" s="1">
        <v>165396</v>
      </c>
    </row>
    <row r="6" spans="1:47" x14ac:dyDescent="0.4">
      <c r="A6" s="3" t="s">
        <v>45</v>
      </c>
      <c r="B6" s="3" t="s">
        <v>46</v>
      </c>
      <c r="C6" s="3" t="s">
        <v>47</v>
      </c>
      <c r="D6" s="3" t="s">
        <v>60</v>
      </c>
      <c r="E6" s="3" t="s">
        <v>48</v>
      </c>
      <c r="F6" s="3" t="s">
        <v>49</v>
      </c>
      <c r="G6" s="3" t="s">
        <v>72</v>
      </c>
      <c r="H6" s="3" t="s">
        <v>73</v>
      </c>
      <c r="I6" s="3" t="s">
        <v>50</v>
      </c>
      <c r="J6" s="3" t="s">
        <v>62</v>
      </c>
      <c r="K6" s="3" t="s">
        <v>74</v>
      </c>
      <c r="L6" s="3" t="s">
        <v>75</v>
      </c>
      <c r="M6" s="3" t="s">
        <v>76</v>
      </c>
      <c r="N6" s="3" t="s">
        <v>51</v>
      </c>
      <c r="O6" s="3" t="s">
        <v>51</v>
      </c>
      <c r="P6" s="3" t="s">
        <v>51</v>
      </c>
      <c r="Q6" s="3" t="s">
        <v>77</v>
      </c>
      <c r="R6" s="3" t="s">
        <v>52</v>
      </c>
      <c r="S6" s="3" t="s">
        <v>57</v>
      </c>
      <c r="T6" s="1">
        <v>1814790</v>
      </c>
      <c r="U6" s="1">
        <v>1473080</v>
      </c>
      <c r="V6" s="1">
        <v>378790</v>
      </c>
      <c r="W6" s="1">
        <v>1570940</v>
      </c>
      <c r="X6" s="1">
        <v>3666660</v>
      </c>
      <c r="Y6" s="1">
        <v>1570940</v>
      </c>
      <c r="Z6" s="1">
        <v>5237600</v>
      </c>
      <c r="AA6" s="1">
        <v>2177748</v>
      </c>
      <c r="AB6" s="1">
        <v>1473080</v>
      </c>
      <c r="AC6" s="1">
        <v>454488</v>
      </c>
      <c r="AD6" s="1">
        <v>1570940</v>
      </c>
      <c r="AE6" s="1">
        <v>4105316</v>
      </c>
      <c r="AF6" s="1">
        <v>1570940</v>
      </c>
      <c r="AG6" s="1">
        <v>5676256</v>
      </c>
      <c r="AH6" s="1">
        <v>1959973.2</v>
      </c>
      <c r="AI6" s="1">
        <v>1428887.6</v>
      </c>
      <c r="AJ6" s="1">
        <v>318141.59999999998</v>
      </c>
      <c r="AK6" s="1">
        <v>1413846</v>
      </c>
      <c r="AL6" s="1">
        <v>3707002.4</v>
      </c>
      <c r="AM6" s="1">
        <v>1413846</v>
      </c>
      <c r="AN6" s="1">
        <v>5237600</v>
      </c>
      <c r="AO6" s="6" t="s">
        <v>107</v>
      </c>
      <c r="AP6" s="6" t="s">
        <v>107</v>
      </c>
      <c r="AQ6" s="6" t="s">
        <v>107</v>
      </c>
      <c r="AR6" s="6" t="s">
        <v>107</v>
      </c>
      <c r="AS6" s="1">
        <v>3072510</v>
      </c>
      <c r="AT6" s="1">
        <v>0</v>
      </c>
      <c r="AU6" s="1">
        <v>3072510</v>
      </c>
    </row>
    <row r="7" spans="1:47" x14ac:dyDescent="0.4">
      <c r="A7" s="3" t="s">
        <v>45</v>
      </c>
      <c r="B7" s="3" t="s">
        <v>46</v>
      </c>
      <c r="C7" s="3" t="s">
        <v>47</v>
      </c>
      <c r="D7" s="3" t="s">
        <v>60</v>
      </c>
      <c r="E7" s="3" t="s">
        <v>48</v>
      </c>
      <c r="F7" s="3" t="s">
        <v>49</v>
      </c>
      <c r="G7" s="3" t="s">
        <v>72</v>
      </c>
      <c r="H7" s="3" t="s">
        <v>73</v>
      </c>
      <c r="I7" s="3" t="s">
        <v>50</v>
      </c>
      <c r="J7" s="3" t="s">
        <v>62</v>
      </c>
      <c r="K7" s="3" t="s">
        <v>74</v>
      </c>
      <c r="L7" s="3" t="s">
        <v>75</v>
      </c>
      <c r="M7" s="3" t="s">
        <v>76</v>
      </c>
      <c r="N7" s="3" t="s">
        <v>51</v>
      </c>
      <c r="O7" s="3" t="s">
        <v>51</v>
      </c>
      <c r="P7" s="3" t="s">
        <v>51</v>
      </c>
      <c r="Q7" s="3" t="s">
        <v>77</v>
      </c>
      <c r="R7" s="3" t="s">
        <v>52</v>
      </c>
      <c r="S7" s="3" t="s">
        <v>58</v>
      </c>
      <c r="T7" s="1">
        <v>2013040</v>
      </c>
      <c r="U7" s="1">
        <v>2640020</v>
      </c>
      <c r="V7" s="1">
        <v>327550</v>
      </c>
      <c r="W7" s="1">
        <v>657590</v>
      </c>
      <c r="X7" s="1">
        <v>4980610</v>
      </c>
      <c r="Y7" s="1">
        <v>657590</v>
      </c>
      <c r="Z7" s="1">
        <v>5638200</v>
      </c>
      <c r="AA7" s="1">
        <v>2415648</v>
      </c>
      <c r="AB7" s="1">
        <v>2640020</v>
      </c>
      <c r="AC7" s="1">
        <v>393060</v>
      </c>
      <c r="AD7" s="1">
        <v>657590</v>
      </c>
      <c r="AE7" s="1">
        <v>5448728</v>
      </c>
      <c r="AF7" s="1">
        <v>657590</v>
      </c>
      <c r="AG7" s="1">
        <v>6106318</v>
      </c>
      <c r="AH7" s="1">
        <v>2174083.2000000002</v>
      </c>
      <c r="AI7" s="1">
        <v>2560819.4</v>
      </c>
      <c r="AJ7" s="1">
        <v>275142</v>
      </c>
      <c r="AK7" s="1">
        <v>591831</v>
      </c>
      <c r="AL7" s="1">
        <v>5010044.5999999996</v>
      </c>
      <c r="AM7" s="1">
        <v>591831</v>
      </c>
      <c r="AN7" s="1">
        <v>5638200</v>
      </c>
      <c r="AO7" s="6" t="s">
        <v>107</v>
      </c>
      <c r="AP7" s="6" t="s">
        <v>107</v>
      </c>
      <c r="AQ7" s="6" t="s">
        <v>107</v>
      </c>
      <c r="AR7" s="6" t="s">
        <v>107</v>
      </c>
      <c r="AS7" s="1">
        <v>3361126</v>
      </c>
      <c r="AT7" s="1">
        <v>0</v>
      </c>
      <c r="AU7" s="1">
        <v>3361126</v>
      </c>
    </row>
    <row r="8" spans="1:47" x14ac:dyDescent="0.4">
      <c r="A8" s="3" t="s">
        <v>45</v>
      </c>
      <c r="B8" s="3" t="s">
        <v>46</v>
      </c>
      <c r="C8" s="3" t="s">
        <v>47</v>
      </c>
      <c r="D8" s="3" t="s">
        <v>60</v>
      </c>
      <c r="E8" s="3" t="s">
        <v>48</v>
      </c>
      <c r="F8" s="3" t="s">
        <v>49</v>
      </c>
      <c r="G8" s="3" t="s">
        <v>72</v>
      </c>
      <c r="H8" s="3" t="s">
        <v>73</v>
      </c>
      <c r="I8" s="3" t="s">
        <v>50</v>
      </c>
      <c r="J8" s="3" t="s">
        <v>62</v>
      </c>
      <c r="K8" s="3" t="s">
        <v>74</v>
      </c>
      <c r="L8" s="3" t="s">
        <v>75</v>
      </c>
      <c r="M8" s="3" t="s">
        <v>76</v>
      </c>
      <c r="N8" s="3" t="s">
        <v>51</v>
      </c>
      <c r="O8" s="3" t="s">
        <v>51</v>
      </c>
      <c r="P8" s="3" t="s">
        <v>51</v>
      </c>
      <c r="Q8" s="3" t="s">
        <v>77</v>
      </c>
      <c r="R8" s="3" t="s">
        <v>52</v>
      </c>
      <c r="S8" s="3" t="s">
        <v>58</v>
      </c>
      <c r="T8" s="1">
        <v>474400</v>
      </c>
      <c r="U8" s="1">
        <v>588830</v>
      </c>
      <c r="V8" s="1">
        <v>118250</v>
      </c>
      <c r="W8" s="1">
        <v>60720</v>
      </c>
      <c r="X8" s="1">
        <v>1181480</v>
      </c>
      <c r="Y8" s="1">
        <v>60720</v>
      </c>
      <c r="Z8" s="1">
        <v>1242200</v>
      </c>
      <c r="AA8" s="1">
        <v>569280</v>
      </c>
      <c r="AB8" s="1">
        <v>588830</v>
      </c>
      <c r="AC8" s="1">
        <v>141900</v>
      </c>
      <c r="AD8" s="1">
        <v>60720</v>
      </c>
      <c r="AE8" s="1">
        <v>1300010</v>
      </c>
      <c r="AF8" s="1">
        <v>60720</v>
      </c>
      <c r="AG8" s="1">
        <v>1360730</v>
      </c>
      <c r="AH8" s="1">
        <v>512352</v>
      </c>
      <c r="AI8" s="1">
        <v>571165.1</v>
      </c>
      <c r="AJ8" s="1">
        <v>99330</v>
      </c>
      <c r="AK8" s="1">
        <v>54648</v>
      </c>
      <c r="AL8" s="1">
        <v>1182847.1000000001</v>
      </c>
      <c r="AM8" s="1">
        <v>54648</v>
      </c>
      <c r="AN8" s="1">
        <v>1242200</v>
      </c>
      <c r="AO8" s="6" t="s">
        <v>107</v>
      </c>
      <c r="AP8" s="6" t="s">
        <v>107</v>
      </c>
      <c r="AQ8" s="6" t="s">
        <v>107</v>
      </c>
      <c r="AR8" s="6" t="s">
        <v>107</v>
      </c>
      <c r="AS8" s="1">
        <v>742497</v>
      </c>
      <c r="AT8" s="1">
        <v>0</v>
      </c>
      <c r="AU8" s="1">
        <v>742497</v>
      </c>
    </row>
    <row r="9" spans="1:47" x14ac:dyDescent="0.4">
      <c r="A9" s="3" t="s">
        <v>45</v>
      </c>
      <c r="B9" s="3" t="s">
        <v>46</v>
      </c>
      <c r="C9" s="3" t="s">
        <v>47</v>
      </c>
      <c r="D9" s="3" t="s">
        <v>60</v>
      </c>
      <c r="E9" s="3" t="s">
        <v>48</v>
      </c>
      <c r="F9" s="3" t="s">
        <v>49</v>
      </c>
      <c r="G9" s="3" t="s">
        <v>72</v>
      </c>
      <c r="H9" s="3" t="s">
        <v>73</v>
      </c>
      <c r="I9" s="3" t="s">
        <v>50</v>
      </c>
      <c r="J9" s="3" t="s">
        <v>62</v>
      </c>
      <c r="K9" s="3" t="s">
        <v>74</v>
      </c>
      <c r="L9" s="3" t="s">
        <v>75</v>
      </c>
      <c r="M9" s="3" t="s">
        <v>76</v>
      </c>
      <c r="N9" s="3" t="s">
        <v>51</v>
      </c>
      <c r="O9" s="3" t="s">
        <v>51</v>
      </c>
      <c r="P9" s="3" t="s">
        <v>51</v>
      </c>
      <c r="Q9" s="3" t="s">
        <v>77</v>
      </c>
      <c r="R9" s="3" t="s">
        <v>52</v>
      </c>
      <c r="S9" s="3" t="s">
        <v>58</v>
      </c>
      <c r="T9" s="1">
        <v>608160</v>
      </c>
      <c r="U9" s="1">
        <v>423600</v>
      </c>
      <c r="V9" s="1">
        <v>70000</v>
      </c>
      <c r="W9" s="1">
        <v>44640</v>
      </c>
      <c r="X9" s="1">
        <v>1101760</v>
      </c>
      <c r="Y9" s="1">
        <v>44640</v>
      </c>
      <c r="Z9" s="1">
        <v>1146400</v>
      </c>
      <c r="AA9" s="1">
        <v>729792</v>
      </c>
      <c r="AB9" s="1">
        <v>423600</v>
      </c>
      <c r="AC9" s="1">
        <v>84000</v>
      </c>
      <c r="AD9" s="1">
        <v>44640</v>
      </c>
      <c r="AE9" s="1">
        <v>1237392</v>
      </c>
      <c r="AF9" s="1">
        <v>44640</v>
      </c>
      <c r="AG9" s="1">
        <v>1282032</v>
      </c>
      <c r="AH9" s="1">
        <v>656812.80000000005</v>
      </c>
      <c r="AI9" s="1">
        <v>410892</v>
      </c>
      <c r="AJ9" s="1">
        <v>58800</v>
      </c>
      <c r="AK9" s="1">
        <v>40176</v>
      </c>
      <c r="AL9" s="1">
        <v>1126504.8</v>
      </c>
      <c r="AM9" s="1">
        <v>40176</v>
      </c>
      <c r="AN9" s="1">
        <v>1146400</v>
      </c>
      <c r="AO9" s="6" t="s">
        <v>107</v>
      </c>
      <c r="AP9" s="6" t="s">
        <v>107</v>
      </c>
      <c r="AQ9" s="6" t="s">
        <v>107</v>
      </c>
      <c r="AR9" s="6" t="s">
        <v>107</v>
      </c>
      <c r="AS9" s="1">
        <v>700009</v>
      </c>
      <c r="AT9" s="1">
        <v>0</v>
      </c>
      <c r="AU9" s="1">
        <v>700009</v>
      </c>
    </row>
    <row r="10" spans="1:47" x14ac:dyDescent="0.4">
      <c r="AU10" s="5">
        <f>SUM(AU2:AU9)</f>
        <v>8651749</v>
      </c>
    </row>
    <row r="12" spans="1:47" s="3" customFormat="1" x14ac:dyDescent="0.4">
      <c r="A12" s="7" t="s">
        <v>160</v>
      </c>
      <c r="B12" s="8"/>
      <c r="C12" s="8"/>
      <c r="D12" s="9"/>
    </row>
    <row r="13" spans="1:47" s="3" customFormat="1" x14ac:dyDescent="0.4">
      <c r="A13" s="37" t="s">
        <v>161</v>
      </c>
      <c r="B13" s="37" t="s">
        <v>162</v>
      </c>
      <c r="C13" s="38" t="s">
        <v>163</v>
      </c>
      <c r="D13" s="39"/>
      <c r="E13" s="37" t="s">
        <v>164</v>
      </c>
    </row>
    <row r="14" spans="1:47" s="3" customFormat="1" x14ac:dyDescent="0.4">
      <c r="A14" s="37"/>
      <c r="B14" s="37"/>
      <c r="C14" s="10" t="s">
        <v>165</v>
      </c>
      <c r="D14" s="10" t="s">
        <v>166</v>
      </c>
      <c r="E14" s="37"/>
    </row>
    <row r="15" spans="1:47" s="3" customFormat="1" x14ac:dyDescent="0.4">
      <c r="A15" s="18">
        <v>202206</v>
      </c>
      <c r="B15" s="19">
        <v>50000000</v>
      </c>
      <c r="C15" s="26">
        <v>44943951</v>
      </c>
      <c r="D15" s="26"/>
      <c r="E15" s="19">
        <f>B15-C15</f>
        <v>5056049</v>
      </c>
    </row>
    <row r="16" spans="1:47" s="3" customFormat="1" x14ac:dyDescent="0.4">
      <c r="A16" s="18">
        <v>202207</v>
      </c>
      <c r="B16" s="19">
        <v>50000000</v>
      </c>
      <c r="C16" s="26">
        <v>8501145</v>
      </c>
      <c r="D16" s="26"/>
      <c r="E16" s="19">
        <f>E15+B16-C16</f>
        <v>46554904</v>
      </c>
    </row>
    <row r="17" spans="1:5" s="3" customFormat="1" x14ac:dyDescent="0.4">
      <c r="A17" s="18">
        <v>202208</v>
      </c>
      <c r="B17" s="19"/>
      <c r="C17" s="19">
        <v>6163090</v>
      </c>
      <c r="D17" s="19"/>
      <c r="E17" s="19">
        <f>E16+B17-C17</f>
        <v>40391814</v>
      </c>
    </row>
    <row r="18" spans="1:5" s="3" customFormat="1" x14ac:dyDescent="0.4">
      <c r="A18" s="11">
        <v>202209</v>
      </c>
      <c r="B18" s="12"/>
      <c r="C18" s="12">
        <v>8716083</v>
      </c>
      <c r="D18" s="12">
        <v>4678859</v>
      </c>
      <c r="E18" s="12">
        <f>E17+B18-C18-D18</f>
        <v>26996872</v>
      </c>
    </row>
    <row r="19" spans="1:5" s="3" customFormat="1" x14ac:dyDescent="0.4">
      <c r="A19" s="11">
        <v>202210</v>
      </c>
      <c r="B19" s="12"/>
      <c r="C19" s="12">
        <v>4631251</v>
      </c>
      <c r="D19" s="12">
        <v>1567918</v>
      </c>
      <c r="E19" s="12">
        <f>E18+B19-C19-D19</f>
        <v>20797703</v>
      </c>
    </row>
    <row r="20" spans="1:5" s="3" customFormat="1" x14ac:dyDescent="0.4">
      <c r="A20" s="11">
        <v>202211</v>
      </c>
      <c r="B20" s="12"/>
      <c r="C20" s="12">
        <v>4497824</v>
      </c>
      <c r="D20" s="12">
        <v>1415087</v>
      </c>
      <c r="E20" s="12">
        <f>E19+B20-C20-D20</f>
        <v>14884792</v>
      </c>
    </row>
    <row r="21" spans="1:5" s="3" customFormat="1" x14ac:dyDescent="0.4">
      <c r="A21" s="11">
        <v>202212</v>
      </c>
      <c r="B21" s="12"/>
      <c r="C21" s="12">
        <f>AU10</f>
        <v>8651749</v>
      </c>
      <c r="D21" s="12"/>
      <c r="E21" s="12">
        <f>E20+B21-C21-D21</f>
        <v>6233043</v>
      </c>
    </row>
    <row r="22" spans="1:5" s="3" customFormat="1" x14ac:dyDescent="0.4">
      <c r="A22" s="24" t="s">
        <v>167</v>
      </c>
      <c r="B22" s="25">
        <f>SUM(B15:B17)</f>
        <v>100000000</v>
      </c>
      <c r="C22" s="25"/>
      <c r="D22" s="25"/>
      <c r="E22" s="36"/>
    </row>
  </sheetData>
  <mergeCells count="4">
    <mergeCell ref="A13:A14"/>
    <mergeCell ref="B13:B14"/>
    <mergeCell ref="C13:D13"/>
    <mergeCell ref="E13:E14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U22"/>
  <sheetViews>
    <sheetView zoomScale="70" zoomScaleNormal="70" workbookViewId="0">
      <selection activeCell="H20" sqref="H19:H20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6.796875" bestFit="1" customWidth="1"/>
    <col min="4" max="4" width="12.1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6.296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5.6992187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19.5976562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9.19921875" bestFit="1" customWidth="1"/>
    <col min="46" max="46" width="5" bestFit="1" customWidth="1"/>
    <col min="47" max="47" width="9.19921875" bestFit="1" customWidth="1"/>
  </cols>
  <sheetData>
    <row r="1" spans="1:47" x14ac:dyDescent="0.4">
      <c r="A1" s="2" t="s">
        <v>114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4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24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4" t="s">
        <v>44</v>
      </c>
    </row>
    <row r="2" spans="1:47" x14ac:dyDescent="0.4">
      <c r="A2" s="3" t="s">
        <v>45</v>
      </c>
      <c r="B2" s="3" t="s">
        <v>46</v>
      </c>
      <c r="C2" s="3" t="s">
        <v>47</v>
      </c>
      <c r="D2" s="3" t="s">
        <v>60</v>
      </c>
      <c r="E2" s="3" t="s">
        <v>48</v>
      </c>
      <c r="F2" s="3" t="s">
        <v>49</v>
      </c>
      <c r="G2" s="3" t="s">
        <v>95</v>
      </c>
      <c r="H2" s="3" t="s">
        <v>96</v>
      </c>
      <c r="I2" s="3" t="s">
        <v>50</v>
      </c>
      <c r="J2" s="3" t="s">
        <v>62</v>
      </c>
      <c r="K2" s="3" t="s">
        <v>97</v>
      </c>
      <c r="L2" s="3" t="s">
        <v>98</v>
      </c>
      <c r="M2" s="3" t="s">
        <v>99</v>
      </c>
      <c r="N2" s="3" t="s">
        <v>51</v>
      </c>
      <c r="O2" s="3" t="s">
        <v>51</v>
      </c>
      <c r="P2" s="3" t="s">
        <v>51</v>
      </c>
      <c r="Q2" s="3" t="s">
        <v>100</v>
      </c>
      <c r="R2" s="3" t="s">
        <v>52</v>
      </c>
      <c r="S2" s="3" t="s">
        <v>53</v>
      </c>
      <c r="T2" s="1">
        <v>120000</v>
      </c>
      <c r="U2" s="1">
        <v>196180</v>
      </c>
      <c r="V2" s="1">
        <v>35100</v>
      </c>
      <c r="W2" s="1">
        <v>69220</v>
      </c>
      <c r="X2" s="1">
        <v>351280</v>
      </c>
      <c r="Y2" s="1">
        <v>69220</v>
      </c>
      <c r="Z2" s="1">
        <v>420500</v>
      </c>
      <c r="AA2" s="1">
        <v>144000</v>
      </c>
      <c r="AB2" s="1">
        <v>196180</v>
      </c>
      <c r="AC2" s="1">
        <v>42120</v>
      </c>
      <c r="AD2" s="1">
        <v>69220</v>
      </c>
      <c r="AE2" s="1">
        <v>382300</v>
      </c>
      <c r="AF2" s="1">
        <v>69220</v>
      </c>
      <c r="AG2" s="1">
        <v>451520</v>
      </c>
      <c r="AH2" s="1">
        <v>129600</v>
      </c>
      <c r="AI2" s="1">
        <v>190294.6</v>
      </c>
      <c r="AJ2" s="1">
        <v>29484</v>
      </c>
      <c r="AK2" s="1">
        <v>62298</v>
      </c>
      <c r="AL2" s="1">
        <v>349378.6</v>
      </c>
      <c r="AM2" s="1">
        <v>62298</v>
      </c>
      <c r="AN2" s="1">
        <v>420500</v>
      </c>
      <c r="AO2" s="6" t="s">
        <v>107</v>
      </c>
      <c r="AP2" s="6" t="s">
        <v>107</v>
      </c>
      <c r="AQ2" s="6" t="s">
        <v>107</v>
      </c>
      <c r="AR2" s="6" t="s">
        <v>107</v>
      </c>
      <c r="AS2" s="1">
        <v>247006</v>
      </c>
      <c r="AT2" s="1">
        <v>0</v>
      </c>
      <c r="AU2" s="1">
        <v>247006</v>
      </c>
    </row>
    <row r="3" spans="1:47" x14ac:dyDescent="0.4">
      <c r="A3" s="3" t="s">
        <v>45</v>
      </c>
      <c r="B3" s="3" t="s">
        <v>46</v>
      </c>
      <c r="C3" s="3" t="s">
        <v>47</v>
      </c>
      <c r="D3" s="3" t="s">
        <v>60</v>
      </c>
      <c r="E3" s="3" t="s">
        <v>48</v>
      </c>
      <c r="F3" s="3" t="s">
        <v>49</v>
      </c>
      <c r="G3" s="3" t="s">
        <v>95</v>
      </c>
      <c r="H3" s="3" t="s">
        <v>96</v>
      </c>
      <c r="I3" s="3" t="s">
        <v>50</v>
      </c>
      <c r="J3" s="3" t="s">
        <v>62</v>
      </c>
      <c r="K3" s="3" t="s">
        <v>97</v>
      </c>
      <c r="L3" s="3" t="s">
        <v>98</v>
      </c>
      <c r="M3" s="3" t="s">
        <v>99</v>
      </c>
      <c r="N3" s="3" t="s">
        <v>51</v>
      </c>
      <c r="O3" s="3" t="s">
        <v>51</v>
      </c>
      <c r="P3" s="3" t="s">
        <v>51</v>
      </c>
      <c r="Q3" s="3" t="s">
        <v>100</v>
      </c>
      <c r="R3" s="3" t="s">
        <v>52</v>
      </c>
      <c r="S3" s="3" t="s">
        <v>54</v>
      </c>
      <c r="T3" s="1">
        <v>73200</v>
      </c>
      <c r="U3" s="1">
        <v>265500</v>
      </c>
      <c r="V3" s="1">
        <v>22500</v>
      </c>
      <c r="W3" s="1">
        <v>24800</v>
      </c>
      <c r="X3" s="1">
        <v>361200</v>
      </c>
      <c r="Y3" s="1">
        <v>24800</v>
      </c>
      <c r="Z3" s="1">
        <v>386000</v>
      </c>
      <c r="AA3" s="1">
        <v>87840</v>
      </c>
      <c r="AB3" s="1">
        <v>265500</v>
      </c>
      <c r="AC3" s="1">
        <v>27000</v>
      </c>
      <c r="AD3" s="1">
        <v>24800</v>
      </c>
      <c r="AE3" s="1">
        <v>380340</v>
      </c>
      <c r="AF3" s="1">
        <v>24800</v>
      </c>
      <c r="AG3" s="1">
        <v>405140</v>
      </c>
      <c r="AH3" s="1">
        <v>79056</v>
      </c>
      <c r="AI3" s="1">
        <v>257535</v>
      </c>
      <c r="AJ3" s="1">
        <v>18900</v>
      </c>
      <c r="AK3" s="1">
        <v>22320</v>
      </c>
      <c r="AL3" s="1">
        <v>355491</v>
      </c>
      <c r="AM3" s="1">
        <v>22320</v>
      </c>
      <c r="AN3" s="1">
        <v>386000</v>
      </c>
      <c r="AO3" s="6" t="s">
        <v>107</v>
      </c>
      <c r="AP3" s="6" t="s">
        <v>107</v>
      </c>
      <c r="AQ3" s="6" t="s">
        <v>107</v>
      </c>
      <c r="AR3" s="6" t="s">
        <v>107</v>
      </c>
      <c r="AS3" s="1">
        <v>226687</v>
      </c>
      <c r="AT3" s="1">
        <v>0</v>
      </c>
      <c r="AU3" s="1">
        <v>226687</v>
      </c>
    </row>
    <row r="4" spans="1:47" x14ac:dyDescent="0.4">
      <c r="A4" s="3" t="s">
        <v>45</v>
      </c>
      <c r="B4" s="3" t="s">
        <v>46</v>
      </c>
      <c r="C4" s="3" t="s">
        <v>47</v>
      </c>
      <c r="D4" s="3" t="s">
        <v>60</v>
      </c>
      <c r="E4" s="3" t="s">
        <v>48</v>
      </c>
      <c r="F4" s="3" t="s">
        <v>49</v>
      </c>
      <c r="G4" s="3" t="s">
        <v>95</v>
      </c>
      <c r="H4" s="3" t="s">
        <v>96</v>
      </c>
      <c r="I4" s="3" t="s">
        <v>50</v>
      </c>
      <c r="J4" s="3" t="s">
        <v>62</v>
      </c>
      <c r="K4" s="3" t="s">
        <v>97</v>
      </c>
      <c r="L4" s="3" t="s">
        <v>98</v>
      </c>
      <c r="M4" s="3" t="s">
        <v>99</v>
      </c>
      <c r="N4" s="3" t="s">
        <v>51</v>
      </c>
      <c r="O4" s="3" t="s">
        <v>51</v>
      </c>
      <c r="P4" s="3" t="s">
        <v>51</v>
      </c>
      <c r="Q4" s="3" t="s">
        <v>100</v>
      </c>
      <c r="R4" s="3" t="s">
        <v>52</v>
      </c>
      <c r="S4" s="3" t="s">
        <v>54</v>
      </c>
      <c r="T4" s="1">
        <v>18000</v>
      </c>
      <c r="U4" s="1">
        <v>129700</v>
      </c>
      <c r="V4" s="1">
        <v>20100</v>
      </c>
      <c r="W4" s="1">
        <v>2200</v>
      </c>
      <c r="X4" s="1">
        <v>167800</v>
      </c>
      <c r="Y4" s="1">
        <v>2200</v>
      </c>
      <c r="Z4" s="1">
        <v>170000</v>
      </c>
      <c r="AA4" s="1">
        <v>21600</v>
      </c>
      <c r="AB4" s="1">
        <v>129700</v>
      </c>
      <c r="AC4" s="1">
        <v>24120</v>
      </c>
      <c r="AD4" s="1">
        <v>2200</v>
      </c>
      <c r="AE4" s="1">
        <v>175420</v>
      </c>
      <c r="AF4" s="1">
        <v>2200</v>
      </c>
      <c r="AG4" s="1">
        <v>177620</v>
      </c>
      <c r="AH4" s="1">
        <v>19440</v>
      </c>
      <c r="AI4" s="1">
        <v>125809</v>
      </c>
      <c r="AJ4" s="1">
        <v>16884</v>
      </c>
      <c r="AK4" s="1">
        <v>1980</v>
      </c>
      <c r="AL4" s="1">
        <v>162133</v>
      </c>
      <c r="AM4" s="1">
        <v>1980</v>
      </c>
      <c r="AN4" s="1">
        <v>170000</v>
      </c>
      <c r="AO4" s="6" t="s">
        <v>107</v>
      </c>
      <c r="AP4" s="6" t="s">
        <v>107</v>
      </c>
      <c r="AQ4" s="6" t="s">
        <v>107</v>
      </c>
      <c r="AR4" s="6" t="s">
        <v>107</v>
      </c>
      <c r="AS4" s="1">
        <v>98467</v>
      </c>
      <c r="AT4" s="1">
        <v>0</v>
      </c>
      <c r="AU4" s="1">
        <v>98467</v>
      </c>
    </row>
    <row r="5" spans="1:47" x14ac:dyDescent="0.4">
      <c r="A5" s="3" t="s">
        <v>45</v>
      </c>
      <c r="B5" s="3" t="s">
        <v>46</v>
      </c>
      <c r="C5" s="3" t="s">
        <v>47</v>
      </c>
      <c r="D5" s="3" t="s">
        <v>60</v>
      </c>
      <c r="E5" s="3" t="s">
        <v>48</v>
      </c>
      <c r="F5" s="3" t="s">
        <v>49</v>
      </c>
      <c r="G5" s="3" t="s">
        <v>95</v>
      </c>
      <c r="H5" s="3" t="s">
        <v>96</v>
      </c>
      <c r="I5" s="3" t="s">
        <v>50</v>
      </c>
      <c r="J5" s="3" t="s">
        <v>62</v>
      </c>
      <c r="K5" s="3" t="s">
        <v>97</v>
      </c>
      <c r="L5" s="3" t="s">
        <v>98</v>
      </c>
      <c r="M5" s="3" t="s">
        <v>99</v>
      </c>
      <c r="N5" s="3" t="s">
        <v>51</v>
      </c>
      <c r="O5" s="3" t="s">
        <v>51</v>
      </c>
      <c r="P5" s="3" t="s">
        <v>51</v>
      </c>
      <c r="Q5" s="3" t="s">
        <v>100</v>
      </c>
      <c r="R5" s="3" t="s">
        <v>52</v>
      </c>
      <c r="S5" s="3" t="s">
        <v>54</v>
      </c>
      <c r="T5" s="1">
        <v>76500</v>
      </c>
      <c r="U5" s="1">
        <v>102500</v>
      </c>
      <c r="V5" s="1">
        <v>13500</v>
      </c>
      <c r="W5" s="1">
        <v>8000</v>
      </c>
      <c r="X5" s="1">
        <v>192500</v>
      </c>
      <c r="Y5" s="1">
        <v>8000</v>
      </c>
      <c r="Z5" s="1">
        <v>200500</v>
      </c>
      <c r="AA5" s="1">
        <v>91800</v>
      </c>
      <c r="AB5" s="1">
        <v>102500</v>
      </c>
      <c r="AC5" s="1">
        <v>16200</v>
      </c>
      <c r="AD5" s="1">
        <v>8000</v>
      </c>
      <c r="AE5" s="1">
        <v>210500</v>
      </c>
      <c r="AF5" s="1">
        <v>8000</v>
      </c>
      <c r="AG5" s="1">
        <v>218500</v>
      </c>
      <c r="AH5" s="1">
        <v>82620</v>
      </c>
      <c r="AI5" s="1">
        <v>99425</v>
      </c>
      <c r="AJ5" s="1">
        <v>11340</v>
      </c>
      <c r="AK5" s="1">
        <v>7200</v>
      </c>
      <c r="AL5" s="1">
        <v>193385</v>
      </c>
      <c r="AM5" s="1">
        <v>7200</v>
      </c>
      <c r="AN5" s="1">
        <v>200500</v>
      </c>
      <c r="AO5" s="6" t="s">
        <v>107</v>
      </c>
      <c r="AP5" s="6" t="s">
        <v>107</v>
      </c>
      <c r="AQ5" s="6" t="s">
        <v>107</v>
      </c>
      <c r="AR5" s="6" t="s">
        <v>107</v>
      </c>
      <c r="AS5" s="1">
        <v>120351</v>
      </c>
      <c r="AT5" s="1">
        <v>0</v>
      </c>
      <c r="AU5" s="1">
        <v>120351</v>
      </c>
    </row>
    <row r="6" spans="1:47" x14ac:dyDescent="0.4">
      <c r="A6" s="3" t="s">
        <v>45</v>
      </c>
      <c r="B6" s="3" t="s">
        <v>46</v>
      </c>
      <c r="C6" s="3" t="s">
        <v>47</v>
      </c>
      <c r="D6" s="3" t="s">
        <v>60</v>
      </c>
      <c r="E6" s="3" t="s">
        <v>48</v>
      </c>
      <c r="F6" s="3" t="s">
        <v>49</v>
      </c>
      <c r="G6" s="3" t="s">
        <v>95</v>
      </c>
      <c r="H6" s="3" t="s">
        <v>96</v>
      </c>
      <c r="I6" s="3" t="s">
        <v>50</v>
      </c>
      <c r="J6" s="3" t="s">
        <v>62</v>
      </c>
      <c r="K6" s="3" t="s">
        <v>97</v>
      </c>
      <c r="L6" s="3" t="s">
        <v>98</v>
      </c>
      <c r="M6" s="3" t="s">
        <v>99</v>
      </c>
      <c r="N6" s="3" t="s">
        <v>51</v>
      </c>
      <c r="O6" s="3" t="s">
        <v>51</v>
      </c>
      <c r="P6" s="3" t="s">
        <v>51</v>
      </c>
      <c r="Q6" s="3" t="s">
        <v>100</v>
      </c>
      <c r="R6" s="3" t="s">
        <v>52</v>
      </c>
      <c r="S6" s="3" t="s">
        <v>57</v>
      </c>
      <c r="T6" s="1">
        <v>1233500</v>
      </c>
      <c r="U6" s="1">
        <v>939090</v>
      </c>
      <c r="V6" s="1">
        <v>231770</v>
      </c>
      <c r="W6" s="1">
        <v>1162240</v>
      </c>
      <c r="X6" s="1">
        <v>2404360</v>
      </c>
      <c r="Y6" s="1">
        <v>1162240</v>
      </c>
      <c r="Z6" s="1">
        <v>3566600</v>
      </c>
      <c r="AA6" s="1">
        <v>1480200</v>
      </c>
      <c r="AB6" s="1">
        <v>939090</v>
      </c>
      <c r="AC6" s="1">
        <v>278124</v>
      </c>
      <c r="AD6" s="1">
        <v>1162240</v>
      </c>
      <c r="AE6" s="1">
        <v>2697414</v>
      </c>
      <c r="AF6" s="1">
        <v>1162240</v>
      </c>
      <c r="AG6" s="1">
        <v>3859654</v>
      </c>
      <c r="AH6" s="1">
        <v>1332180</v>
      </c>
      <c r="AI6" s="1">
        <v>910917.3</v>
      </c>
      <c r="AJ6" s="1">
        <v>194686.8</v>
      </c>
      <c r="AK6" s="1">
        <v>1046016</v>
      </c>
      <c r="AL6" s="1">
        <v>2437784.1</v>
      </c>
      <c r="AM6" s="1">
        <v>1046016</v>
      </c>
      <c r="AN6" s="1">
        <v>3566600</v>
      </c>
      <c r="AO6" s="6" t="s">
        <v>107</v>
      </c>
      <c r="AP6" s="6" t="s">
        <v>107</v>
      </c>
      <c r="AQ6" s="6" t="s">
        <v>107</v>
      </c>
      <c r="AR6" s="6" t="s">
        <v>107</v>
      </c>
      <c r="AS6" s="1">
        <v>2090280</v>
      </c>
      <c r="AT6" s="1">
        <v>0</v>
      </c>
      <c r="AU6" s="1">
        <v>2090280</v>
      </c>
    </row>
    <row r="7" spans="1:47" x14ac:dyDescent="0.4">
      <c r="A7" s="3" t="s">
        <v>45</v>
      </c>
      <c r="B7" s="3" t="s">
        <v>46</v>
      </c>
      <c r="C7" s="3" t="s">
        <v>47</v>
      </c>
      <c r="D7" s="3" t="s">
        <v>60</v>
      </c>
      <c r="E7" s="3" t="s">
        <v>48</v>
      </c>
      <c r="F7" s="3" t="s">
        <v>49</v>
      </c>
      <c r="G7" s="3" t="s">
        <v>95</v>
      </c>
      <c r="H7" s="3" t="s">
        <v>96</v>
      </c>
      <c r="I7" s="3" t="s">
        <v>50</v>
      </c>
      <c r="J7" s="3" t="s">
        <v>62</v>
      </c>
      <c r="K7" s="3" t="s">
        <v>97</v>
      </c>
      <c r="L7" s="3" t="s">
        <v>98</v>
      </c>
      <c r="M7" s="3" t="s">
        <v>99</v>
      </c>
      <c r="N7" s="3" t="s">
        <v>51</v>
      </c>
      <c r="O7" s="3" t="s">
        <v>51</v>
      </c>
      <c r="P7" s="3" t="s">
        <v>51</v>
      </c>
      <c r="Q7" s="3" t="s">
        <v>100</v>
      </c>
      <c r="R7" s="3" t="s">
        <v>52</v>
      </c>
      <c r="S7" s="3" t="s">
        <v>58</v>
      </c>
      <c r="T7" s="1">
        <v>833650</v>
      </c>
      <c r="U7" s="1">
        <v>1130500</v>
      </c>
      <c r="V7" s="1">
        <v>139000</v>
      </c>
      <c r="W7" s="1">
        <v>324850</v>
      </c>
      <c r="X7" s="1">
        <v>2103150</v>
      </c>
      <c r="Y7" s="1">
        <v>324850</v>
      </c>
      <c r="Z7" s="1">
        <v>2428000</v>
      </c>
      <c r="AA7" s="1">
        <v>1000380</v>
      </c>
      <c r="AB7" s="1">
        <v>1130500</v>
      </c>
      <c r="AC7" s="1">
        <v>166800</v>
      </c>
      <c r="AD7" s="1">
        <v>324850</v>
      </c>
      <c r="AE7" s="1">
        <v>2297680</v>
      </c>
      <c r="AF7" s="1">
        <v>324850</v>
      </c>
      <c r="AG7" s="1">
        <v>2622530</v>
      </c>
      <c r="AH7" s="1">
        <v>900342</v>
      </c>
      <c r="AI7" s="1">
        <v>1096585</v>
      </c>
      <c r="AJ7" s="1">
        <v>116760</v>
      </c>
      <c r="AK7" s="1">
        <v>292365</v>
      </c>
      <c r="AL7" s="1">
        <v>2113687</v>
      </c>
      <c r="AM7" s="1">
        <v>292365</v>
      </c>
      <c r="AN7" s="1">
        <v>2428000</v>
      </c>
      <c r="AO7" s="6" t="s">
        <v>107</v>
      </c>
      <c r="AP7" s="6" t="s">
        <v>107</v>
      </c>
      <c r="AQ7" s="6" t="s">
        <v>107</v>
      </c>
      <c r="AR7" s="6" t="s">
        <v>107</v>
      </c>
      <c r="AS7" s="1">
        <v>1443631</v>
      </c>
      <c r="AT7" s="1">
        <v>0</v>
      </c>
      <c r="AU7" s="1">
        <v>1443631</v>
      </c>
    </row>
    <row r="8" spans="1:47" x14ac:dyDescent="0.4">
      <c r="A8" s="3" t="s">
        <v>45</v>
      </c>
      <c r="B8" s="3" t="s">
        <v>46</v>
      </c>
      <c r="C8" s="3" t="s">
        <v>47</v>
      </c>
      <c r="D8" s="3" t="s">
        <v>60</v>
      </c>
      <c r="E8" s="3" t="s">
        <v>48</v>
      </c>
      <c r="F8" s="3" t="s">
        <v>49</v>
      </c>
      <c r="G8" s="3" t="s">
        <v>95</v>
      </c>
      <c r="H8" s="3" t="s">
        <v>96</v>
      </c>
      <c r="I8" s="3" t="s">
        <v>50</v>
      </c>
      <c r="J8" s="3" t="s">
        <v>62</v>
      </c>
      <c r="K8" s="3" t="s">
        <v>97</v>
      </c>
      <c r="L8" s="3" t="s">
        <v>98</v>
      </c>
      <c r="M8" s="3" t="s">
        <v>99</v>
      </c>
      <c r="N8" s="3" t="s">
        <v>51</v>
      </c>
      <c r="O8" s="3" t="s">
        <v>51</v>
      </c>
      <c r="P8" s="3" t="s">
        <v>51</v>
      </c>
      <c r="Q8" s="3" t="s">
        <v>100</v>
      </c>
      <c r="R8" s="3" t="s">
        <v>52</v>
      </c>
      <c r="S8" s="3" t="s">
        <v>58</v>
      </c>
      <c r="T8" s="1">
        <v>204000</v>
      </c>
      <c r="U8" s="1">
        <v>217430</v>
      </c>
      <c r="V8" s="1">
        <v>42350</v>
      </c>
      <c r="W8" s="1">
        <v>40220</v>
      </c>
      <c r="X8" s="1">
        <v>463780</v>
      </c>
      <c r="Y8" s="1">
        <v>40220</v>
      </c>
      <c r="Z8" s="1">
        <v>504000</v>
      </c>
      <c r="AA8" s="1">
        <v>244800</v>
      </c>
      <c r="AB8" s="1">
        <v>217430</v>
      </c>
      <c r="AC8" s="1">
        <v>50820</v>
      </c>
      <c r="AD8" s="1">
        <v>40220</v>
      </c>
      <c r="AE8" s="1">
        <v>513050</v>
      </c>
      <c r="AF8" s="1">
        <v>40220</v>
      </c>
      <c r="AG8" s="1">
        <v>553270</v>
      </c>
      <c r="AH8" s="1">
        <v>220320</v>
      </c>
      <c r="AI8" s="1">
        <v>210907.1</v>
      </c>
      <c r="AJ8" s="1">
        <v>35574</v>
      </c>
      <c r="AK8" s="1">
        <v>36198</v>
      </c>
      <c r="AL8" s="1">
        <v>466801.1</v>
      </c>
      <c r="AM8" s="1">
        <v>36198</v>
      </c>
      <c r="AN8" s="1">
        <v>504000</v>
      </c>
      <c r="AO8" s="6" t="s">
        <v>107</v>
      </c>
      <c r="AP8" s="6" t="s">
        <v>107</v>
      </c>
      <c r="AQ8" s="6" t="s">
        <v>107</v>
      </c>
      <c r="AR8" s="6" t="s">
        <v>107</v>
      </c>
      <c r="AS8" s="1">
        <v>301799</v>
      </c>
      <c r="AT8" s="1">
        <v>0</v>
      </c>
      <c r="AU8" s="1">
        <v>301799</v>
      </c>
    </row>
    <row r="9" spans="1:47" x14ac:dyDescent="0.4">
      <c r="A9" s="3" t="s">
        <v>45</v>
      </c>
      <c r="B9" s="3" t="s">
        <v>46</v>
      </c>
      <c r="C9" s="3" t="s">
        <v>47</v>
      </c>
      <c r="D9" s="3" t="s">
        <v>60</v>
      </c>
      <c r="E9" s="3" t="s">
        <v>48</v>
      </c>
      <c r="F9" s="3" t="s">
        <v>49</v>
      </c>
      <c r="G9" s="3" t="s">
        <v>95</v>
      </c>
      <c r="H9" s="3" t="s">
        <v>96</v>
      </c>
      <c r="I9" s="3" t="s">
        <v>50</v>
      </c>
      <c r="J9" s="3" t="s">
        <v>62</v>
      </c>
      <c r="K9" s="3" t="s">
        <v>97</v>
      </c>
      <c r="L9" s="3" t="s">
        <v>98</v>
      </c>
      <c r="M9" s="3" t="s">
        <v>99</v>
      </c>
      <c r="N9" s="3" t="s">
        <v>51</v>
      </c>
      <c r="O9" s="3" t="s">
        <v>51</v>
      </c>
      <c r="P9" s="3" t="s">
        <v>51</v>
      </c>
      <c r="Q9" s="3" t="s">
        <v>100</v>
      </c>
      <c r="R9" s="3" t="s">
        <v>52</v>
      </c>
      <c r="S9" s="3" t="s">
        <v>58</v>
      </c>
      <c r="T9" s="1">
        <v>249260</v>
      </c>
      <c r="U9" s="1">
        <v>185100</v>
      </c>
      <c r="V9" s="1">
        <v>64800</v>
      </c>
      <c r="W9" s="1">
        <v>37040</v>
      </c>
      <c r="X9" s="1">
        <v>499160</v>
      </c>
      <c r="Y9" s="1">
        <v>37040</v>
      </c>
      <c r="Z9" s="1">
        <v>536200</v>
      </c>
      <c r="AA9" s="1">
        <v>299112</v>
      </c>
      <c r="AB9" s="1">
        <v>185100</v>
      </c>
      <c r="AC9" s="1">
        <v>77760</v>
      </c>
      <c r="AD9" s="1">
        <v>37040</v>
      </c>
      <c r="AE9" s="1">
        <v>561972</v>
      </c>
      <c r="AF9" s="1">
        <v>37040</v>
      </c>
      <c r="AG9" s="1">
        <v>599012</v>
      </c>
      <c r="AH9" s="1">
        <v>269200.8</v>
      </c>
      <c r="AI9" s="1">
        <v>179547</v>
      </c>
      <c r="AJ9" s="1">
        <v>54432</v>
      </c>
      <c r="AK9" s="1">
        <v>33336</v>
      </c>
      <c r="AL9" s="1">
        <v>503179.8</v>
      </c>
      <c r="AM9" s="1">
        <v>33336</v>
      </c>
      <c r="AN9" s="1">
        <v>536200</v>
      </c>
      <c r="AO9" s="6" t="s">
        <v>107</v>
      </c>
      <c r="AP9" s="6" t="s">
        <v>107</v>
      </c>
      <c r="AQ9" s="6" t="s">
        <v>107</v>
      </c>
      <c r="AR9" s="6" t="s">
        <v>107</v>
      </c>
      <c r="AS9" s="1">
        <v>321909</v>
      </c>
      <c r="AT9" s="1">
        <v>0</v>
      </c>
      <c r="AU9" s="1">
        <v>321909</v>
      </c>
    </row>
    <row r="10" spans="1:47" x14ac:dyDescent="0.4">
      <c r="AU10" s="5">
        <f>SUM(AU2:AU9)</f>
        <v>4850130</v>
      </c>
    </row>
    <row r="13" spans="1:47" x14ac:dyDescent="0.4">
      <c r="A13" s="7" t="s">
        <v>159</v>
      </c>
      <c r="B13" s="8"/>
      <c r="C13" s="8"/>
      <c r="D13" s="9"/>
      <c r="E13" s="3"/>
    </row>
    <row r="14" spans="1:47" x14ac:dyDescent="0.4">
      <c r="A14" s="37" t="s">
        <v>116</v>
      </c>
      <c r="B14" s="37" t="s">
        <v>128</v>
      </c>
      <c r="C14" s="38" t="s">
        <v>168</v>
      </c>
      <c r="D14" s="39"/>
      <c r="E14" s="37" t="s">
        <v>154</v>
      </c>
    </row>
    <row r="15" spans="1:47" x14ac:dyDescent="0.4">
      <c r="A15" s="37"/>
      <c r="B15" s="37"/>
      <c r="C15" s="10" t="s">
        <v>131</v>
      </c>
      <c r="D15" s="10" t="s">
        <v>122</v>
      </c>
      <c r="E15" s="37"/>
    </row>
    <row r="16" spans="1:47" x14ac:dyDescent="0.4">
      <c r="A16" s="11">
        <v>202208</v>
      </c>
      <c r="B16" s="12">
        <v>30000000</v>
      </c>
      <c r="C16" s="26"/>
      <c r="D16" s="26"/>
      <c r="E16" s="19">
        <f>B16-C16</f>
        <v>30000000</v>
      </c>
    </row>
    <row r="17" spans="1:5" x14ac:dyDescent="0.4">
      <c r="A17" s="11">
        <v>202208</v>
      </c>
      <c r="B17" s="12">
        <v>100000000</v>
      </c>
      <c r="C17" s="26">
        <v>79077465</v>
      </c>
      <c r="D17" s="26"/>
      <c r="E17" s="19">
        <f>E16+B17-C17</f>
        <v>50922535</v>
      </c>
    </row>
    <row r="18" spans="1:5" x14ac:dyDescent="0.4">
      <c r="A18" s="11">
        <v>202209</v>
      </c>
      <c r="B18" s="19"/>
      <c r="C18" s="19">
        <v>11699598</v>
      </c>
      <c r="D18" s="19"/>
      <c r="E18" s="19">
        <f>E17+B18-C18</f>
        <v>39222937</v>
      </c>
    </row>
    <row r="19" spans="1:5" x14ac:dyDescent="0.4">
      <c r="A19" s="11">
        <v>202210</v>
      </c>
      <c r="B19" s="12"/>
      <c r="C19" s="12">
        <v>6500370</v>
      </c>
      <c r="D19" s="12"/>
      <c r="E19" s="12">
        <f>E18+B19-C19-D19</f>
        <v>32722567</v>
      </c>
    </row>
    <row r="20" spans="1:5" x14ac:dyDescent="0.4">
      <c r="A20" s="11">
        <v>202211</v>
      </c>
      <c r="B20" s="12"/>
      <c r="C20" s="12">
        <v>6352861</v>
      </c>
      <c r="D20" s="12">
        <v>2796582</v>
      </c>
      <c r="E20" s="12">
        <f>E19+B20-C20-D20</f>
        <v>23573124</v>
      </c>
    </row>
    <row r="21" spans="1:5" x14ac:dyDescent="0.4">
      <c r="A21" s="11">
        <v>202212</v>
      </c>
      <c r="B21" s="12"/>
      <c r="C21" s="12">
        <f>AU10</f>
        <v>4850130</v>
      </c>
      <c r="D21" s="12"/>
      <c r="E21" s="12">
        <f>E20+B21-C21-D21</f>
        <v>18722994</v>
      </c>
    </row>
    <row r="22" spans="1:5" x14ac:dyDescent="0.4">
      <c r="A22" s="24" t="s">
        <v>169</v>
      </c>
      <c r="B22" s="25">
        <f>SUM(B16:B18)</f>
        <v>130000000</v>
      </c>
      <c r="C22" s="25"/>
      <c r="D22" s="25"/>
      <c r="E22" s="36"/>
    </row>
  </sheetData>
  <mergeCells count="4">
    <mergeCell ref="A14:A15"/>
    <mergeCell ref="B14:B15"/>
    <mergeCell ref="C14:D14"/>
    <mergeCell ref="E14:E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이름이 지정된 범위</vt:lpstr>
      </vt:variant>
      <vt:variant>
        <vt:i4>9</vt:i4>
      </vt:variant>
    </vt:vector>
  </HeadingPairs>
  <TitlesOfParts>
    <vt:vector size="19" baseType="lpstr">
      <vt:lpstr>합계(12)</vt:lpstr>
      <vt:lpstr>컨헤라_마왕의 딸</vt:lpstr>
      <vt:lpstr>컨헤라_회귀의 전설</vt:lpstr>
      <vt:lpstr>컨헤라_심야카페</vt:lpstr>
      <vt:lpstr>구디스튜디오_간신이 나라를 살림</vt:lpstr>
      <vt:lpstr>구디스튜디오_기사가문</vt:lpstr>
      <vt:lpstr>구디스튜디오_신을 죽이러 갑니다</vt:lpstr>
      <vt:lpstr>스토리위즈_새파랗게 어린</vt:lpstr>
      <vt:lpstr>스토리위즈_황녀, 미친 꽃으로 피어나다</vt:lpstr>
      <vt:lpstr>스토리위즈_착한 언니는 없다</vt:lpstr>
      <vt:lpstr>'구디스튜디오_간신이 나라를 살림'!Extract</vt:lpstr>
      <vt:lpstr>구디스튜디오_기사가문!Extract</vt:lpstr>
      <vt:lpstr>'구디스튜디오_신을 죽이러 갑니다'!Extract</vt:lpstr>
      <vt:lpstr>'스토리위즈_새파랗게 어린'!Extract</vt:lpstr>
      <vt:lpstr>'스토리위즈_착한 언니는 없다'!Extract</vt:lpstr>
      <vt:lpstr>'스토리위즈_황녀, 미친 꽃으로 피어나다'!Extract</vt:lpstr>
      <vt:lpstr>'컨헤라_마왕의 딸'!Extract</vt:lpstr>
      <vt:lpstr>컨헤라_심야카페!Extract</vt:lpstr>
      <vt:lpstr>'컨헤라_회귀의 전설'!Extract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2022-07-07T10:29:46Z</dcterms:created>
  <dcterms:modified xsi:type="dcterms:W3CDTF">2023-01-04T10:04:07Z</dcterms:modified>
</cp:coreProperties>
</file>