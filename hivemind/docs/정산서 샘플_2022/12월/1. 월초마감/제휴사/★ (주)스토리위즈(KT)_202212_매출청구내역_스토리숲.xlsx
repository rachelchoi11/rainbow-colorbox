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제휴사\"/>
    </mc:Choice>
  </mc:AlternateContent>
  <bookViews>
    <workbookView xWindow="28680" yWindow="-120" windowWidth="29040" windowHeight="15840" tabRatio="861" firstSheet="1" activeTab="1"/>
  </bookViews>
  <sheets>
    <sheet name="전체리스트" sheetId="71" state="hidden" r:id="rId1"/>
    <sheet name="합계" sheetId="35" r:id="rId2"/>
    <sheet name="카카오페이지" sheetId="97" r:id="rId3"/>
    <sheet name="카카오타파스" sheetId="124" r:id="rId4"/>
    <sheet name="네이버웹툰" sheetId="95" r:id="rId5"/>
    <sheet name="콰이칸_중국" sheetId="96" r:id="rId6"/>
    <sheet name="엠스토리링크" sheetId="130" r:id="rId7"/>
    <sheet name="레진코믹스" sheetId="75" r:id="rId8"/>
    <sheet name="북큐브" sheetId="76" r:id="rId9"/>
    <sheet name="탑툰" sheetId="77" r:id="rId10"/>
    <sheet name="봄툰" sheetId="78" r:id="rId11"/>
    <sheet name="애니툰" sheetId="81" r:id="rId12"/>
    <sheet name="코미코_한국" sheetId="82" r:id="rId13"/>
    <sheet name="조아라" sheetId="85" r:id="rId14"/>
    <sheet name="포켓코믹스" sheetId="114" r:id="rId15"/>
    <sheet name="리디북스" sheetId="84" r:id="rId16"/>
    <sheet name="위코믹스_태국" sheetId="87" r:id="rId17"/>
    <sheet name="태피툰_영어" sheetId="88" r:id="rId18"/>
    <sheet name="델리툰" sheetId="89" r:id="rId19"/>
    <sheet name="픽코마_일본" sheetId="90" r:id="rId20"/>
    <sheet name="픽코마_동영상" sheetId="112" r:id="rId21"/>
    <sheet name="코미코_태국" sheetId="92" r:id="rId22"/>
    <sheet name="코미코_일본_대만" sheetId="93" r:id="rId23"/>
    <sheet name="미스터블루" sheetId="94" r:id="rId24"/>
    <sheet name="원스토어" sheetId="108" r:id="rId25"/>
    <sheet name="피너툰" sheetId="106" r:id="rId26"/>
    <sheet name="빌리빌리" sheetId="109" r:id="rId27"/>
    <sheet name="INKR" sheetId="110" r:id="rId28"/>
    <sheet name="투믹스" sheetId="107" r:id="rId29"/>
    <sheet name="코믹툰" sheetId="111" r:id="rId30"/>
    <sheet name="타파스" sheetId="117" r:id="rId31"/>
    <sheet name="코핀코믹스" sheetId="113" r:id="rId32"/>
    <sheet name="예스24" sheetId="83" r:id="rId33"/>
    <sheet name="핑거스토리_큐툰" sheetId="115" r:id="rId34"/>
    <sheet name="핑거스토리_무툰" sheetId="116" r:id="rId35"/>
    <sheet name="북팔" sheetId="118" r:id="rId36"/>
    <sheet name="엠유네트웍스" sheetId="119" r:id="rId37"/>
    <sheet name="엠피언" sheetId="121" r:id="rId38"/>
    <sheet name="망가툰" sheetId="122" r:id="rId39"/>
    <sheet name="웹코믹스" sheetId="123" r:id="rId40"/>
    <sheet name="교보문고" sheetId="125" r:id="rId41"/>
    <sheet name="톡소다" sheetId="126" r:id="rId42"/>
    <sheet name="미툰앤노벨" sheetId="128" r:id="rId43"/>
    <sheet name="버프툰" sheetId="129" r:id="rId44"/>
    <sheet name="process" sheetId="66" r:id="rId45"/>
  </sheets>
  <definedNames>
    <definedName name="_xlnm._FilterDatabase" localSheetId="0" hidden="1">전체리스트!$A$1:$G$1</definedName>
    <definedName name="raw_a">전체리스트!$A$2:$F$2827</definedName>
    <definedName name="raw_d">전체리스트!$C$2:$F$2827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0" i="97" l="1"/>
  <c r="G13" i="96" l="1"/>
  <c r="G21" i="89" l="1"/>
  <c r="B9" i="35"/>
  <c r="B18" i="35"/>
  <c r="B39" i="35"/>
  <c r="B29" i="35"/>
  <c r="B38" i="35"/>
  <c r="B17" i="35"/>
  <c r="B47" i="35"/>
  <c r="B32" i="35"/>
  <c r="B8" i="35"/>
  <c r="B13" i="35"/>
  <c r="B22" i="35"/>
  <c r="B43" i="35"/>
  <c r="B33" i="35"/>
  <c r="B42" i="35"/>
  <c r="B26" i="35"/>
  <c r="B41" i="35"/>
  <c r="B12" i="35"/>
  <c r="B16" i="35"/>
  <c r="B20" i="35"/>
  <c r="B25" i="35"/>
  <c r="B23" i="35"/>
  <c r="B36" i="35"/>
  <c r="B45" i="35"/>
  <c r="B35" i="35"/>
  <c r="B34" i="35"/>
  <c r="B46" i="35"/>
  <c r="B21" i="35"/>
  <c r="B24" i="35"/>
  <c r="B15" i="35"/>
  <c r="B7" i="35"/>
  <c r="B40" i="35"/>
  <c r="B49" i="35"/>
  <c r="B14" i="35"/>
  <c r="B28" i="35"/>
  <c r="B19" i="35"/>
  <c r="B10" i="35"/>
  <c r="B31" i="35"/>
  <c r="B44" i="35"/>
  <c r="B30" i="35"/>
  <c r="B48" i="35"/>
  <c r="B37" i="35"/>
  <c r="B11" i="35"/>
  <c r="B27" i="35"/>
  <c r="G19" i="118" l="1"/>
  <c r="G24" i="35"/>
  <c r="G23" i="35"/>
  <c r="D26" i="35"/>
  <c r="F23" i="35"/>
  <c r="F26" i="35"/>
  <c r="D29" i="35"/>
  <c r="H23" i="35"/>
  <c r="G26" i="35"/>
  <c r="H26" i="35"/>
  <c r="H22" i="35"/>
  <c r="D36" i="35"/>
  <c r="G34" i="35"/>
  <c r="E26" i="35"/>
  <c r="F22" i="35"/>
  <c r="D22" i="35"/>
  <c r="E25" i="35"/>
  <c r="E34" i="35"/>
  <c r="F30" i="35"/>
  <c r="D35" i="35"/>
  <c r="G29" i="35"/>
  <c r="F36" i="35"/>
  <c r="D28" i="35"/>
  <c r="G33" i="35"/>
  <c r="E30" i="35"/>
  <c r="F27" i="35"/>
  <c r="G37" i="35"/>
  <c r="E29" i="35"/>
  <c r="F28" i="35"/>
  <c r="E28" i="35"/>
  <c r="E22" i="35"/>
  <c r="F25" i="35"/>
  <c r="G22" i="35"/>
  <c r="D25" i="35"/>
  <c r="H34" i="35"/>
  <c r="E37" i="35"/>
  <c r="G35" i="35"/>
  <c r="H32" i="35"/>
  <c r="G30" i="35"/>
  <c r="H24" i="35"/>
  <c r="F37" i="35"/>
  <c r="D23" i="35"/>
  <c r="H30" i="35"/>
  <c r="H37" i="35"/>
  <c r="D32" i="35"/>
  <c r="H25" i="35"/>
  <c r="F24" i="35"/>
  <c r="G25" i="35"/>
  <c r="H27" i="35"/>
  <c r="D30" i="35"/>
  <c r="E32" i="35"/>
  <c r="H36" i="35"/>
  <c r="H35" i="35"/>
  <c r="F33" i="35"/>
  <c r="G32" i="35"/>
  <c r="D34" i="35"/>
  <c r="F29" i="35"/>
  <c r="H33" i="35"/>
  <c r="E33" i="35"/>
  <c r="D33" i="35"/>
  <c r="G27" i="35"/>
  <c r="D24" i="35"/>
  <c r="D27" i="35"/>
  <c r="E24" i="35"/>
  <c r="D37" i="35"/>
  <c r="G36" i="35"/>
  <c r="F34" i="35"/>
  <c r="E36" i="35"/>
  <c r="H29" i="35"/>
  <c r="E23" i="35"/>
  <c r="H28" i="35"/>
  <c r="F32" i="35"/>
  <c r="G28" i="35"/>
  <c r="F35" i="35"/>
  <c r="E35" i="35"/>
  <c r="E27" i="35"/>
  <c r="G60" i="97" l="1"/>
  <c r="E60" i="97"/>
  <c r="C60" i="97"/>
  <c r="G59" i="97"/>
  <c r="E59" i="97"/>
  <c r="C59" i="97"/>
  <c r="G58" i="97"/>
  <c r="E58" i="97"/>
  <c r="F58" i="97" s="1"/>
  <c r="C58" i="97"/>
  <c r="G57" i="97"/>
  <c r="H57" i="97" s="1"/>
  <c r="I57" i="97" s="1"/>
  <c r="E57" i="97"/>
  <c r="C57" i="97"/>
  <c r="G56" i="97"/>
  <c r="E56" i="97"/>
  <c r="C56" i="97"/>
  <c r="G55" i="97"/>
  <c r="E55" i="97"/>
  <c r="C55" i="97"/>
  <c r="G54" i="97"/>
  <c r="E54" i="97"/>
  <c r="F54" i="97" s="1"/>
  <c r="C54" i="97"/>
  <c r="F55" i="97" l="1"/>
  <c r="F59" i="97"/>
  <c r="F57" i="97"/>
  <c r="F56" i="97"/>
  <c r="F60" i="97"/>
  <c r="H56" i="97"/>
  <c r="I56" i="97" s="1"/>
  <c r="H58" i="97"/>
  <c r="I58" i="97" s="1"/>
  <c r="H60" i="97"/>
  <c r="I60" i="97" s="1"/>
  <c r="H54" i="97"/>
  <c r="I54" i="97" s="1"/>
  <c r="H55" i="97"/>
  <c r="I55" i="97" s="1"/>
  <c r="H59" i="97"/>
  <c r="I59" i="97" s="1"/>
  <c r="E42" i="35"/>
  <c r="F42" i="35"/>
  <c r="H42" i="35"/>
  <c r="G42" i="35"/>
  <c r="D42" i="35"/>
  <c r="G49" i="75" l="1"/>
  <c r="E49" i="75"/>
  <c r="C49" i="75"/>
  <c r="G48" i="75"/>
  <c r="H48" i="75" s="1"/>
  <c r="E48" i="75"/>
  <c r="C48" i="75"/>
  <c r="G47" i="75"/>
  <c r="E47" i="75"/>
  <c r="C47" i="75"/>
  <c r="G46" i="75"/>
  <c r="E46" i="75"/>
  <c r="C46" i="75"/>
  <c r="G45" i="75"/>
  <c r="E45" i="75"/>
  <c r="C45" i="75"/>
  <c r="G44" i="75"/>
  <c r="H44" i="75" s="1"/>
  <c r="E44" i="75"/>
  <c r="C44" i="75"/>
  <c r="G43" i="75"/>
  <c r="H43" i="75" s="1"/>
  <c r="E43" i="75"/>
  <c r="C43" i="75"/>
  <c r="G42" i="75"/>
  <c r="E42" i="75"/>
  <c r="C42" i="75"/>
  <c r="F47" i="75" l="1"/>
  <c r="F46" i="75"/>
  <c r="F49" i="75"/>
  <c r="F48" i="75"/>
  <c r="F42" i="75"/>
  <c r="F45" i="75"/>
  <c r="F43" i="75"/>
  <c r="I48" i="75"/>
  <c r="F44" i="75"/>
  <c r="H46" i="75"/>
  <c r="I46" i="75" s="1"/>
  <c r="I44" i="75"/>
  <c r="I43" i="75"/>
  <c r="H42" i="75"/>
  <c r="I42" i="75" s="1"/>
  <c r="H45" i="75"/>
  <c r="I45" i="75" s="1"/>
  <c r="H47" i="75"/>
  <c r="I47" i="75" s="1"/>
  <c r="H49" i="75"/>
  <c r="I49" i="75" s="1"/>
  <c r="G28" i="116" l="1"/>
  <c r="E28" i="116"/>
  <c r="C28" i="116"/>
  <c r="G27" i="116"/>
  <c r="H27" i="116" s="1"/>
  <c r="E27" i="116"/>
  <c r="C27" i="116"/>
  <c r="G26" i="116"/>
  <c r="H26" i="116" s="1"/>
  <c r="I26" i="116" s="1"/>
  <c r="E26" i="116"/>
  <c r="C26" i="116"/>
  <c r="G25" i="116"/>
  <c r="E25" i="116"/>
  <c r="C25" i="116"/>
  <c r="G24" i="116"/>
  <c r="H24" i="116" s="1"/>
  <c r="I24" i="116" s="1"/>
  <c r="E24" i="116"/>
  <c r="C24" i="116"/>
  <c r="G23" i="116"/>
  <c r="E23" i="116"/>
  <c r="C23" i="116"/>
  <c r="G22" i="116"/>
  <c r="H22" i="116" s="1"/>
  <c r="I22" i="116" s="1"/>
  <c r="E22" i="116"/>
  <c r="C22" i="116"/>
  <c r="G21" i="116"/>
  <c r="E21" i="116"/>
  <c r="C21" i="116"/>
  <c r="G20" i="116"/>
  <c r="E20" i="116"/>
  <c r="C20" i="116"/>
  <c r="G9" i="126"/>
  <c r="E9" i="126"/>
  <c r="C9" i="126"/>
  <c r="G8" i="126"/>
  <c r="H8" i="126" s="1"/>
  <c r="E8" i="126"/>
  <c r="C8" i="126"/>
  <c r="F27" i="116" l="1"/>
  <c r="F28" i="116"/>
  <c r="F21" i="116"/>
  <c r="F25" i="116"/>
  <c r="F24" i="116"/>
  <c r="F23" i="116"/>
  <c r="F22" i="116"/>
  <c r="F26" i="116"/>
  <c r="I27" i="116"/>
  <c r="H21" i="116"/>
  <c r="I21" i="116" s="1"/>
  <c r="H23" i="116"/>
  <c r="I23" i="116" s="1"/>
  <c r="H25" i="116"/>
  <c r="I25" i="116" s="1"/>
  <c r="H20" i="116"/>
  <c r="I20" i="116" s="1"/>
  <c r="H28" i="116"/>
  <c r="I28" i="116" s="1"/>
  <c r="F20" i="116"/>
  <c r="I8" i="126"/>
  <c r="H9" i="126"/>
  <c r="I9" i="126" s="1"/>
  <c r="G11" i="130" l="1"/>
  <c r="E11" i="130"/>
  <c r="G10" i="130"/>
  <c r="E10" i="130"/>
  <c r="G9" i="130"/>
  <c r="H9" i="130" s="1"/>
  <c r="I9" i="130" s="1"/>
  <c r="E9" i="130"/>
  <c r="F11" i="130" l="1"/>
  <c r="F9" i="130"/>
  <c r="F10" i="130"/>
  <c r="H10" i="130"/>
  <c r="I10" i="130" s="1"/>
  <c r="H11" i="130"/>
  <c r="I11" i="130" s="1"/>
  <c r="F10" i="125" l="1"/>
  <c r="G9" i="125"/>
  <c r="E9" i="125"/>
  <c r="C9" i="125"/>
  <c r="G8" i="125"/>
  <c r="E8" i="125"/>
  <c r="C8" i="125"/>
  <c r="G32" i="97"/>
  <c r="E32" i="97"/>
  <c r="C32" i="97"/>
  <c r="G31" i="97"/>
  <c r="E31" i="97"/>
  <c r="C31" i="97"/>
  <c r="G30" i="97"/>
  <c r="H30" i="97" s="1"/>
  <c r="I30" i="97" s="1"/>
  <c r="E30" i="97"/>
  <c r="C30" i="97"/>
  <c r="G29" i="97"/>
  <c r="H29" i="97" s="1"/>
  <c r="E29" i="97"/>
  <c r="C29" i="97"/>
  <c r="G28" i="97"/>
  <c r="H28" i="97" s="1"/>
  <c r="I28" i="97" s="1"/>
  <c r="E28" i="97"/>
  <c r="C28" i="97"/>
  <c r="G27" i="97"/>
  <c r="H27" i="97" s="1"/>
  <c r="E27" i="97"/>
  <c r="C27" i="97"/>
  <c r="G26" i="97"/>
  <c r="H26" i="97" s="1"/>
  <c r="I26" i="97" s="1"/>
  <c r="E26" i="97"/>
  <c r="C26" i="97"/>
  <c r="G25" i="97"/>
  <c r="H25" i="97" s="1"/>
  <c r="E25" i="97"/>
  <c r="C25" i="97"/>
  <c r="G24" i="97"/>
  <c r="E24" i="97"/>
  <c r="C24" i="97"/>
  <c r="G23" i="97"/>
  <c r="H23" i="97" s="1"/>
  <c r="I23" i="97" s="1"/>
  <c r="E23" i="97"/>
  <c r="C23" i="97"/>
  <c r="G22" i="97"/>
  <c r="E22" i="97"/>
  <c r="C22" i="97"/>
  <c r="G21" i="97"/>
  <c r="H21" i="97" s="1"/>
  <c r="I21" i="97" s="1"/>
  <c r="E21" i="97"/>
  <c r="C21" i="97"/>
  <c r="G20" i="97"/>
  <c r="E20" i="97"/>
  <c r="C20" i="97"/>
  <c r="F22" i="97" l="1"/>
  <c r="F32" i="97"/>
  <c r="F25" i="97"/>
  <c r="H8" i="125"/>
  <c r="I8" i="125" s="1"/>
  <c r="H9" i="125"/>
  <c r="I9" i="125" s="1"/>
  <c r="F29" i="97"/>
  <c r="F20" i="97"/>
  <c r="F28" i="97"/>
  <c r="F26" i="97"/>
  <c r="F30" i="97"/>
  <c r="F27" i="97"/>
  <c r="F31" i="97"/>
  <c r="F21" i="97"/>
  <c r="F23" i="97"/>
  <c r="I25" i="97"/>
  <c r="I27" i="97"/>
  <c r="I29" i="97"/>
  <c r="H31" i="97"/>
  <c r="I31" i="97" s="1"/>
  <c r="H20" i="97"/>
  <c r="I20" i="97" s="1"/>
  <c r="H22" i="97"/>
  <c r="I22" i="97" s="1"/>
  <c r="H24" i="97"/>
  <c r="I24" i="97" s="1"/>
  <c r="H32" i="97"/>
  <c r="I32" i="97" s="1"/>
  <c r="F24" i="97"/>
  <c r="G30" i="95"/>
  <c r="E30" i="95"/>
  <c r="C30" i="95"/>
  <c r="G29" i="95"/>
  <c r="H29" i="95" s="1"/>
  <c r="E29" i="95"/>
  <c r="C29" i="95"/>
  <c r="G28" i="95"/>
  <c r="E28" i="95"/>
  <c r="C28" i="95"/>
  <c r="G27" i="95"/>
  <c r="H27" i="95" s="1"/>
  <c r="E27" i="95"/>
  <c r="C27" i="95"/>
  <c r="G26" i="95"/>
  <c r="H26" i="95" s="1"/>
  <c r="I26" i="95" s="1"/>
  <c r="E26" i="95"/>
  <c r="C26" i="95"/>
  <c r="G25" i="95"/>
  <c r="E25" i="95"/>
  <c r="C25" i="95"/>
  <c r="G24" i="95"/>
  <c r="H24" i="95" s="1"/>
  <c r="E24" i="95"/>
  <c r="C24" i="95"/>
  <c r="G23" i="95"/>
  <c r="E23" i="95"/>
  <c r="C23" i="95"/>
  <c r="G22" i="95"/>
  <c r="H22" i="95" s="1"/>
  <c r="I22" i="95" s="1"/>
  <c r="E22" i="95"/>
  <c r="C22" i="95"/>
  <c r="G21" i="95"/>
  <c r="E21" i="95"/>
  <c r="C21" i="95"/>
  <c r="G20" i="95"/>
  <c r="H20" i="95" s="1"/>
  <c r="I20" i="95" s="1"/>
  <c r="E20" i="95"/>
  <c r="C20" i="95"/>
  <c r="F28" i="95" l="1"/>
  <c r="F26" i="95"/>
  <c r="F30" i="95"/>
  <c r="F27" i="95"/>
  <c r="F22" i="95"/>
  <c r="F23" i="95"/>
  <c r="F21" i="95"/>
  <c r="F29" i="95"/>
  <c r="F25" i="95"/>
  <c r="I27" i="95"/>
  <c r="I29" i="95"/>
  <c r="F20" i="95"/>
  <c r="F24" i="95"/>
  <c r="I24" i="95"/>
  <c r="H21" i="95"/>
  <c r="I21" i="95" s="1"/>
  <c r="H23" i="95"/>
  <c r="I23" i="95" s="1"/>
  <c r="H25" i="95"/>
  <c r="I25" i="95" s="1"/>
  <c r="H28" i="95"/>
  <c r="I28" i="95" s="1"/>
  <c r="H30" i="95"/>
  <c r="I30" i="95" s="1"/>
  <c r="G42" i="94" l="1"/>
  <c r="E42" i="94"/>
  <c r="C42" i="94"/>
  <c r="G41" i="94"/>
  <c r="E41" i="94"/>
  <c r="C41" i="94"/>
  <c r="G40" i="94"/>
  <c r="E40" i="94"/>
  <c r="C40" i="94"/>
  <c r="G39" i="94"/>
  <c r="E39" i="94"/>
  <c r="C39" i="94"/>
  <c r="G38" i="94"/>
  <c r="H38" i="94" s="1"/>
  <c r="I38" i="94" s="1"/>
  <c r="E38" i="94"/>
  <c r="C38" i="94"/>
  <c r="G37" i="94"/>
  <c r="E37" i="94"/>
  <c r="C37" i="94"/>
  <c r="G36" i="94"/>
  <c r="H36" i="94" s="1"/>
  <c r="I36" i="94" s="1"/>
  <c r="E36" i="94"/>
  <c r="C36" i="94"/>
  <c r="G35" i="94"/>
  <c r="E35" i="94"/>
  <c r="C35" i="94"/>
  <c r="G34" i="94"/>
  <c r="H34" i="94" s="1"/>
  <c r="I34" i="94" s="1"/>
  <c r="E34" i="94"/>
  <c r="C34" i="94"/>
  <c r="G33" i="94"/>
  <c r="E33" i="94"/>
  <c r="C33" i="94"/>
  <c r="G32" i="94"/>
  <c r="H32" i="94" s="1"/>
  <c r="I32" i="94" s="1"/>
  <c r="E32" i="94"/>
  <c r="C32" i="94"/>
  <c r="G31" i="94"/>
  <c r="E31" i="94"/>
  <c r="C31" i="94"/>
  <c r="G30" i="94"/>
  <c r="H30" i="94" s="1"/>
  <c r="I30" i="94" s="1"/>
  <c r="E30" i="94"/>
  <c r="C30" i="94"/>
  <c r="G29" i="94"/>
  <c r="H29" i="94" s="1"/>
  <c r="E29" i="94"/>
  <c r="C29" i="94"/>
  <c r="F42" i="94" l="1"/>
  <c r="F32" i="94"/>
  <c r="F36" i="94"/>
  <c r="F40" i="94"/>
  <c r="F39" i="94"/>
  <c r="F38" i="94"/>
  <c r="F29" i="94"/>
  <c r="F33" i="94"/>
  <c r="F41" i="94"/>
  <c r="F31" i="94"/>
  <c r="F35" i="94"/>
  <c r="F30" i="94"/>
  <c r="F34" i="94"/>
  <c r="F37" i="94"/>
  <c r="H39" i="94"/>
  <c r="I39" i="94" s="1"/>
  <c r="H41" i="94"/>
  <c r="I41" i="94" s="1"/>
  <c r="H31" i="94"/>
  <c r="I31" i="94" s="1"/>
  <c r="H33" i="94"/>
  <c r="I33" i="94" s="1"/>
  <c r="H35" i="94"/>
  <c r="I35" i="94" s="1"/>
  <c r="H37" i="94"/>
  <c r="I37" i="94" s="1"/>
  <c r="I29" i="94"/>
  <c r="H40" i="94"/>
  <c r="I40" i="94" s="1"/>
  <c r="H42" i="94"/>
  <c r="I42" i="94" s="1"/>
  <c r="E968" i="71"/>
  <c r="E969" i="71"/>
  <c r="E970" i="71"/>
  <c r="E971" i="71"/>
  <c r="E972" i="71"/>
  <c r="E973" i="71"/>
  <c r="E974" i="71"/>
  <c r="E967" i="71"/>
  <c r="E79" i="95"/>
  <c r="E80" i="95"/>
  <c r="E81" i="95"/>
  <c r="E82" i="95"/>
  <c r="G79" i="95"/>
  <c r="H79" i="95" s="1"/>
  <c r="C16" i="90"/>
  <c r="E16" i="90"/>
  <c r="G16" i="90"/>
  <c r="H16" i="90" s="1"/>
  <c r="C17" i="90"/>
  <c r="E17" i="90"/>
  <c r="G17" i="90"/>
  <c r="H17" i="90" s="1"/>
  <c r="C18" i="90"/>
  <c r="E18" i="90"/>
  <c r="G18" i="90"/>
  <c r="H18" i="90" s="1"/>
  <c r="C19" i="90"/>
  <c r="E19" i="90"/>
  <c r="G19" i="90"/>
  <c r="H19" i="90" s="1"/>
  <c r="C20" i="90"/>
  <c r="E20" i="90"/>
  <c r="G20" i="90"/>
  <c r="H20" i="90" s="1"/>
  <c r="C21" i="90"/>
  <c r="E21" i="90"/>
  <c r="G21" i="90"/>
  <c r="H21" i="90" s="1"/>
  <c r="C22" i="90"/>
  <c r="E22" i="90"/>
  <c r="G22" i="90"/>
  <c r="H22" i="90" s="1"/>
  <c r="C23" i="90"/>
  <c r="E23" i="90"/>
  <c r="G23" i="90"/>
  <c r="H23" i="90" s="1"/>
  <c r="I23" i="90" s="1"/>
  <c r="C16" i="110"/>
  <c r="E16" i="110"/>
  <c r="C17" i="110"/>
  <c r="E17" i="110"/>
  <c r="C18" i="110"/>
  <c r="E18" i="110"/>
  <c r="C19" i="110"/>
  <c r="E19" i="110"/>
  <c r="C20" i="110"/>
  <c r="E20" i="110"/>
  <c r="C21" i="110"/>
  <c r="E21" i="110"/>
  <c r="C22" i="110"/>
  <c r="E22" i="110"/>
  <c r="C23" i="110"/>
  <c r="E23" i="110"/>
  <c r="E977" i="71"/>
  <c r="E978" i="71"/>
  <c r="E979" i="71"/>
  <c r="E980" i="71"/>
  <c r="E981" i="71"/>
  <c r="E982" i="71"/>
  <c r="E983" i="71"/>
  <c r="E984" i="71"/>
  <c r="E985" i="71"/>
  <c r="E986" i="71"/>
  <c r="G16" i="110" s="1"/>
  <c r="E987" i="71"/>
  <c r="G17" i="110" s="1"/>
  <c r="H17" i="110" s="1"/>
  <c r="E988" i="71"/>
  <c r="G18" i="110" s="1"/>
  <c r="E989" i="71"/>
  <c r="G19" i="110" s="1"/>
  <c r="H19" i="110" s="1"/>
  <c r="I19" i="110" s="1"/>
  <c r="E990" i="71"/>
  <c r="G20" i="110" s="1"/>
  <c r="E991" i="71"/>
  <c r="G21" i="110" s="1"/>
  <c r="H21" i="110" s="1"/>
  <c r="E992" i="71"/>
  <c r="G22" i="110" s="1"/>
  <c r="E993" i="71"/>
  <c r="G23" i="110" s="1"/>
  <c r="H23" i="110" s="1"/>
  <c r="I23" i="110" s="1"/>
  <c r="E976" i="71"/>
  <c r="C19" i="119"/>
  <c r="E19" i="119"/>
  <c r="G19" i="119"/>
  <c r="H19" i="119" s="1"/>
  <c r="C20" i="119"/>
  <c r="E20" i="119"/>
  <c r="G20" i="119"/>
  <c r="H20" i="119" s="1"/>
  <c r="I20" i="119" s="1"/>
  <c r="C21" i="119"/>
  <c r="E21" i="119"/>
  <c r="G21" i="119"/>
  <c r="H21" i="119" s="1"/>
  <c r="C16" i="119"/>
  <c r="E16" i="119"/>
  <c r="G16" i="119"/>
  <c r="H16" i="119" s="1"/>
  <c r="C17" i="119"/>
  <c r="E17" i="119"/>
  <c r="G17" i="119"/>
  <c r="H17" i="119" s="1"/>
  <c r="I17" i="119" s="1"/>
  <c r="C18" i="119"/>
  <c r="E18" i="119"/>
  <c r="G18" i="119"/>
  <c r="H18" i="119" s="1"/>
  <c r="C22" i="119"/>
  <c r="E22" i="119"/>
  <c r="G22" i="119"/>
  <c r="H22" i="119" s="1"/>
  <c r="I22" i="119" s="1"/>
  <c r="C23" i="119"/>
  <c r="E23" i="119"/>
  <c r="G23" i="119"/>
  <c r="H23" i="119" s="1"/>
  <c r="C24" i="119"/>
  <c r="E24" i="119"/>
  <c r="G24" i="119"/>
  <c r="H24" i="119" s="1"/>
  <c r="I24" i="119" s="1"/>
  <c r="C25" i="119"/>
  <c r="E25" i="119"/>
  <c r="G25" i="119"/>
  <c r="H25" i="119" s="1"/>
  <c r="C26" i="119"/>
  <c r="E26" i="119"/>
  <c r="G26" i="119"/>
  <c r="H26" i="119" s="1"/>
  <c r="I26" i="119" s="1"/>
  <c r="C27" i="119"/>
  <c r="E27" i="119"/>
  <c r="G27" i="119"/>
  <c r="H27" i="119" s="1"/>
  <c r="F79" i="95" l="1"/>
  <c r="I79" i="95"/>
  <c r="I21" i="90"/>
  <c r="F22" i="90"/>
  <c r="I17" i="90"/>
  <c r="I19" i="90"/>
  <c r="F23" i="90"/>
  <c r="F17" i="90"/>
  <c r="F21" i="90"/>
  <c r="F19" i="90"/>
  <c r="H16" i="110"/>
  <c r="I16" i="110" s="1"/>
  <c r="H18" i="110"/>
  <c r="I18" i="110" s="1"/>
  <c r="H20" i="110"/>
  <c r="I20" i="110" s="1"/>
  <c r="H22" i="110"/>
  <c r="I22" i="110" s="1"/>
  <c r="F20" i="90"/>
  <c r="F18" i="90"/>
  <c r="F16" i="90"/>
  <c r="I21" i="110"/>
  <c r="I17" i="110"/>
  <c r="I22" i="90"/>
  <c r="I20" i="90"/>
  <c r="I18" i="90"/>
  <c r="I16" i="90"/>
  <c r="F20" i="119"/>
  <c r="F21" i="119"/>
  <c r="F19" i="119"/>
  <c r="F18" i="119"/>
  <c r="I21" i="119"/>
  <c r="I19" i="119"/>
  <c r="F25" i="119"/>
  <c r="F22" i="119"/>
  <c r="F16" i="119"/>
  <c r="F26" i="119"/>
  <c r="F27" i="119"/>
  <c r="F23" i="119"/>
  <c r="F24" i="119"/>
  <c r="F17" i="119"/>
  <c r="I27" i="119"/>
  <c r="I25" i="119"/>
  <c r="I23" i="119"/>
  <c r="I18" i="119"/>
  <c r="I16" i="119"/>
  <c r="C27" i="84" l="1"/>
  <c r="E27" i="84"/>
  <c r="G27" i="84"/>
  <c r="H27" i="84" s="1"/>
  <c r="C28" i="84"/>
  <c r="E28" i="84"/>
  <c r="G28" i="84"/>
  <c r="H28" i="84" s="1"/>
  <c r="I28" i="84" s="1"/>
  <c r="C29" i="84"/>
  <c r="E29" i="84"/>
  <c r="G29" i="84"/>
  <c r="H29" i="84" s="1"/>
  <c r="C30" i="84"/>
  <c r="E30" i="84"/>
  <c r="G30" i="84"/>
  <c r="H30" i="84" s="1"/>
  <c r="I30" i="84" s="1"/>
  <c r="C31" i="84"/>
  <c r="E31" i="84"/>
  <c r="G31" i="84"/>
  <c r="H31" i="84" s="1"/>
  <c r="C32" i="84"/>
  <c r="E32" i="84"/>
  <c r="G32" i="84"/>
  <c r="H32" i="84" s="1"/>
  <c r="I32" i="84" s="1"/>
  <c r="C33" i="84"/>
  <c r="E33" i="84"/>
  <c r="G33" i="84"/>
  <c r="H33" i="84" s="1"/>
  <c r="C34" i="84"/>
  <c r="E34" i="84"/>
  <c r="G34" i="84"/>
  <c r="H34" i="84" s="1"/>
  <c r="I34" i="84" s="1"/>
  <c r="C35" i="84"/>
  <c r="E35" i="84"/>
  <c r="G35" i="84"/>
  <c r="H35" i="84" s="1"/>
  <c r="C15" i="112"/>
  <c r="E15" i="112"/>
  <c r="G15" i="112"/>
  <c r="H15" i="112" s="1"/>
  <c r="F13" i="96"/>
  <c r="C10" i="96"/>
  <c r="E10" i="96"/>
  <c r="C11" i="96"/>
  <c r="E11" i="96"/>
  <c r="C12" i="96"/>
  <c r="E12" i="96"/>
  <c r="E936" i="71"/>
  <c r="G10" i="96" s="1"/>
  <c r="E937" i="71"/>
  <c r="G11" i="96" s="1"/>
  <c r="E938" i="71"/>
  <c r="G12" i="96" s="1"/>
  <c r="G69" i="97"/>
  <c r="E69" i="97"/>
  <c r="G68" i="97"/>
  <c r="E68" i="97"/>
  <c r="G67" i="97"/>
  <c r="E67" i="97"/>
  <c r="G66" i="97"/>
  <c r="E66" i="97"/>
  <c r="G65" i="97"/>
  <c r="E65" i="97"/>
  <c r="G64" i="97"/>
  <c r="E64" i="97"/>
  <c r="G63" i="97"/>
  <c r="E63" i="97"/>
  <c r="G62" i="97"/>
  <c r="E62" i="97"/>
  <c r="G61" i="97"/>
  <c r="E61" i="97"/>
  <c r="G53" i="97"/>
  <c r="E53" i="97"/>
  <c r="G52" i="97"/>
  <c r="E52" i="97"/>
  <c r="G51" i="97"/>
  <c r="E51" i="97"/>
  <c r="G50" i="97"/>
  <c r="E50" i="97"/>
  <c r="G49" i="97"/>
  <c r="E49" i="97"/>
  <c r="G48" i="97"/>
  <c r="E48" i="97"/>
  <c r="G47" i="97"/>
  <c r="E47" i="97"/>
  <c r="G46" i="97"/>
  <c r="E46" i="97"/>
  <c r="G45" i="97"/>
  <c r="E45" i="97"/>
  <c r="G44" i="97"/>
  <c r="E44" i="97"/>
  <c r="G43" i="97"/>
  <c r="E43" i="97"/>
  <c r="G42" i="97"/>
  <c r="E42" i="97"/>
  <c r="G41" i="97"/>
  <c r="E41" i="97"/>
  <c r="G40" i="97"/>
  <c r="E40" i="97"/>
  <c r="G39" i="97"/>
  <c r="E39" i="97"/>
  <c r="G38" i="97"/>
  <c r="E38" i="97"/>
  <c r="G37" i="97"/>
  <c r="E37" i="97"/>
  <c r="G36" i="97"/>
  <c r="E36" i="97"/>
  <c r="G35" i="97"/>
  <c r="E35" i="97"/>
  <c r="G34" i="97"/>
  <c r="E34" i="97"/>
  <c r="G33" i="97"/>
  <c r="E33" i="97"/>
  <c r="G19" i="97"/>
  <c r="E19" i="97"/>
  <c r="G18" i="97"/>
  <c r="E18" i="97"/>
  <c r="G17" i="97"/>
  <c r="E17" i="97"/>
  <c r="G16" i="97"/>
  <c r="E16" i="97"/>
  <c r="G15" i="97"/>
  <c r="E15" i="97"/>
  <c r="G14" i="97"/>
  <c r="E14" i="97"/>
  <c r="G13" i="97"/>
  <c r="E13" i="97"/>
  <c r="G12" i="97"/>
  <c r="E12" i="97"/>
  <c r="G11" i="97"/>
  <c r="E11" i="97"/>
  <c r="G10" i="97"/>
  <c r="E10" i="97"/>
  <c r="G9" i="97"/>
  <c r="E9" i="97"/>
  <c r="G8" i="97"/>
  <c r="E8" i="97"/>
  <c r="G7" i="97"/>
  <c r="E7" i="97"/>
  <c r="G6" i="97"/>
  <c r="E6" i="97"/>
  <c r="E70" i="97" s="1"/>
  <c r="G7" i="124"/>
  <c r="E7" i="124"/>
  <c r="G6" i="124"/>
  <c r="E6" i="124"/>
  <c r="G82" i="95"/>
  <c r="G81" i="95"/>
  <c r="G80" i="95"/>
  <c r="G78" i="95"/>
  <c r="E78" i="95"/>
  <c r="G77" i="95"/>
  <c r="E77" i="95"/>
  <c r="G76" i="95"/>
  <c r="E76" i="95"/>
  <c r="G75" i="95"/>
  <c r="E75" i="95"/>
  <c r="G74" i="95"/>
  <c r="E74" i="95"/>
  <c r="G73" i="95"/>
  <c r="E73" i="95"/>
  <c r="G72" i="95"/>
  <c r="E72" i="95"/>
  <c r="G71" i="95"/>
  <c r="E71" i="95"/>
  <c r="G70" i="95"/>
  <c r="E70" i="95"/>
  <c r="G69" i="95"/>
  <c r="E69" i="95"/>
  <c r="G68" i="95"/>
  <c r="E68" i="95"/>
  <c r="G67" i="95"/>
  <c r="E67" i="95"/>
  <c r="G66" i="95"/>
  <c r="E66" i="95"/>
  <c r="G65" i="95"/>
  <c r="E65" i="95"/>
  <c r="G64" i="95"/>
  <c r="E64" i="95"/>
  <c r="G63" i="95"/>
  <c r="E63" i="95"/>
  <c r="G62" i="95"/>
  <c r="E62" i="95"/>
  <c r="G61" i="95"/>
  <c r="E61" i="95"/>
  <c r="G60" i="95"/>
  <c r="E60" i="95"/>
  <c r="G59" i="95"/>
  <c r="E59" i="95"/>
  <c r="G58" i="95"/>
  <c r="E58" i="95"/>
  <c r="G57" i="95"/>
  <c r="E57" i="95"/>
  <c r="G56" i="95"/>
  <c r="E56" i="95"/>
  <c r="G55" i="95"/>
  <c r="E55" i="95"/>
  <c r="G54" i="95"/>
  <c r="E54" i="95"/>
  <c r="G53" i="95"/>
  <c r="E53" i="95"/>
  <c r="G52" i="95"/>
  <c r="E52" i="95"/>
  <c r="G51" i="95"/>
  <c r="E51" i="95"/>
  <c r="G50" i="95"/>
  <c r="E50" i="95"/>
  <c r="G49" i="95"/>
  <c r="E49" i="95"/>
  <c r="G48" i="95"/>
  <c r="E48" i="95"/>
  <c r="G47" i="95"/>
  <c r="E47" i="95"/>
  <c r="G46" i="95"/>
  <c r="E46" i="95"/>
  <c r="G45" i="95"/>
  <c r="E45" i="95"/>
  <c r="G44" i="95"/>
  <c r="E44" i="95"/>
  <c r="G43" i="95"/>
  <c r="E43" i="95"/>
  <c r="G42" i="95"/>
  <c r="E42" i="95"/>
  <c r="G41" i="95"/>
  <c r="E41" i="95"/>
  <c r="G40" i="95"/>
  <c r="E40" i="95"/>
  <c r="G39" i="95"/>
  <c r="E39" i="95"/>
  <c r="G38" i="95"/>
  <c r="E38" i="95"/>
  <c r="G37" i="95"/>
  <c r="E37" i="95"/>
  <c r="G36" i="95"/>
  <c r="E36" i="95"/>
  <c r="G35" i="95"/>
  <c r="E35" i="95"/>
  <c r="G34" i="95"/>
  <c r="E34" i="95"/>
  <c r="G33" i="95"/>
  <c r="E33" i="95"/>
  <c r="G32" i="95"/>
  <c r="E32" i="95"/>
  <c r="G31" i="95"/>
  <c r="E31" i="95"/>
  <c r="G19" i="95"/>
  <c r="E19" i="95"/>
  <c r="G18" i="95"/>
  <c r="E18" i="95"/>
  <c r="G17" i="95"/>
  <c r="E17" i="95"/>
  <c r="G16" i="95"/>
  <c r="E16" i="95"/>
  <c r="G15" i="95"/>
  <c r="E15" i="95"/>
  <c r="G14" i="95"/>
  <c r="E14" i="95"/>
  <c r="G13" i="95"/>
  <c r="E13" i="95"/>
  <c r="G12" i="95"/>
  <c r="E12" i="95"/>
  <c r="G11" i="95"/>
  <c r="E11" i="95"/>
  <c r="G10" i="95"/>
  <c r="E10" i="95"/>
  <c r="G9" i="95"/>
  <c r="E9" i="95"/>
  <c r="G8" i="95"/>
  <c r="E8" i="95"/>
  <c r="G7" i="95"/>
  <c r="E7" i="95"/>
  <c r="G6" i="95"/>
  <c r="E6" i="95"/>
  <c r="E9" i="96"/>
  <c r="E8" i="96"/>
  <c r="E7" i="96"/>
  <c r="E6" i="96"/>
  <c r="G8" i="130"/>
  <c r="E8" i="130"/>
  <c r="G7" i="130"/>
  <c r="E7" i="130"/>
  <c r="G6" i="130"/>
  <c r="G12" i="130" s="1"/>
  <c r="E6" i="130"/>
  <c r="G54" i="75"/>
  <c r="E54" i="75"/>
  <c r="G53" i="75"/>
  <c r="E53" i="75"/>
  <c r="G52" i="75"/>
  <c r="E52" i="75"/>
  <c r="G51" i="75"/>
  <c r="E51" i="75"/>
  <c r="G50" i="75"/>
  <c r="E50" i="75"/>
  <c r="G41" i="75"/>
  <c r="E41" i="75"/>
  <c r="G40" i="75"/>
  <c r="E40" i="75"/>
  <c r="G39" i="75"/>
  <c r="E39" i="75"/>
  <c r="G38" i="75"/>
  <c r="E38" i="75"/>
  <c r="G37" i="75"/>
  <c r="E37" i="75"/>
  <c r="G36" i="75"/>
  <c r="E36" i="75"/>
  <c r="G35" i="75"/>
  <c r="E35" i="75"/>
  <c r="G34" i="75"/>
  <c r="E34" i="75"/>
  <c r="G33" i="75"/>
  <c r="E33" i="75"/>
  <c r="G32" i="75"/>
  <c r="E32" i="75"/>
  <c r="G31" i="75"/>
  <c r="E31" i="75"/>
  <c r="G30" i="75"/>
  <c r="E30" i="75"/>
  <c r="G29" i="75"/>
  <c r="E29" i="75"/>
  <c r="G28" i="75"/>
  <c r="E28" i="75"/>
  <c r="G27" i="75"/>
  <c r="E27" i="75"/>
  <c r="G26" i="75"/>
  <c r="E26" i="75"/>
  <c r="G25" i="75"/>
  <c r="E25" i="75"/>
  <c r="G24" i="75"/>
  <c r="E24" i="75"/>
  <c r="G23" i="75"/>
  <c r="E23" i="75"/>
  <c r="G22" i="75"/>
  <c r="E22" i="75"/>
  <c r="G21" i="75"/>
  <c r="E21" i="75"/>
  <c r="G20" i="75"/>
  <c r="E20" i="75"/>
  <c r="G19" i="75"/>
  <c r="E19" i="75"/>
  <c r="G18" i="75"/>
  <c r="E18" i="75"/>
  <c r="G17" i="75"/>
  <c r="E17" i="75"/>
  <c r="G16" i="75"/>
  <c r="E16" i="75"/>
  <c r="G15" i="75"/>
  <c r="E15" i="75"/>
  <c r="G14" i="75"/>
  <c r="E14" i="75"/>
  <c r="G13" i="75"/>
  <c r="E13" i="75"/>
  <c r="G12" i="75"/>
  <c r="E12" i="75"/>
  <c r="G11" i="75"/>
  <c r="E11" i="75"/>
  <c r="G10" i="75"/>
  <c r="E10" i="75"/>
  <c r="G9" i="75"/>
  <c r="E9" i="75"/>
  <c r="G8" i="75"/>
  <c r="E8" i="75"/>
  <c r="G7" i="75"/>
  <c r="E7" i="75"/>
  <c r="G6" i="75"/>
  <c r="E6" i="75"/>
  <c r="G16" i="76"/>
  <c r="E16" i="76"/>
  <c r="G15" i="76"/>
  <c r="E15" i="76"/>
  <c r="G14" i="76"/>
  <c r="E14" i="76"/>
  <c r="G13" i="76"/>
  <c r="E13" i="76"/>
  <c r="G12" i="76"/>
  <c r="E12" i="76"/>
  <c r="G11" i="76"/>
  <c r="E11" i="76"/>
  <c r="G10" i="76"/>
  <c r="E10" i="76"/>
  <c r="G9" i="76"/>
  <c r="E9" i="76"/>
  <c r="G8" i="76"/>
  <c r="E8" i="76"/>
  <c r="G7" i="76"/>
  <c r="E7" i="76"/>
  <c r="G6" i="76"/>
  <c r="E6" i="76"/>
  <c r="G23" i="77"/>
  <c r="E23" i="77"/>
  <c r="G22" i="77"/>
  <c r="E22" i="77"/>
  <c r="G21" i="77"/>
  <c r="E21" i="77"/>
  <c r="G20" i="77"/>
  <c r="E20" i="77"/>
  <c r="G19" i="77"/>
  <c r="E19" i="77"/>
  <c r="G18" i="77"/>
  <c r="E18" i="77"/>
  <c r="G17" i="77"/>
  <c r="E17" i="77"/>
  <c r="G16" i="77"/>
  <c r="E16" i="77"/>
  <c r="G15" i="77"/>
  <c r="E15" i="77"/>
  <c r="G14" i="77"/>
  <c r="E14" i="77"/>
  <c r="G13" i="77"/>
  <c r="E13" i="77"/>
  <c r="G12" i="77"/>
  <c r="E12" i="77"/>
  <c r="G11" i="77"/>
  <c r="E11" i="77"/>
  <c r="G10" i="77"/>
  <c r="E10" i="77"/>
  <c r="G9" i="77"/>
  <c r="E9" i="77"/>
  <c r="G8" i="77"/>
  <c r="E8" i="77"/>
  <c r="G7" i="77"/>
  <c r="E7" i="77"/>
  <c r="G6" i="77"/>
  <c r="E6" i="77"/>
  <c r="G47" i="78"/>
  <c r="E47" i="78"/>
  <c r="G46" i="78"/>
  <c r="E46" i="78"/>
  <c r="G45" i="78"/>
  <c r="E45" i="78"/>
  <c r="G44" i="78"/>
  <c r="E44" i="78"/>
  <c r="G43" i="78"/>
  <c r="E43" i="78"/>
  <c r="G42" i="78"/>
  <c r="E42" i="78"/>
  <c r="G41" i="78"/>
  <c r="E41" i="78"/>
  <c r="G40" i="78"/>
  <c r="E40" i="78"/>
  <c r="G39" i="78"/>
  <c r="E39" i="78"/>
  <c r="G38" i="78"/>
  <c r="E38" i="78"/>
  <c r="G37" i="78"/>
  <c r="E37" i="78"/>
  <c r="G36" i="78"/>
  <c r="E36" i="78"/>
  <c r="G35" i="78"/>
  <c r="E35" i="78"/>
  <c r="G34" i="78"/>
  <c r="E34" i="78"/>
  <c r="G33" i="78"/>
  <c r="E33" i="78"/>
  <c r="G32" i="78"/>
  <c r="E32" i="78"/>
  <c r="G31" i="78"/>
  <c r="E31" i="78"/>
  <c r="G30" i="78"/>
  <c r="E30" i="78"/>
  <c r="G29" i="78"/>
  <c r="E29" i="78"/>
  <c r="G28" i="78"/>
  <c r="E28" i="78"/>
  <c r="G27" i="78"/>
  <c r="E27" i="78"/>
  <c r="G26" i="78"/>
  <c r="E26" i="78"/>
  <c r="G25" i="78"/>
  <c r="E25" i="78"/>
  <c r="G24" i="78"/>
  <c r="E24" i="78"/>
  <c r="G23" i="78"/>
  <c r="E23" i="78"/>
  <c r="G22" i="78"/>
  <c r="E22" i="78"/>
  <c r="G21" i="78"/>
  <c r="E21" i="78"/>
  <c r="G20" i="78"/>
  <c r="E20" i="78"/>
  <c r="G19" i="78"/>
  <c r="E19" i="78"/>
  <c r="G18" i="78"/>
  <c r="E18" i="78"/>
  <c r="G17" i="78"/>
  <c r="E17" i="78"/>
  <c r="G16" i="78"/>
  <c r="E16" i="78"/>
  <c r="G15" i="78"/>
  <c r="E15" i="78"/>
  <c r="G14" i="78"/>
  <c r="E14" i="78"/>
  <c r="G13" i="78"/>
  <c r="E13" i="78"/>
  <c r="G12" i="78"/>
  <c r="E12" i="78"/>
  <c r="G11" i="78"/>
  <c r="E11" i="78"/>
  <c r="G10" i="78"/>
  <c r="E10" i="78"/>
  <c r="G9" i="78"/>
  <c r="E9" i="78"/>
  <c r="G8" i="78"/>
  <c r="E8" i="78"/>
  <c r="G7" i="78"/>
  <c r="E7" i="78"/>
  <c r="G6" i="78"/>
  <c r="E6" i="78"/>
  <c r="G91" i="81"/>
  <c r="E91" i="81"/>
  <c r="G90" i="81"/>
  <c r="E90" i="81"/>
  <c r="G89" i="81"/>
  <c r="E89" i="81"/>
  <c r="G88" i="81"/>
  <c r="E88" i="81"/>
  <c r="G87" i="81"/>
  <c r="E87" i="81"/>
  <c r="G86" i="81"/>
  <c r="E86" i="81"/>
  <c r="G85" i="81"/>
  <c r="E85" i="81"/>
  <c r="G84" i="81"/>
  <c r="E84" i="81"/>
  <c r="G83" i="81"/>
  <c r="E83" i="81"/>
  <c r="G82" i="81"/>
  <c r="E82" i="81"/>
  <c r="G81" i="81"/>
  <c r="E81" i="81"/>
  <c r="G80" i="81"/>
  <c r="E80" i="81"/>
  <c r="G79" i="81"/>
  <c r="E79" i="81"/>
  <c r="G78" i="81"/>
  <c r="E78" i="81"/>
  <c r="G77" i="81"/>
  <c r="H77" i="81" s="1"/>
  <c r="I77" i="81" s="1"/>
  <c r="E77" i="81"/>
  <c r="G76" i="81"/>
  <c r="H76" i="81" s="1"/>
  <c r="E76" i="81"/>
  <c r="G75" i="81"/>
  <c r="H75" i="81" s="1"/>
  <c r="I75" i="81" s="1"/>
  <c r="E75" i="81"/>
  <c r="G74" i="81"/>
  <c r="H74" i="81" s="1"/>
  <c r="E74" i="81"/>
  <c r="G73" i="81"/>
  <c r="H73" i="81" s="1"/>
  <c r="I73" i="81" s="1"/>
  <c r="E73" i="81"/>
  <c r="G72" i="81"/>
  <c r="H72" i="81" s="1"/>
  <c r="E72" i="81"/>
  <c r="G71" i="81"/>
  <c r="H71" i="81" s="1"/>
  <c r="I71" i="81" s="1"/>
  <c r="E71" i="81"/>
  <c r="G70" i="81"/>
  <c r="H70" i="81" s="1"/>
  <c r="E70" i="81"/>
  <c r="G69" i="81"/>
  <c r="H69" i="81" s="1"/>
  <c r="I69" i="81" s="1"/>
  <c r="E69" i="81"/>
  <c r="G68" i="81"/>
  <c r="H68" i="81" s="1"/>
  <c r="E68" i="81"/>
  <c r="G67" i="81"/>
  <c r="H67" i="81" s="1"/>
  <c r="I67" i="81" s="1"/>
  <c r="E67" i="81"/>
  <c r="G66" i="81"/>
  <c r="E66" i="81"/>
  <c r="G65" i="81"/>
  <c r="H65" i="81" s="1"/>
  <c r="I65" i="81" s="1"/>
  <c r="E65" i="81"/>
  <c r="G64" i="81"/>
  <c r="H64" i="81" s="1"/>
  <c r="E64" i="81"/>
  <c r="G63" i="81"/>
  <c r="H63" i="81" s="1"/>
  <c r="I63" i="81" s="1"/>
  <c r="E63" i="81"/>
  <c r="G62" i="81"/>
  <c r="H62" i="81" s="1"/>
  <c r="E62" i="81"/>
  <c r="G61" i="81"/>
  <c r="H61" i="81" s="1"/>
  <c r="I61" i="81" s="1"/>
  <c r="E61" i="81"/>
  <c r="G60" i="81"/>
  <c r="H60" i="81" s="1"/>
  <c r="E60" i="81"/>
  <c r="G59" i="81"/>
  <c r="H59" i="81" s="1"/>
  <c r="I59" i="81" s="1"/>
  <c r="E59" i="81"/>
  <c r="G58" i="81"/>
  <c r="H58" i="81" s="1"/>
  <c r="E58" i="81"/>
  <c r="G57" i="81"/>
  <c r="H57" i="81" s="1"/>
  <c r="I57" i="81" s="1"/>
  <c r="E57" i="81"/>
  <c r="G56" i="81"/>
  <c r="H56" i="81" s="1"/>
  <c r="E56" i="81"/>
  <c r="G55" i="81"/>
  <c r="H55" i="81" s="1"/>
  <c r="I55" i="81" s="1"/>
  <c r="E55" i="81"/>
  <c r="G54" i="81"/>
  <c r="H54" i="81" s="1"/>
  <c r="E54" i="81"/>
  <c r="G53" i="81"/>
  <c r="E53" i="81"/>
  <c r="G52" i="81"/>
  <c r="E52" i="81"/>
  <c r="G51" i="81"/>
  <c r="E51" i="81"/>
  <c r="G50" i="81"/>
  <c r="E50" i="81"/>
  <c r="G49" i="81"/>
  <c r="E49" i="81"/>
  <c r="G48" i="81"/>
  <c r="E48" i="81"/>
  <c r="G47" i="81"/>
  <c r="E47" i="81"/>
  <c r="G46" i="81"/>
  <c r="E46" i="81"/>
  <c r="G45" i="81"/>
  <c r="E45" i="81"/>
  <c r="G44" i="81"/>
  <c r="E44" i="81"/>
  <c r="G43" i="81"/>
  <c r="E43" i="81"/>
  <c r="G42" i="81"/>
  <c r="E42" i="81"/>
  <c r="G41" i="81"/>
  <c r="E41" i="81"/>
  <c r="G40" i="81"/>
  <c r="E40" i="81"/>
  <c r="G39" i="81"/>
  <c r="E39" i="81"/>
  <c r="G38" i="81"/>
  <c r="E38" i="81"/>
  <c r="G37" i="81"/>
  <c r="H37" i="81" s="1"/>
  <c r="I37" i="81" s="1"/>
  <c r="E37" i="81"/>
  <c r="G36" i="81"/>
  <c r="H36" i="81" s="1"/>
  <c r="E36" i="81"/>
  <c r="G35" i="81"/>
  <c r="H35" i="81" s="1"/>
  <c r="I35" i="81" s="1"/>
  <c r="E35" i="81"/>
  <c r="G34" i="81"/>
  <c r="H34" i="81" s="1"/>
  <c r="E34" i="81"/>
  <c r="G33" i="81"/>
  <c r="H33" i="81" s="1"/>
  <c r="I33" i="81" s="1"/>
  <c r="E33" i="81"/>
  <c r="G32" i="81"/>
  <c r="H32" i="81" s="1"/>
  <c r="E32" i="81"/>
  <c r="G31" i="81"/>
  <c r="H31" i="81" s="1"/>
  <c r="I31" i="81" s="1"/>
  <c r="E31" i="81"/>
  <c r="G30" i="81"/>
  <c r="H30" i="81" s="1"/>
  <c r="E30" i="81"/>
  <c r="G29" i="81"/>
  <c r="H29" i="81" s="1"/>
  <c r="I29" i="81" s="1"/>
  <c r="E29" i="81"/>
  <c r="G28" i="81"/>
  <c r="H28" i="81" s="1"/>
  <c r="E28" i="81"/>
  <c r="G27" i="81"/>
  <c r="H27" i="81" s="1"/>
  <c r="I27" i="81" s="1"/>
  <c r="E27" i="81"/>
  <c r="G26" i="81"/>
  <c r="E26" i="81"/>
  <c r="G25" i="81"/>
  <c r="H25" i="81" s="1"/>
  <c r="I25" i="81" s="1"/>
  <c r="E25" i="81"/>
  <c r="G24" i="81"/>
  <c r="H24" i="81" s="1"/>
  <c r="E24" i="81"/>
  <c r="G23" i="81"/>
  <c r="H23" i="81" s="1"/>
  <c r="I23" i="81" s="1"/>
  <c r="E23" i="81"/>
  <c r="G22" i="81"/>
  <c r="H22" i="81" s="1"/>
  <c r="E22" i="81"/>
  <c r="G21" i="81"/>
  <c r="E21" i="81"/>
  <c r="G20" i="81"/>
  <c r="E20" i="81"/>
  <c r="G19" i="81"/>
  <c r="E19" i="81"/>
  <c r="G18" i="81"/>
  <c r="E18" i="81"/>
  <c r="G17" i="81"/>
  <c r="E17" i="81"/>
  <c r="G16" i="81"/>
  <c r="E16" i="81"/>
  <c r="G15" i="81"/>
  <c r="E15" i="81"/>
  <c r="G14" i="81"/>
  <c r="E14" i="81"/>
  <c r="G13" i="81"/>
  <c r="E13" i="81"/>
  <c r="G12" i="81"/>
  <c r="E12" i="81"/>
  <c r="G11" i="81"/>
  <c r="E11" i="81"/>
  <c r="G10" i="81"/>
  <c r="E10" i="81"/>
  <c r="G9" i="81"/>
  <c r="E9" i="81"/>
  <c r="G8" i="81"/>
  <c r="E8" i="81"/>
  <c r="G7" i="81"/>
  <c r="E7" i="81"/>
  <c r="G6" i="81"/>
  <c r="E6" i="81"/>
  <c r="G42" i="82"/>
  <c r="E42" i="82"/>
  <c r="G41" i="82"/>
  <c r="E41" i="82"/>
  <c r="G40" i="82"/>
  <c r="E40" i="82"/>
  <c r="G39" i="82"/>
  <c r="E39" i="82"/>
  <c r="G38" i="82"/>
  <c r="E38" i="82"/>
  <c r="G37" i="82"/>
  <c r="E37" i="82"/>
  <c r="G36" i="82"/>
  <c r="E36" i="82"/>
  <c r="G35" i="82"/>
  <c r="E35" i="82"/>
  <c r="G34" i="82"/>
  <c r="E34" i="82"/>
  <c r="G33" i="82"/>
  <c r="E33" i="82"/>
  <c r="G32" i="82"/>
  <c r="E32" i="82"/>
  <c r="G31" i="82"/>
  <c r="E31" i="82"/>
  <c r="G30" i="82"/>
  <c r="E30" i="82"/>
  <c r="G29" i="82"/>
  <c r="E29" i="82"/>
  <c r="G28" i="82"/>
  <c r="E28" i="82"/>
  <c r="G27" i="82"/>
  <c r="E27" i="82"/>
  <c r="G26" i="82"/>
  <c r="E26" i="82"/>
  <c r="G25" i="82"/>
  <c r="E25" i="82"/>
  <c r="G24" i="82"/>
  <c r="E24" i="82"/>
  <c r="G23" i="82"/>
  <c r="E23" i="82"/>
  <c r="G22" i="82"/>
  <c r="E22" i="82"/>
  <c r="G21" i="82"/>
  <c r="E21" i="82"/>
  <c r="G20" i="82"/>
  <c r="E20" i="82"/>
  <c r="G19" i="82"/>
  <c r="E19" i="82"/>
  <c r="G18" i="82"/>
  <c r="E18" i="82"/>
  <c r="G17" i="82"/>
  <c r="E17" i="82"/>
  <c r="G16" i="82"/>
  <c r="E16" i="82"/>
  <c r="G15" i="82"/>
  <c r="E15" i="82"/>
  <c r="G14" i="82"/>
  <c r="E14" i="82"/>
  <c r="G13" i="82"/>
  <c r="E13" i="82"/>
  <c r="G12" i="82"/>
  <c r="E12" i="82"/>
  <c r="G11" i="82"/>
  <c r="E11" i="82"/>
  <c r="G10" i="82"/>
  <c r="E10" i="82"/>
  <c r="G9" i="82"/>
  <c r="E9" i="82"/>
  <c r="G8" i="82"/>
  <c r="E8" i="82"/>
  <c r="G7" i="82"/>
  <c r="E7" i="82"/>
  <c r="G6" i="82"/>
  <c r="E6" i="82"/>
  <c r="G16" i="85"/>
  <c r="E16" i="85"/>
  <c r="G15" i="85"/>
  <c r="E15" i="85"/>
  <c r="G14" i="85"/>
  <c r="E14" i="85"/>
  <c r="G13" i="85"/>
  <c r="E13" i="85"/>
  <c r="G12" i="85"/>
  <c r="E12" i="85"/>
  <c r="G11" i="85"/>
  <c r="E11" i="85"/>
  <c r="G10" i="85"/>
  <c r="E10" i="85"/>
  <c r="G9" i="85"/>
  <c r="E9" i="85"/>
  <c r="G8" i="85"/>
  <c r="E8" i="85"/>
  <c r="G7" i="85"/>
  <c r="E7" i="85"/>
  <c r="G6" i="85"/>
  <c r="E6" i="85"/>
  <c r="G11" i="114"/>
  <c r="E11" i="114"/>
  <c r="G10" i="114"/>
  <c r="E10" i="114"/>
  <c r="G9" i="114"/>
  <c r="E9" i="114"/>
  <c r="G8" i="114"/>
  <c r="E8" i="114"/>
  <c r="G7" i="114"/>
  <c r="E7" i="114"/>
  <c r="G6" i="114"/>
  <c r="E6" i="114"/>
  <c r="G56" i="84"/>
  <c r="E56" i="84"/>
  <c r="G55" i="84"/>
  <c r="E55" i="84"/>
  <c r="G54" i="84"/>
  <c r="E54" i="84"/>
  <c r="G53" i="84"/>
  <c r="E53" i="84"/>
  <c r="G52" i="84"/>
  <c r="E52" i="84"/>
  <c r="G51" i="84"/>
  <c r="E51" i="84"/>
  <c r="G50" i="84"/>
  <c r="E50" i="84"/>
  <c r="G49" i="84"/>
  <c r="E49" i="84"/>
  <c r="G48" i="84"/>
  <c r="E48" i="84"/>
  <c r="G47" i="84"/>
  <c r="E47" i="84"/>
  <c r="G46" i="84"/>
  <c r="E46" i="84"/>
  <c r="G45" i="84"/>
  <c r="E45" i="84"/>
  <c r="G44" i="84"/>
  <c r="E44" i="84"/>
  <c r="G43" i="84"/>
  <c r="E43" i="84"/>
  <c r="G42" i="84"/>
  <c r="E42" i="84"/>
  <c r="G41" i="84"/>
  <c r="E41" i="84"/>
  <c r="G40" i="84"/>
  <c r="E40" i="84"/>
  <c r="G39" i="84"/>
  <c r="E39" i="84"/>
  <c r="G38" i="84"/>
  <c r="E38" i="84"/>
  <c r="G37" i="84"/>
  <c r="E37" i="84"/>
  <c r="G36" i="84"/>
  <c r="E36" i="84"/>
  <c r="G26" i="84"/>
  <c r="E26" i="84"/>
  <c r="G25" i="84"/>
  <c r="E25" i="84"/>
  <c r="G24" i="84"/>
  <c r="E24" i="84"/>
  <c r="G23" i="84"/>
  <c r="E23" i="84"/>
  <c r="G22" i="84"/>
  <c r="E22" i="84"/>
  <c r="G21" i="84"/>
  <c r="E21" i="84"/>
  <c r="G20" i="84"/>
  <c r="E20" i="84"/>
  <c r="G19" i="84"/>
  <c r="E19" i="84"/>
  <c r="G18" i="84"/>
  <c r="E18" i="84"/>
  <c r="G17" i="84"/>
  <c r="E17" i="84"/>
  <c r="G16" i="84"/>
  <c r="E16" i="84"/>
  <c r="G15" i="84"/>
  <c r="E15" i="84"/>
  <c r="G14" i="84"/>
  <c r="E14" i="84"/>
  <c r="G13" i="84"/>
  <c r="E13" i="84"/>
  <c r="G12" i="84"/>
  <c r="E12" i="84"/>
  <c r="G11" i="84"/>
  <c r="E11" i="84"/>
  <c r="G10" i="84"/>
  <c r="E10" i="84"/>
  <c r="G9" i="84"/>
  <c r="E9" i="84"/>
  <c r="G8" i="84"/>
  <c r="E8" i="84"/>
  <c r="G7" i="84"/>
  <c r="E7" i="84"/>
  <c r="G6" i="84"/>
  <c r="E6" i="84"/>
  <c r="E14" i="87"/>
  <c r="E13" i="87"/>
  <c r="E12" i="87"/>
  <c r="E11" i="87"/>
  <c r="E10" i="87"/>
  <c r="E9" i="87"/>
  <c r="E8" i="87"/>
  <c r="E7" i="87"/>
  <c r="E6" i="87"/>
  <c r="G22" i="88"/>
  <c r="E22" i="88"/>
  <c r="G21" i="88"/>
  <c r="E21" i="88"/>
  <c r="G20" i="88"/>
  <c r="E20" i="88"/>
  <c r="G19" i="88"/>
  <c r="E19" i="88"/>
  <c r="G18" i="88"/>
  <c r="E18" i="88"/>
  <c r="G17" i="88"/>
  <c r="E17" i="88"/>
  <c r="G16" i="88"/>
  <c r="E16" i="88"/>
  <c r="G15" i="88"/>
  <c r="E15" i="88"/>
  <c r="G14" i="88"/>
  <c r="E14" i="88"/>
  <c r="G13" i="88"/>
  <c r="E13" i="88"/>
  <c r="G12" i="88"/>
  <c r="E12" i="88"/>
  <c r="G11" i="88"/>
  <c r="E11" i="88"/>
  <c r="G10" i="88"/>
  <c r="E10" i="88"/>
  <c r="G9" i="88"/>
  <c r="E9" i="88"/>
  <c r="G8" i="88"/>
  <c r="E8" i="88"/>
  <c r="G7" i="88"/>
  <c r="E7" i="88"/>
  <c r="G6" i="88"/>
  <c r="E6" i="88"/>
  <c r="G24" i="89"/>
  <c r="E24" i="89"/>
  <c r="G23" i="89"/>
  <c r="E23" i="89"/>
  <c r="G22" i="89"/>
  <c r="E22" i="89"/>
  <c r="E21" i="89"/>
  <c r="G20" i="89"/>
  <c r="E20" i="89"/>
  <c r="G19" i="89"/>
  <c r="E19" i="89"/>
  <c r="G18" i="89"/>
  <c r="E18" i="89"/>
  <c r="G17" i="89"/>
  <c r="E17" i="89"/>
  <c r="G16" i="89"/>
  <c r="E16" i="89"/>
  <c r="G15" i="89"/>
  <c r="E15" i="89"/>
  <c r="G14" i="89"/>
  <c r="E14" i="89"/>
  <c r="G13" i="89"/>
  <c r="E13" i="89"/>
  <c r="G12" i="89"/>
  <c r="E12" i="89"/>
  <c r="G11" i="89"/>
  <c r="E11" i="89"/>
  <c r="G10" i="89"/>
  <c r="E10" i="89"/>
  <c r="G9" i="89"/>
  <c r="E9" i="89"/>
  <c r="G8" i="89"/>
  <c r="E8" i="89"/>
  <c r="G7" i="89"/>
  <c r="E7" i="89"/>
  <c r="G6" i="89"/>
  <c r="E6" i="89"/>
  <c r="G15" i="90"/>
  <c r="E15" i="90"/>
  <c r="G14" i="90"/>
  <c r="E14" i="90"/>
  <c r="G13" i="90"/>
  <c r="E13" i="90"/>
  <c r="G12" i="90"/>
  <c r="E12" i="90"/>
  <c r="G11" i="90"/>
  <c r="E11" i="90"/>
  <c r="G10" i="90"/>
  <c r="E10" i="90"/>
  <c r="G9" i="90"/>
  <c r="E9" i="90"/>
  <c r="G8" i="90"/>
  <c r="E8" i="90"/>
  <c r="G7" i="90"/>
  <c r="E7" i="90"/>
  <c r="G6" i="90"/>
  <c r="E6" i="90"/>
  <c r="G14" i="112"/>
  <c r="E14" i="112"/>
  <c r="G13" i="112"/>
  <c r="E13" i="112"/>
  <c r="G12" i="112"/>
  <c r="E12" i="112"/>
  <c r="G11" i="112"/>
  <c r="E11" i="112"/>
  <c r="G10" i="112"/>
  <c r="E10" i="112"/>
  <c r="G9" i="112"/>
  <c r="E9" i="112"/>
  <c r="G8" i="112"/>
  <c r="E8" i="112"/>
  <c r="G7" i="112"/>
  <c r="E7" i="112"/>
  <c r="G6" i="112"/>
  <c r="E6" i="112"/>
  <c r="E15" i="92"/>
  <c r="E14" i="92"/>
  <c r="E13" i="92"/>
  <c r="E12" i="92"/>
  <c r="E11" i="92"/>
  <c r="E10" i="92"/>
  <c r="E9" i="92"/>
  <c r="E8" i="92"/>
  <c r="E7" i="92"/>
  <c r="E6" i="92"/>
  <c r="E6" i="93"/>
  <c r="G57" i="94"/>
  <c r="E57" i="94"/>
  <c r="G56" i="94"/>
  <c r="E56" i="94"/>
  <c r="G55" i="94"/>
  <c r="E55" i="94"/>
  <c r="G54" i="94"/>
  <c r="E54" i="94"/>
  <c r="G53" i="94"/>
  <c r="E53" i="94"/>
  <c r="G52" i="94"/>
  <c r="E52" i="94"/>
  <c r="G51" i="94"/>
  <c r="E51" i="94"/>
  <c r="G50" i="94"/>
  <c r="E50" i="94"/>
  <c r="G49" i="94"/>
  <c r="E49" i="94"/>
  <c r="G48" i="94"/>
  <c r="E48" i="94"/>
  <c r="G47" i="94"/>
  <c r="E47" i="94"/>
  <c r="G46" i="94"/>
  <c r="E46" i="94"/>
  <c r="G45" i="94"/>
  <c r="E45" i="94"/>
  <c r="G44" i="94"/>
  <c r="E44" i="94"/>
  <c r="G43" i="94"/>
  <c r="E43" i="94"/>
  <c r="G28" i="94"/>
  <c r="E28" i="94"/>
  <c r="G27" i="94"/>
  <c r="E27" i="94"/>
  <c r="G26" i="94"/>
  <c r="E26" i="94"/>
  <c r="G25" i="94"/>
  <c r="E25" i="94"/>
  <c r="G24" i="94"/>
  <c r="E24" i="94"/>
  <c r="G23" i="94"/>
  <c r="E23" i="94"/>
  <c r="G22" i="94"/>
  <c r="E22" i="94"/>
  <c r="G21" i="94"/>
  <c r="E21" i="94"/>
  <c r="G20" i="94"/>
  <c r="E20" i="94"/>
  <c r="G19" i="94"/>
  <c r="E19" i="94"/>
  <c r="G18" i="94"/>
  <c r="E18" i="94"/>
  <c r="G17" i="94"/>
  <c r="E17" i="94"/>
  <c r="G16" i="94"/>
  <c r="E16" i="94"/>
  <c r="G15" i="94"/>
  <c r="E15" i="94"/>
  <c r="G14" i="94"/>
  <c r="E14" i="94"/>
  <c r="G13" i="94"/>
  <c r="E13" i="94"/>
  <c r="G12" i="94"/>
  <c r="E12" i="94"/>
  <c r="G11" i="94"/>
  <c r="E11" i="94"/>
  <c r="G10" i="94"/>
  <c r="E10" i="94"/>
  <c r="G9" i="94"/>
  <c r="E9" i="94"/>
  <c r="G8" i="94"/>
  <c r="E8" i="94"/>
  <c r="G7" i="94"/>
  <c r="E7" i="94"/>
  <c r="G6" i="94"/>
  <c r="E6" i="94"/>
  <c r="G48" i="108"/>
  <c r="E48" i="108"/>
  <c r="G47" i="108"/>
  <c r="E47" i="108"/>
  <c r="G46" i="108"/>
  <c r="E46" i="108"/>
  <c r="G45" i="108"/>
  <c r="E45" i="108"/>
  <c r="G44" i="108"/>
  <c r="E44" i="108"/>
  <c r="G43" i="108"/>
  <c r="E43" i="108"/>
  <c r="G42" i="108"/>
  <c r="E42" i="108"/>
  <c r="G41" i="108"/>
  <c r="E41" i="108"/>
  <c r="G40" i="108"/>
  <c r="E40" i="108"/>
  <c r="G39" i="108"/>
  <c r="E39" i="108"/>
  <c r="G38" i="108"/>
  <c r="E38" i="108"/>
  <c r="G37" i="108"/>
  <c r="E37" i="108"/>
  <c r="G36" i="108"/>
  <c r="E36" i="108"/>
  <c r="G35" i="108"/>
  <c r="E35" i="108"/>
  <c r="G34" i="108"/>
  <c r="E34" i="108"/>
  <c r="G33" i="108"/>
  <c r="E33" i="108"/>
  <c r="G32" i="108"/>
  <c r="E32" i="108"/>
  <c r="G31" i="108"/>
  <c r="E31" i="108"/>
  <c r="G30" i="108"/>
  <c r="E30" i="108"/>
  <c r="G29" i="108"/>
  <c r="E29" i="108"/>
  <c r="G28" i="108"/>
  <c r="E28" i="108"/>
  <c r="G27" i="108"/>
  <c r="E27" i="108"/>
  <c r="G26" i="108"/>
  <c r="E26" i="108"/>
  <c r="G25" i="108"/>
  <c r="E25" i="108"/>
  <c r="G24" i="108"/>
  <c r="E24" i="108"/>
  <c r="G23" i="108"/>
  <c r="E23" i="108"/>
  <c r="G22" i="108"/>
  <c r="E22" i="108"/>
  <c r="G21" i="108"/>
  <c r="E21" i="108"/>
  <c r="G20" i="108"/>
  <c r="E20" i="108"/>
  <c r="G19" i="108"/>
  <c r="E19" i="108"/>
  <c r="G18" i="108"/>
  <c r="E18" i="108"/>
  <c r="G17" i="108"/>
  <c r="E17" i="108"/>
  <c r="G16" i="108"/>
  <c r="E16" i="108"/>
  <c r="G15" i="108"/>
  <c r="E15" i="108"/>
  <c r="G14" i="108"/>
  <c r="E14" i="108"/>
  <c r="G13" i="108"/>
  <c r="E13" i="108"/>
  <c r="G12" i="108"/>
  <c r="E12" i="108"/>
  <c r="G11" i="108"/>
  <c r="E11" i="108"/>
  <c r="G10" i="108"/>
  <c r="E10" i="108"/>
  <c r="G9" i="108"/>
  <c r="E9" i="108"/>
  <c r="G8" i="108"/>
  <c r="E8" i="108"/>
  <c r="G7" i="108"/>
  <c r="E7" i="108"/>
  <c r="G6" i="108"/>
  <c r="E6" i="108"/>
  <c r="G42" i="106"/>
  <c r="E42" i="106"/>
  <c r="G41" i="106"/>
  <c r="E41" i="106"/>
  <c r="G40" i="106"/>
  <c r="E40" i="106"/>
  <c r="G39" i="106"/>
  <c r="E39" i="106"/>
  <c r="G38" i="106"/>
  <c r="E38" i="106"/>
  <c r="G37" i="106"/>
  <c r="E37" i="106"/>
  <c r="G36" i="106"/>
  <c r="E36" i="106"/>
  <c r="G35" i="106"/>
  <c r="E35" i="106"/>
  <c r="G34" i="106"/>
  <c r="E34" i="106"/>
  <c r="G33" i="106"/>
  <c r="E33" i="106"/>
  <c r="G32" i="106"/>
  <c r="E32" i="106"/>
  <c r="G31" i="106"/>
  <c r="E31" i="106"/>
  <c r="G30" i="106"/>
  <c r="E30" i="106"/>
  <c r="G29" i="106"/>
  <c r="E29" i="106"/>
  <c r="G28" i="106"/>
  <c r="E28" i="106"/>
  <c r="G27" i="106"/>
  <c r="E27" i="106"/>
  <c r="G26" i="106"/>
  <c r="E26" i="106"/>
  <c r="G25" i="106"/>
  <c r="E25" i="106"/>
  <c r="G24" i="106"/>
  <c r="E24" i="106"/>
  <c r="G23" i="106"/>
  <c r="E23" i="106"/>
  <c r="G22" i="106"/>
  <c r="E22" i="106"/>
  <c r="G21" i="106"/>
  <c r="E21" i="106"/>
  <c r="G20" i="106"/>
  <c r="E20" i="106"/>
  <c r="G19" i="106"/>
  <c r="E19" i="106"/>
  <c r="G18" i="106"/>
  <c r="E18" i="106"/>
  <c r="G17" i="106"/>
  <c r="E17" i="106"/>
  <c r="G16" i="106"/>
  <c r="E16" i="106"/>
  <c r="G15" i="106"/>
  <c r="E15" i="106"/>
  <c r="G14" i="106"/>
  <c r="E14" i="106"/>
  <c r="G13" i="106"/>
  <c r="E13" i="106"/>
  <c r="G12" i="106"/>
  <c r="E12" i="106"/>
  <c r="G11" i="106"/>
  <c r="E11" i="106"/>
  <c r="G10" i="106"/>
  <c r="E10" i="106"/>
  <c r="G9" i="106"/>
  <c r="E9" i="106"/>
  <c r="G8" i="106"/>
  <c r="E8" i="106"/>
  <c r="G7" i="106"/>
  <c r="E7" i="106"/>
  <c r="G6" i="106"/>
  <c r="E6" i="106"/>
  <c r="G13" i="109"/>
  <c r="E13" i="109"/>
  <c r="G12" i="109"/>
  <c r="E12" i="109"/>
  <c r="G11" i="109"/>
  <c r="E11" i="109"/>
  <c r="G10" i="109"/>
  <c r="E10" i="109"/>
  <c r="G9" i="109"/>
  <c r="E9" i="109"/>
  <c r="G8" i="109"/>
  <c r="E8" i="109"/>
  <c r="G7" i="109"/>
  <c r="E7" i="109"/>
  <c r="G6" i="109"/>
  <c r="E6" i="109"/>
  <c r="G15" i="110"/>
  <c r="E15" i="110"/>
  <c r="G14" i="110"/>
  <c r="E14" i="110"/>
  <c r="G13" i="110"/>
  <c r="E13" i="110"/>
  <c r="G12" i="110"/>
  <c r="E12" i="110"/>
  <c r="G11" i="110"/>
  <c r="E11" i="110"/>
  <c r="G10" i="110"/>
  <c r="E10" i="110"/>
  <c r="G9" i="110"/>
  <c r="E9" i="110"/>
  <c r="G8" i="110"/>
  <c r="E8" i="110"/>
  <c r="G7" i="110"/>
  <c r="E7" i="110"/>
  <c r="G6" i="110"/>
  <c r="E6" i="110"/>
  <c r="G53" i="107"/>
  <c r="E53" i="107"/>
  <c r="G52" i="107"/>
  <c r="E52" i="107"/>
  <c r="G51" i="107"/>
  <c r="E51" i="107"/>
  <c r="G50" i="107"/>
  <c r="E50" i="107"/>
  <c r="G49" i="107"/>
  <c r="E49" i="107"/>
  <c r="G48" i="107"/>
  <c r="E48" i="107"/>
  <c r="G47" i="107"/>
  <c r="E47" i="107"/>
  <c r="G46" i="107"/>
  <c r="E46" i="107"/>
  <c r="G45" i="107"/>
  <c r="E45" i="107"/>
  <c r="G44" i="107"/>
  <c r="E44" i="107"/>
  <c r="G43" i="107"/>
  <c r="E43" i="107"/>
  <c r="G42" i="107"/>
  <c r="E42" i="107"/>
  <c r="G41" i="107"/>
  <c r="E41" i="107"/>
  <c r="G40" i="107"/>
  <c r="E40" i="107"/>
  <c r="G39" i="107"/>
  <c r="E39" i="107"/>
  <c r="G38" i="107"/>
  <c r="E38" i="107"/>
  <c r="G37" i="107"/>
  <c r="E37" i="107"/>
  <c r="G36" i="107"/>
  <c r="E36" i="107"/>
  <c r="G35" i="107"/>
  <c r="E35" i="107"/>
  <c r="G34" i="107"/>
  <c r="E34" i="107"/>
  <c r="G33" i="107"/>
  <c r="E33" i="107"/>
  <c r="G32" i="107"/>
  <c r="E32" i="107"/>
  <c r="G31" i="107"/>
  <c r="E31" i="107"/>
  <c r="G30" i="107"/>
  <c r="E30" i="107"/>
  <c r="G29" i="107"/>
  <c r="E29" i="107"/>
  <c r="G28" i="107"/>
  <c r="E28" i="107"/>
  <c r="G27" i="107"/>
  <c r="E27" i="107"/>
  <c r="G26" i="107"/>
  <c r="E26" i="107"/>
  <c r="G25" i="107"/>
  <c r="E25" i="107"/>
  <c r="G24" i="107"/>
  <c r="E24" i="107"/>
  <c r="G23" i="107"/>
  <c r="E23" i="107"/>
  <c r="G22" i="107"/>
  <c r="E22" i="107"/>
  <c r="G21" i="107"/>
  <c r="E21" i="107"/>
  <c r="G20" i="107"/>
  <c r="E20" i="107"/>
  <c r="G19" i="107"/>
  <c r="E19" i="107"/>
  <c r="G18" i="107"/>
  <c r="E18" i="107"/>
  <c r="G17" i="107"/>
  <c r="E17" i="107"/>
  <c r="G16" i="107"/>
  <c r="E16" i="107"/>
  <c r="G15" i="107"/>
  <c r="E15" i="107"/>
  <c r="G14" i="107"/>
  <c r="E14" i="107"/>
  <c r="G13" i="107"/>
  <c r="E13" i="107"/>
  <c r="G12" i="107"/>
  <c r="E12" i="107"/>
  <c r="G11" i="107"/>
  <c r="E11" i="107"/>
  <c r="G10" i="107"/>
  <c r="E10" i="107"/>
  <c r="G9" i="107"/>
  <c r="E9" i="107"/>
  <c r="G8" i="107"/>
  <c r="E8" i="107"/>
  <c r="G7" i="107"/>
  <c r="E7" i="107"/>
  <c r="G6" i="107"/>
  <c r="E6" i="107"/>
  <c r="G16" i="111"/>
  <c r="E16" i="111"/>
  <c r="G15" i="111"/>
  <c r="E15" i="111"/>
  <c r="G14" i="111"/>
  <c r="E14" i="111"/>
  <c r="G13" i="111"/>
  <c r="E13" i="111"/>
  <c r="G12" i="111"/>
  <c r="E12" i="111"/>
  <c r="G11" i="111"/>
  <c r="E11" i="111"/>
  <c r="G10" i="111"/>
  <c r="E10" i="111"/>
  <c r="G9" i="111"/>
  <c r="E9" i="111"/>
  <c r="G8" i="111"/>
  <c r="E8" i="111"/>
  <c r="G7" i="111"/>
  <c r="E7" i="111"/>
  <c r="G6" i="111"/>
  <c r="E6" i="111"/>
  <c r="G8" i="117"/>
  <c r="E8" i="117"/>
  <c r="G7" i="117"/>
  <c r="E7" i="117"/>
  <c r="G6" i="117"/>
  <c r="E6" i="117"/>
  <c r="G17" i="113"/>
  <c r="E17" i="113"/>
  <c r="G16" i="113"/>
  <c r="E16" i="113"/>
  <c r="G15" i="113"/>
  <c r="E15" i="113"/>
  <c r="G14" i="113"/>
  <c r="E14" i="113"/>
  <c r="G13" i="113"/>
  <c r="E13" i="113"/>
  <c r="G12" i="113"/>
  <c r="E12" i="113"/>
  <c r="G11" i="113"/>
  <c r="E11" i="113"/>
  <c r="G10" i="113"/>
  <c r="E10" i="113"/>
  <c r="G9" i="113"/>
  <c r="E9" i="113"/>
  <c r="G8" i="113"/>
  <c r="E8" i="113"/>
  <c r="G7" i="113"/>
  <c r="E7" i="113"/>
  <c r="G6" i="113"/>
  <c r="E6" i="113"/>
  <c r="G17" i="83"/>
  <c r="E17" i="83"/>
  <c r="G16" i="83"/>
  <c r="E16" i="83"/>
  <c r="G15" i="83"/>
  <c r="E15" i="83"/>
  <c r="G14" i="83"/>
  <c r="E14" i="83"/>
  <c r="G13" i="83"/>
  <c r="E13" i="83"/>
  <c r="G12" i="83"/>
  <c r="E12" i="83"/>
  <c r="G11" i="83"/>
  <c r="E11" i="83"/>
  <c r="G10" i="83"/>
  <c r="E10" i="83"/>
  <c r="G9" i="83"/>
  <c r="E9" i="83"/>
  <c r="G8" i="83"/>
  <c r="E8" i="83"/>
  <c r="G7" i="83"/>
  <c r="E7" i="83"/>
  <c r="G6" i="83"/>
  <c r="E6" i="83"/>
  <c r="G38" i="115"/>
  <c r="E38" i="115"/>
  <c r="G37" i="115"/>
  <c r="E37" i="115"/>
  <c r="G36" i="115"/>
  <c r="E36" i="115"/>
  <c r="G35" i="115"/>
  <c r="E35" i="115"/>
  <c r="G34" i="115"/>
  <c r="E34" i="115"/>
  <c r="G33" i="115"/>
  <c r="E33" i="115"/>
  <c r="G32" i="115"/>
  <c r="E32" i="115"/>
  <c r="G31" i="115"/>
  <c r="E31" i="115"/>
  <c r="G30" i="115"/>
  <c r="E30" i="115"/>
  <c r="G29" i="115"/>
  <c r="E29" i="115"/>
  <c r="G28" i="115"/>
  <c r="E28" i="115"/>
  <c r="G27" i="115"/>
  <c r="E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G6" i="115"/>
  <c r="E6" i="115"/>
  <c r="G41" i="116"/>
  <c r="E41" i="116"/>
  <c r="G40" i="116"/>
  <c r="E40" i="116"/>
  <c r="G39" i="116"/>
  <c r="E39" i="116"/>
  <c r="G38" i="116"/>
  <c r="E38" i="116"/>
  <c r="G37" i="116"/>
  <c r="E37" i="116"/>
  <c r="G36" i="116"/>
  <c r="E36" i="116"/>
  <c r="G35" i="116"/>
  <c r="E35" i="116"/>
  <c r="G34" i="116"/>
  <c r="E34" i="116"/>
  <c r="G33" i="116"/>
  <c r="E33" i="116"/>
  <c r="G32" i="116"/>
  <c r="E32" i="116"/>
  <c r="G31" i="116"/>
  <c r="E31" i="116"/>
  <c r="G30" i="116"/>
  <c r="E30" i="116"/>
  <c r="G29" i="116"/>
  <c r="E29" i="116"/>
  <c r="G19" i="116"/>
  <c r="E19" i="116"/>
  <c r="G18" i="116"/>
  <c r="E18" i="116"/>
  <c r="G17" i="116"/>
  <c r="E17" i="116"/>
  <c r="G16" i="116"/>
  <c r="E16" i="116"/>
  <c r="G15" i="116"/>
  <c r="E15" i="116"/>
  <c r="G14" i="116"/>
  <c r="E14" i="116"/>
  <c r="G13" i="116"/>
  <c r="E13" i="116"/>
  <c r="G12" i="116"/>
  <c r="E12" i="116"/>
  <c r="G11" i="116"/>
  <c r="E11" i="116"/>
  <c r="G10" i="116"/>
  <c r="E10" i="116"/>
  <c r="G9" i="116"/>
  <c r="E9" i="116"/>
  <c r="G8" i="116"/>
  <c r="E8" i="116"/>
  <c r="G7" i="116"/>
  <c r="E7" i="116"/>
  <c r="G6" i="116"/>
  <c r="E6" i="116"/>
  <c r="G18" i="118"/>
  <c r="E18" i="118"/>
  <c r="G17" i="118"/>
  <c r="E17" i="118"/>
  <c r="G16" i="118"/>
  <c r="E16" i="118"/>
  <c r="G15" i="118"/>
  <c r="E15" i="118"/>
  <c r="G14" i="118"/>
  <c r="E14" i="118"/>
  <c r="G13" i="118"/>
  <c r="E13" i="118"/>
  <c r="G12" i="118"/>
  <c r="E12" i="118"/>
  <c r="G11" i="118"/>
  <c r="E11" i="118"/>
  <c r="G10" i="118"/>
  <c r="E10" i="118"/>
  <c r="G9" i="118"/>
  <c r="E9" i="118"/>
  <c r="G8" i="118"/>
  <c r="E8" i="118"/>
  <c r="G7" i="118"/>
  <c r="E7" i="118"/>
  <c r="G6" i="118"/>
  <c r="E6" i="118"/>
  <c r="G15" i="119"/>
  <c r="E15" i="119"/>
  <c r="G14" i="119"/>
  <c r="E14" i="119"/>
  <c r="G13" i="119"/>
  <c r="E13" i="119"/>
  <c r="G12" i="119"/>
  <c r="E12" i="119"/>
  <c r="G11" i="119"/>
  <c r="E11" i="119"/>
  <c r="G10" i="119"/>
  <c r="E10" i="119"/>
  <c r="G9" i="119"/>
  <c r="E9" i="119"/>
  <c r="G8" i="119"/>
  <c r="E8" i="119"/>
  <c r="G7" i="119"/>
  <c r="E7" i="119"/>
  <c r="G6" i="119"/>
  <c r="E6" i="119"/>
  <c r="G23" i="121"/>
  <c r="H23" i="121" s="1"/>
  <c r="I23" i="121" s="1"/>
  <c r="E23" i="121"/>
  <c r="G22" i="121"/>
  <c r="H22" i="121" s="1"/>
  <c r="E22" i="121"/>
  <c r="G21" i="121"/>
  <c r="H21" i="121" s="1"/>
  <c r="I21" i="121" s="1"/>
  <c r="E21" i="121"/>
  <c r="G20" i="121"/>
  <c r="H20" i="121" s="1"/>
  <c r="E20" i="121"/>
  <c r="G19" i="121"/>
  <c r="H19" i="121" s="1"/>
  <c r="I19" i="121" s="1"/>
  <c r="E19" i="121"/>
  <c r="G18" i="121"/>
  <c r="H18" i="121" s="1"/>
  <c r="E18" i="121"/>
  <c r="G17" i="121"/>
  <c r="H17" i="121" s="1"/>
  <c r="I17" i="121" s="1"/>
  <c r="E17" i="121"/>
  <c r="G16" i="121"/>
  <c r="H16" i="121" s="1"/>
  <c r="E16" i="121"/>
  <c r="G15" i="121"/>
  <c r="H15" i="121" s="1"/>
  <c r="I15" i="121" s="1"/>
  <c r="E15" i="121"/>
  <c r="G14" i="121"/>
  <c r="H14" i="121" s="1"/>
  <c r="E14" i="121"/>
  <c r="G13" i="121"/>
  <c r="H13" i="121" s="1"/>
  <c r="I13" i="121" s="1"/>
  <c r="E13" i="121"/>
  <c r="G12" i="121"/>
  <c r="H12" i="121" s="1"/>
  <c r="E12" i="121"/>
  <c r="G11" i="121"/>
  <c r="E11" i="121"/>
  <c r="G10" i="121"/>
  <c r="E10" i="121"/>
  <c r="G9" i="121"/>
  <c r="E9" i="121"/>
  <c r="G8" i="121"/>
  <c r="E8" i="121"/>
  <c r="G7" i="121"/>
  <c r="E7" i="121"/>
  <c r="G6" i="121"/>
  <c r="E6" i="121"/>
  <c r="G7" i="122"/>
  <c r="E7" i="122"/>
  <c r="G6" i="122"/>
  <c r="E6" i="122"/>
  <c r="E13" i="123"/>
  <c r="E12" i="123"/>
  <c r="E11" i="123"/>
  <c r="E10" i="123"/>
  <c r="E9" i="123"/>
  <c r="E8" i="123"/>
  <c r="E7" i="123"/>
  <c r="E6" i="123"/>
  <c r="G7" i="125"/>
  <c r="E7" i="125"/>
  <c r="G6" i="125"/>
  <c r="E6" i="125"/>
  <c r="G10" i="126"/>
  <c r="E10" i="126"/>
  <c r="G7" i="126"/>
  <c r="E7" i="126"/>
  <c r="G6" i="126"/>
  <c r="E6" i="126"/>
  <c r="G14" i="128"/>
  <c r="E14" i="128"/>
  <c r="G13" i="128"/>
  <c r="E13" i="128"/>
  <c r="G12" i="128"/>
  <c r="E12" i="128"/>
  <c r="G11" i="128"/>
  <c r="E11" i="128"/>
  <c r="G10" i="128"/>
  <c r="E10" i="128"/>
  <c r="G9" i="128"/>
  <c r="E9" i="128"/>
  <c r="G8" i="128"/>
  <c r="E8" i="128"/>
  <c r="G7" i="128"/>
  <c r="E7" i="128"/>
  <c r="G6" i="128"/>
  <c r="E6" i="128"/>
  <c r="G8" i="129"/>
  <c r="E8" i="129"/>
  <c r="G7" i="129"/>
  <c r="E7" i="129"/>
  <c r="G6" i="129"/>
  <c r="E6" i="129"/>
  <c r="E933" i="71"/>
  <c r="G7" i="96" s="1"/>
  <c r="E934" i="71"/>
  <c r="G8" i="96" s="1"/>
  <c r="E935" i="71"/>
  <c r="G9" i="96" s="1"/>
  <c r="E932" i="71"/>
  <c r="G6" i="96" s="1"/>
  <c r="F14" i="123"/>
  <c r="C11" i="123"/>
  <c r="C12" i="123"/>
  <c r="C13" i="123"/>
  <c r="E1005" i="71"/>
  <c r="G7" i="123" s="1"/>
  <c r="E1006" i="71"/>
  <c r="G8" i="123" s="1"/>
  <c r="E1007" i="71"/>
  <c r="G9" i="123" s="1"/>
  <c r="E1008" i="71"/>
  <c r="G10" i="123" s="1"/>
  <c r="E1009" i="71"/>
  <c r="G11" i="123" s="1"/>
  <c r="E1010" i="71"/>
  <c r="G12" i="123" s="1"/>
  <c r="E1011" i="71"/>
  <c r="G13" i="123" s="1"/>
  <c r="E1004" i="71"/>
  <c r="G6" i="123" s="1"/>
  <c r="C15" i="121"/>
  <c r="C16" i="121"/>
  <c r="C17" i="121"/>
  <c r="C18" i="121"/>
  <c r="C19" i="121"/>
  <c r="C20" i="121"/>
  <c r="C21" i="121"/>
  <c r="C22" i="121"/>
  <c r="C23" i="121"/>
  <c r="C12" i="121"/>
  <c r="C13" i="121"/>
  <c r="C14" i="121"/>
  <c r="C69" i="97"/>
  <c r="C22" i="81"/>
  <c r="C23" i="81"/>
  <c r="C24" i="81"/>
  <c r="C25" i="81"/>
  <c r="C26" i="81"/>
  <c r="H26" i="81"/>
  <c r="C27" i="81"/>
  <c r="C28" i="81"/>
  <c r="C29" i="81"/>
  <c r="C30" i="81"/>
  <c r="C31" i="81"/>
  <c r="C32" i="81"/>
  <c r="C33" i="81"/>
  <c r="C34" i="81"/>
  <c r="C35" i="81"/>
  <c r="C36" i="81"/>
  <c r="C37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7" i="95"/>
  <c r="H77" i="95"/>
  <c r="C10" i="114"/>
  <c r="C11" i="114"/>
  <c r="E965" i="71"/>
  <c r="G6" i="93" s="1"/>
  <c r="E12" i="130" l="1"/>
  <c r="G10" i="125"/>
  <c r="E10" i="125"/>
  <c r="E18" i="83"/>
  <c r="G18" i="83"/>
  <c r="F34" i="81"/>
  <c r="F73" i="81"/>
  <c r="G28" i="119"/>
  <c r="E28" i="119"/>
  <c r="F11" i="114"/>
  <c r="F26" i="81"/>
  <c r="F66" i="81"/>
  <c r="E16" i="112"/>
  <c r="F10" i="114"/>
  <c r="H11" i="114"/>
  <c r="I11" i="114" s="1"/>
  <c r="H66" i="81"/>
  <c r="F58" i="81"/>
  <c r="F77" i="81"/>
  <c r="F22" i="81"/>
  <c r="F30" i="81"/>
  <c r="F54" i="81"/>
  <c r="F62" i="81"/>
  <c r="F70" i="81"/>
  <c r="E14" i="123"/>
  <c r="F12" i="121"/>
  <c r="F16" i="121"/>
  <c r="F18" i="121"/>
  <c r="F20" i="121"/>
  <c r="G16" i="112"/>
  <c r="I15" i="112"/>
  <c r="E13" i="96"/>
  <c r="F34" i="84"/>
  <c r="F32" i="84"/>
  <c r="F30" i="84"/>
  <c r="F28" i="84"/>
  <c r="H13" i="123"/>
  <c r="I13" i="123" s="1"/>
  <c r="H11" i="123"/>
  <c r="I11" i="123" s="1"/>
  <c r="H11" i="96"/>
  <c r="I11" i="96" s="1"/>
  <c r="G14" i="123"/>
  <c r="H10" i="96"/>
  <c r="I10" i="96" s="1"/>
  <c r="H12" i="123"/>
  <c r="I12" i="123" s="1"/>
  <c r="H12" i="96"/>
  <c r="I12" i="96" s="1"/>
  <c r="F35" i="84"/>
  <c r="F33" i="84"/>
  <c r="F31" i="84"/>
  <c r="F29" i="84"/>
  <c r="F27" i="84"/>
  <c r="F15" i="112"/>
  <c r="I35" i="84"/>
  <c r="I33" i="84"/>
  <c r="I31" i="84"/>
  <c r="I29" i="84"/>
  <c r="I27" i="84"/>
  <c r="F21" i="121"/>
  <c r="F19" i="121"/>
  <c r="F17" i="121"/>
  <c r="F15" i="121"/>
  <c r="F13" i="121"/>
  <c r="F14" i="121"/>
  <c r="F22" i="121"/>
  <c r="F23" i="121"/>
  <c r="F75" i="81"/>
  <c r="F71" i="81"/>
  <c r="F67" i="81"/>
  <c r="H10" i="114"/>
  <c r="I10" i="114" s="1"/>
  <c r="F76" i="81"/>
  <c r="F72" i="81"/>
  <c r="F68" i="81"/>
  <c r="F64" i="81"/>
  <c r="F60" i="81"/>
  <c r="F56" i="81"/>
  <c r="F36" i="81"/>
  <c r="F32" i="81"/>
  <c r="F28" i="81"/>
  <c r="F24" i="81"/>
  <c r="H69" i="97"/>
  <c r="I69" i="97" s="1"/>
  <c r="I14" i="121"/>
  <c r="I12" i="121"/>
  <c r="I22" i="121"/>
  <c r="I20" i="121"/>
  <c r="I18" i="121"/>
  <c r="I16" i="121"/>
  <c r="F69" i="81"/>
  <c r="F65" i="81"/>
  <c r="F61" i="81"/>
  <c r="F57" i="81"/>
  <c r="F37" i="81"/>
  <c r="F33" i="81"/>
  <c r="F29" i="81"/>
  <c r="F25" i="81"/>
  <c r="F77" i="95"/>
  <c r="F74" i="81"/>
  <c r="F63" i="81"/>
  <c r="F59" i="81"/>
  <c r="F55" i="81"/>
  <c r="F35" i="81"/>
  <c r="F31" i="81"/>
  <c r="F27" i="81"/>
  <c r="F23" i="81"/>
  <c r="I30" i="81"/>
  <c r="I28" i="81"/>
  <c r="I26" i="81"/>
  <c r="I24" i="81"/>
  <c r="I22" i="81"/>
  <c r="I77" i="95"/>
  <c r="I76" i="81"/>
  <c r="I74" i="81"/>
  <c r="I72" i="81"/>
  <c r="I70" i="81"/>
  <c r="I68" i="81"/>
  <c r="I66" i="81"/>
  <c r="I64" i="81"/>
  <c r="I62" i="81"/>
  <c r="I60" i="81"/>
  <c r="I58" i="81"/>
  <c r="I56" i="81"/>
  <c r="I54" i="81"/>
  <c r="I36" i="81"/>
  <c r="I34" i="81"/>
  <c r="I32" i="81"/>
  <c r="E941" i="71"/>
  <c r="G7" i="87" s="1"/>
  <c r="E942" i="71"/>
  <c r="G8" i="87" s="1"/>
  <c r="E943" i="71"/>
  <c r="G9" i="87" s="1"/>
  <c r="E944" i="71"/>
  <c r="G10" i="87" s="1"/>
  <c r="E945" i="71"/>
  <c r="G11" i="87" s="1"/>
  <c r="E946" i="71"/>
  <c r="G12" i="87" s="1"/>
  <c r="E947" i="71"/>
  <c r="G13" i="87" s="1"/>
  <c r="E948" i="71"/>
  <c r="G14" i="87" s="1"/>
  <c r="E940" i="71"/>
  <c r="G6" i="87" s="1"/>
  <c r="C22" i="77" l="1"/>
  <c r="C21" i="77"/>
  <c r="C20" i="77"/>
  <c r="C19" i="77"/>
  <c r="H18" i="77"/>
  <c r="I18" i="77" s="1"/>
  <c r="C18" i="77"/>
  <c r="C17" i="77"/>
  <c r="H16" i="77"/>
  <c r="I16" i="77" s="1"/>
  <c r="C16" i="77"/>
  <c r="C15" i="77"/>
  <c r="F20" i="77" l="1"/>
  <c r="F15" i="77"/>
  <c r="F18" i="77"/>
  <c r="F22" i="77"/>
  <c r="F19" i="77"/>
  <c r="F21" i="77"/>
  <c r="F16" i="77"/>
  <c r="F17" i="77"/>
  <c r="H19" i="77"/>
  <c r="I19" i="77" s="1"/>
  <c r="H21" i="77"/>
  <c r="I21" i="77" s="1"/>
  <c r="H15" i="77"/>
  <c r="I15" i="77" s="1"/>
  <c r="H17" i="77"/>
  <c r="I17" i="77" s="1"/>
  <c r="H20" i="77"/>
  <c r="I20" i="77" s="1"/>
  <c r="H22" i="77"/>
  <c r="I22" i="77" s="1"/>
  <c r="H48" i="108" l="1"/>
  <c r="F48" i="108"/>
  <c r="C48" i="108"/>
  <c r="H47" i="108"/>
  <c r="I47" i="108" s="1"/>
  <c r="C47" i="108"/>
  <c r="H46" i="108"/>
  <c r="C46" i="108"/>
  <c r="H45" i="108"/>
  <c r="I45" i="108" s="1"/>
  <c r="C45" i="108"/>
  <c r="H44" i="108"/>
  <c r="C44" i="108"/>
  <c r="H43" i="108"/>
  <c r="I43" i="108" s="1"/>
  <c r="C43" i="108"/>
  <c r="H42" i="108"/>
  <c r="C42" i="108"/>
  <c r="C41" i="108"/>
  <c r="C40" i="108"/>
  <c r="H39" i="108"/>
  <c r="I39" i="108" s="1"/>
  <c r="C39" i="108"/>
  <c r="C38" i="108"/>
  <c r="H37" i="108"/>
  <c r="I37" i="108" s="1"/>
  <c r="C37" i="108"/>
  <c r="C36" i="108"/>
  <c r="H35" i="108"/>
  <c r="I35" i="108" s="1"/>
  <c r="C35" i="108"/>
  <c r="C34" i="108"/>
  <c r="C67" i="97"/>
  <c r="C66" i="97"/>
  <c r="C40" i="106"/>
  <c r="H39" i="106"/>
  <c r="C39" i="106"/>
  <c r="C38" i="106"/>
  <c r="C37" i="106"/>
  <c r="H36" i="106"/>
  <c r="I36" i="106" s="1"/>
  <c r="C36" i="106"/>
  <c r="H35" i="106"/>
  <c r="C35" i="106"/>
  <c r="C34" i="106"/>
  <c r="H33" i="106"/>
  <c r="C33" i="106"/>
  <c r="C32" i="106"/>
  <c r="H31" i="106"/>
  <c r="C31" i="106"/>
  <c r="C30" i="106"/>
  <c r="J12" i="130"/>
  <c r="H8" i="130"/>
  <c r="I8" i="130" s="1"/>
  <c r="E961" i="71"/>
  <c r="G15" i="92" s="1"/>
  <c r="E953" i="71"/>
  <c r="G7" i="92" s="1"/>
  <c r="E954" i="71"/>
  <c r="G8" i="92" s="1"/>
  <c r="E955" i="71"/>
  <c r="G9" i="92" s="1"/>
  <c r="E956" i="71"/>
  <c r="G10" i="92" s="1"/>
  <c r="E957" i="71"/>
  <c r="G11" i="92" s="1"/>
  <c r="E958" i="71"/>
  <c r="G12" i="92" s="1"/>
  <c r="E959" i="71"/>
  <c r="G13" i="92" s="1"/>
  <c r="E960" i="71"/>
  <c r="G14" i="92" s="1"/>
  <c r="E952" i="71"/>
  <c r="G6" i="92" s="1"/>
  <c r="C15" i="107"/>
  <c r="H14" i="107"/>
  <c r="I14" i="107" s="1"/>
  <c r="C14" i="107"/>
  <c r="C13" i="107"/>
  <c r="C12" i="107"/>
  <c r="H11" i="107"/>
  <c r="I11" i="107" s="1"/>
  <c r="C11" i="107"/>
  <c r="C13" i="128"/>
  <c r="C12" i="128"/>
  <c r="C11" i="128"/>
  <c r="H10" i="128"/>
  <c r="I10" i="128" s="1"/>
  <c r="C10" i="128"/>
  <c r="C47" i="78"/>
  <c r="H46" i="78"/>
  <c r="C46" i="78"/>
  <c r="H45" i="78"/>
  <c r="I45" i="78" s="1"/>
  <c r="C45" i="78"/>
  <c r="C44" i="78"/>
  <c r="H43" i="78"/>
  <c r="I43" i="78" s="1"/>
  <c r="C43" i="78"/>
  <c r="C42" i="78"/>
  <c r="F44" i="108" l="1"/>
  <c r="F45" i="108"/>
  <c r="F37" i="108"/>
  <c r="F41" i="108"/>
  <c r="F40" i="106"/>
  <c r="F35" i="108"/>
  <c r="F39" i="108"/>
  <c r="F43" i="108"/>
  <c r="F34" i="108"/>
  <c r="F42" i="108"/>
  <c r="F38" i="108"/>
  <c r="F36" i="108"/>
  <c r="F40" i="108"/>
  <c r="F46" i="108"/>
  <c r="F47" i="108"/>
  <c r="I42" i="108"/>
  <c r="I44" i="108"/>
  <c r="I46" i="108"/>
  <c r="I48" i="108"/>
  <c r="H34" i="108"/>
  <c r="I34" i="108" s="1"/>
  <c r="H36" i="108"/>
  <c r="I36" i="108" s="1"/>
  <c r="H38" i="108"/>
  <c r="I38" i="108" s="1"/>
  <c r="H40" i="108"/>
  <c r="I40" i="108" s="1"/>
  <c r="H41" i="108"/>
  <c r="I41" i="108" s="1"/>
  <c r="F33" i="106"/>
  <c r="F37" i="106"/>
  <c r="F66" i="97"/>
  <c r="H66" i="97"/>
  <c r="I66" i="97" s="1"/>
  <c r="F67" i="97"/>
  <c r="H67" i="97"/>
  <c r="I67" i="97" s="1"/>
  <c r="F31" i="106"/>
  <c r="F39" i="106"/>
  <c r="F30" i="106"/>
  <c r="F35" i="106"/>
  <c r="F36" i="106"/>
  <c r="F32" i="106"/>
  <c r="F38" i="106"/>
  <c r="I35" i="106"/>
  <c r="I39" i="106"/>
  <c r="I31" i="106"/>
  <c r="I33" i="106"/>
  <c r="H37" i="106"/>
  <c r="I37" i="106" s="1"/>
  <c r="H30" i="106"/>
  <c r="I30" i="106" s="1"/>
  <c r="H32" i="106"/>
  <c r="I32" i="106" s="1"/>
  <c r="H34" i="106"/>
  <c r="I34" i="106" s="1"/>
  <c r="H38" i="106"/>
  <c r="I38" i="106" s="1"/>
  <c r="H40" i="106"/>
  <c r="I40" i="106" s="1"/>
  <c r="F34" i="106"/>
  <c r="F7" i="130"/>
  <c r="H7" i="130"/>
  <c r="I7" i="130" s="1"/>
  <c r="F8" i="130"/>
  <c r="F6" i="130"/>
  <c r="H6" i="130"/>
  <c r="F13" i="107"/>
  <c r="F12" i="107"/>
  <c r="F15" i="107"/>
  <c r="F14" i="107"/>
  <c r="F11" i="107"/>
  <c r="H12" i="107"/>
  <c r="I12" i="107" s="1"/>
  <c r="H13" i="107"/>
  <c r="I13" i="107" s="1"/>
  <c r="H15" i="107"/>
  <c r="I15" i="107" s="1"/>
  <c r="H11" i="128"/>
  <c r="I11" i="128" s="1"/>
  <c r="H12" i="128"/>
  <c r="I12" i="128" s="1"/>
  <c r="H13" i="128"/>
  <c r="I13" i="128" s="1"/>
  <c r="F43" i="78"/>
  <c r="F42" i="78"/>
  <c r="F46" i="78"/>
  <c r="F47" i="78"/>
  <c r="F45" i="78"/>
  <c r="F44" i="78"/>
  <c r="I46" i="78"/>
  <c r="H42" i="78"/>
  <c r="I42" i="78" s="1"/>
  <c r="H44" i="78"/>
  <c r="I44" i="78" s="1"/>
  <c r="H47" i="78"/>
  <c r="I47" i="78" s="1"/>
  <c r="H12" i="130" l="1"/>
  <c r="F12" i="130"/>
  <c r="I6" i="130"/>
  <c r="I12" i="130" s="1"/>
  <c r="C67" i="95"/>
  <c r="N7" i="35"/>
  <c r="F67" i="95" l="1"/>
  <c r="H67" i="95"/>
  <c r="I67" i="95" s="1"/>
  <c r="C40" i="75" l="1"/>
  <c r="H39" i="75"/>
  <c r="C39" i="75"/>
  <c r="C38" i="75"/>
  <c r="H37" i="75"/>
  <c r="C37" i="75"/>
  <c r="C36" i="75"/>
  <c r="C35" i="75"/>
  <c r="H34" i="75"/>
  <c r="I34" i="75" s="1"/>
  <c r="C34" i="75"/>
  <c r="C33" i="75"/>
  <c r="F40" i="75" l="1"/>
  <c r="F36" i="75"/>
  <c r="F34" i="75"/>
  <c r="F39" i="75"/>
  <c r="F37" i="75"/>
  <c r="F38" i="75"/>
  <c r="F33" i="75"/>
  <c r="F35" i="75"/>
  <c r="I37" i="75"/>
  <c r="I39" i="75"/>
  <c r="H33" i="75"/>
  <c r="I33" i="75" s="1"/>
  <c r="H35" i="75"/>
  <c r="I35" i="75" s="1"/>
  <c r="H36" i="75"/>
  <c r="I36" i="75" s="1"/>
  <c r="H38" i="75"/>
  <c r="I38" i="75" s="1"/>
  <c r="H40" i="75"/>
  <c r="I40" i="75" s="1"/>
  <c r="C7" i="125"/>
  <c r="H7" i="125" l="1"/>
  <c r="I7" i="125" s="1"/>
  <c r="L19" i="35" l="1"/>
  <c r="C18" i="115" l="1"/>
  <c r="H18" i="115"/>
  <c r="C19" i="115"/>
  <c r="H19" i="115"/>
  <c r="I19" i="115" s="1"/>
  <c r="C20" i="115"/>
  <c r="H20" i="115"/>
  <c r="C21" i="115"/>
  <c r="H21" i="115"/>
  <c r="I21" i="115" s="1"/>
  <c r="C22" i="115"/>
  <c r="H22" i="115"/>
  <c r="C23" i="115"/>
  <c r="H23" i="115"/>
  <c r="C24" i="115"/>
  <c r="H24" i="115"/>
  <c r="C25" i="115"/>
  <c r="H25" i="115"/>
  <c r="I25" i="115" l="1"/>
  <c r="I23" i="115"/>
  <c r="F25" i="115"/>
  <c r="F23" i="115"/>
  <c r="F21" i="115"/>
  <c r="F19" i="115"/>
  <c r="F18" i="115"/>
  <c r="F24" i="115"/>
  <c r="F22" i="115"/>
  <c r="F20" i="115"/>
  <c r="I24" i="115"/>
  <c r="I22" i="115"/>
  <c r="I20" i="115"/>
  <c r="I18" i="115"/>
  <c r="C36" i="116" l="1"/>
  <c r="F36" i="116" l="1"/>
  <c r="H36" i="116"/>
  <c r="I36" i="116" s="1"/>
  <c r="J18" i="113" l="1"/>
  <c r="C54" i="84"/>
  <c r="H53" i="84"/>
  <c r="C53" i="84"/>
  <c r="H52" i="84"/>
  <c r="I52" i="84" s="1"/>
  <c r="C52" i="84"/>
  <c r="C51" i="84"/>
  <c r="H50" i="84"/>
  <c r="I50" i="84" s="1"/>
  <c r="C50" i="84"/>
  <c r="C49" i="84"/>
  <c r="H48" i="84"/>
  <c r="I48" i="84" s="1"/>
  <c r="C48" i="84"/>
  <c r="F53" i="84" l="1"/>
  <c r="F54" i="84"/>
  <c r="F49" i="84"/>
  <c r="F48" i="84"/>
  <c r="F52" i="84"/>
  <c r="F51" i="84"/>
  <c r="I53" i="84"/>
  <c r="F50" i="84"/>
  <c r="H49" i="84"/>
  <c r="I49" i="84" s="1"/>
  <c r="H51" i="84"/>
  <c r="I51" i="84" s="1"/>
  <c r="H54" i="84"/>
  <c r="I54" i="84" s="1"/>
  <c r="G4" i="110" l="1"/>
  <c r="B51" i="35"/>
  <c r="C6" i="110" l="1"/>
  <c r="C8" i="110"/>
  <c r="F24" i="110"/>
  <c r="J24" i="110"/>
  <c r="H65" i="97"/>
  <c r="H64" i="97"/>
  <c r="G12" i="114"/>
  <c r="E12" i="114"/>
  <c r="C7" i="110"/>
  <c r="C9" i="110"/>
  <c r="C10" i="110"/>
  <c r="C11" i="110"/>
  <c r="C12" i="110"/>
  <c r="C13" i="110"/>
  <c r="C14" i="110"/>
  <c r="C15" i="110"/>
  <c r="C75" i="95"/>
  <c r="H75" i="95"/>
  <c r="C65" i="97"/>
  <c r="C64" i="97"/>
  <c r="G57" i="84" l="1"/>
  <c r="G17" i="85"/>
  <c r="G43" i="82"/>
  <c r="G83" i="95"/>
  <c r="E25" i="89"/>
  <c r="E83" i="95"/>
  <c r="G24" i="77"/>
  <c r="G17" i="76"/>
  <c r="G24" i="90"/>
  <c r="G25" i="89"/>
  <c r="G23" i="88"/>
  <c r="G92" i="81"/>
  <c r="G48" i="78"/>
  <c r="G55" i="75"/>
  <c r="G8" i="124"/>
  <c r="G58" i="94"/>
  <c r="E58" i="94"/>
  <c r="G18" i="113"/>
  <c r="E18" i="113"/>
  <c r="E24" i="110"/>
  <c r="H13" i="110"/>
  <c r="I13" i="110" s="1"/>
  <c r="H9" i="110"/>
  <c r="I9" i="110" s="1"/>
  <c r="H12" i="110"/>
  <c r="I12" i="110" s="1"/>
  <c r="H8" i="110"/>
  <c r="I8" i="110" s="1"/>
  <c r="H15" i="110"/>
  <c r="I15" i="110" s="1"/>
  <c r="H11" i="110"/>
  <c r="I11" i="110" s="1"/>
  <c r="H7" i="110"/>
  <c r="I7" i="110" s="1"/>
  <c r="H14" i="110"/>
  <c r="I14" i="110" s="1"/>
  <c r="H10" i="110"/>
  <c r="I10" i="110" s="1"/>
  <c r="H6" i="110"/>
  <c r="I6" i="110" s="1"/>
  <c r="G24" i="110"/>
  <c r="F75" i="95"/>
  <c r="I75" i="95"/>
  <c r="F64" i="97"/>
  <c r="F65" i="97"/>
  <c r="I65" i="97"/>
  <c r="I64" i="97"/>
  <c r="I24" i="110" l="1"/>
  <c r="H24" i="110"/>
  <c r="G7" i="93" l="1"/>
  <c r="C87" i="81"/>
  <c r="C86" i="81"/>
  <c r="H85" i="81"/>
  <c r="I85" i="81" s="1"/>
  <c r="C85" i="81"/>
  <c r="C84" i="81"/>
  <c r="F84" i="81" l="1"/>
  <c r="F87" i="81"/>
  <c r="F85" i="81"/>
  <c r="F86" i="81"/>
  <c r="H86" i="81"/>
  <c r="I86" i="81" s="1"/>
  <c r="H84" i="81"/>
  <c r="I84" i="81" s="1"/>
  <c r="H87" i="81"/>
  <c r="I87" i="81" s="1"/>
  <c r="G15" i="87" l="1"/>
  <c r="G16" i="92" l="1"/>
  <c r="C37" i="78"/>
  <c r="H36" i="78"/>
  <c r="C36" i="78"/>
  <c r="C35" i="78"/>
  <c r="H34" i="78"/>
  <c r="C34" i="78"/>
  <c r="C33" i="78"/>
  <c r="C32" i="78"/>
  <c r="F33" i="78" l="1"/>
  <c r="F36" i="78"/>
  <c r="F37" i="78"/>
  <c r="F34" i="78"/>
  <c r="F35" i="78"/>
  <c r="F32" i="78"/>
  <c r="I34" i="78"/>
  <c r="I36" i="78"/>
  <c r="H32" i="78"/>
  <c r="I32" i="78" s="1"/>
  <c r="H33" i="78"/>
  <c r="I33" i="78" s="1"/>
  <c r="H35" i="78"/>
  <c r="I35" i="78" s="1"/>
  <c r="H37" i="78"/>
  <c r="I37" i="78" s="1"/>
  <c r="C34" i="107" l="1"/>
  <c r="H33" i="107"/>
  <c r="C33" i="107"/>
  <c r="C32" i="107"/>
  <c r="H31" i="107"/>
  <c r="I31" i="107" s="1"/>
  <c r="C31" i="107"/>
  <c r="C30" i="107"/>
  <c r="H29" i="107"/>
  <c r="I29" i="107" s="1"/>
  <c r="C29" i="107"/>
  <c r="F29" i="107" l="1"/>
  <c r="F34" i="107"/>
  <c r="F30" i="107"/>
  <c r="F33" i="107"/>
  <c r="F31" i="107"/>
  <c r="F32" i="107"/>
  <c r="I33" i="107"/>
  <c r="H30" i="107"/>
  <c r="I30" i="107" s="1"/>
  <c r="H32" i="107"/>
  <c r="I32" i="107" s="1"/>
  <c r="H34" i="107"/>
  <c r="I34" i="107" s="1"/>
  <c r="C32" i="108" l="1"/>
  <c r="H31" i="108"/>
  <c r="C31" i="108"/>
  <c r="H30" i="108"/>
  <c r="I30" i="108" s="1"/>
  <c r="C30" i="108"/>
  <c r="C29" i="108"/>
  <c r="H28" i="108"/>
  <c r="I28" i="108" s="1"/>
  <c r="C28" i="108"/>
  <c r="C27" i="108"/>
  <c r="F31" i="108" l="1"/>
  <c r="F32" i="108"/>
  <c r="F28" i="108"/>
  <c r="F27" i="108"/>
  <c r="F30" i="108"/>
  <c r="I31" i="108"/>
  <c r="F29" i="108"/>
  <c r="H27" i="108"/>
  <c r="I27" i="108" s="1"/>
  <c r="H29" i="108"/>
  <c r="I29" i="108" s="1"/>
  <c r="H32" i="108"/>
  <c r="I32" i="108" s="1"/>
  <c r="C37" i="95" l="1"/>
  <c r="H36" i="95"/>
  <c r="C36" i="95"/>
  <c r="C35" i="95"/>
  <c r="C34" i="95"/>
  <c r="C33" i="95"/>
  <c r="C32" i="95"/>
  <c r="H31" i="95"/>
  <c r="I31" i="95" s="1"/>
  <c r="C31" i="95"/>
  <c r="H19" i="95"/>
  <c r="C19" i="95"/>
  <c r="H18" i="95"/>
  <c r="I18" i="95" s="1"/>
  <c r="C18" i="95"/>
  <c r="F19" i="95" l="1"/>
  <c r="F34" i="95"/>
  <c r="F36" i="95"/>
  <c r="F37" i="95"/>
  <c r="F31" i="95"/>
  <c r="F18" i="95"/>
  <c r="F33" i="95"/>
  <c r="F35" i="95"/>
  <c r="I36" i="95"/>
  <c r="F32" i="95"/>
  <c r="H34" i="95"/>
  <c r="I34" i="95" s="1"/>
  <c r="I19" i="95"/>
  <c r="H32" i="95"/>
  <c r="I32" i="95" s="1"/>
  <c r="H33" i="95"/>
  <c r="I33" i="95" s="1"/>
  <c r="H35" i="95"/>
  <c r="I35" i="95" s="1"/>
  <c r="H37" i="95"/>
  <c r="I37" i="95" s="1"/>
  <c r="C53" i="97" l="1"/>
  <c r="C52" i="97"/>
  <c r="F53" i="97" l="1"/>
  <c r="F52" i="97"/>
  <c r="H52" i="97"/>
  <c r="I52" i="97" s="1"/>
  <c r="H53" i="97"/>
  <c r="I53" i="97" s="1"/>
  <c r="C17" i="118" l="1"/>
  <c r="H16" i="118"/>
  <c r="C16" i="118"/>
  <c r="C15" i="118"/>
  <c r="C14" i="118"/>
  <c r="H13" i="118"/>
  <c r="I13" i="118" s="1"/>
  <c r="C13" i="118"/>
  <c r="C12" i="118"/>
  <c r="F17" i="118" l="1"/>
  <c r="F13" i="118"/>
  <c r="F12" i="118"/>
  <c r="F16" i="118"/>
  <c r="F15" i="118"/>
  <c r="I16" i="118"/>
  <c r="F14" i="118"/>
  <c r="H14" i="118"/>
  <c r="I14" i="118" s="1"/>
  <c r="H12" i="118"/>
  <c r="I12" i="118" s="1"/>
  <c r="H15" i="118"/>
  <c r="I15" i="118" s="1"/>
  <c r="H17" i="118"/>
  <c r="I17" i="118" s="1"/>
  <c r="C16" i="76" l="1"/>
  <c r="C14" i="76"/>
  <c r="C13" i="76"/>
  <c r="H12" i="76"/>
  <c r="I12" i="76" s="1"/>
  <c r="C12" i="76"/>
  <c r="C11" i="76"/>
  <c r="H10" i="76"/>
  <c r="I10" i="76" s="1"/>
  <c r="C10" i="76"/>
  <c r="F11" i="76" l="1"/>
  <c r="F14" i="76"/>
  <c r="F16" i="76"/>
  <c r="F12" i="76"/>
  <c r="F10" i="76"/>
  <c r="H16" i="76"/>
  <c r="I16" i="76" s="1"/>
  <c r="H13" i="76"/>
  <c r="I13" i="76" s="1"/>
  <c r="F13" i="76"/>
  <c r="H11" i="76"/>
  <c r="I11" i="76" s="1"/>
  <c r="H14" i="76"/>
  <c r="I14" i="76" s="1"/>
  <c r="C41" i="82" l="1"/>
  <c r="H40" i="82"/>
  <c r="C40" i="82"/>
  <c r="C39" i="82"/>
  <c r="H38" i="82"/>
  <c r="C38" i="82"/>
  <c r="C37" i="82"/>
  <c r="F39" i="82" l="1"/>
  <c r="F41" i="82"/>
  <c r="F38" i="82"/>
  <c r="F40" i="82"/>
  <c r="I38" i="82"/>
  <c r="I40" i="82"/>
  <c r="H37" i="82"/>
  <c r="I37" i="82" s="1"/>
  <c r="H39" i="82"/>
  <c r="I39" i="82" s="1"/>
  <c r="H41" i="82"/>
  <c r="I41" i="82" s="1"/>
  <c r="F37" i="82"/>
  <c r="H15" i="111"/>
  <c r="C15" i="111"/>
  <c r="C14" i="111"/>
  <c r="H13" i="111"/>
  <c r="C13" i="111"/>
  <c r="H12" i="111"/>
  <c r="I12" i="111" s="1"/>
  <c r="C12" i="111"/>
  <c r="H11" i="111"/>
  <c r="C11" i="111"/>
  <c r="F15" i="111" l="1"/>
  <c r="F13" i="111"/>
  <c r="F14" i="111"/>
  <c r="F12" i="111"/>
  <c r="I13" i="111"/>
  <c r="I15" i="111"/>
  <c r="F11" i="111"/>
  <c r="I11" i="111"/>
  <c r="H14" i="111"/>
  <c r="I14" i="111" s="1"/>
  <c r="C78" i="95" l="1"/>
  <c r="C81" i="95"/>
  <c r="C82" i="95"/>
  <c r="C10" i="89" l="1"/>
  <c r="C16" i="89"/>
  <c r="H15" i="89"/>
  <c r="C15" i="89"/>
  <c r="H14" i="89"/>
  <c r="I14" i="89" s="1"/>
  <c r="C14" i="89"/>
  <c r="C13" i="89"/>
  <c r="H12" i="89"/>
  <c r="I12" i="89" s="1"/>
  <c r="C12" i="89"/>
  <c r="C11" i="89"/>
  <c r="F12" i="89" l="1"/>
  <c r="F11" i="89"/>
  <c r="F15" i="89"/>
  <c r="F16" i="89"/>
  <c r="F14" i="89"/>
  <c r="F13" i="89"/>
  <c r="I15" i="89"/>
  <c r="H13" i="89"/>
  <c r="I13" i="89" s="1"/>
  <c r="H11" i="89"/>
  <c r="I11" i="89" s="1"/>
  <c r="H16" i="89"/>
  <c r="I16" i="89" s="1"/>
  <c r="C55" i="84" l="1"/>
  <c r="C47" i="84"/>
  <c r="H46" i="84"/>
  <c r="I46" i="84" s="1"/>
  <c r="C46" i="84"/>
  <c r="C45" i="84"/>
  <c r="H44" i="84"/>
  <c r="I44" i="84" s="1"/>
  <c r="C44" i="84"/>
  <c r="C43" i="84"/>
  <c r="H42" i="84"/>
  <c r="I42" i="84" s="1"/>
  <c r="C42" i="84"/>
  <c r="C14" i="119"/>
  <c r="C13" i="119"/>
  <c r="H12" i="119"/>
  <c r="C12" i="119"/>
  <c r="F12" i="119" l="1"/>
  <c r="F55" i="84"/>
  <c r="F45" i="84"/>
  <c r="F44" i="84"/>
  <c r="F42" i="84"/>
  <c r="F43" i="84"/>
  <c r="F47" i="84"/>
  <c r="F46" i="84"/>
  <c r="H43" i="84"/>
  <c r="I43" i="84" s="1"/>
  <c r="H45" i="84"/>
  <c r="I45" i="84" s="1"/>
  <c r="H47" i="84"/>
  <c r="I47" i="84" s="1"/>
  <c r="H55" i="84"/>
  <c r="I55" i="84" s="1"/>
  <c r="F14" i="119"/>
  <c r="F13" i="119"/>
  <c r="I12" i="119"/>
  <c r="H13" i="119"/>
  <c r="I13" i="119" s="1"/>
  <c r="H14" i="119"/>
  <c r="I14" i="119" s="1"/>
  <c r="C21" i="88" l="1"/>
  <c r="C20" i="88"/>
  <c r="F21" i="88" l="1"/>
  <c r="F20" i="88"/>
  <c r="H20" i="88"/>
  <c r="I20" i="88" s="1"/>
  <c r="H21" i="88"/>
  <c r="I21" i="88" s="1"/>
  <c r="C14" i="77"/>
  <c r="H13" i="77"/>
  <c r="C13" i="77"/>
  <c r="H12" i="77"/>
  <c r="I12" i="77" s="1"/>
  <c r="C12" i="77"/>
  <c r="H42" i="106"/>
  <c r="I42" i="106" s="1"/>
  <c r="C42" i="106"/>
  <c r="C41" i="106"/>
  <c r="H29" i="106"/>
  <c r="I29" i="106" s="1"/>
  <c r="C29" i="106"/>
  <c r="C28" i="106"/>
  <c r="C27" i="106"/>
  <c r="F14" i="77" l="1"/>
  <c r="F13" i="77"/>
  <c r="F12" i="77"/>
  <c r="I13" i="77"/>
  <c r="H14" i="77"/>
  <c r="I14" i="77" s="1"/>
  <c r="F41" i="106"/>
  <c r="F42" i="106"/>
  <c r="F29" i="106"/>
  <c r="F28" i="106"/>
  <c r="H28" i="106"/>
  <c r="I28" i="106" s="1"/>
  <c r="H41" i="106"/>
  <c r="I41" i="106" s="1"/>
  <c r="F27" i="106"/>
  <c r="H27" i="106"/>
  <c r="I27" i="106" s="1"/>
  <c r="C24" i="75" l="1"/>
  <c r="H23" i="75"/>
  <c r="C23" i="75"/>
  <c r="H22" i="75"/>
  <c r="I22" i="75" s="1"/>
  <c r="C22" i="75"/>
  <c r="C21" i="75"/>
  <c r="H20" i="75"/>
  <c r="I20" i="75" s="1"/>
  <c r="C20" i="75"/>
  <c r="C19" i="75"/>
  <c r="C33" i="116"/>
  <c r="H32" i="116"/>
  <c r="C32" i="116"/>
  <c r="C31" i="116"/>
  <c r="C30" i="116"/>
  <c r="C29" i="116"/>
  <c r="F33" i="116" l="1"/>
  <c r="F32" i="116"/>
  <c r="F19" i="75"/>
  <c r="F23" i="75"/>
  <c r="F24" i="75"/>
  <c r="F22" i="75"/>
  <c r="F21" i="75"/>
  <c r="I23" i="75"/>
  <c r="F20" i="75"/>
  <c r="H21" i="75"/>
  <c r="I21" i="75" s="1"/>
  <c r="H19" i="75"/>
  <c r="I19" i="75" s="1"/>
  <c r="H24" i="75"/>
  <c r="I24" i="75" s="1"/>
  <c r="F29" i="116"/>
  <c r="F31" i="116"/>
  <c r="I32" i="116"/>
  <c r="F30" i="116"/>
  <c r="H30" i="116"/>
  <c r="I30" i="116" s="1"/>
  <c r="H29" i="116"/>
  <c r="I29" i="116" s="1"/>
  <c r="H31" i="116"/>
  <c r="I31" i="116" s="1"/>
  <c r="H33" i="116"/>
  <c r="I33" i="116" s="1"/>
  <c r="C17" i="83" l="1"/>
  <c r="H16" i="83"/>
  <c r="C16" i="83"/>
  <c r="H15" i="83"/>
  <c r="I15" i="83" s="1"/>
  <c r="C15" i="83"/>
  <c r="C14" i="83"/>
  <c r="C13" i="83"/>
  <c r="F13" i="83" l="1"/>
  <c r="F17" i="83"/>
  <c r="F16" i="83"/>
  <c r="F15" i="83"/>
  <c r="I16" i="83"/>
  <c r="F14" i="83"/>
  <c r="H14" i="83"/>
  <c r="I14" i="83" s="1"/>
  <c r="H13" i="83"/>
  <c r="I13" i="83" s="1"/>
  <c r="H17" i="83"/>
  <c r="I17" i="83" s="1"/>
  <c r="C6" i="97" l="1"/>
  <c r="C47" i="97"/>
  <c r="H47" i="97"/>
  <c r="C48" i="97"/>
  <c r="H48" i="97"/>
  <c r="I48" i="97" s="1"/>
  <c r="C49" i="97"/>
  <c r="H49" i="97"/>
  <c r="C50" i="97"/>
  <c r="H50" i="97"/>
  <c r="C51" i="97"/>
  <c r="H51" i="97"/>
  <c r="I51" i="97" s="1"/>
  <c r="C56" i="94"/>
  <c r="C55" i="94"/>
  <c r="C54" i="94"/>
  <c r="C53" i="94"/>
  <c r="C52" i="94"/>
  <c r="C51" i="94"/>
  <c r="F49" i="97" l="1"/>
  <c r="F50" i="97"/>
  <c r="F51" i="97"/>
  <c r="F47" i="97"/>
  <c r="F48" i="97"/>
  <c r="I50" i="97"/>
  <c r="I49" i="97"/>
  <c r="I47" i="97"/>
  <c r="F54" i="94"/>
  <c r="F56" i="94"/>
  <c r="F52" i="94"/>
  <c r="F53" i="94"/>
  <c r="F51" i="94"/>
  <c r="F55" i="94"/>
  <c r="H51" i="94"/>
  <c r="I51" i="94" s="1"/>
  <c r="H53" i="94"/>
  <c r="I53" i="94" s="1"/>
  <c r="H55" i="94"/>
  <c r="I55" i="94" s="1"/>
  <c r="H52" i="94"/>
  <c r="I52" i="94" s="1"/>
  <c r="H54" i="94"/>
  <c r="I54" i="94" s="1"/>
  <c r="H56" i="94"/>
  <c r="I56" i="94" s="1"/>
  <c r="C63" i="95" l="1"/>
  <c r="C62" i="95"/>
  <c r="C61" i="95"/>
  <c r="C60" i="95"/>
  <c r="F63" i="95" l="1"/>
  <c r="F61" i="95"/>
  <c r="F60" i="95"/>
  <c r="F62" i="95"/>
  <c r="H60" i="95"/>
  <c r="I60" i="95" s="1"/>
  <c r="H62" i="95"/>
  <c r="I62" i="95" s="1"/>
  <c r="H61" i="95"/>
  <c r="I61" i="95" s="1"/>
  <c r="H63" i="95"/>
  <c r="I63" i="95" s="1"/>
  <c r="C62" i="97" l="1"/>
  <c r="F62" i="97" l="1"/>
  <c r="H62" i="97"/>
  <c r="I62" i="97" s="1"/>
  <c r="G4" i="123" l="1"/>
  <c r="H74" i="95" l="1"/>
  <c r="C74" i="95"/>
  <c r="F74" i="95" l="1"/>
  <c r="I74" i="95"/>
  <c r="C11" i="121" l="1"/>
  <c r="C10" i="121"/>
  <c r="C9" i="121"/>
  <c r="C81" i="81"/>
  <c r="C80" i="81"/>
  <c r="C79" i="81"/>
  <c r="C78" i="81"/>
  <c r="C53" i="81"/>
  <c r="C52" i="81"/>
  <c r="C51" i="81"/>
  <c r="H6" i="92"/>
  <c r="F10" i="121" l="1"/>
  <c r="F79" i="81"/>
  <c r="F80" i="81"/>
  <c r="F11" i="121"/>
  <c r="F52" i="81"/>
  <c r="F78" i="81"/>
  <c r="F9" i="121"/>
  <c r="F51" i="81"/>
  <c r="F53" i="81"/>
  <c r="F81" i="81"/>
  <c r="H9" i="121"/>
  <c r="I9" i="121" s="1"/>
  <c r="H10" i="121"/>
  <c r="I10" i="121" s="1"/>
  <c r="H11" i="121"/>
  <c r="I11" i="121" s="1"/>
  <c r="H51" i="81"/>
  <c r="I51" i="81" s="1"/>
  <c r="H52" i="81"/>
  <c r="I52" i="81" s="1"/>
  <c r="H53" i="81"/>
  <c r="I53" i="81" s="1"/>
  <c r="H78" i="81"/>
  <c r="I78" i="81" s="1"/>
  <c r="H79" i="81"/>
  <c r="I79" i="81" s="1"/>
  <c r="H80" i="81"/>
  <c r="I80" i="81" s="1"/>
  <c r="H81" i="81"/>
  <c r="I81" i="81" s="1"/>
  <c r="C25" i="108"/>
  <c r="H12" i="92"/>
  <c r="F25" i="108" l="1"/>
  <c r="H25" i="108"/>
  <c r="I25" i="108" s="1"/>
  <c r="C45" i="107" l="1"/>
  <c r="C44" i="107"/>
  <c r="C43" i="107"/>
  <c r="H42" i="107"/>
  <c r="I42" i="107" s="1"/>
  <c r="C42" i="107"/>
  <c r="C41" i="107"/>
  <c r="F42" i="107" l="1"/>
  <c r="F41" i="107"/>
  <c r="F45" i="107"/>
  <c r="F44" i="107"/>
  <c r="F43" i="107"/>
  <c r="H41" i="107"/>
  <c r="I41" i="107" s="1"/>
  <c r="H44" i="107"/>
  <c r="I44" i="107" s="1"/>
  <c r="H45" i="107"/>
  <c r="I45" i="107" s="1"/>
  <c r="H43" i="107"/>
  <c r="I43" i="107" s="1"/>
  <c r="C71" i="95" l="1"/>
  <c r="H38" i="115" l="1"/>
  <c r="C38" i="115"/>
  <c r="F38" i="115" l="1"/>
  <c r="I38" i="115"/>
  <c r="H16" i="111" l="1"/>
  <c r="I16" i="111" s="1"/>
  <c r="C16" i="111"/>
  <c r="F16" i="111" l="1"/>
  <c r="C80" i="95" l="1"/>
  <c r="F80" i="95" l="1"/>
  <c r="H80" i="95"/>
  <c r="I80" i="95" s="1"/>
  <c r="H54" i="75" l="1"/>
  <c r="I54" i="75" s="1"/>
  <c r="C54" i="75"/>
  <c r="C53" i="75"/>
  <c r="F54" i="75" l="1"/>
  <c r="F53" i="75"/>
  <c r="H53" i="75"/>
  <c r="I53" i="75" s="1"/>
  <c r="H15" i="76" l="1"/>
  <c r="C15" i="76"/>
  <c r="F15" i="76" l="1"/>
  <c r="I15" i="76"/>
  <c r="C31" i="115"/>
  <c r="C30" i="115"/>
  <c r="C29" i="115"/>
  <c r="C28" i="115"/>
  <c r="H27" i="115"/>
  <c r="C27" i="115"/>
  <c r="F29" i="115" l="1"/>
  <c r="F31" i="115"/>
  <c r="F28" i="115"/>
  <c r="F30" i="115"/>
  <c r="F27" i="115"/>
  <c r="H30" i="115"/>
  <c r="I30" i="115" s="1"/>
  <c r="I27" i="115"/>
  <c r="H28" i="115"/>
  <c r="I28" i="115" s="1"/>
  <c r="H29" i="115"/>
  <c r="I29" i="115" s="1"/>
  <c r="H31" i="115"/>
  <c r="I31" i="115" s="1"/>
  <c r="C37" i="116" l="1"/>
  <c r="C35" i="116"/>
  <c r="H34" i="116"/>
  <c r="I34" i="116" s="1"/>
  <c r="C34" i="116"/>
  <c r="C19" i="116"/>
  <c r="F34" i="116" l="1"/>
  <c r="F37" i="116"/>
  <c r="F19" i="116"/>
  <c r="F35" i="116"/>
  <c r="H19" i="116"/>
  <c r="I19" i="116" s="1"/>
  <c r="H35" i="116"/>
  <c r="I35" i="116" s="1"/>
  <c r="H37" i="116"/>
  <c r="I37" i="116" s="1"/>
  <c r="H46" i="97" l="1"/>
  <c r="I46" i="97" s="1"/>
  <c r="C46" i="97"/>
  <c r="H45" i="97"/>
  <c r="C45" i="97"/>
  <c r="F45" i="97" l="1"/>
  <c r="F46" i="97"/>
  <c r="I45" i="97"/>
  <c r="C44" i="94" l="1"/>
  <c r="C43" i="94"/>
  <c r="F44" i="94" l="1"/>
  <c r="F43" i="94"/>
  <c r="H43" i="94"/>
  <c r="I43" i="94" s="1"/>
  <c r="H44" i="94"/>
  <c r="I44" i="94" s="1"/>
  <c r="H16" i="85" l="1"/>
  <c r="I16" i="85" s="1"/>
  <c r="C16" i="85"/>
  <c r="C15" i="85"/>
  <c r="H14" i="85"/>
  <c r="I14" i="85" s="1"/>
  <c r="C14" i="85"/>
  <c r="F15" i="85" l="1"/>
  <c r="F14" i="85"/>
  <c r="F16" i="85"/>
  <c r="H15" i="85"/>
  <c r="I15" i="85" s="1"/>
  <c r="C9" i="113" l="1"/>
  <c r="F9" i="113" l="1"/>
  <c r="H9" i="113"/>
  <c r="I9" i="113" s="1"/>
  <c r="H15" i="90"/>
  <c r="C15" i="90"/>
  <c r="F15" i="90" l="1"/>
  <c r="I15" i="90"/>
  <c r="C63" i="97" l="1"/>
  <c r="F63" i="97" l="1"/>
  <c r="H63" i="97"/>
  <c r="I63" i="97" s="1"/>
  <c r="J28" i="119" l="1"/>
  <c r="C11" i="119"/>
  <c r="H10" i="119"/>
  <c r="C10" i="119"/>
  <c r="H9" i="119"/>
  <c r="I9" i="119" s="1"/>
  <c r="C9" i="119"/>
  <c r="C8" i="119"/>
  <c r="H7" i="119"/>
  <c r="I7" i="119" s="1"/>
  <c r="C7" i="119"/>
  <c r="H6" i="119"/>
  <c r="C6" i="119"/>
  <c r="J24" i="121"/>
  <c r="H8" i="121"/>
  <c r="C8" i="121"/>
  <c r="C7" i="121"/>
  <c r="C6" i="121"/>
  <c r="F11" i="119" l="1"/>
  <c r="F7" i="119"/>
  <c r="F6" i="119"/>
  <c r="F10" i="119"/>
  <c r="F9" i="119"/>
  <c r="I10" i="119"/>
  <c r="F8" i="119"/>
  <c r="I6" i="119"/>
  <c r="H8" i="119"/>
  <c r="I8" i="119" s="1"/>
  <c r="H11" i="119"/>
  <c r="I11" i="119" s="1"/>
  <c r="F6" i="121"/>
  <c r="F7" i="121"/>
  <c r="I8" i="121"/>
  <c r="H6" i="121"/>
  <c r="F8" i="121"/>
  <c r="H7" i="121"/>
  <c r="I7" i="121" s="1"/>
  <c r="I6" i="121" l="1"/>
  <c r="C23" i="89" l="1"/>
  <c r="F23" i="89" l="1"/>
  <c r="H23" i="89"/>
  <c r="I23" i="89" s="1"/>
  <c r="C33" i="108" l="1"/>
  <c r="H26" i="108"/>
  <c r="I26" i="108" s="1"/>
  <c r="C26" i="108"/>
  <c r="H24" i="108"/>
  <c r="C24" i="108"/>
  <c r="H23" i="108"/>
  <c r="I23" i="108" s="1"/>
  <c r="C23" i="108"/>
  <c r="H22" i="108"/>
  <c r="C22" i="108"/>
  <c r="F24" i="108" l="1"/>
  <c r="F23" i="108"/>
  <c r="F22" i="108"/>
  <c r="F33" i="108"/>
  <c r="F26" i="108"/>
  <c r="I22" i="108"/>
  <c r="I24" i="108"/>
  <c r="H33" i="108"/>
  <c r="I33" i="108" s="1"/>
  <c r="J9" i="129" l="1"/>
  <c r="F9" i="129"/>
  <c r="H8" i="129"/>
  <c r="I8" i="129" s="1"/>
  <c r="C8" i="129"/>
  <c r="H7" i="129"/>
  <c r="I7" i="129" s="1"/>
  <c r="C7" i="129"/>
  <c r="C6" i="129"/>
  <c r="B50" i="35"/>
  <c r="E9" i="129" l="1"/>
  <c r="G9" i="129"/>
  <c r="H6" i="129"/>
  <c r="H9" i="129" l="1"/>
  <c r="I6" i="129"/>
  <c r="I9" i="129" s="1"/>
  <c r="H53" i="107" l="1"/>
  <c r="C53" i="107"/>
  <c r="H52" i="107"/>
  <c r="I52" i="107" s="1"/>
  <c r="C52" i="107"/>
  <c r="C51" i="107"/>
  <c r="H50" i="107"/>
  <c r="I50" i="107" s="1"/>
  <c r="C50" i="107"/>
  <c r="F53" i="107" l="1"/>
  <c r="F50" i="107"/>
  <c r="F52" i="107"/>
  <c r="I53" i="107"/>
  <c r="F51" i="107"/>
  <c r="H51" i="107"/>
  <c r="I51" i="107" s="1"/>
  <c r="C7" i="78" l="1"/>
  <c r="F7" i="78" l="1"/>
  <c r="H7" i="78"/>
  <c r="I7" i="78" s="1"/>
  <c r="C51" i="75" l="1"/>
  <c r="H50" i="75"/>
  <c r="C50" i="75"/>
  <c r="C41" i="75"/>
  <c r="H32" i="75"/>
  <c r="C32" i="75"/>
  <c r="F51" i="75" l="1"/>
  <c r="F41" i="75"/>
  <c r="F50" i="75"/>
  <c r="I50" i="75"/>
  <c r="F32" i="75"/>
  <c r="I32" i="75"/>
  <c r="H41" i="75"/>
  <c r="I41" i="75" s="1"/>
  <c r="H51" i="75"/>
  <c r="I51" i="75" s="1"/>
  <c r="C44" i="97" l="1"/>
  <c r="C43" i="97"/>
  <c r="C42" i="97"/>
  <c r="H41" i="97"/>
  <c r="I41" i="97" s="1"/>
  <c r="C41" i="97"/>
  <c r="C40" i="97"/>
  <c r="H39" i="97"/>
  <c r="I39" i="97" s="1"/>
  <c r="C39" i="97"/>
  <c r="H38" i="97"/>
  <c r="C38" i="97"/>
  <c r="H37" i="97"/>
  <c r="I37" i="97" s="1"/>
  <c r="C37" i="97"/>
  <c r="C36" i="97"/>
  <c r="F39" i="97" l="1"/>
  <c r="F43" i="97"/>
  <c r="F37" i="97"/>
  <c r="F41" i="97"/>
  <c r="F38" i="97"/>
  <c r="F42" i="97"/>
  <c r="F44" i="97"/>
  <c r="F36" i="97"/>
  <c r="F40" i="97"/>
  <c r="H42" i="97"/>
  <c r="I42" i="97" s="1"/>
  <c r="H44" i="97"/>
  <c r="I44" i="97" s="1"/>
  <c r="I38" i="97"/>
  <c r="H36" i="97"/>
  <c r="I36" i="97" s="1"/>
  <c r="H40" i="97"/>
  <c r="I40" i="97" s="1"/>
  <c r="H43" i="97"/>
  <c r="I43" i="97" s="1"/>
  <c r="H57" i="94" l="1"/>
  <c r="C57" i="94"/>
  <c r="H50" i="94"/>
  <c r="I50" i="94" s="1"/>
  <c r="C50" i="94"/>
  <c r="C49" i="94"/>
  <c r="C48" i="94"/>
  <c r="F57" i="94" l="1"/>
  <c r="F48" i="94"/>
  <c r="F50" i="94"/>
  <c r="I57" i="94"/>
  <c r="F49" i="94"/>
  <c r="H49" i="94"/>
  <c r="I49" i="94" s="1"/>
  <c r="H48" i="94"/>
  <c r="I48" i="94" s="1"/>
  <c r="C42" i="95" l="1"/>
  <c r="H41" i="95"/>
  <c r="C41" i="95"/>
  <c r="H40" i="95"/>
  <c r="I40" i="95" s="1"/>
  <c r="C40" i="95"/>
  <c r="C39" i="95"/>
  <c r="H38" i="95"/>
  <c r="I38" i="95" s="1"/>
  <c r="C38" i="95"/>
  <c r="C17" i="95"/>
  <c r="F41" i="95" l="1"/>
  <c r="F42" i="95"/>
  <c r="F17" i="95"/>
  <c r="F40" i="95"/>
  <c r="F39" i="95"/>
  <c r="I41" i="95"/>
  <c r="F38" i="95"/>
  <c r="H17" i="95"/>
  <c r="I17" i="95" s="1"/>
  <c r="H39" i="95"/>
  <c r="I39" i="95" s="1"/>
  <c r="H42" i="95"/>
  <c r="I42" i="95" s="1"/>
  <c r="C70" i="95"/>
  <c r="C69" i="95"/>
  <c r="F70" i="95" l="1"/>
  <c r="H70" i="95"/>
  <c r="I70" i="95" s="1"/>
  <c r="F69" i="95"/>
  <c r="H69" i="95"/>
  <c r="I69" i="95" s="1"/>
  <c r="C35" i="82" l="1"/>
  <c r="H34" i="82"/>
  <c r="C34" i="82"/>
  <c r="C33" i="82"/>
  <c r="C32" i="82"/>
  <c r="H31" i="82"/>
  <c r="I31" i="82" s="1"/>
  <c r="C31" i="82"/>
  <c r="C30" i="82"/>
  <c r="F35" i="82" l="1"/>
  <c r="F30" i="82"/>
  <c r="F34" i="82"/>
  <c r="F33" i="82"/>
  <c r="F32" i="82"/>
  <c r="I34" i="82"/>
  <c r="F31" i="82"/>
  <c r="H30" i="82"/>
  <c r="I30" i="82" s="1"/>
  <c r="H32" i="82"/>
  <c r="I32" i="82" s="1"/>
  <c r="H33" i="82"/>
  <c r="I33" i="82" s="1"/>
  <c r="H35" i="82"/>
  <c r="I35" i="82" s="1"/>
  <c r="H18" i="118" l="1"/>
  <c r="I18" i="118" s="1"/>
  <c r="C18" i="118"/>
  <c r="F18" i="118" l="1"/>
  <c r="H12" i="83" l="1"/>
  <c r="I12" i="83" s="1"/>
  <c r="C12" i="83"/>
  <c r="C11" i="83"/>
  <c r="H10" i="83"/>
  <c r="C10" i="83"/>
  <c r="H9" i="83"/>
  <c r="I9" i="83" s="1"/>
  <c r="C9" i="83"/>
  <c r="F12" i="83" l="1"/>
  <c r="F10" i="83"/>
  <c r="F11" i="83"/>
  <c r="I10" i="83"/>
  <c r="H11" i="83"/>
  <c r="I11" i="83" s="1"/>
  <c r="F9" i="83"/>
  <c r="H13" i="85" l="1"/>
  <c r="I13" i="85" s="1"/>
  <c r="C13" i="85"/>
  <c r="C12" i="85"/>
  <c r="C11" i="85"/>
  <c r="F11" i="85" l="1"/>
  <c r="F13" i="85"/>
  <c r="F12" i="85"/>
  <c r="H12" i="85"/>
  <c r="I12" i="85" s="1"/>
  <c r="H11" i="85"/>
  <c r="I11" i="85" s="1"/>
  <c r="C9" i="123" l="1"/>
  <c r="H9" i="123" l="1"/>
  <c r="I9" i="123" s="1"/>
  <c r="F15" i="128" l="1"/>
  <c r="J15" i="128"/>
  <c r="C9" i="128"/>
  <c r="C8" i="128"/>
  <c r="C7" i="128"/>
  <c r="H6" i="128"/>
  <c r="I6" i="128" s="1"/>
  <c r="C6" i="128"/>
  <c r="H14" i="128"/>
  <c r="C14" i="128"/>
  <c r="E15" i="128" l="1"/>
  <c r="G15" i="128"/>
  <c r="H7" i="128"/>
  <c r="I7" i="128" s="1"/>
  <c r="H8" i="128"/>
  <c r="I8" i="128" s="1"/>
  <c r="I14" i="128"/>
  <c r="H9" i="128"/>
  <c r="I9" i="128" s="1"/>
  <c r="F48" i="35"/>
  <c r="H48" i="35"/>
  <c r="E48" i="35"/>
  <c r="G48" i="35"/>
  <c r="D48" i="35"/>
  <c r="H15" i="128" l="1"/>
  <c r="I15" i="128"/>
  <c r="C7" i="83" l="1"/>
  <c r="C8" i="83"/>
  <c r="C8" i="117"/>
  <c r="C7" i="113"/>
  <c r="C21" i="89" l="1"/>
  <c r="H20" i="89"/>
  <c r="C20" i="89"/>
  <c r="F20" i="89" l="1"/>
  <c r="F21" i="89"/>
  <c r="I20" i="89"/>
  <c r="H21" i="89"/>
  <c r="I21" i="89" s="1"/>
  <c r="G4" i="122" l="1"/>
  <c r="C30" i="78" l="1"/>
  <c r="H29" i="78"/>
  <c r="C29" i="78"/>
  <c r="H28" i="78"/>
  <c r="I28" i="78" s="1"/>
  <c r="C28" i="78"/>
  <c r="C27" i="78"/>
  <c r="H26" i="78"/>
  <c r="I26" i="78" s="1"/>
  <c r="C26" i="78"/>
  <c r="C25" i="78"/>
  <c r="H24" i="78"/>
  <c r="I24" i="78" s="1"/>
  <c r="C24" i="78"/>
  <c r="F25" i="78" l="1"/>
  <c r="F24" i="78"/>
  <c r="F28" i="78"/>
  <c r="F29" i="78"/>
  <c r="F30" i="78"/>
  <c r="F27" i="78"/>
  <c r="I29" i="78"/>
  <c r="F26" i="78"/>
  <c r="H25" i="78"/>
  <c r="I25" i="78" s="1"/>
  <c r="H27" i="78"/>
  <c r="I27" i="78" s="1"/>
  <c r="H30" i="78"/>
  <c r="I30" i="78" s="1"/>
  <c r="H37" i="115" l="1"/>
  <c r="C37" i="115"/>
  <c r="C36" i="115"/>
  <c r="C35" i="115"/>
  <c r="C34" i="115"/>
  <c r="C33" i="115"/>
  <c r="H32" i="115"/>
  <c r="I32" i="115" s="1"/>
  <c r="C32" i="115"/>
  <c r="F35" i="115" l="1"/>
  <c r="F34" i="115"/>
  <c r="F33" i="115"/>
  <c r="F37" i="115"/>
  <c r="F32" i="115"/>
  <c r="F36" i="115"/>
  <c r="I37" i="115"/>
  <c r="H33" i="115"/>
  <c r="I33" i="115" s="1"/>
  <c r="H35" i="115"/>
  <c r="I35" i="115" s="1"/>
  <c r="H34" i="115"/>
  <c r="I34" i="115" s="1"/>
  <c r="H36" i="115"/>
  <c r="I36" i="115" s="1"/>
  <c r="H49" i="107" l="1"/>
  <c r="I49" i="107" s="1"/>
  <c r="C49" i="107"/>
  <c r="C48" i="107"/>
  <c r="F48" i="107" l="1"/>
  <c r="F49" i="107"/>
  <c r="H48" i="107"/>
  <c r="I48" i="107" s="1"/>
  <c r="C19" i="97" l="1"/>
  <c r="C18" i="97"/>
  <c r="C17" i="97"/>
  <c r="H16" i="97"/>
  <c r="I16" i="97" s="1"/>
  <c r="C16" i="97"/>
  <c r="F18" i="97" l="1"/>
  <c r="F17" i="97"/>
  <c r="F19" i="97"/>
  <c r="F16" i="97"/>
  <c r="H19" i="97"/>
  <c r="I19" i="97" s="1"/>
  <c r="H17" i="97"/>
  <c r="I17" i="97" s="1"/>
  <c r="H18" i="97"/>
  <c r="I18" i="97" s="1"/>
  <c r="C47" i="94" l="1"/>
  <c r="H46" i="94"/>
  <c r="C46" i="94"/>
  <c r="C45" i="94"/>
  <c r="H28" i="94"/>
  <c r="C28" i="94"/>
  <c r="H27" i="94"/>
  <c r="I27" i="94" s="1"/>
  <c r="C27" i="94"/>
  <c r="H26" i="94"/>
  <c r="C26" i="94"/>
  <c r="H25" i="94"/>
  <c r="I25" i="94" s="1"/>
  <c r="C25" i="94"/>
  <c r="C22" i="94"/>
  <c r="H22" i="94"/>
  <c r="C23" i="94"/>
  <c r="H23" i="94"/>
  <c r="I23" i="94" s="1"/>
  <c r="C24" i="94"/>
  <c r="H24" i="94"/>
  <c r="F28" i="94" l="1"/>
  <c r="F45" i="94"/>
  <c r="F46" i="94"/>
  <c r="F27" i="94"/>
  <c r="F47" i="94"/>
  <c r="F26" i="94"/>
  <c r="F25" i="94"/>
  <c r="I26" i="94"/>
  <c r="I28" i="94"/>
  <c r="I46" i="94"/>
  <c r="F24" i="94"/>
  <c r="H45" i="94"/>
  <c r="I45" i="94" s="1"/>
  <c r="H47" i="94"/>
  <c r="I47" i="94" s="1"/>
  <c r="F22" i="94"/>
  <c r="F23" i="94"/>
  <c r="I24" i="94"/>
  <c r="I22" i="94"/>
  <c r="C7" i="126" l="1"/>
  <c r="C18" i="88" l="1"/>
  <c r="C17" i="88"/>
  <c r="H16" i="88"/>
  <c r="I16" i="88" s="1"/>
  <c r="C16" i="88"/>
  <c r="C15" i="88"/>
  <c r="H18" i="88" l="1"/>
  <c r="I18" i="88" s="1"/>
  <c r="F15" i="88"/>
  <c r="F16" i="88"/>
  <c r="F18" i="88"/>
  <c r="F17" i="88"/>
  <c r="H15" i="88"/>
  <c r="I15" i="88" s="1"/>
  <c r="H17" i="88"/>
  <c r="I17" i="88" s="1"/>
  <c r="C12" i="109" l="1"/>
  <c r="H12" i="109" l="1"/>
  <c r="I12" i="109" s="1"/>
  <c r="C56" i="84" l="1"/>
  <c r="C41" i="84"/>
  <c r="H40" i="84"/>
  <c r="I40" i="84" s="1"/>
  <c r="C40" i="84"/>
  <c r="C39" i="84"/>
  <c r="H38" i="84"/>
  <c r="I38" i="84" s="1"/>
  <c r="C38" i="84"/>
  <c r="C37" i="84"/>
  <c r="H36" i="84"/>
  <c r="I36" i="84" s="1"/>
  <c r="C36" i="84"/>
  <c r="F40" i="84" l="1"/>
  <c r="F36" i="84"/>
  <c r="F38" i="84"/>
  <c r="F56" i="84"/>
  <c r="F37" i="84"/>
  <c r="F41" i="84"/>
  <c r="F39" i="84"/>
  <c r="H41" i="84"/>
  <c r="I41" i="84" s="1"/>
  <c r="H37" i="84"/>
  <c r="I37" i="84" s="1"/>
  <c r="H39" i="84"/>
  <c r="I39" i="84" s="1"/>
  <c r="H56" i="84"/>
  <c r="I56" i="84" s="1"/>
  <c r="C19" i="89" l="1"/>
  <c r="C18" i="89"/>
  <c r="H17" i="89"/>
  <c r="I17" i="89" s="1"/>
  <c r="C17" i="89"/>
  <c r="F17" i="89" l="1"/>
  <c r="F19" i="89"/>
  <c r="F10" i="89"/>
  <c r="F18" i="89"/>
  <c r="H18" i="89"/>
  <c r="I18" i="89" s="1"/>
  <c r="H10" i="89"/>
  <c r="I10" i="89" s="1"/>
  <c r="H19" i="89"/>
  <c r="I19" i="89" s="1"/>
  <c r="C90" i="81" l="1"/>
  <c r="H89" i="81"/>
  <c r="C89" i="81"/>
  <c r="C88" i="81"/>
  <c r="H83" i="81"/>
  <c r="I83" i="81" s="1"/>
  <c r="C83" i="81"/>
  <c r="C82" i="81"/>
  <c r="F88" i="81" l="1"/>
  <c r="F83" i="81"/>
  <c r="F90" i="81"/>
  <c r="F89" i="81"/>
  <c r="I89" i="81"/>
  <c r="H82" i="81"/>
  <c r="I82" i="81" s="1"/>
  <c r="H88" i="81"/>
  <c r="I88" i="81" s="1"/>
  <c r="H90" i="81"/>
  <c r="I90" i="81" s="1"/>
  <c r="F82" i="81"/>
  <c r="C52" i="75" l="1"/>
  <c r="H31" i="75"/>
  <c r="C31" i="75"/>
  <c r="H30" i="75"/>
  <c r="I30" i="75" s="1"/>
  <c r="C30" i="75"/>
  <c r="C29" i="75"/>
  <c r="H28" i="75"/>
  <c r="I28" i="75" s="1"/>
  <c r="C28" i="75"/>
  <c r="C27" i="75"/>
  <c r="F29" i="75" l="1"/>
  <c r="F28" i="75"/>
  <c r="F27" i="75"/>
  <c r="F31" i="75"/>
  <c r="F52" i="75"/>
  <c r="F30" i="75"/>
  <c r="I31" i="75"/>
  <c r="H27" i="75"/>
  <c r="I27" i="75" s="1"/>
  <c r="H29" i="75"/>
  <c r="I29" i="75" s="1"/>
  <c r="H52" i="75"/>
  <c r="I52" i="75" s="1"/>
  <c r="H81" i="95" l="1"/>
  <c r="F81" i="95" l="1"/>
  <c r="I81" i="95"/>
  <c r="C42" i="82" l="1"/>
  <c r="C36" i="82"/>
  <c r="C29" i="82"/>
  <c r="C28" i="82"/>
  <c r="F36" i="82" l="1"/>
  <c r="F28" i="82"/>
  <c r="F42" i="82"/>
  <c r="F29" i="82"/>
  <c r="H42" i="82"/>
  <c r="I42" i="82" s="1"/>
  <c r="H29" i="82"/>
  <c r="I29" i="82" s="1"/>
  <c r="H28" i="82"/>
  <c r="I28" i="82" s="1"/>
  <c r="H36" i="82"/>
  <c r="I36" i="82" s="1"/>
  <c r="C15" i="113" l="1"/>
  <c r="C14" i="113"/>
  <c r="F15" i="113" l="1"/>
  <c r="F14" i="113"/>
  <c r="H14" i="113"/>
  <c r="I14" i="113" s="1"/>
  <c r="H15" i="113"/>
  <c r="I15" i="113" s="1"/>
  <c r="C9" i="96" l="1"/>
  <c r="C8" i="96"/>
  <c r="H8" i="96" l="1"/>
  <c r="I8" i="96" s="1"/>
  <c r="H9" i="96"/>
  <c r="I9" i="96" s="1"/>
  <c r="C91" i="81" l="1"/>
  <c r="H50" i="81"/>
  <c r="I50" i="81" s="1"/>
  <c r="C50" i="81"/>
  <c r="E49" i="35"/>
  <c r="F49" i="35"/>
  <c r="D49" i="35"/>
  <c r="G49" i="35"/>
  <c r="H49" i="35"/>
  <c r="F91" i="81" l="1"/>
  <c r="F50" i="81"/>
  <c r="H91" i="81"/>
  <c r="I91" i="81" s="1"/>
  <c r="C11" i="77" l="1"/>
  <c r="C10" i="77"/>
  <c r="F10" i="77" l="1"/>
  <c r="H10" i="77"/>
  <c r="I10" i="77" s="1"/>
  <c r="F11" i="77"/>
  <c r="H11" i="77"/>
  <c r="I11" i="77" s="1"/>
  <c r="C14" i="92" l="1"/>
  <c r="H26" i="106"/>
  <c r="C26" i="106"/>
  <c r="C25" i="106"/>
  <c r="H24" i="106"/>
  <c r="C24" i="106"/>
  <c r="H23" i="106"/>
  <c r="I23" i="106" s="1"/>
  <c r="C23" i="106"/>
  <c r="H14" i="92" l="1"/>
  <c r="I14" i="92" s="1"/>
  <c r="F23" i="106"/>
  <c r="F26" i="106"/>
  <c r="F25" i="106"/>
  <c r="F24" i="106"/>
  <c r="I26" i="106"/>
  <c r="I24" i="106"/>
  <c r="H25" i="106"/>
  <c r="I25" i="106" s="1"/>
  <c r="H26" i="84" l="1"/>
  <c r="I26" i="84" s="1"/>
  <c r="C26" i="84"/>
  <c r="F26" i="84" l="1"/>
  <c r="J11" i="126" l="1"/>
  <c r="F11" i="126"/>
  <c r="C10" i="126"/>
  <c r="H7" i="126"/>
  <c r="C6" i="126"/>
  <c r="E11" i="126" l="1"/>
  <c r="H6" i="126"/>
  <c r="I7" i="126"/>
  <c r="H10" i="126"/>
  <c r="I10" i="126" s="1"/>
  <c r="G11" i="126"/>
  <c r="G47" i="35"/>
  <c r="H47" i="35"/>
  <c r="E47" i="35"/>
  <c r="F47" i="35"/>
  <c r="D47" i="35"/>
  <c r="H11" i="126" l="1"/>
  <c r="I6" i="126"/>
  <c r="I11" i="126" s="1"/>
  <c r="J10" i="125" l="1"/>
  <c r="H6" i="125"/>
  <c r="H10" i="125" s="1"/>
  <c r="C6" i="125"/>
  <c r="I6" i="125" l="1"/>
  <c r="I10" i="125" s="1"/>
  <c r="D46" i="35"/>
  <c r="F46" i="35"/>
  <c r="G46" i="35"/>
  <c r="E46" i="35"/>
  <c r="H46" i="35"/>
  <c r="C41" i="116" l="1"/>
  <c r="H40" i="116"/>
  <c r="C40" i="116"/>
  <c r="C39" i="116"/>
  <c r="C38" i="116"/>
  <c r="H18" i="116"/>
  <c r="I18" i="116" s="1"/>
  <c r="C18" i="116"/>
  <c r="C17" i="116"/>
  <c r="H16" i="116"/>
  <c r="I16" i="116" s="1"/>
  <c r="C16" i="116"/>
  <c r="C15" i="116"/>
  <c r="F41" i="116" l="1"/>
  <c r="F40" i="116"/>
  <c r="F15" i="116"/>
  <c r="F38" i="116"/>
  <c r="F39" i="116"/>
  <c r="F18" i="116"/>
  <c r="I40" i="116"/>
  <c r="F16" i="116"/>
  <c r="F17" i="116"/>
  <c r="H38" i="116"/>
  <c r="I38" i="116" s="1"/>
  <c r="H15" i="116"/>
  <c r="I15" i="116" s="1"/>
  <c r="H17" i="116"/>
  <c r="I17" i="116" s="1"/>
  <c r="H39" i="116"/>
  <c r="I39" i="116" s="1"/>
  <c r="H41" i="116"/>
  <c r="I41" i="116" s="1"/>
  <c r="C35" i="97" l="1"/>
  <c r="H34" i="97"/>
  <c r="I34" i="97" s="1"/>
  <c r="C34" i="97"/>
  <c r="F34" i="97" l="1"/>
  <c r="F35" i="97"/>
  <c r="H35" i="97"/>
  <c r="I35" i="97" s="1"/>
  <c r="H64" i="95" l="1"/>
  <c r="C64" i="95"/>
  <c r="C59" i="95"/>
  <c r="C58" i="95"/>
  <c r="H57" i="95"/>
  <c r="I57" i="95" s="1"/>
  <c r="C57" i="95"/>
  <c r="C56" i="95"/>
  <c r="F56" i="95" l="1"/>
  <c r="F64" i="95"/>
  <c r="F59" i="95"/>
  <c r="F58" i="95"/>
  <c r="I64" i="95"/>
  <c r="F57" i="95"/>
  <c r="H58" i="95"/>
  <c r="I58" i="95" s="1"/>
  <c r="H56" i="95"/>
  <c r="I56" i="95" s="1"/>
  <c r="H59" i="95"/>
  <c r="I59" i="95" s="1"/>
  <c r="C21" i="94" l="1"/>
  <c r="F21" i="94" l="1"/>
  <c r="H21" i="94"/>
  <c r="I21" i="94" s="1"/>
  <c r="C24" i="82" l="1"/>
  <c r="C23" i="82"/>
  <c r="H22" i="82"/>
  <c r="I22" i="82" s="1"/>
  <c r="C22" i="82"/>
  <c r="C21" i="82"/>
  <c r="F24" i="82" l="1"/>
  <c r="F21" i="82"/>
  <c r="F22" i="82"/>
  <c r="F23" i="82"/>
  <c r="H21" i="82"/>
  <c r="I21" i="82" s="1"/>
  <c r="H23" i="82"/>
  <c r="I23" i="82" s="1"/>
  <c r="H24" i="82"/>
  <c r="I24" i="82" s="1"/>
  <c r="C17" i="113" l="1"/>
  <c r="H16" i="113"/>
  <c r="C16" i="113"/>
  <c r="C13" i="113"/>
  <c r="F17" i="113" l="1"/>
  <c r="F16" i="113"/>
  <c r="F13" i="113"/>
  <c r="I16" i="113"/>
  <c r="H13" i="113"/>
  <c r="I13" i="113" s="1"/>
  <c r="H17" i="113"/>
  <c r="I17" i="113" s="1"/>
  <c r="J12" i="114" l="1"/>
  <c r="C9" i="114"/>
  <c r="C8" i="114"/>
  <c r="C7" i="114"/>
  <c r="C6" i="114"/>
  <c r="F8" i="114" l="1"/>
  <c r="F7" i="114"/>
  <c r="H9" i="114"/>
  <c r="I9" i="114" s="1"/>
  <c r="H7" i="114"/>
  <c r="I7" i="114" s="1"/>
  <c r="F9" i="114"/>
  <c r="H6" i="114"/>
  <c r="H8" i="114"/>
  <c r="I8" i="114" s="1"/>
  <c r="F6" i="114"/>
  <c r="F12" i="114" l="1"/>
  <c r="H12" i="114"/>
  <c r="I6" i="114"/>
  <c r="I12" i="114" s="1"/>
  <c r="J8" i="124" l="1"/>
  <c r="H7" i="124"/>
  <c r="C7" i="124"/>
  <c r="H6" i="124"/>
  <c r="C6" i="124"/>
  <c r="H8" i="124" l="1"/>
  <c r="I7" i="124"/>
  <c r="F7" i="124"/>
  <c r="E8" i="124"/>
  <c r="F6" i="124"/>
  <c r="D8" i="35"/>
  <c r="F8" i="35"/>
  <c r="F8" i="124" l="1"/>
  <c r="I6" i="124"/>
  <c r="I8" i="124" s="1"/>
  <c r="G8" i="35"/>
  <c r="E8" i="35"/>
  <c r="H8" i="35"/>
  <c r="H76" i="95" l="1"/>
  <c r="C76" i="95"/>
  <c r="F76" i="95" l="1"/>
  <c r="I76" i="95"/>
  <c r="J14" i="123" l="1"/>
  <c r="C7" i="123"/>
  <c r="C6" i="123"/>
  <c r="C10" i="123"/>
  <c r="C8" i="123"/>
  <c r="H8" i="123"/>
  <c r="H6" i="123" l="1"/>
  <c r="H7" i="123"/>
  <c r="I7" i="123" s="1"/>
  <c r="I8" i="123"/>
  <c r="H10" i="123"/>
  <c r="I10" i="123" s="1"/>
  <c r="G45" i="35"/>
  <c r="D45" i="35"/>
  <c r="H45" i="35"/>
  <c r="E45" i="35"/>
  <c r="F45" i="35"/>
  <c r="H14" i="123" l="1"/>
  <c r="I6" i="123"/>
  <c r="I14" i="123" s="1"/>
  <c r="H6" i="122"/>
  <c r="J8" i="122"/>
  <c r="C7" i="122"/>
  <c r="C6" i="122"/>
  <c r="C25" i="84"/>
  <c r="C24" i="84"/>
  <c r="H23" i="84"/>
  <c r="I23" i="84" s="1"/>
  <c r="C23" i="84"/>
  <c r="E8" i="122" l="1"/>
  <c r="I6" i="122"/>
  <c r="G8" i="122"/>
  <c r="H7" i="122"/>
  <c r="F25" i="84"/>
  <c r="F23" i="84"/>
  <c r="F24" i="84"/>
  <c r="H24" i="84"/>
  <c r="I24" i="84" s="1"/>
  <c r="H25" i="84"/>
  <c r="I25" i="84" s="1"/>
  <c r="G44" i="35"/>
  <c r="D44" i="35"/>
  <c r="E44" i="35"/>
  <c r="H44" i="35"/>
  <c r="F44" i="35"/>
  <c r="H8" i="122" l="1"/>
  <c r="I7" i="122"/>
  <c r="I8" i="122" s="1"/>
  <c r="F8" i="122"/>
  <c r="C47" i="81" l="1"/>
  <c r="H46" i="81"/>
  <c r="C46" i="81"/>
  <c r="C45" i="81"/>
  <c r="H44" i="81"/>
  <c r="C44" i="81"/>
  <c r="C43" i="81"/>
  <c r="C42" i="81"/>
  <c r="F46" i="81" l="1"/>
  <c r="F47" i="81"/>
  <c r="F44" i="81"/>
  <c r="F45" i="81"/>
  <c r="F43" i="81"/>
  <c r="I44" i="81"/>
  <c r="I46" i="81"/>
  <c r="F42" i="81"/>
  <c r="H42" i="81"/>
  <c r="I42" i="81" s="1"/>
  <c r="H43" i="81"/>
  <c r="I43" i="81" s="1"/>
  <c r="H45" i="81"/>
  <c r="I45" i="81" s="1"/>
  <c r="H47" i="81"/>
  <c r="I47" i="81" s="1"/>
  <c r="C21" i="108" l="1"/>
  <c r="C20" i="108"/>
  <c r="H19" i="108"/>
  <c r="I19" i="108" s="1"/>
  <c r="C19" i="108"/>
  <c r="F21" i="108" l="1"/>
  <c r="F19" i="108"/>
  <c r="F20" i="108"/>
  <c r="H20" i="108"/>
  <c r="I20" i="108" s="1"/>
  <c r="H21" i="108"/>
  <c r="I21" i="108" s="1"/>
  <c r="F82" i="95"/>
  <c r="H82" i="95"/>
  <c r="I82" i="95" s="1"/>
  <c r="C40" i="78" l="1"/>
  <c r="C39" i="78"/>
  <c r="H38" i="78"/>
  <c r="I38" i="78" s="1"/>
  <c r="C38" i="78"/>
  <c r="C31" i="78"/>
  <c r="F38" i="78" l="1"/>
  <c r="F40" i="78"/>
  <c r="F31" i="78"/>
  <c r="F39" i="78"/>
  <c r="H31" i="78"/>
  <c r="I31" i="78" s="1"/>
  <c r="H39" i="78"/>
  <c r="I39" i="78" s="1"/>
  <c r="H40" i="78"/>
  <c r="I40" i="78" s="1"/>
  <c r="H27" i="82"/>
  <c r="C27" i="82"/>
  <c r="H26" i="82"/>
  <c r="C26" i="82"/>
  <c r="H25" i="82"/>
  <c r="C25" i="82"/>
  <c r="C20" i="82"/>
  <c r="H19" i="82"/>
  <c r="C19" i="82"/>
  <c r="H18" i="82"/>
  <c r="C18" i="82"/>
  <c r="H17" i="82"/>
  <c r="C17" i="82"/>
  <c r="H20" i="82" l="1"/>
  <c r="I20" i="82" s="1"/>
  <c r="F19" i="82"/>
  <c r="F17" i="82"/>
  <c r="F20" i="82"/>
  <c r="F27" i="82"/>
  <c r="F25" i="82"/>
  <c r="F26" i="82"/>
  <c r="I19" i="82"/>
  <c r="I25" i="82"/>
  <c r="I27" i="82"/>
  <c r="I17" i="82"/>
  <c r="I18" i="82"/>
  <c r="I26" i="82"/>
  <c r="F18" i="82"/>
  <c r="C26" i="75" l="1"/>
  <c r="H25" i="75"/>
  <c r="C25" i="75"/>
  <c r="H26" i="75" l="1"/>
  <c r="I26" i="75" s="1"/>
  <c r="F25" i="75"/>
  <c r="F26" i="75"/>
  <c r="I25" i="75"/>
  <c r="H26" i="115" l="1"/>
  <c r="C26" i="115"/>
  <c r="F26" i="115" l="1"/>
  <c r="I26" i="115"/>
  <c r="C9" i="76" l="1"/>
  <c r="H8" i="76"/>
  <c r="C8" i="76"/>
  <c r="C7" i="76"/>
  <c r="H9" i="76" l="1"/>
  <c r="I9" i="76" s="1"/>
  <c r="H7" i="76"/>
  <c r="I7" i="76" s="1"/>
  <c r="F7" i="76"/>
  <c r="F9" i="76"/>
  <c r="F8" i="76"/>
  <c r="I8" i="76"/>
  <c r="H55" i="95" l="1"/>
  <c r="C55" i="95"/>
  <c r="H54" i="95"/>
  <c r="C54" i="95"/>
  <c r="C53" i="95"/>
  <c r="H52" i="95"/>
  <c r="C52" i="95"/>
  <c r="C51" i="95"/>
  <c r="H50" i="95"/>
  <c r="C50" i="95"/>
  <c r="H51" i="95" l="1"/>
  <c r="I51" i="95" s="1"/>
  <c r="H53" i="95"/>
  <c r="I53" i="95" s="1"/>
  <c r="F50" i="95"/>
  <c r="F52" i="95"/>
  <c r="F54" i="95"/>
  <c r="F55" i="95"/>
  <c r="F51" i="95"/>
  <c r="F53" i="95"/>
  <c r="I54" i="95"/>
  <c r="I50" i="95"/>
  <c r="I52" i="95"/>
  <c r="I55" i="95"/>
  <c r="E24" i="121" l="1"/>
  <c r="C15" i="119"/>
  <c r="H73" i="95"/>
  <c r="C73" i="95"/>
  <c r="H72" i="95"/>
  <c r="C72" i="95"/>
  <c r="H24" i="121" l="1"/>
  <c r="G24" i="121"/>
  <c r="H15" i="119"/>
  <c r="H28" i="119" s="1"/>
  <c r="F24" i="121"/>
  <c r="F15" i="119"/>
  <c r="F28" i="119" s="1"/>
  <c r="F73" i="95"/>
  <c r="F72" i="95"/>
  <c r="I72" i="95"/>
  <c r="I73" i="95"/>
  <c r="F38" i="35"/>
  <c r="F39" i="35"/>
  <c r="G38" i="35"/>
  <c r="H41" i="35"/>
  <c r="D43" i="35"/>
  <c r="E39" i="35"/>
  <c r="H38" i="35"/>
  <c r="H40" i="35"/>
  <c r="D38" i="35"/>
  <c r="D19" i="35"/>
  <c r="G40" i="35"/>
  <c r="F43" i="35"/>
  <c r="E43" i="35"/>
  <c r="G43" i="35"/>
  <c r="H39" i="35"/>
  <c r="E21" i="35"/>
  <c r="F40" i="35"/>
  <c r="D41" i="35"/>
  <c r="E40" i="35"/>
  <c r="D17" i="35"/>
  <c r="D16" i="35"/>
  <c r="H43" i="35"/>
  <c r="D40" i="35"/>
  <c r="G41" i="35"/>
  <c r="D18" i="35"/>
  <c r="E38" i="35"/>
  <c r="F41" i="35"/>
  <c r="D39" i="35"/>
  <c r="D21" i="35"/>
  <c r="E41" i="35"/>
  <c r="G39" i="35"/>
  <c r="I15" i="119" l="1"/>
  <c r="I28" i="119" s="1"/>
  <c r="I24" i="121"/>
  <c r="H6" i="93" l="1"/>
  <c r="H22" i="106" l="1"/>
  <c r="C22" i="106"/>
  <c r="H21" i="106"/>
  <c r="C21" i="106"/>
  <c r="F22" i="106" l="1"/>
  <c r="F21" i="106"/>
  <c r="I21" i="106"/>
  <c r="I22" i="106"/>
  <c r="H46" i="107" l="1"/>
  <c r="C46" i="107"/>
  <c r="H40" i="107"/>
  <c r="C40" i="107"/>
  <c r="H39" i="107"/>
  <c r="C39" i="107"/>
  <c r="H38" i="107"/>
  <c r="C38" i="107"/>
  <c r="H37" i="107"/>
  <c r="C37" i="107"/>
  <c r="F37" i="107" l="1"/>
  <c r="F46" i="107"/>
  <c r="F39" i="107"/>
  <c r="F40" i="107"/>
  <c r="F38" i="107"/>
  <c r="I40" i="107"/>
  <c r="I38" i="107"/>
  <c r="I37" i="107"/>
  <c r="I39" i="107"/>
  <c r="I46" i="107"/>
  <c r="C6" i="87" l="1"/>
  <c r="H20" i="84" l="1"/>
  <c r="C20" i="84"/>
  <c r="H19" i="84"/>
  <c r="C19" i="84"/>
  <c r="C18" i="84"/>
  <c r="H17" i="84"/>
  <c r="C17" i="84"/>
  <c r="C16" i="84"/>
  <c r="H35" i="107"/>
  <c r="C35" i="107"/>
  <c r="H28" i="107"/>
  <c r="C28" i="107"/>
  <c r="H27" i="107"/>
  <c r="C27" i="107"/>
  <c r="H26" i="107"/>
  <c r="C26" i="107"/>
  <c r="H25" i="107"/>
  <c r="C25" i="107"/>
  <c r="H47" i="107"/>
  <c r="C47" i="107"/>
  <c r="H36" i="107"/>
  <c r="C36" i="107"/>
  <c r="H24" i="107"/>
  <c r="C24" i="107"/>
  <c r="C23" i="107"/>
  <c r="H22" i="107"/>
  <c r="C22" i="107"/>
  <c r="C21" i="107"/>
  <c r="H23" i="107" l="1"/>
  <c r="I23" i="107" s="1"/>
  <c r="H18" i="84"/>
  <c r="I18" i="84" s="1"/>
  <c r="H21" i="107"/>
  <c r="I21" i="107" s="1"/>
  <c r="H16" i="84"/>
  <c r="I16" i="84" s="1"/>
  <c r="F20" i="84"/>
  <c r="F19" i="84"/>
  <c r="F16" i="84"/>
  <c r="F18" i="84"/>
  <c r="F17" i="84"/>
  <c r="I19" i="84"/>
  <c r="I17" i="84"/>
  <c r="I20" i="84"/>
  <c r="F47" i="107"/>
  <c r="F28" i="107"/>
  <c r="F35" i="107"/>
  <c r="F26" i="107"/>
  <c r="F27" i="107"/>
  <c r="F24" i="107"/>
  <c r="F25" i="107"/>
  <c r="I26" i="107"/>
  <c r="I28" i="107"/>
  <c r="F21" i="107"/>
  <c r="F36" i="107"/>
  <c r="I25" i="107"/>
  <c r="I27" i="107"/>
  <c r="I35" i="107"/>
  <c r="F23" i="107"/>
  <c r="I47" i="107"/>
  <c r="F22" i="107"/>
  <c r="I24" i="107"/>
  <c r="I22" i="107"/>
  <c r="I36" i="107"/>
  <c r="J43" i="106" l="1"/>
  <c r="H14" i="116" l="1"/>
  <c r="C14" i="116"/>
  <c r="C13" i="116"/>
  <c r="H13" i="116" l="1"/>
  <c r="I13" i="116" s="1"/>
  <c r="F14" i="116"/>
  <c r="F13" i="116"/>
  <c r="I14" i="116"/>
  <c r="H16" i="82" l="1"/>
  <c r="C16" i="82"/>
  <c r="F16" i="82" l="1"/>
  <c r="I16" i="82"/>
  <c r="H10" i="85" l="1"/>
  <c r="C10" i="85"/>
  <c r="H9" i="85"/>
  <c r="C9" i="85"/>
  <c r="F9" i="85" l="1"/>
  <c r="F10" i="85"/>
  <c r="I10" i="85"/>
  <c r="I9" i="85"/>
  <c r="H23" i="77"/>
  <c r="C23" i="77"/>
  <c r="H9" i="77"/>
  <c r="C9" i="77"/>
  <c r="H8" i="77"/>
  <c r="C8" i="77"/>
  <c r="F23" i="77" l="1"/>
  <c r="F9" i="77"/>
  <c r="F8" i="77"/>
  <c r="I9" i="77"/>
  <c r="I8" i="77"/>
  <c r="I23" i="77"/>
  <c r="H22" i="89" l="1"/>
  <c r="C22" i="89"/>
  <c r="F22" i="89" l="1"/>
  <c r="I22" i="89"/>
  <c r="H49" i="81" l="1"/>
  <c r="C49" i="81"/>
  <c r="C48" i="81"/>
  <c r="H41" i="81"/>
  <c r="C41" i="81"/>
  <c r="H40" i="81"/>
  <c r="C40" i="81"/>
  <c r="H39" i="81"/>
  <c r="C39" i="81"/>
  <c r="H48" i="81" l="1"/>
  <c r="I48" i="81" s="1"/>
  <c r="F40" i="81"/>
  <c r="F39" i="81"/>
  <c r="F49" i="81"/>
  <c r="F48" i="81"/>
  <c r="I49" i="81"/>
  <c r="F41" i="81"/>
  <c r="I39" i="81"/>
  <c r="I41" i="81"/>
  <c r="I40" i="81"/>
  <c r="F7" i="93" l="1"/>
  <c r="H20" i="106" l="1"/>
  <c r="C20" i="106"/>
  <c r="H19" i="106"/>
  <c r="C19" i="106"/>
  <c r="I20" i="106" l="1"/>
  <c r="F19" i="106"/>
  <c r="F20" i="106"/>
  <c r="I19" i="106"/>
  <c r="H22" i="88" l="1"/>
  <c r="C22" i="88"/>
  <c r="F22" i="88" l="1"/>
  <c r="I22" i="88"/>
  <c r="H41" i="78"/>
  <c r="C41" i="78"/>
  <c r="H23" i="78"/>
  <c r="C23" i="78"/>
  <c r="H22" i="78"/>
  <c r="C22" i="78"/>
  <c r="H21" i="78"/>
  <c r="C21" i="78"/>
  <c r="H20" i="78"/>
  <c r="C20" i="78"/>
  <c r="H19" i="78"/>
  <c r="C19" i="78"/>
  <c r="H18" i="78"/>
  <c r="C18" i="78"/>
  <c r="H17" i="78"/>
  <c r="C17" i="78"/>
  <c r="H16" i="78"/>
  <c r="C16" i="78"/>
  <c r="F19" i="78" l="1"/>
  <c r="F41" i="78"/>
  <c r="F23" i="78"/>
  <c r="F16" i="78"/>
  <c r="F20" i="78"/>
  <c r="F17" i="78"/>
  <c r="F21" i="78"/>
  <c r="F22" i="78"/>
  <c r="I17" i="78"/>
  <c r="I19" i="78"/>
  <c r="I21" i="78"/>
  <c r="I23" i="78"/>
  <c r="I16" i="78"/>
  <c r="I18" i="78"/>
  <c r="I20" i="78"/>
  <c r="I22" i="78"/>
  <c r="I41" i="78"/>
  <c r="F18" i="78"/>
  <c r="J19" i="118" l="1"/>
  <c r="J42" i="116"/>
  <c r="J39" i="115"/>
  <c r="J18" i="83"/>
  <c r="J17" i="111"/>
  <c r="F9" i="117"/>
  <c r="J9" i="117"/>
  <c r="F14" i="109"/>
  <c r="J14" i="109"/>
  <c r="J54" i="107"/>
  <c r="J49" i="108"/>
  <c r="J58" i="94"/>
  <c r="F16" i="92"/>
  <c r="J16" i="92"/>
  <c r="J16" i="112"/>
  <c r="J24" i="90"/>
  <c r="J25" i="89"/>
  <c r="J23" i="88"/>
  <c r="F15" i="87"/>
  <c r="J15" i="87"/>
  <c r="J57" i="84"/>
  <c r="J17" i="85"/>
  <c r="J43" i="82"/>
  <c r="J92" i="81"/>
  <c r="J48" i="78"/>
  <c r="J24" i="77"/>
  <c r="J17" i="76"/>
  <c r="J55" i="75"/>
  <c r="J13" i="96"/>
  <c r="J83" i="95"/>
  <c r="C7" i="95"/>
  <c r="C8" i="95"/>
  <c r="C9" i="95"/>
  <c r="C10" i="95"/>
  <c r="C11" i="95"/>
  <c r="C12" i="95"/>
  <c r="C13" i="95"/>
  <c r="C14" i="95"/>
  <c r="C15" i="95"/>
  <c r="C16" i="95"/>
  <c r="C43" i="95"/>
  <c r="C44" i="95"/>
  <c r="C45" i="95"/>
  <c r="C46" i="95"/>
  <c r="C47" i="95"/>
  <c r="C48" i="95"/>
  <c r="C49" i="95"/>
  <c r="C65" i="95"/>
  <c r="C66" i="95"/>
  <c r="C68" i="95"/>
  <c r="C6" i="95"/>
  <c r="J70" i="97"/>
  <c r="H17" i="115" l="1"/>
  <c r="C17" i="115"/>
  <c r="C16" i="115"/>
  <c r="C7" i="115"/>
  <c r="C8" i="115"/>
  <c r="C9" i="115"/>
  <c r="C10" i="115"/>
  <c r="C11" i="115"/>
  <c r="C12" i="115"/>
  <c r="C13" i="115"/>
  <c r="C14" i="115"/>
  <c r="C15" i="115"/>
  <c r="C6" i="115"/>
  <c r="H16" i="115" l="1"/>
  <c r="I16" i="115" s="1"/>
  <c r="F17" i="115"/>
  <c r="F16" i="115"/>
  <c r="I17" i="115"/>
  <c r="H33" i="97" l="1"/>
  <c r="C33" i="97"/>
  <c r="C7" i="97"/>
  <c r="C8" i="97"/>
  <c r="C9" i="97"/>
  <c r="C10" i="97"/>
  <c r="C11" i="97"/>
  <c r="C12" i="97"/>
  <c r="C13" i="97"/>
  <c r="C14" i="97"/>
  <c r="C15" i="97"/>
  <c r="C61" i="97"/>
  <c r="C68" i="97"/>
  <c r="C6" i="76"/>
  <c r="F33" i="97" l="1"/>
  <c r="I33" i="97"/>
  <c r="C20" i="94" l="1"/>
  <c r="H19" i="94"/>
  <c r="C19" i="94"/>
  <c r="C18" i="94"/>
  <c r="H18" i="94" l="1"/>
  <c r="I18" i="94" s="1"/>
  <c r="H20" i="94"/>
  <c r="I20" i="94" s="1"/>
  <c r="F20" i="94"/>
  <c r="F19" i="94"/>
  <c r="F18" i="94"/>
  <c r="I19" i="94"/>
  <c r="C7" i="111" l="1"/>
  <c r="C8" i="111"/>
  <c r="C9" i="111"/>
  <c r="C10" i="111"/>
  <c r="C6" i="111"/>
  <c r="C6" i="117"/>
  <c r="H17" i="108" l="1"/>
  <c r="C17" i="108"/>
  <c r="H16" i="108"/>
  <c r="C16" i="108"/>
  <c r="C15" i="108"/>
  <c r="H14" i="108"/>
  <c r="C14" i="108"/>
  <c r="C13" i="108"/>
  <c r="H12" i="108"/>
  <c r="C12" i="108"/>
  <c r="H15" i="108" l="1"/>
  <c r="I15" i="108" s="1"/>
  <c r="H13" i="108"/>
  <c r="I13" i="108" s="1"/>
  <c r="F17" i="108"/>
  <c r="F15" i="108"/>
  <c r="F12" i="108"/>
  <c r="F14" i="108"/>
  <c r="F13" i="108"/>
  <c r="F16" i="108"/>
  <c r="I12" i="108"/>
  <c r="I14" i="108"/>
  <c r="I16" i="108"/>
  <c r="I17" i="108"/>
  <c r="C6" i="96" l="1"/>
  <c r="C11" i="109" l="1"/>
  <c r="H11" i="109"/>
  <c r="I11" i="109" l="1"/>
  <c r="C7" i="118" l="1"/>
  <c r="C8" i="118"/>
  <c r="C9" i="118"/>
  <c r="C10" i="118"/>
  <c r="C11" i="118"/>
  <c r="C6" i="118"/>
  <c r="H38" i="81" l="1"/>
  <c r="C38" i="81"/>
  <c r="F38" i="81" l="1"/>
  <c r="I38" i="81"/>
  <c r="C13" i="92" l="1"/>
  <c r="H6" i="96" l="1"/>
  <c r="C7" i="107"/>
  <c r="C8" i="107"/>
  <c r="C9" i="107"/>
  <c r="C10" i="107"/>
  <c r="C16" i="107"/>
  <c r="C17" i="107"/>
  <c r="C18" i="107"/>
  <c r="C19" i="107"/>
  <c r="C20" i="107"/>
  <c r="C6" i="107"/>
  <c r="H68" i="97"/>
  <c r="H61" i="97"/>
  <c r="H13" i="92" l="1"/>
  <c r="I13" i="92" s="1"/>
  <c r="F61" i="97"/>
  <c r="F68" i="97"/>
  <c r="I61" i="97"/>
  <c r="I68" i="97"/>
  <c r="I6" i="96" l="1"/>
  <c r="H15" i="82" l="1"/>
  <c r="C15" i="82"/>
  <c r="H14" i="82"/>
  <c r="C14" i="82"/>
  <c r="C13" i="82"/>
  <c r="H12" i="82"/>
  <c r="C12" i="82"/>
  <c r="C11" i="82"/>
  <c r="H10" i="82"/>
  <c r="C10" i="82"/>
  <c r="C9" i="82"/>
  <c r="H8" i="82"/>
  <c r="C8" i="82"/>
  <c r="C7" i="82"/>
  <c r="H7" i="82" l="1"/>
  <c r="I7" i="82" s="1"/>
  <c r="H11" i="82"/>
  <c r="I11" i="82" s="1"/>
  <c r="H9" i="82"/>
  <c r="I9" i="82" s="1"/>
  <c r="H13" i="82"/>
  <c r="I13" i="82" s="1"/>
  <c r="F7" i="82"/>
  <c r="F11" i="82"/>
  <c r="F15" i="82"/>
  <c r="F12" i="82"/>
  <c r="F9" i="82"/>
  <c r="F10" i="82"/>
  <c r="F13" i="82"/>
  <c r="I15" i="82"/>
  <c r="F8" i="82"/>
  <c r="F14" i="82"/>
  <c r="I8" i="82"/>
  <c r="I10" i="82"/>
  <c r="I12" i="82"/>
  <c r="I14" i="82"/>
  <c r="H12" i="113" l="1"/>
  <c r="C12" i="113"/>
  <c r="F12" i="113" l="1"/>
  <c r="I12" i="113"/>
  <c r="H19" i="88" l="1"/>
  <c r="C19" i="88"/>
  <c r="H14" i="88"/>
  <c r="C14" i="88"/>
  <c r="F14" i="88" l="1"/>
  <c r="F19" i="88"/>
  <c r="I14" i="88"/>
  <c r="I19" i="88"/>
  <c r="C12" i="106" l="1"/>
  <c r="H12" i="106"/>
  <c r="C13" i="106"/>
  <c r="H13" i="106"/>
  <c r="C14" i="106"/>
  <c r="H14" i="106"/>
  <c r="C15" i="106"/>
  <c r="H15" i="106"/>
  <c r="C16" i="106"/>
  <c r="H16" i="106"/>
  <c r="C17" i="106"/>
  <c r="H17" i="106"/>
  <c r="C18" i="106"/>
  <c r="H18" i="106"/>
  <c r="C6" i="106"/>
  <c r="C7" i="106"/>
  <c r="C8" i="106"/>
  <c r="C9" i="106"/>
  <c r="C10" i="106"/>
  <c r="C11" i="106"/>
  <c r="H19" i="107"/>
  <c r="H18" i="107"/>
  <c r="H20" i="107" l="1"/>
  <c r="I20" i="107" s="1"/>
  <c r="I12" i="106"/>
  <c r="I14" i="106"/>
  <c r="F15" i="106"/>
  <c r="I18" i="106"/>
  <c r="I16" i="106"/>
  <c r="F12" i="106"/>
  <c r="F13" i="106"/>
  <c r="F18" i="106"/>
  <c r="F16" i="106"/>
  <c r="F14" i="106"/>
  <c r="F17" i="106"/>
  <c r="I15" i="106"/>
  <c r="I13" i="106"/>
  <c r="I17" i="106"/>
  <c r="F18" i="107"/>
  <c r="F20" i="107"/>
  <c r="F19" i="107"/>
  <c r="I18" i="107"/>
  <c r="I19" i="107"/>
  <c r="H11" i="118" l="1"/>
  <c r="H9" i="118"/>
  <c r="H7" i="118"/>
  <c r="H6" i="118"/>
  <c r="H8" i="118" l="1"/>
  <c r="I8" i="118" s="1"/>
  <c r="H10" i="118"/>
  <c r="I10" i="118" s="1"/>
  <c r="F8" i="118"/>
  <c r="F10" i="118"/>
  <c r="F7" i="118"/>
  <c r="F9" i="118"/>
  <c r="F11" i="118"/>
  <c r="E19" i="118"/>
  <c r="I7" i="118"/>
  <c r="I9" i="118"/>
  <c r="I11" i="118"/>
  <c r="F6" i="118"/>
  <c r="H19" i="118" l="1"/>
  <c r="F19" i="118"/>
  <c r="I6" i="118"/>
  <c r="I19" i="118" s="1"/>
  <c r="H49" i="95" l="1"/>
  <c r="H48" i="95"/>
  <c r="H47" i="95" l="1"/>
  <c r="I47" i="95" s="1"/>
  <c r="F47" i="95"/>
  <c r="F49" i="95"/>
  <c r="F48" i="95"/>
  <c r="I48" i="95"/>
  <c r="I49" i="95"/>
  <c r="G4" i="92" l="1"/>
  <c r="H15" i="115" l="1"/>
  <c r="H14" i="115"/>
  <c r="H12" i="116"/>
  <c r="C12" i="116"/>
  <c r="F15" i="115" l="1"/>
  <c r="F14" i="115"/>
  <c r="I15" i="115"/>
  <c r="I14" i="115"/>
  <c r="F12" i="116"/>
  <c r="I12" i="116"/>
  <c r="H24" i="89" l="1"/>
  <c r="C24" i="89"/>
  <c r="C16" i="81"/>
  <c r="H16" i="81"/>
  <c r="C17" i="81"/>
  <c r="H17" i="81"/>
  <c r="C18" i="81"/>
  <c r="H18" i="81"/>
  <c r="C19" i="81"/>
  <c r="H19" i="81"/>
  <c r="C20" i="81"/>
  <c r="H20" i="81"/>
  <c r="C21" i="81"/>
  <c r="H21" i="81"/>
  <c r="F24" i="89" l="1"/>
  <c r="I24" i="89"/>
  <c r="F16" i="81"/>
  <c r="F19" i="81"/>
  <c r="F17" i="81"/>
  <c r="F18" i="81"/>
  <c r="I19" i="81"/>
  <c r="I18" i="81"/>
  <c r="I17" i="81"/>
  <c r="I16" i="81"/>
  <c r="F20" i="81"/>
  <c r="F21" i="81"/>
  <c r="I21" i="81"/>
  <c r="I20" i="81"/>
  <c r="C7" i="117" l="1"/>
  <c r="G4" i="117"/>
  <c r="H7" i="117"/>
  <c r="H6" i="117"/>
  <c r="C12" i="84"/>
  <c r="H12" i="84"/>
  <c r="C13" i="84"/>
  <c r="H13" i="84"/>
  <c r="C14" i="84"/>
  <c r="H14" i="84"/>
  <c r="C15" i="84"/>
  <c r="H15" i="84"/>
  <c r="C21" i="84"/>
  <c r="H21" i="84"/>
  <c r="C22" i="84"/>
  <c r="H22" i="84"/>
  <c r="C12" i="75"/>
  <c r="H12" i="75"/>
  <c r="C13" i="75"/>
  <c r="H13" i="75"/>
  <c r="C14" i="75"/>
  <c r="H14" i="75"/>
  <c r="C15" i="75"/>
  <c r="H15" i="75"/>
  <c r="C16" i="75"/>
  <c r="H16" i="75"/>
  <c r="C17" i="75"/>
  <c r="H17" i="75"/>
  <c r="C18" i="75"/>
  <c r="H18" i="75"/>
  <c r="C10" i="113"/>
  <c r="H10" i="113"/>
  <c r="H8" i="116"/>
  <c r="H9" i="116"/>
  <c r="H10" i="116"/>
  <c r="H11" i="116"/>
  <c r="C8" i="116"/>
  <c r="C9" i="116"/>
  <c r="C10" i="116"/>
  <c r="C11" i="116"/>
  <c r="H8" i="117" l="1"/>
  <c r="I8" i="117" s="1"/>
  <c r="E9" i="117"/>
  <c r="G9" i="117"/>
  <c r="I7" i="117"/>
  <c r="F14" i="84"/>
  <c r="F22" i="84"/>
  <c r="F21" i="84"/>
  <c r="F15" i="84"/>
  <c r="F12" i="84"/>
  <c r="I22" i="84"/>
  <c r="I21" i="84"/>
  <c r="I15" i="84"/>
  <c r="I13" i="84"/>
  <c r="I12" i="84"/>
  <c r="F13" i="84"/>
  <c r="I14" i="84"/>
  <c r="F12" i="75"/>
  <c r="F17" i="75"/>
  <c r="F15" i="75"/>
  <c r="F13" i="75"/>
  <c r="F18" i="75"/>
  <c r="F16" i="75"/>
  <c r="F14" i="75"/>
  <c r="I18" i="75"/>
  <c r="I17" i="75"/>
  <c r="I16" i="75"/>
  <c r="I15" i="75"/>
  <c r="I14" i="75"/>
  <c r="I13" i="75"/>
  <c r="I12" i="75"/>
  <c r="F10" i="113"/>
  <c r="I10" i="113"/>
  <c r="F10" i="116"/>
  <c r="I9" i="116"/>
  <c r="F9" i="116"/>
  <c r="F8" i="116"/>
  <c r="F11" i="116"/>
  <c r="I8" i="116"/>
  <c r="I10" i="116"/>
  <c r="I11" i="116"/>
  <c r="I6" i="117" l="1"/>
  <c r="I9" i="117" s="1"/>
  <c r="H9" i="117"/>
  <c r="C14" i="87" l="1"/>
  <c r="C13" i="87"/>
  <c r="C12" i="87"/>
  <c r="C11" i="87"/>
  <c r="C10" i="87"/>
  <c r="C9" i="87"/>
  <c r="H13" i="87"/>
  <c r="H6" i="87"/>
  <c r="G4" i="109"/>
  <c r="G4" i="93"/>
  <c r="G4" i="87"/>
  <c r="I50" i="35"/>
  <c r="C7" i="116"/>
  <c r="H6" i="116"/>
  <c r="C6" i="116"/>
  <c r="H13" i="115"/>
  <c r="H11" i="115"/>
  <c r="H8" i="115"/>
  <c r="H7" i="115"/>
  <c r="H6" i="115"/>
  <c r="H66" i="95"/>
  <c r="H17" i="94"/>
  <c r="C17" i="94"/>
  <c r="C16" i="94"/>
  <c r="H15" i="94"/>
  <c r="C15" i="94"/>
  <c r="H14" i="94"/>
  <c r="C14" i="94"/>
  <c r="H13" i="94"/>
  <c r="C13" i="94"/>
  <c r="H12" i="94"/>
  <c r="C12" i="94"/>
  <c r="H11" i="94"/>
  <c r="C11" i="94"/>
  <c r="H8" i="83"/>
  <c r="H78" i="95"/>
  <c r="H11" i="113"/>
  <c r="C11" i="113"/>
  <c r="H8" i="113"/>
  <c r="C8" i="113"/>
  <c r="H7" i="113"/>
  <c r="H6" i="113"/>
  <c r="C6" i="113"/>
  <c r="H14" i="112"/>
  <c r="C14" i="112"/>
  <c r="H13" i="112"/>
  <c r="C13" i="112"/>
  <c r="H12" i="112"/>
  <c r="C12" i="112"/>
  <c r="H11" i="112"/>
  <c r="C11" i="112"/>
  <c r="H10" i="112"/>
  <c r="C10" i="112"/>
  <c r="H9" i="112"/>
  <c r="C9" i="112"/>
  <c r="H8" i="112"/>
  <c r="C8" i="112"/>
  <c r="H7" i="112"/>
  <c r="C7" i="112"/>
  <c r="H6" i="112"/>
  <c r="C6" i="112"/>
  <c r="H7" i="96"/>
  <c r="H13" i="96" s="1"/>
  <c r="H10" i="87"/>
  <c r="H11" i="87"/>
  <c r="H12" i="87"/>
  <c r="H9" i="111"/>
  <c r="H6" i="111"/>
  <c r="C7" i="109"/>
  <c r="C8" i="109"/>
  <c r="C9" i="109"/>
  <c r="C10" i="109"/>
  <c r="C13" i="109"/>
  <c r="C6" i="109"/>
  <c r="H6" i="109"/>
  <c r="H13" i="109"/>
  <c r="H10" i="109"/>
  <c r="H9" i="109"/>
  <c r="H8" i="109"/>
  <c r="H8" i="92"/>
  <c r="H9" i="92"/>
  <c r="H10" i="92"/>
  <c r="H6" i="89"/>
  <c r="H7" i="89"/>
  <c r="H9" i="89"/>
  <c r="H18" i="108"/>
  <c r="C18" i="108"/>
  <c r="C11" i="108"/>
  <c r="C10" i="108"/>
  <c r="C9" i="108"/>
  <c r="H8" i="108"/>
  <c r="C8" i="108"/>
  <c r="H7" i="108"/>
  <c r="C7" i="108"/>
  <c r="H6" i="108"/>
  <c r="C6" i="108"/>
  <c r="C10" i="88"/>
  <c r="H10" i="88"/>
  <c r="C11" i="88"/>
  <c r="H11" i="88"/>
  <c r="C12" i="88"/>
  <c r="H12" i="88"/>
  <c r="C13" i="88"/>
  <c r="G4" i="96"/>
  <c r="H12" i="97"/>
  <c r="C6" i="83"/>
  <c r="C10" i="92"/>
  <c r="C11" i="92"/>
  <c r="C12" i="92"/>
  <c r="C15" i="92"/>
  <c r="C6" i="82"/>
  <c r="H9" i="107"/>
  <c r="H7" i="107"/>
  <c r="H6" i="107"/>
  <c r="H7" i="106"/>
  <c r="H8" i="106"/>
  <c r="H9" i="106"/>
  <c r="H10" i="106"/>
  <c r="H11" i="106"/>
  <c r="C14" i="78"/>
  <c r="H14" i="78"/>
  <c r="C15" i="78"/>
  <c r="H10" i="84"/>
  <c r="C10" i="84"/>
  <c r="C11" i="84"/>
  <c r="H12" i="95"/>
  <c r="H15" i="95"/>
  <c r="H16" i="95"/>
  <c r="H43" i="95"/>
  <c r="H8" i="81"/>
  <c r="H11" i="81"/>
  <c r="H12" i="81"/>
  <c r="H14" i="81"/>
  <c r="H15" i="81"/>
  <c r="C13" i="81"/>
  <c r="C14" i="81"/>
  <c r="C15" i="81"/>
  <c r="C6" i="81"/>
  <c r="C6" i="93"/>
  <c r="C6" i="88"/>
  <c r="C6" i="84"/>
  <c r="H7" i="75"/>
  <c r="H8" i="75"/>
  <c r="H9" i="75"/>
  <c r="H10" i="75"/>
  <c r="H11" i="75"/>
  <c r="H7" i="77"/>
  <c r="H8" i="78"/>
  <c r="H9" i="78"/>
  <c r="H10" i="78"/>
  <c r="H11" i="78"/>
  <c r="H12" i="78"/>
  <c r="H13" i="78"/>
  <c r="H7" i="85"/>
  <c r="H7" i="84"/>
  <c r="H8" i="84"/>
  <c r="H9" i="84"/>
  <c r="H7" i="88"/>
  <c r="H8" i="88"/>
  <c r="H9" i="88"/>
  <c r="H7" i="90"/>
  <c r="H10" i="90"/>
  <c r="H12" i="90"/>
  <c r="H8" i="94"/>
  <c r="H9" i="94"/>
  <c r="H10" i="94"/>
  <c r="H8" i="95"/>
  <c r="H9" i="95"/>
  <c r="H10" i="97"/>
  <c r="H15" i="97"/>
  <c r="H6" i="75"/>
  <c r="H6" i="76"/>
  <c r="H17" i="76" s="1"/>
  <c r="H6" i="77"/>
  <c r="H6" i="78"/>
  <c r="H6" i="85"/>
  <c r="H6" i="84"/>
  <c r="H6" i="88"/>
  <c r="H6" i="90"/>
  <c r="H6" i="94"/>
  <c r="H6" i="95"/>
  <c r="E43" i="82"/>
  <c r="C7" i="96"/>
  <c r="C7" i="75"/>
  <c r="C8" i="75"/>
  <c r="C9" i="75"/>
  <c r="C10" i="75"/>
  <c r="C11" i="75"/>
  <c r="C7" i="77"/>
  <c r="C8" i="78"/>
  <c r="C9" i="78"/>
  <c r="C10" i="78"/>
  <c r="C11" i="78"/>
  <c r="C12" i="78"/>
  <c r="C13" i="78"/>
  <c r="C7" i="81"/>
  <c r="C8" i="81"/>
  <c r="C9" i="81"/>
  <c r="C10" i="81"/>
  <c r="C11" i="81"/>
  <c r="C12" i="81"/>
  <c r="C7" i="85"/>
  <c r="C8" i="85"/>
  <c r="C7" i="84"/>
  <c r="C8" i="84"/>
  <c r="C9" i="84"/>
  <c r="C7" i="87"/>
  <c r="C8" i="87"/>
  <c r="C7" i="88"/>
  <c r="C8" i="88"/>
  <c r="C9" i="88"/>
  <c r="C7" i="89"/>
  <c r="C8" i="89"/>
  <c r="C9" i="89"/>
  <c r="C7" i="90"/>
  <c r="C8" i="90"/>
  <c r="C9" i="90"/>
  <c r="C10" i="90"/>
  <c r="C11" i="90"/>
  <c r="C12" i="90"/>
  <c r="C13" i="90"/>
  <c r="C14" i="90"/>
  <c r="C7" i="92"/>
  <c r="C8" i="92"/>
  <c r="C9" i="92"/>
  <c r="C7" i="94"/>
  <c r="C8" i="94"/>
  <c r="C9" i="94"/>
  <c r="C10" i="94"/>
  <c r="C6" i="75"/>
  <c r="C6" i="77"/>
  <c r="C6" i="78"/>
  <c r="C6" i="85"/>
  <c r="C6" i="89"/>
  <c r="C6" i="90"/>
  <c r="C6" i="92"/>
  <c r="C6" i="94"/>
  <c r="H8" i="87"/>
  <c r="H9" i="87"/>
  <c r="B52" i="35"/>
  <c r="H16" i="112" l="1"/>
  <c r="I6" i="89"/>
  <c r="H18" i="113"/>
  <c r="H6" i="81"/>
  <c r="I6" i="81" s="1"/>
  <c r="F71" i="95"/>
  <c r="H6" i="106"/>
  <c r="G43" i="106"/>
  <c r="H6" i="97"/>
  <c r="H6" i="83"/>
  <c r="H10" i="81"/>
  <c r="I10" i="81" s="1"/>
  <c r="I8" i="87"/>
  <c r="H6" i="82"/>
  <c r="H14" i="97"/>
  <c r="I14" i="97" s="1"/>
  <c r="H10" i="95"/>
  <c r="I10" i="95" s="1"/>
  <c r="H8" i="85"/>
  <c r="I8" i="85" s="1"/>
  <c r="H13" i="81"/>
  <c r="I13" i="81" s="1"/>
  <c r="H9" i="81"/>
  <c r="I9" i="81" s="1"/>
  <c r="H7" i="81"/>
  <c r="I7" i="81" s="1"/>
  <c r="H45" i="95"/>
  <c r="I45" i="95" s="1"/>
  <c r="H13" i="95"/>
  <c r="I13" i="95" s="1"/>
  <c r="H10" i="108"/>
  <c r="I10" i="108" s="1"/>
  <c r="H7" i="109"/>
  <c r="I7" i="109" s="1"/>
  <c r="H68" i="95"/>
  <c r="I68" i="95" s="1"/>
  <c r="H12" i="115"/>
  <c r="I12" i="115" s="1"/>
  <c r="H11" i="97"/>
  <c r="I11" i="97" s="1"/>
  <c r="H8" i="97"/>
  <c r="I8" i="97" s="1"/>
  <c r="H11" i="90"/>
  <c r="I11" i="90" s="1"/>
  <c r="H8" i="90"/>
  <c r="I8" i="90" s="1"/>
  <c r="H16" i="107"/>
  <c r="I16" i="107" s="1"/>
  <c r="H13" i="97"/>
  <c r="I13" i="97" s="1"/>
  <c r="H9" i="108"/>
  <c r="I9" i="108" s="1"/>
  <c r="H11" i="92"/>
  <c r="I11" i="92" s="1"/>
  <c r="H7" i="92"/>
  <c r="I7" i="92" s="1"/>
  <c r="H10" i="111"/>
  <c r="I10" i="111" s="1"/>
  <c r="H8" i="111"/>
  <c r="I8" i="111" s="1"/>
  <c r="H10" i="115"/>
  <c r="I10" i="115" s="1"/>
  <c r="H14" i="90"/>
  <c r="I14" i="90" s="1"/>
  <c r="H46" i="95"/>
  <c r="I46" i="95" s="1"/>
  <c r="H15" i="78"/>
  <c r="I15" i="78" s="1"/>
  <c r="H7" i="83"/>
  <c r="I7" i="83" s="1"/>
  <c r="H13" i="88"/>
  <c r="I13" i="88" s="1"/>
  <c r="H65" i="95"/>
  <c r="I65" i="95" s="1"/>
  <c r="H16" i="94"/>
  <c r="I16" i="94" s="1"/>
  <c r="H71" i="95"/>
  <c r="I71" i="95" s="1"/>
  <c r="H7" i="116"/>
  <c r="I7" i="116" s="1"/>
  <c r="H14" i="87"/>
  <c r="I14" i="87" s="1"/>
  <c r="H7" i="97"/>
  <c r="I7" i="97" s="1"/>
  <c r="H7" i="94"/>
  <c r="I7" i="94" s="1"/>
  <c r="H44" i="95"/>
  <c r="I44" i="95" s="1"/>
  <c r="H14" i="95"/>
  <c r="I14" i="95" s="1"/>
  <c r="H11" i="84"/>
  <c r="I11" i="84" s="1"/>
  <c r="H7" i="87"/>
  <c r="I7" i="87" s="1"/>
  <c r="H9" i="97"/>
  <c r="I9" i="97" s="1"/>
  <c r="H11" i="95"/>
  <c r="I11" i="95" s="1"/>
  <c r="H7" i="95"/>
  <c r="I7" i="95" s="1"/>
  <c r="H13" i="90"/>
  <c r="I13" i="90" s="1"/>
  <c r="H9" i="90"/>
  <c r="I9" i="90" s="1"/>
  <c r="H8" i="107"/>
  <c r="I8" i="107" s="1"/>
  <c r="H10" i="107"/>
  <c r="I10" i="107" s="1"/>
  <c r="H17" i="107"/>
  <c r="I17" i="107" s="1"/>
  <c r="H11" i="108"/>
  <c r="I11" i="108" s="1"/>
  <c r="H8" i="89"/>
  <c r="I8" i="89" s="1"/>
  <c r="I9" i="92"/>
  <c r="I10" i="109"/>
  <c r="H7" i="111"/>
  <c r="I7" i="111" s="1"/>
  <c r="H9" i="115"/>
  <c r="I9" i="115" s="1"/>
  <c r="I7" i="106"/>
  <c r="I10" i="106"/>
  <c r="E92" i="81"/>
  <c r="E23" i="88"/>
  <c r="E15" i="87"/>
  <c r="E24" i="77"/>
  <c r="E16" i="92"/>
  <c r="G49" i="108"/>
  <c r="E17" i="76"/>
  <c r="E54" i="107"/>
  <c r="E17" i="111"/>
  <c r="E48" i="78"/>
  <c r="E43" i="106"/>
  <c r="E49" i="108"/>
  <c r="I6" i="115"/>
  <c r="G39" i="115"/>
  <c r="E14" i="109"/>
  <c r="E42" i="116"/>
  <c r="E57" i="84"/>
  <c r="E55" i="75"/>
  <c r="I6" i="75"/>
  <c r="G54" i="107"/>
  <c r="G14" i="109"/>
  <c r="G17" i="111"/>
  <c r="G42" i="116"/>
  <c r="E24" i="90"/>
  <c r="E17" i="85"/>
  <c r="I6" i="113"/>
  <c r="E39" i="115"/>
  <c r="I11" i="112"/>
  <c r="I9" i="112"/>
  <c r="I7" i="112"/>
  <c r="F9" i="112"/>
  <c r="I13" i="112"/>
  <c r="I9" i="109"/>
  <c r="I13" i="109"/>
  <c r="I12" i="112"/>
  <c r="I43" i="95"/>
  <c r="I11" i="106"/>
  <c r="I16" i="95"/>
  <c r="I9" i="106"/>
  <c r="I11" i="88"/>
  <c r="I8" i="109"/>
  <c r="F65" i="95"/>
  <c r="F6" i="95"/>
  <c r="F11" i="106"/>
  <c r="F6" i="94"/>
  <c r="F10" i="94"/>
  <c r="F7" i="111"/>
  <c r="F9" i="111"/>
  <c r="F10" i="81"/>
  <c r="F7" i="81"/>
  <c r="F45" i="95"/>
  <c r="F16" i="95"/>
  <c r="F13" i="95"/>
  <c r="F11" i="84"/>
  <c r="F13" i="88"/>
  <c r="F11" i="88"/>
  <c r="F7" i="95"/>
  <c r="F7" i="94"/>
  <c r="F9" i="106"/>
  <c r="F6" i="111"/>
  <c r="F10" i="111"/>
  <c r="F11" i="113"/>
  <c r="F14" i="112"/>
  <c r="F7" i="113"/>
  <c r="F8" i="84"/>
  <c r="F7" i="85"/>
  <c r="F7" i="77"/>
  <c r="I15" i="95"/>
  <c r="F11" i="75"/>
  <c r="I14" i="112"/>
  <c r="I8" i="112"/>
  <c r="F6" i="112"/>
  <c r="F8" i="113"/>
  <c r="F9" i="81"/>
  <c r="F44" i="95"/>
  <c r="F12" i="95"/>
  <c r="F10" i="84"/>
  <c r="F8" i="107"/>
  <c r="F10" i="107"/>
  <c r="F17" i="107"/>
  <c r="F13" i="97"/>
  <c r="F7" i="106"/>
  <c r="F10" i="112"/>
  <c r="F12" i="112"/>
  <c r="I10" i="84"/>
  <c r="F12" i="81"/>
  <c r="I10" i="112"/>
  <c r="I12" i="81"/>
  <c r="F8" i="112"/>
  <c r="I8" i="113"/>
  <c r="F15" i="78"/>
  <c r="F6" i="89"/>
  <c r="F10" i="75"/>
  <c r="F7" i="107"/>
  <c r="I8" i="106"/>
  <c r="F6" i="81"/>
  <c r="F8" i="106"/>
  <c r="I9" i="107"/>
  <c r="I7" i="107"/>
  <c r="F9" i="78"/>
  <c r="E7" i="93"/>
  <c r="F12" i="88"/>
  <c r="F13" i="78"/>
  <c r="F7" i="83"/>
  <c r="F12" i="97"/>
  <c r="F12" i="115"/>
  <c r="F10" i="88"/>
  <c r="F7" i="116"/>
  <c r="F8" i="88"/>
  <c r="F7" i="75"/>
  <c r="F14" i="81"/>
  <c r="I14" i="81"/>
  <c r="F6" i="107"/>
  <c r="F14" i="78"/>
  <c r="F9" i="89"/>
  <c r="F7" i="112"/>
  <c r="F11" i="112"/>
  <c r="F13" i="112"/>
  <c r="F6" i="113"/>
  <c r="I8" i="83"/>
  <c r="F8" i="75"/>
  <c r="F8" i="81"/>
  <c r="I10" i="92"/>
  <c r="F6" i="106"/>
  <c r="F11" i="78"/>
  <c r="F11" i="97"/>
  <c r="F11" i="95"/>
  <c r="F14" i="90"/>
  <c r="F6" i="97"/>
  <c r="F9" i="95"/>
  <c r="F9" i="94"/>
  <c r="F12" i="90"/>
  <c r="F7" i="90"/>
  <c r="F8" i="95"/>
  <c r="F8" i="111"/>
  <c r="F8" i="94"/>
  <c r="I7" i="84"/>
  <c r="F13" i="81"/>
  <c r="F10" i="106"/>
  <c r="F9" i="115"/>
  <c r="F11" i="115"/>
  <c r="F9" i="97"/>
  <c r="F9" i="84"/>
  <c r="I9" i="84"/>
  <c r="F6" i="116"/>
  <c r="F7" i="89"/>
  <c r="I6" i="93"/>
  <c r="I12" i="87"/>
  <c r="F6" i="90"/>
  <c r="F10" i="97"/>
  <c r="F10" i="95"/>
  <c r="F13" i="90"/>
  <c r="F7" i="84"/>
  <c r="F8" i="78"/>
  <c r="I9" i="95"/>
  <c r="I7" i="88"/>
  <c r="F46" i="95"/>
  <c r="F43" i="95"/>
  <c r="F14" i="95"/>
  <c r="F68" i="95"/>
  <c r="F8" i="89"/>
  <c r="F11" i="90"/>
  <c r="I9" i="78"/>
  <c r="F15" i="97"/>
  <c r="F8" i="97"/>
  <c r="F10" i="90"/>
  <c r="F9" i="88"/>
  <c r="I9" i="88"/>
  <c r="F9" i="107"/>
  <c r="F16" i="107"/>
  <c r="I15" i="81"/>
  <c r="I9" i="89"/>
  <c r="F12" i="78"/>
  <c r="I8" i="78"/>
  <c r="F8" i="85"/>
  <c r="F6" i="76"/>
  <c r="I10" i="87"/>
  <c r="F6" i="88"/>
  <c r="F6" i="84"/>
  <c r="I11" i="81"/>
  <c r="F11" i="81"/>
  <c r="I12" i="88"/>
  <c r="I10" i="94"/>
  <c r="F6" i="78"/>
  <c r="F9" i="75"/>
  <c r="I78" i="95"/>
  <c r="I11" i="115"/>
  <c r="F14" i="97"/>
  <c r="F9" i="90"/>
  <c r="F6" i="82"/>
  <c r="F43" i="82" s="1"/>
  <c r="F15" i="81"/>
  <c r="I7" i="89"/>
  <c r="I13" i="115"/>
  <c r="F7" i="88"/>
  <c r="I8" i="88"/>
  <c r="I8" i="84"/>
  <c r="I7" i="113"/>
  <c r="F12" i="94"/>
  <c r="F14" i="94"/>
  <c r="F13" i="115"/>
  <c r="F8" i="115"/>
  <c r="F7" i="97"/>
  <c r="I10" i="90"/>
  <c r="I8" i="81"/>
  <c r="I11" i="87"/>
  <c r="I8" i="94"/>
  <c r="F6" i="77"/>
  <c r="I12" i="90"/>
  <c r="I7" i="85"/>
  <c r="F8" i="90"/>
  <c r="I10" i="97"/>
  <c r="F11" i="94"/>
  <c r="F66" i="95"/>
  <c r="I9" i="94"/>
  <c r="I7" i="90"/>
  <c r="F6" i="115"/>
  <c r="I12" i="95"/>
  <c r="F15" i="95"/>
  <c r="F6" i="85"/>
  <c r="I15" i="97"/>
  <c r="I8" i="115"/>
  <c r="F10" i="115"/>
  <c r="F6" i="75"/>
  <c r="F7" i="115"/>
  <c r="I8" i="95"/>
  <c r="I9" i="75"/>
  <c r="I9" i="111"/>
  <c r="I9" i="87"/>
  <c r="I11" i="78"/>
  <c r="F78" i="95"/>
  <c r="F8" i="83"/>
  <c r="I12" i="94"/>
  <c r="I13" i="87"/>
  <c r="I10" i="88"/>
  <c r="F10" i="78"/>
  <c r="I10" i="78"/>
  <c r="I8" i="75"/>
  <c r="I11" i="75"/>
  <c r="I14" i="78"/>
  <c r="F6" i="83"/>
  <c r="I13" i="78"/>
  <c r="I11" i="94"/>
  <c r="F13" i="94"/>
  <c r="I13" i="94"/>
  <c r="I15" i="94"/>
  <c r="F15" i="94"/>
  <c r="F17" i="94"/>
  <c r="I17" i="94"/>
  <c r="I12" i="78"/>
  <c r="I7" i="77"/>
  <c r="I10" i="75"/>
  <c r="I66" i="95"/>
  <c r="I8" i="92"/>
  <c r="F16" i="94"/>
  <c r="I7" i="115"/>
  <c r="I14" i="94"/>
  <c r="I12" i="97"/>
  <c r="I18" i="108"/>
  <c r="F7" i="108"/>
  <c r="F8" i="108"/>
  <c r="F18" i="108"/>
  <c r="F9" i="108"/>
  <c r="F11" i="108"/>
  <c r="I8" i="108"/>
  <c r="F10" i="108"/>
  <c r="I7" i="108"/>
  <c r="F6" i="108"/>
  <c r="F31" i="35"/>
  <c r="F20" i="35"/>
  <c r="D13" i="35"/>
  <c r="D20" i="35"/>
  <c r="F13" i="35"/>
  <c r="E10" i="35"/>
  <c r="D12" i="35"/>
  <c r="F10" i="35"/>
  <c r="E17" i="35"/>
  <c r="D14" i="35"/>
  <c r="D15" i="35"/>
  <c r="F7" i="35"/>
  <c r="D7" i="35"/>
  <c r="F18" i="35"/>
  <c r="F16" i="35"/>
  <c r="F19" i="35"/>
  <c r="F17" i="35"/>
  <c r="F14" i="35"/>
  <c r="F21" i="35"/>
  <c r="F9" i="35"/>
  <c r="D9" i="35"/>
  <c r="D31" i="35"/>
  <c r="F12" i="35"/>
  <c r="F15" i="35"/>
  <c r="D10" i="35" l="1"/>
  <c r="H70" i="97"/>
  <c r="F70" i="97"/>
  <c r="F18" i="83"/>
  <c r="F16" i="112"/>
  <c r="H25" i="89"/>
  <c r="F83" i="95"/>
  <c r="H83" i="95"/>
  <c r="I6" i="97"/>
  <c r="I70" i="97" s="1"/>
  <c r="F58" i="94"/>
  <c r="H58" i="94"/>
  <c r="F18" i="113"/>
  <c r="H18" i="83"/>
  <c r="H57" i="84"/>
  <c r="H48" i="78"/>
  <c r="H42" i="116"/>
  <c r="H24" i="90"/>
  <c r="H49" i="108"/>
  <c r="H17" i="111"/>
  <c r="I7" i="93"/>
  <c r="H7" i="93"/>
  <c r="H15" i="87"/>
  <c r="H15" i="92"/>
  <c r="I15" i="92" s="1"/>
  <c r="H43" i="106"/>
  <c r="H14" i="109"/>
  <c r="I92" i="81"/>
  <c r="F49" i="108"/>
  <c r="F55" i="75"/>
  <c r="F23" i="88"/>
  <c r="F25" i="89"/>
  <c r="I39" i="115"/>
  <c r="F17" i="85"/>
  <c r="F39" i="115"/>
  <c r="F42" i="116"/>
  <c r="I6" i="87"/>
  <c r="I15" i="87" s="1"/>
  <c r="I6" i="82"/>
  <c r="I43" i="82" s="1"/>
  <c r="H43" i="82"/>
  <c r="F24" i="77"/>
  <c r="F48" i="78"/>
  <c r="F57" i="84"/>
  <c r="F17" i="76"/>
  <c r="F43" i="106"/>
  <c r="F54" i="107"/>
  <c r="F92" i="81"/>
  <c r="I6" i="78"/>
  <c r="I48" i="78" s="1"/>
  <c r="I6" i="77"/>
  <c r="I24" i="77" s="1"/>
  <c r="H24" i="77"/>
  <c r="H39" i="115"/>
  <c r="I6" i="84"/>
  <c r="I57" i="84" s="1"/>
  <c r="F24" i="90"/>
  <c r="F17" i="111"/>
  <c r="I6" i="107"/>
  <c r="I54" i="107" s="1"/>
  <c r="H54" i="107"/>
  <c r="I6" i="88"/>
  <c r="I23" i="88" s="1"/>
  <c r="H23" i="88"/>
  <c r="I6" i="90"/>
  <c r="I24" i="90" s="1"/>
  <c r="I7" i="96"/>
  <c r="I13" i="96" s="1"/>
  <c r="H92" i="81"/>
  <c r="I6" i="85"/>
  <c r="I17" i="85" s="1"/>
  <c r="H17" i="85"/>
  <c r="I6" i="116"/>
  <c r="I42" i="116" s="1"/>
  <c r="I6" i="95"/>
  <c r="I83" i="95" s="1"/>
  <c r="H55" i="75"/>
  <c r="I6" i="106"/>
  <c r="I43" i="106" s="1"/>
  <c r="I6" i="92"/>
  <c r="I6" i="83"/>
  <c r="I6" i="111"/>
  <c r="I17" i="111" s="1"/>
  <c r="I25" i="89"/>
  <c r="I6" i="109"/>
  <c r="I14" i="109" s="1"/>
  <c r="I6" i="108"/>
  <c r="I49" i="108" s="1"/>
  <c r="I6" i="76"/>
  <c r="I6" i="94"/>
  <c r="I58" i="94" s="1"/>
  <c r="I6" i="112"/>
  <c r="I16" i="112" s="1"/>
  <c r="I7" i="75"/>
  <c r="I55" i="75" s="1"/>
  <c r="I12" i="92"/>
  <c r="I11" i="113"/>
  <c r="I18" i="113" s="1"/>
  <c r="G20" i="35"/>
  <c r="H21" i="35"/>
  <c r="E13" i="35"/>
  <c r="H14" i="35"/>
  <c r="G17" i="35"/>
  <c r="H17" i="35"/>
  <c r="E15" i="35"/>
  <c r="G19" i="35"/>
  <c r="E14" i="35"/>
  <c r="E9" i="35"/>
  <c r="H7" i="35"/>
  <c r="E20" i="35"/>
  <c r="E16" i="35"/>
  <c r="H19" i="35"/>
  <c r="G31" i="35"/>
  <c r="H12" i="35"/>
  <c r="G18" i="35"/>
  <c r="E18" i="35"/>
  <c r="G16" i="35"/>
  <c r="H15" i="35"/>
  <c r="G9" i="35"/>
  <c r="G10" i="35"/>
  <c r="E31" i="35"/>
  <c r="E7" i="35"/>
  <c r="H20" i="35"/>
  <c r="H16" i="35"/>
  <c r="E12" i="35"/>
  <c r="H9" i="35"/>
  <c r="G14" i="35"/>
  <c r="G21" i="35"/>
  <c r="H31" i="35"/>
  <c r="G12" i="35"/>
  <c r="G15" i="35"/>
  <c r="G7" i="35"/>
  <c r="H18" i="35"/>
  <c r="G13" i="35"/>
  <c r="E19" i="35"/>
  <c r="G50" i="35" l="1"/>
  <c r="D50" i="35"/>
  <c r="F50" i="35"/>
  <c r="H16" i="92"/>
  <c r="E50" i="35"/>
  <c r="I17" i="76"/>
  <c r="I16" i="92"/>
  <c r="I18" i="83"/>
  <c r="H13" i="35"/>
  <c r="H10" i="35"/>
  <c r="L31" i="35" l="1"/>
  <c r="L53" i="35" s="1"/>
  <c r="L54" i="35" s="1"/>
  <c r="H50" i="35"/>
</calcChain>
</file>

<file path=xl/comments1.xml><?xml version="1.0" encoding="utf-8"?>
<comments xmlns="http://schemas.openxmlformats.org/spreadsheetml/2006/main">
  <authors>
    <author>장지애(웹소설사업팀)</author>
  </authors>
  <commentList>
    <comment ref="I6" authorId="0" shapeId="0">
      <text>
        <r>
          <rPr>
            <sz val="9"/>
            <color indexed="81"/>
            <rFont val="돋움"/>
            <family val="3"/>
            <charset val="129"/>
          </rPr>
          <t>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작성요령
</t>
        </r>
        <r>
          <rPr>
            <sz val="9"/>
            <color indexed="81"/>
            <rFont val="Tahoma"/>
            <family val="2"/>
          </rPr>
          <t xml:space="preserve">1) </t>
        </r>
        <r>
          <rPr>
            <sz val="9"/>
            <color indexed="81"/>
            <rFont val="돋움"/>
            <family val="3"/>
            <charset val="129"/>
          </rPr>
          <t>특정플랫폼</t>
        </r>
        <r>
          <rPr>
            <sz val="9"/>
            <color indexed="81"/>
            <rFont val="Tahoma"/>
            <family val="2"/>
          </rPr>
          <t xml:space="preserve"> (ex.</t>
        </r>
        <r>
          <rPr>
            <sz val="9"/>
            <color indexed="81"/>
            <rFont val="돋움"/>
            <family val="3"/>
            <charset val="129"/>
          </rPr>
          <t>봄툰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
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연재고료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기입
</t>
        </r>
        <r>
          <rPr>
            <sz val="9"/>
            <color indexed="81"/>
            <rFont val="Tahoma"/>
            <family val="2"/>
          </rPr>
          <t xml:space="preserve">2) </t>
        </r>
        <r>
          <rPr>
            <sz val="9"/>
            <color indexed="81"/>
            <rFont val="돋움"/>
            <family val="3"/>
            <charset val="129"/>
          </rPr>
          <t>특정플랫폼에서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
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유료판매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.
3) </t>
        </r>
        <r>
          <rPr>
            <sz val="9"/>
            <color indexed="81"/>
            <rFont val="돋움"/>
            <family val="3"/>
            <charset val="129"/>
          </rPr>
          <t>특정플랫폼</t>
        </r>
        <r>
          <rPr>
            <sz val="9"/>
            <color indexed="81"/>
            <rFont val="Tahoma"/>
            <family val="2"/>
          </rPr>
          <t>(ex.</t>
        </r>
        <r>
          <rPr>
            <sz val="9"/>
            <color indexed="81"/>
            <rFont val="돋움"/>
            <family val="3"/>
            <charset val="129"/>
          </rPr>
          <t>카카오페이지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=&gt; 
       </t>
        </r>
        <r>
          <rPr>
            <sz val="9"/>
            <color indexed="81"/>
            <rFont val="돋움"/>
            <family val="3"/>
            <charset val="129"/>
          </rPr>
          <t>사이트명을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카카오페이지</t>
        </r>
        <r>
          <rPr>
            <sz val="9"/>
            <color indexed="81"/>
            <rFont val="Tahoma"/>
            <family val="2"/>
          </rPr>
          <t>1'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연재고료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      '</t>
        </r>
        <r>
          <rPr>
            <sz val="9"/>
            <color indexed="81"/>
            <rFont val="돋움"/>
            <family val="3"/>
            <charset val="129"/>
          </rPr>
          <t>카카오페이지</t>
        </r>
        <r>
          <rPr>
            <sz val="9"/>
            <color indexed="81"/>
            <rFont val="Tahoma"/>
            <family val="2"/>
          </rPr>
          <t>2'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유료매출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표기해서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구분작성하면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<sst xmlns="http://schemas.openxmlformats.org/spreadsheetml/2006/main" count="5358" uniqueCount="554">
  <si>
    <t>사이트명</t>
  </si>
  <si>
    <t>월별</t>
    <phoneticPr fontId="11" type="noConversion"/>
  </si>
  <si>
    <t>작품명</t>
    <phoneticPr fontId="11" type="noConversion"/>
  </si>
  <si>
    <t>총매출</t>
    <phoneticPr fontId="11" type="noConversion"/>
  </si>
  <si>
    <t>순매출</t>
    <phoneticPr fontId="11" type="noConversion"/>
  </si>
  <si>
    <t>환율</t>
    <phoneticPr fontId="11" type="noConversion"/>
  </si>
  <si>
    <t>카카오페이지</t>
    <phoneticPr fontId="11" type="noConversion"/>
  </si>
  <si>
    <t>거짓말, 뱀파이어가 어디 있어? [BL]</t>
  </si>
  <si>
    <t>꿈꾸는 먹잇감</t>
  </si>
  <si>
    <t>꿰인 사이</t>
  </si>
  <si>
    <t>너에게만 음성인식</t>
  </si>
  <si>
    <t>네게 취한 날들</t>
  </si>
  <si>
    <t>대표님, 사모님이 도망가요</t>
  </si>
  <si>
    <t>대표님, 오늘은 아니에요</t>
  </si>
  <si>
    <t>레벨업에 미친 의사</t>
  </si>
  <si>
    <t>마녀 따위 안 할래요</t>
  </si>
  <si>
    <t>만지고 싶어!</t>
  </si>
  <si>
    <t>말도 안되는 관계 (개정판) [BL]</t>
  </si>
  <si>
    <t>명판관 장평</t>
  </si>
  <si>
    <t>사랑과 우정 사이에서 (개정판) [BL]</t>
  </si>
  <si>
    <t>사랑의 형태 : 마음이 향하는 곳</t>
  </si>
  <si>
    <t>사랑할 수 없는 그녀</t>
  </si>
  <si>
    <t>속도위반 대표님과 계약 아내</t>
  </si>
  <si>
    <t>슬기로운 생활</t>
  </si>
  <si>
    <t>심장을 녹여줘</t>
  </si>
  <si>
    <t>아랫집 웬수[개정판]</t>
  </si>
  <si>
    <t>악마와 나 사이에는</t>
  </si>
  <si>
    <t>어이상실의 시대</t>
  </si>
  <si>
    <t>옆집 최애 (개정판) [BL]</t>
  </si>
  <si>
    <t>용의주도 대표님의 연애 게임</t>
  </si>
  <si>
    <t>이혼신청</t>
  </si>
  <si>
    <t>인 유어 드림 (In Your Dream)</t>
  </si>
  <si>
    <t>전설 헌터로 키워지는 중입니다</t>
  </si>
  <si>
    <t>주작의 귀환</t>
  </si>
  <si>
    <t>키스했으니 책임져</t>
  </si>
  <si>
    <t>파쿠리인 내가 어시를?! [BL]</t>
  </si>
  <si>
    <t>프렌시아의 꽃</t>
  </si>
  <si>
    <t>한 번만 부탁해! [BL]</t>
  </si>
  <si>
    <t>한번 해볼래?</t>
  </si>
  <si>
    <t>한집 두 살림 (개정판) [GL]</t>
  </si>
  <si>
    <t>호감도가 오르면</t>
  </si>
  <si>
    <t>호랑이 장가드는 날 [BL, 개정판]</t>
  </si>
  <si>
    <t>귀신 보는 공작부인</t>
  </si>
  <si>
    <t>극한 공녀</t>
  </si>
  <si>
    <t>신들의 연애사정</t>
  </si>
  <si>
    <t>아저씨, 내 기분 왜 이래요?</t>
  </si>
  <si>
    <t>황비님? 황비님!</t>
  </si>
  <si>
    <t>카카오웹툰</t>
    <phoneticPr fontId="11" type="noConversion"/>
  </si>
  <si>
    <t>카카오웹툰-글로벌</t>
    <phoneticPr fontId="11" type="noConversion"/>
  </si>
  <si>
    <t>카카오 타파스</t>
    <phoneticPr fontId="11" type="noConversion"/>
  </si>
  <si>
    <t>.</t>
    <phoneticPr fontId="11" type="noConversion"/>
  </si>
  <si>
    <t>어디에서든 널 원해</t>
  </si>
  <si>
    <t>레진코믹스</t>
  </si>
  <si>
    <t>망나니 도련님 조교일지</t>
  </si>
  <si>
    <t>쌀툰</t>
  </si>
  <si>
    <t>옆집 최애</t>
  </si>
  <si>
    <t>한집 두 살림</t>
  </si>
  <si>
    <t>탑배우의 이중생활</t>
  </si>
  <si>
    <t>사랑과 우정 사이에서</t>
  </si>
  <si>
    <t>호랑이 장가 드는 날</t>
  </si>
  <si>
    <t>호랑이 장가 드는 날 [개정판]</t>
  </si>
  <si>
    <t>파쿠리인 내가 어시를</t>
  </si>
  <si>
    <t>츤데레 흥신소</t>
  </si>
  <si>
    <t>속도위반 대표님과 계약 아내 [연재]</t>
  </si>
  <si>
    <t>아랫집 웬수</t>
  </si>
  <si>
    <t>대표님의 삐뚤어진 사랑 [연재]</t>
  </si>
  <si>
    <t>거짓말, 뱀파이어가 어디 있어?</t>
  </si>
  <si>
    <t>너에게만 음성인식 [연재]</t>
  </si>
  <si>
    <t>꿰인 사이 [연재]</t>
  </si>
  <si>
    <t>한번 해볼래? [연재]</t>
  </si>
  <si>
    <t>한 번만 부탁해!</t>
  </si>
  <si>
    <t>네게 취한 날들 [연재]</t>
  </si>
  <si>
    <t>이혼신청 [연재]</t>
  </si>
  <si>
    <t>아랫집 웬수 [개정판]</t>
  </si>
  <si>
    <t>대표님, 오늘은 아니에요 [연재]</t>
  </si>
  <si>
    <t>꿈꾸는 먹잇감 [연재]</t>
  </si>
  <si>
    <t>레벨업에 미친 의사 [연재]</t>
  </si>
  <si>
    <t>전설 헌터로 키워지는 중입니다 [연재]</t>
  </si>
  <si>
    <t>북큐브</t>
    <phoneticPr fontId="11" type="noConversion"/>
  </si>
  <si>
    <t>수컷하우스 맨심</t>
  </si>
  <si>
    <t>호랑이 장가드는 날</t>
  </si>
  <si>
    <t>봄툰_유통1</t>
    <phoneticPr fontId="11" type="noConversion"/>
  </si>
  <si>
    <t xml:space="preserve"> * 같은이름 같은 유통사 주의</t>
    <phoneticPr fontId="11" type="noConversion"/>
  </si>
  <si>
    <t>아랫집웬수</t>
  </si>
  <si>
    <t xml:space="preserve"> - 유통사 이름 변경 (예. 봄툰_유통1.2.3)</t>
    <phoneticPr fontId="11" type="noConversion"/>
  </si>
  <si>
    <t>페티쉬 BL 단편선</t>
  </si>
  <si>
    <t>봄툰</t>
  </si>
  <si>
    <t>슬기로운 생활(완결)</t>
  </si>
  <si>
    <t>파쿠리인 내가 어시를?!</t>
  </si>
  <si>
    <t>용의주도 대표님의 연애게임</t>
  </si>
  <si>
    <t>대표님의 삐뚤어진 사랑</t>
  </si>
  <si>
    <t>말도 안되는 관계</t>
  </si>
  <si>
    <t>애니툰</t>
    <phoneticPr fontId="11" type="noConversion"/>
  </si>
  <si>
    <t>(GL) 한집 두 살림 [성인판]</t>
  </si>
  <si>
    <t>말도 안되는 관계 [성인판]</t>
  </si>
  <si>
    <t>수렁</t>
  </si>
  <si>
    <t>옆집 최애 [성인판]</t>
  </si>
  <si>
    <t>음란한 여교수 채희</t>
  </si>
  <si>
    <t>전설헌터로 키워지는 중입니다</t>
  </si>
  <si>
    <t>북팔</t>
    <phoneticPr fontId="11" type="noConversion"/>
  </si>
  <si>
    <t>옆집 최애 (개정판)</t>
  </si>
  <si>
    <t>연애포차</t>
  </si>
  <si>
    <t>원스토어</t>
    <phoneticPr fontId="11" type="noConversion"/>
  </si>
  <si>
    <t>한집 두 살림 (GL)</t>
  </si>
  <si>
    <t>호랑이 장가드는 날 [개정판]</t>
  </si>
  <si>
    <t>코미코_위즈덤</t>
    <phoneticPr fontId="11" type="noConversion"/>
  </si>
  <si>
    <t>거짓말, 뱀파이어가 어디 있어? [완]</t>
  </si>
  <si>
    <t>말도 안되는 관계 (개정판)[완]</t>
  </si>
  <si>
    <t>사랑과 우정 사이에서 (개정판)</t>
  </si>
  <si>
    <t>옆집 최애 (개정판) [완]</t>
  </si>
  <si>
    <t>옆집 최애 [완]</t>
  </si>
  <si>
    <t>용서해줘, 제자님</t>
  </si>
  <si>
    <t>학사신공</t>
  </si>
  <si>
    <t>포켓코믹스</t>
    <phoneticPr fontId="11" type="noConversion"/>
  </si>
  <si>
    <t>내 자기님이 로그인 하셨습니다</t>
  </si>
  <si>
    <t>사랑과 우정사이에서</t>
  </si>
  <si>
    <t>한 번만 부탁해</t>
  </si>
  <si>
    <t>예스24</t>
    <phoneticPr fontId="11" type="noConversion"/>
  </si>
  <si>
    <t>조아라</t>
    <phoneticPr fontId="11" type="noConversion"/>
  </si>
  <si>
    <t>리디북스</t>
  </si>
  <si>
    <t>[e북]사랑과 우정 사이에서</t>
  </si>
  <si>
    <t>아랫집 웬수 (완전판)</t>
  </si>
  <si>
    <t>한집 두 살림(개정판)</t>
  </si>
  <si>
    <t>태피툰</t>
    <phoneticPr fontId="11" type="noConversion"/>
  </si>
  <si>
    <t>인유어드림</t>
  </si>
  <si>
    <t>옆집최애</t>
  </si>
  <si>
    <t>사랑과우정사이에서</t>
  </si>
  <si>
    <t>내자기님이로그인하셨습니다</t>
  </si>
  <si>
    <t>황비님황비님</t>
  </si>
  <si>
    <t>거짓말 뱀파이어가 어디있어</t>
  </si>
  <si>
    <t>극한공녀</t>
  </si>
  <si>
    <t>프렌시아의꽃</t>
  </si>
  <si>
    <t>내자기님이로그인하셨습니다[독일]</t>
  </si>
  <si>
    <t>황비님황비님[독일]</t>
  </si>
  <si>
    <t xml:space="preserve">프렌시아의꽃[독일] </t>
  </si>
  <si>
    <t>귀신보는 공작부인 MG</t>
  </si>
  <si>
    <t>귀신보는 공작부인[프랑스] MG</t>
  </si>
  <si>
    <t>귀신보는 공작부인[독일] MG</t>
  </si>
  <si>
    <t>델리툰_프랑스</t>
    <phoneticPr fontId="11" type="noConversion"/>
  </si>
  <si>
    <t>외나무 다리에 꽃을 뿌려주세요</t>
  </si>
  <si>
    <t>한번만 부탁해</t>
  </si>
  <si>
    <t>델리툰_독일</t>
    <phoneticPr fontId="11" type="noConversion"/>
  </si>
  <si>
    <t>픽코마_일본</t>
    <phoneticPr fontId="11" type="noConversion"/>
  </si>
  <si>
    <t>내자기님이 로그인하셨습니다</t>
  </si>
  <si>
    <t>황비님!? 황비님!</t>
  </si>
  <si>
    <t>In Your Dream</t>
  </si>
  <si>
    <t>귀신보는 공작부인</t>
  </si>
  <si>
    <t>픽코마_동영상</t>
    <phoneticPr fontId="11" type="noConversion"/>
  </si>
  <si>
    <t>파쿠리인 내가 어시를?</t>
  </si>
  <si>
    <t>거짓말 뱀파이어가 어디있어?</t>
  </si>
  <si>
    <t>미스터블루</t>
    <phoneticPr fontId="11" type="noConversion"/>
  </si>
  <si>
    <t>거짓말, 뱀파이어가 어디있어?</t>
  </si>
  <si>
    <t>사랑과 우정 사이에서 [개정판]</t>
  </si>
  <si>
    <t>옆집 최애 (완전판)</t>
  </si>
  <si>
    <t>옆집 최애 [개정판]</t>
  </si>
  <si>
    <t>꿈꾸는 먹잇감 [스크롤]</t>
  </si>
  <si>
    <t>너에게만 음성인식 [스크롤]</t>
  </si>
  <si>
    <t>대표님, 오늘은 아니에요 [스크롤]</t>
  </si>
  <si>
    <t>레벨업에 미친 의사 [스크롤]</t>
  </si>
  <si>
    <t>마녀 따위 안 할래요 [스크롤]</t>
  </si>
  <si>
    <t>사랑의 형태 : 마음이 향하는 곳 [스크롤]</t>
  </si>
  <si>
    <t>용의주도 대표님의 연애 게임 [스크롤]</t>
  </si>
  <si>
    <t>전설 헌터로 키워지는 중입니다 [스크롤]</t>
  </si>
  <si>
    <t>한번 해볼래? [스크롤]</t>
  </si>
  <si>
    <t>네이버웹툰</t>
    <phoneticPr fontId="11" type="noConversion"/>
  </si>
  <si>
    <t>네게 취한 날들 [BL]</t>
  </si>
  <si>
    <t>이혼신청 [BL]</t>
  </si>
  <si>
    <t>꿈꾸는 먹잇감 [BL]</t>
  </si>
  <si>
    <t>한번 해볼래? [BL]</t>
  </si>
  <si>
    <t>꿰인 사이 [BL]</t>
  </si>
  <si>
    <t>아랫집 웬수 [BL]</t>
  </si>
  <si>
    <t>말도 안되는 관계 [개정판][선연재]</t>
  </si>
  <si>
    <t>말도 안되는 관계 [선연재]</t>
  </si>
  <si>
    <t>호랑이 장가드는 날[BL]</t>
  </si>
  <si>
    <t>한집 두 살림 [개정판][GL]</t>
  </si>
  <si>
    <t>네이버웹툰-오늘도 월월</t>
    <phoneticPr fontId="11" type="noConversion"/>
  </si>
  <si>
    <t>오늘도 월월</t>
    <phoneticPr fontId="11" type="noConversion"/>
  </si>
  <si>
    <t>네이버웹툰-아찔남</t>
    <phoneticPr fontId="11" type="noConversion"/>
  </si>
  <si>
    <t>아찔한 전남편</t>
    <phoneticPr fontId="11" type="noConversion"/>
  </si>
  <si>
    <t>네이버웹툰-속도위반</t>
    <phoneticPr fontId="11" type="noConversion"/>
  </si>
  <si>
    <t>속도위반 대표님과 계약 아내</t>
    <phoneticPr fontId="11" type="noConversion"/>
  </si>
  <si>
    <t>네이버웹툰-마용신</t>
  </si>
  <si>
    <t>네이버웹툰-완부부</t>
    <phoneticPr fontId="11" type="noConversion"/>
  </si>
  <si>
    <t>완벽한 부부는 없다</t>
    <phoneticPr fontId="11" type="noConversion"/>
  </si>
  <si>
    <t>네이버웹툰-영호관</t>
    <phoneticPr fontId="11" type="noConversion"/>
  </si>
  <si>
    <t>네이버웹툰-글로벌</t>
  </si>
  <si>
    <t>마녀와 용의 신혼일기</t>
  </si>
  <si>
    <t>네이버웹툰-창작지원금</t>
  </si>
  <si>
    <t>아찔한 전남편</t>
  </si>
  <si>
    <t>탑툰</t>
    <phoneticPr fontId="11" type="noConversion"/>
  </si>
  <si>
    <t>사랑의 형태: 마음이 향하는 곳</t>
  </si>
  <si>
    <t>만지고 싶어</t>
  </si>
  <si>
    <t>피너툰</t>
    <phoneticPr fontId="11" type="noConversion"/>
  </si>
  <si>
    <t>한번만 부탁해!</t>
  </si>
  <si>
    <t>호랑이 장가드는 날(개정판)</t>
  </si>
  <si>
    <t>사랑과 우정 사이에서(개정판)</t>
  </si>
  <si>
    <t>투믹스</t>
    <phoneticPr fontId="11" type="noConversion"/>
  </si>
  <si>
    <t>호랑이 장가 드는 날 (개정판)</t>
  </si>
  <si>
    <t>극한공녀 [라라툰]</t>
  </si>
  <si>
    <t>아랫집 웬수 (개정판) [라라툰]</t>
  </si>
  <si>
    <t>아랫집 웬수 (개정판)</t>
  </si>
  <si>
    <t>내 자기님이 로그인 하였습니다 [라라툰]</t>
  </si>
  <si>
    <t>거짓말! 뱀파이어가 어디있어 [라라툰]</t>
  </si>
  <si>
    <t>황비님? 황비님! [라라툰]</t>
  </si>
  <si>
    <t>어디에서든 널 원해! [라라툰]</t>
  </si>
  <si>
    <t>말도 안 되는 관계</t>
  </si>
  <si>
    <t>핑거스토리_큐툰</t>
    <phoneticPr fontId="11" type="noConversion"/>
  </si>
  <si>
    <t>사랑과 우정 사이에서 [일반판]</t>
  </si>
  <si>
    <t>사랑과 우정 사이에서 [성인판]</t>
  </si>
  <si>
    <t>호랑이 장가드는 날 [일반판]</t>
  </si>
  <si>
    <t>호랑이 장가드는 날 [성인판]</t>
  </si>
  <si>
    <t>거짓말 뱀파이어가 어디 있어</t>
  </si>
  <si>
    <t>한번 해볼래</t>
  </si>
  <si>
    <t>아랫집 웬수 [성인판]</t>
  </si>
  <si>
    <t>핑거스토리_무툰</t>
    <phoneticPr fontId="11" type="noConversion"/>
  </si>
  <si>
    <t>코믹툰</t>
    <phoneticPr fontId="11" type="noConversion"/>
  </si>
  <si>
    <t>거짓말! 뱀파이어가 어디있어</t>
  </si>
  <si>
    <t>내 자기님이 로그인 하셨습니다.</t>
  </si>
  <si>
    <t>코핀코믹스</t>
    <phoneticPr fontId="11" type="noConversion"/>
  </si>
  <si>
    <t>어디에서든 널 원해!</t>
  </si>
  <si>
    <t>한 집 두 살림</t>
  </si>
  <si>
    <t xml:space="preserve"> </t>
    <phoneticPr fontId="11" type="noConversion"/>
  </si>
  <si>
    <t>엠유네트웍스</t>
    <phoneticPr fontId="11" type="noConversion"/>
  </si>
  <si>
    <t>네게 취한 날들[BL]</t>
  </si>
  <si>
    <t>한번 해볼래?[BL]</t>
  </si>
  <si>
    <t>엠피언</t>
    <phoneticPr fontId="11" type="noConversion"/>
  </si>
  <si>
    <t>교보문고</t>
    <phoneticPr fontId="11" type="noConversion"/>
  </si>
  <si>
    <t>톡소다</t>
    <phoneticPr fontId="11" type="noConversion"/>
  </si>
  <si>
    <t>미툰앤노벨</t>
    <phoneticPr fontId="11" type="noConversion"/>
  </si>
  <si>
    <t>[BL] 호랑이 장가 드는 날</t>
  </si>
  <si>
    <t>[BL] 말도 안되는 관계 (완전판)</t>
  </si>
  <si>
    <t>(GL)한집 두 살림</t>
  </si>
  <si>
    <t>버프툰</t>
    <phoneticPr fontId="11" type="noConversion"/>
  </si>
  <si>
    <t>콰이칸</t>
  </si>
  <si>
    <t>내 자기님 로그인하셨다 2</t>
  </si>
  <si>
    <t>거짓말! 뱀페이어가 어디있어?</t>
  </si>
  <si>
    <t>위코믹스</t>
    <phoneticPr fontId="11" type="noConversion"/>
  </si>
  <si>
    <t>츤데레 흥신소</t>
  </si>
  <si>
    <t>탑배우의 이중생활 </t>
  </si>
  <si>
    <t>한 집 두 살림</t>
  </si>
  <si>
    <t>슬기로운 생활</t>
  </si>
  <si>
    <t>원고를 주세요!</t>
  </si>
  <si>
    <t>아랫집 웬수</t>
  </si>
  <si>
    <t>말도 안되는 관계</t>
  </si>
  <si>
    <t>BL 패티쉬 단편선 모음</t>
  </si>
  <si>
    <t>파쿠리인 내가 어시를!</t>
  </si>
  <si>
    <t>코미코_태국</t>
    <phoneticPr fontId="11" type="noConversion"/>
  </si>
  <si>
    <t>옆집 최애 개정판</t>
  </si>
  <si>
    <t>사랑과 우정 사이에서 개정판</t>
  </si>
  <si>
    <t>극한공녀 </t>
  </si>
  <si>
    <t>프렌시아의 꽃!</t>
  </si>
  <si>
    <t>코미코_일본</t>
    <phoneticPr fontId="11" type="noConversion"/>
  </si>
  <si>
    <t>빌리빌리</t>
    <phoneticPr fontId="11" type="noConversion"/>
  </si>
  <si>
    <t>INKR</t>
    <phoneticPr fontId="11" type="noConversion"/>
  </si>
  <si>
    <t>BL 패티쉬 단편선</t>
  </si>
  <si>
    <t>내 자기님이 로그인하셨습니다</t>
  </si>
  <si>
    <t>옆집최애(개정판)</t>
  </si>
  <si>
    <t>츤데레 흥신소(개정판)</t>
  </si>
  <si>
    <t>타파스</t>
    <phoneticPr fontId="11" type="noConversion"/>
  </si>
  <si>
    <t>Tied Up in Twins(사랑과 우정사이에서)</t>
  </si>
  <si>
    <t>The Voice Next Door(옆집최애)</t>
  </si>
  <si>
    <t>In Your Dream(인유어 드림)</t>
  </si>
  <si>
    <t>망가툰</t>
    <phoneticPr fontId="11" type="noConversion"/>
  </si>
  <si>
    <t>4~6월분</t>
    <phoneticPr fontId="11" type="noConversion"/>
  </si>
  <si>
    <t>웹코믹스</t>
    <phoneticPr fontId="11" type="noConversion"/>
  </si>
  <si>
    <t>수컷 하우스 맨심</t>
  </si>
  <si>
    <t>평균환율 (신한) 전신환 팔때</t>
    <phoneticPr fontId="11" type="noConversion"/>
  </si>
  <si>
    <t>RS 정산 기준, MG 미포함</t>
    <phoneticPr fontId="11" type="noConversion"/>
  </si>
  <si>
    <t>사이트명</t>
    <phoneticPr fontId="19" type="noConversion"/>
  </si>
  <si>
    <t xml:space="preserve">소비자매출액 </t>
    <phoneticPr fontId="19" type="noConversion"/>
  </si>
  <si>
    <t>유통사수수료</t>
    <phoneticPr fontId="19" type="noConversion"/>
  </si>
  <si>
    <t>스토리위즈매출액</t>
    <phoneticPr fontId="19" type="noConversion"/>
  </si>
  <si>
    <t>스토리위즈수익</t>
    <phoneticPr fontId="19" type="noConversion"/>
  </si>
  <si>
    <t>스토리숲 수익</t>
    <phoneticPr fontId="11" type="noConversion"/>
  </si>
  <si>
    <t>비고</t>
    <phoneticPr fontId="19" type="noConversion"/>
  </si>
  <si>
    <t>선지급금</t>
    <phoneticPr fontId="19" type="noConversion"/>
  </si>
  <si>
    <t>카카오페이지</t>
    <phoneticPr fontId="19" type="noConversion"/>
  </si>
  <si>
    <t>KT프로젝트수익</t>
    <phoneticPr fontId="19" type="noConversion"/>
  </si>
  <si>
    <t>카카오타파스</t>
    <phoneticPr fontId="11" type="noConversion"/>
  </si>
  <si>
    <t>분기정산</t>
    <phoneticPr fontId="11" type="noConversion"/>
  </si>
  <si>
    <t>콰이칸_중국</t>
    <phoneticPr fontId="19" type="noConversion"/>
  </si>
  <si>
    <t>V</t>
    <phoneticPr fontId="11" type="noConversion"/>
  </si>
  <si>
    <t>월별 회수금 (케이티 수익)</t>
    <phoneticPr fontId="19" type="noConversion"/>
  </si>
  <si>
    <t>kt_alpha</t>
    <phoneticPr fontId="19" type="noConversion"/>
  </si>
  <si>
    <t>8/10송금</t>
    <phoneticPr fontId="11" type="noConversion"/>
  </si>
  <si>
    <t>레진코믹스</t>
    <phoneticPr fontId="11" type="noConversion"/>
  </si>
  <si>
    <t>9/10송금</t>
    <phoneticPr fontId="11" type="noConversion"/>
  </si>
  <si>
    <t>10/8송금</t>
    <phoneticPr fontId="11" type="noConversion"/>
  </si>
  <si>
    <t>11/10송금</t>
    <phoneticPr fontId="11" type="noConversion"/>
  </si>
  <si>
    <t>봄툰</t>
    <phoneticPr fontId="11" type="noConversion"/>
  </si>
  <si>
    <t>12/10송금</t>
    <phoneticPr fontId="11" type="noConversion"/>
  </si>
  <si>
    <t>1/10송금</t>
    <phoneticPr fontId="11" type="noConversion"/>
  </si>
  <si>
    <t>코미코_한국</t>
  </si>
  <si>
    <t>2/10송금</t>
    <phoneticPr fontId="11" type="noConversion"/>
  </si>
  <si>
    <t>3/10송금</t>
    <phoneticPr fontId="11" type="noConversion"/>
  </si>
  <si>
    <t>2021년 합계</t>
    <phoneticPr fontId="19" type="noConversion"/>
  </si>
  <si>
    <t>조아라</t>
  </si>
  <si>
    <t>4/8송금</t>
    <phoneticPr fontId="11" type="noConversion"/>
  </si>
  <si>
    <t>위코믹스_태국</t>
  </si>
  <si>
    <t>5/10송금</t>
    <phoneticPr fontId="11" type="noConversion"/>
  </si>
  <si>
    <t>태피툰_영어</t>
    <phoneticPr fontId="11" type="noConversion"/>
  </si>
  <si>
    <t>6/10송금</t>
    <phoneticPr fontId="11" type="noConversion"/>
  </si>
  <si>
    <t>델리툰</t>
    <phoneticPr fontId="11" type="noConversion"/>
  </si>
  <si>
    <t>7/10송금</t>
    <phoneticPr fontId="11" type="noConversion"/>
  </si>
  <si>
    <t>코미코_태국</t>
  </si>
  <si>
    <t>코미코_일본_대만</t>
    <phoneticPr fontId="11" type="noConversion"/>
  </si>
  <si>
    <t>미스터블루</t>
  </si>
  <si>
    <t xml:space="preserve"> V</t>
    <phoneticPr fontId="11" type="noConversion"/>
  </si>
  <si>
    <t>v 분기정산</t>
    <phoneticPr fontId="11" type="noConversion"/>
  </si>
  <si>
    <t>합계</t>
    <phoneticPr fontId="11" type="noConversion"/>
  </si>
  <si>
    <t>스토리위즈 계산서 발행금액</t>
    <phoneticPr fontId="11" type="noConversion"/>
  </si>
  <si>
    <t>2022년 합계</t>
    <phoneticPr fontId="11" type="noConversion"/>
  </si>
  <si>
    <t>월 선 MG상환</t>
    <phoneticPr fontId="11" type="noConversion"/>
  </si>
  <si>
    <t>잔여 선지급금</t>
    <phoneticPr fontId="19" type="noConversion"/>
  </si>
  <si>
    <t>[RS 정산 기준]</t>
    <phoneticPr fontId="11" type="noConversion"/>
  </si>
  <si>
    <t>매출월</t>
    <phoneticPr fontId="11" type="noConversion"/>
  </si>
  <si>
    <t>작품명</t>
  </si>
  <si>
    <t xml:space="preserve">소비자매출액 </t>
  </si>
  <si>
    <t>유통사수수료</t>
  </si>
  <si>
    <t>스토리위즈매출액</t>
    <phoneticPr fontId="11" type="noConversion"/>
  </si>
  <si>
    <t>스토리위즈수익</t>
    <phoneticPr fontId="11" type="noConversion"/>
  </si>
  <si>
    <t>비고</t>
    <phoneticPr fontId="11" type="noConversion"/>
  </si>
  <si>
    <t>합계</t>
  </si>
  <si>
    <t>스토리위즈매출액</t>
  </si>
  <si>
    <t>스토리위즈수익</t>
  </si>
  <si>
    <t>네이버웹툰-마용신</t>
    <phoneticPr fontId="11" type="noConversion"/>
  </si>
  <si>
    <t>완벽한 부부는 없다</t>
  </si>
  <si>
    <t>네이버웹툰-글로벌</t>
    <phoneticPr fontId="11" type="noConversion"/>
  </si>
  <si>
    <t>네이버웹툰-창작지원금</t>
    <phoneticPr fontId="11" type="noConversion"/>
  </si>
  <si>
    <t>3개월 평균</t>
    <phoneticPr fontId="11" type="noConversion"/>
  </si>
  <si>
    <t>환율(CNY)</t>
    <phoneticPr fontId="11" type="noConversion"/>
  </si>
  <si>
    <t>콰이칸</t>
    <phoneticPr fontId="11" type="noConversion"/>
  </si>
  <si>
    <t xml:space="preserve">   </t>
    <phoneticPr fontId="11" type="noConversion"/>
  </si>
  <si>
    <t>환율(USD)</t>
    <phoneticPr fontId="11" type="noConversion"/>
  </si>
  <si>
    <t>델리툰_프랑스</t>
  </si>
  <si>
    <t>환율(THB)</t>
    <phoneticPr fontId="11" type="noConversion"/>
  </si>
  <si>
    <t>환율(JPY)</t>
    <phoneticPr fontId="11" type="noConversion"/>
  </si>
  <si>
    <t>■ 프로세스</t>
    <phoneticPr fontId="11" type="noConversion"/>
  </si>
  <si>
    <t>주체</t>
  </si>
  <si>
    <t>업무</t>
  </si>
  <si>
    <t>일정</t>
  </si>
  <si>
    <t>비고</t>
  </si>
  <si>
    <t>스토리숲</t>
    <phoneticPr fontId="11" type="noConversion"/>
  </si>
  <si>
    <t>전월 발생 매출에 대한 정산서 작성 후 스토리위즈에 제공</t>
    <phoneticPr fontId="11" type="noConversion"/>
  </si>
  <si>
    <t>매월 7일까지</t>
  </si>
  <si>
    <t>스토리위즈</t>
    <phoneticPr fontId="11" type="noConversion"/>
  </si>
  <si>
    <t>스토리숲에서 제공한 정산서 토대로 스토리위즈 매출에 대해 계산서 발행</t>
    <phoneticPr fontId="11" type="noConversion"/>
  </si>
  <si>
    <t>매월 10일까지</t>
  </si>
  <si>
    <t>합계 시트 내 E열 [합계]</t>
    <phoneticPr fontId="11" type="noConversion"/>
  </si>
  <si>
    <t>스토리위즈 수익 및 제휴사 수익에 대한 계산서 발행</t>
    <phoneticPr fontId="11" type="noConversion"/>
  </si>
  <si>
    <t>합계 시트 내 F열, G열 [합계]</t>
    <phoneticPr fontId="11" type="noConversion"/>
  </si>
  <si>
    <t>스토리위즈 수익분만큼 스토리위즈 계좌에 입금</t>
    <phoneticPr fontId="11" type="noConversion"/>
  </si>
  <si>
    <t>계산서 수령 후 30일 이내</t>
    <phoneticPr fontId="11" type="noConversion"/>
  </si>
  <si>
    <t>합계 시트 내 F열 [합계]</t>
    <phoneticPr fontId="11" type="noConversion"/>
  </si>
  <si>
    <t>집착공의 인형놀이 [BL]</t>
  </si>
  <si>
    <t>망나니 도련님 조교일지 [개정판][BL]</t>
  </si>
  <si>
    <t>망나니 도련님 조교일지 [개정판]</t>
  </si>
  <si>
    <t>용서해줘, 제자님 [스크롤]</t>
  </si>
  <si>
    <t>집착공의 인형놀이 [스크롤]</t>
  </si>
  <si>
    <t>호감도가 오르면 [스크롤]</t>
  </si>
  <si>
    <t>집착공의 인형놀이</t>
  </si>
  <si>
    <t>외나무다리에 꽃을 뿌려주세요</t>
  </si>
  <si>
    <t>말도 안 되는 관계 [성인판]</t>
  </si>
  <si>
    <t>용서해줘, 제자님 [연재]</t>
  </si>
  <si>
    <t>호감도가 오르면 [연재]</t>
  </si>
  <si>
    <t>8/10송금</t>
  </si>
  <si>
    <t>말도 안되는 관계(개정판)</t>
  </si>
  <si>
    <t>망나니 도련님 조교일지 (개정판)</t>
  </si>
  <si>
    <t>슬기로운 생활 [라라툰]</t>
  </si>
  <si>
    <t>망나니 도련님 조교 일지</t>
  </si>
  <si>
    <t>망나니 도련님 조교 일지 (개정판)</t>
  </si>
  <si>
    <t>8월분</t>
    <phoneticPr fontId="11" type="noConversion"/>
  </si>
  <si>
    <t>원고를 주세요</t>
  </si>
  <si>
    <t>초월진화</t>
  </si>
  <si>
    <t>초월진화 [스크롤]</t>
  </si>
  <si>
    <t>학사신공 [스크롤]</t>
  </si>
  <si>
    <t>망나니 도련님 조교일지 [BL]</t>
  </si>
  <si>
    <t>망나니 도련님 조교일지 [개정판] [연재]</t>
  </si>
  <si>
    <t>집착공의 인형놀이 [연재]</t>
  </si>
  <si>
    <t>말도 안되는 관계 [개정판]</t>
  </si>
  <si>
    <t>초월진화 [연재]</t>
  </si>
  <si>
    <t xml:space="preserve"> v </t>
    <phoneticPr fontId="11" type="noConversion"/>
  </si>
  <si>
    <t>광속으로 레벨업</t>
  </si>
  <si>
    <t>말도 안 되는 관계 (개정판)</t>
  </si>
  <si>
    <t>와리가리 고고</t>
  </si>
  <si>
    <t/>
  </si>
  <si>
    <t>광속으로 레벨업 [스크롤]</t>
  </si>
  <si>
    <t>귀신 보는 급식은 퇴마중입니다 [스크롤]</t>
  </si>
  <si>
    <t>열화요수 [스크롤]</t>
  </si>
  <si>
    <t>귀신 보는 급식은 퇴마 중입니다</t>
  </si>
  <si>
    <t>열화요수</t>
  </si>
  <si>
    <t>열화요수[BL]</t>
  </si>
  <si>
    <t>10/7송금</t>
    <phoneticPr fontId="11" type="noConversion"/>
  </si>
  <si>
    <t>열화요수 [연재]</t>
  </si>
  <si>
    <t>귀신 보는 급식은 퇴마 중입니다 [연재]</t>
  </si>
  <si>
    <t>극한공녀[독일] MG</t>
  </si>
  <si>
    <t>망나니 도련님 조교일지MG</t>
  </si>
  <si>
    <t>10월분</t>
    <phoneticPr fontId="11" type="noConversion"/>
  </si>
  <si>
    <t>네이버웹툰-백설을 위하여</t>
    <phoneticPr fontId="11" type="noConversion"/>
  </si>
  <si>
    <t>백설을 위하여</t>
    <phoneticPr fontId="11" type="noConversion"/>
  </si>
  <si>
    <t>네이버웹툰-백설을 위하여</t>
    <phoneticPr fontId="11" type="noConversion"/>
  </si>
  <si>
    <t>서녀공략</t>
  </si>
  <si>
    <t>말도 안되는 관계(개정판) [라라툰]</t>
  </si>
  <si>
    <t>11/10송금</t>
  </si>
  <si>
    <t>4~9월분</t>
    <phoneticPr fontId="11" type="noConversion"/>
  </si>
  <si>
    <t>11월분</t>
    <phoneticPr fontId="11" type="noConversion"/>
  </si>
  <si>
    <t>[BL] 말도 안되는 관계 (개정판)</t>
  </si>
  <si>
    <t>(BL)슬기로운 생활</t>
  </si>
  <si>
    <t>백설을 위하여</t>
    <phoneticPr fontId="11" type="noConversion"/>
  </si>
  <si>
    <t>어이상실의 시대 [라라툰]</t>
  </si>
  <si>
    <t>한번만 부탁해 [라라툰]</t>
  </si>
  <si>
    <t>10월분</t>
    <phoneticPr fontId="11" type="noConversion"/>
  </si>
  <si>
    <t>11월분</t>
    <phoneticPr fontId="11" type="noConversion"/>
  </si>
  <si>
    <t>전직고수</t>
  </si>
  <si>
    <t>아랫집 웬수(개정판)</t>
  </si>
  <si>
    <t>엠스토리링크</t>
    <phoneticPr fontId="11" type="noConversion"/>
  </si>
  <si>
    <t>인 유어 드림</t>
  </si>
  <si>
    <t>어디에서든 널 원해! (개정판)</t>
  </si>
  <si>
    <t>11월분</t>
    <phoneticPr fontId="11" type="noConversion"/>
  </si>
  <si>
    <t>도군</t>
  </si>
  <si>
    <t>어이상실의 시대</t>
    <phoneticPr fontId="11" type="noConversion"/>
  </si>
  <si>
    <t>황비님 황비님</t>
    <phoneticPr fontId="11" type="noConversion"/>
  </si>
  <si>
    <t>거짓말 뱀파이어가 어디있어</t>
    <phoneticPr fontId="11" type="noConversion"/>
  </si>
  <si>
    <t>황비님 황비님</t>
  </si>
  <si>
    <t>(GL) 한집 두 살림 [일반판]</t>
  </si>
  <si>
    <t>어디에서든 널 원해 [성인판]</t>
  </si>
  <si>
    <t>어디에서든 널 원해 [일반판]</t>
  </si>
  <si>
    <t>원고를 주세요!</t>
  </si>
  <si>
    <t>ASP광속으로 레벨업</t>
  </si>
  <si>
    <t>ASP귀신 보는 급식은 퇴마 중입니다</t>
  </si>
  <si>
    <t>ASP꿈꾸는 먹잇감</t>
  </si>
  <si>
    <t>ASP꿰인 사이</t>
  </si>
  <si>
    <t>ASP너에게만 음성인식</t>
  </si>
  <si>
    <t>ASP네게 취한 날들</t>
  </si>
  <si>
    <t>ASP대표님, 사모님이 도망가요</t>
  </si>
  <si>
    <t>ASP대표님, 오늘은 아니에요</t>
  </si>
  <si>
    <t>ASP대표님의 삐뚤어진 사랑</t>
  </si>
  <si>
    <t>ASP레벨업에 미친 의사</t>
  </si>
  <si>
    <t>ASP만지고 싶어!</t>
  </si>
  <si>
    <t>ASP망나니 도련님 조교 일지 (개정판)</t>
  </si>
  <si>
    <t>ASP명판관 장평</t>
  </si>
  <si>
    <t>ASP사랑과 우정 사이에서 [일반판]</t>
  </si>
  <si>
    <t>ASP사랑할 수 없는 그녀</t>
  </si>
  <si>
    <t>ASP속도위반 대표님과 계약 아내</t>
  </si>
  <si>
    <t>ASP십이야 시즌1</t>
  </si>
  <si>
    <t>ASP아랫집 웬수 [개정판]</t>
  </si>
  <si>
    <t>ASP열화요수</t>
  </si>
  <si>
    <t>ASP와리가리 고고 시즌2</t>
  </si>
  <si>
    <t>ASP용서해줘, 제자님</t>
  </si>
  <si>
    <t>ASP용의주도 대표님의 연애 게임</t>
  </si>
  <si>
    <t>ASP음란한 여교수 채희</t>
  </si>
  <si>
    <t>ASP이혼신청</t>
  </si>
  <si>
    <t>ASP전설헌터로 키워지는 중입니다</t>
  </si>
  <si>
    <t>ASP주작의 귀환</t>
  </si>
  <si>
    <t>ASP집착공의 인형놀이</t>
  </si>
  <si>
    <t>ASP초월진화</t>
  </si>
  <si>
    <t>ASP츤데레 흥신소</t>
  </si>
  <si>
    <t>ASP파쿠리인 내가 어시를</t>
  </si>
  <si>
    <t>ASP학사신공</t>
  </si>
  <si>
    <t>ASP한 번만 부탁해!</t>
  </si>
  <si>
    <t>ASP한번 해볼래?</t>
  </si>
  <si>
    <t>카카오_JV_PODO</t>
    <phoneticPr fontId="11" type="noConversion"/>
  </si>
  <si>
    <t>카카오_JV_PODO</t>
  </si>
  <si>
    <t>열화요수 [BL]</t>
  </si>
  <si>
    <t>망나니 도련님 조교일지 (개정판) [BL]</t>
  </si>
  <si>
    <t>아랫집 웬수(성인)</t>
  </si>
  <si>
    <t>거짓말, 뱀파이어가 어디있어</t>
  </si>
  <si>
    <t>파쿠리인 내가 어시를!</t>
  </si>
  <si>
    <t>7~9월분</t>
    <phoneticPr fontId="11" type="noConversion"/>
  </si>
  <si>
    <t>망나니 도련님 조교일지(개정판)</t>
  </si>
  <si>
    <t>11월분</t>
  </si>
  <si>
    <t>사랑과 우정 사이에는
爱情与友谊之间</t>
  </si>
  <si>
    <t>거짓말 뱀파이어가 어디있어_영상툰</t>
    <phoneticPr fontId="11" type="noConversion"/>
  </si>
  <si>
    <t>내 자기님이 로그인하셨습니다_영상툰</t>
    <phoneticPr fontId="11" type="noConversion"/>
  </si>
  <si>
    <t>아랫집 웬수_영상툰</t>
    <phoneticPr fontId="11" type="noConversion"/>
  </si>
  <si>
    <t>거짓말 뱀파이어가 어디있어_영상툰</t>
  </si>
  <si>
    <t>내 자기님이 로그인하셨습니다_영상툰</t>
  </si>
  <si>
    <t>아랫집 웬수_영상툰</t>
  </si>
  <si>
    <t>내 자기님이 로그인 하셨습니다</t>
    <phoneticPr fontId="11" type="noConversion"/>
  </si>
  <si>
    <t>귀신 보는 급식은 퇴마중입니다</t>
  </si>
  <si>
    <t>옆집 최애(개정판)</t>
  </si>
  <si>
    <t>ㅅ</t>
    <phoneticPr fontId="11" type="noConversion"/>
  </si>
  <si>
    <t>12/9 송금</t>
  </si>
  <si>
    <t>거짓말 ! 뱀파이어가 어디있어?</t>
  </si>
  <si>
    <t>츤데레 흥신소 -WEB한정버전-</t>
  </si>
  <si>
    <t>망나니 도련님 조교일지 WEB</t>
  </si>
  <si>
    <t>마녀와 용의 신혼일기</t>
    <phoneticPr fontId="11" type="noConversion"/>
  </si>
  <si>
    <t>백설을 위하여</t>
  </si>
  <si>
    <t>영애의경호관</t>
  </si>
  <si>
    <t>영애의경호관</t>
    <phoneticPr fontId="11" type="noConversion"/>
  </si>
  <si>
    <t>아찔한전남편</t>
  </si>
  <si>
    <t>아찔한전남편</t>
    <phoneticPr fontId="11" type="noConversion"/>
  </si>
  <si>
    <t>어이상실의 시대</t>
    <phoneticPr fontId="49" type="noConversion"/>
  </si>
  <si>
    <t>어디서든 널 원해</t>
  </si>
  <si>
    <t>어디서든 널 원해</t>
    <phoneticPr fontId="11" type="noConversion"/>
  </si>
  <si>
    <t>원고를 주세요</t>
    <phoneticPr fontId="11" type="noConversion"/>
  </si>
  <si>
    <t>한 집 두 살림</t>
    <phoneticPr fontId="11" type="noConversion"/>
  </si>
  <si>
    <t xml:space="preserve">파쿠리인 내가 어시를 </t>
  </si>
  <si>
    <t>11월분</t>
    <phoneticPr fontId="11" type="noConversion"/>
  </si>
  <si>
    <t>模仿者的我竟成为了作家助理
파쿠리인 내가 어시를</t>
  </si>
  <si>
    <t>我与恶魔之间（恶魔和我之间）
악마와 나 사이에는</t>
  </si>
  <si>
    <t>和她们同居了（一家两个人）
한 집 두 살림</t>
  </si>
  <si>
    <t>我加热了魔王的冷血（普伦西娅之花）
프렌시아의 꽃</t>
  </si>
  <si>
    <t>求你让我做个人吧（和我做一次有那么难吗？）
한번만 부탁해</t>
  </si>
  <si>
    <t>老虎出嫁的那一天
호랑이 장가드는 날</t>
  </si>
  <si>
    <t>看见鬼怪的公爵夫人
귀신 보는 공작 부인</t>
  </si>
  <si>
    <t>神仙也会谈恋爱？！
신들의 연애사정</t>
  </si>
  <si>
    <t>12월분</t>
    <phoneticPr fontId="11" type="noConversion"/>
  </si>
  <si>
    <t>내 자기님이 로그인 하셨습니다 [스크롤]</t>
  </si>
  <si>
    <t>도군 [스크롤]</t>
  </si>
  <si>
    <t>마녀와 성녀를 XX하는 법 [스크롤]</t>
  </si>
  <si>
    <t>삼장법사 리턴즈 [스크롤]</t>
  </si>
  <si>
    <t>서녀공략 [스크롤]</t>
  </si>
  <si>
    <t>전직고수 [스크롤]</t>
  </si>
  <si>
    <t>어디에서든 널 원해! [개정판]</t>
  </si>
  <si>
    <t>12월분</t>
    <phoneticPr fontId="11" type="noConversion"/>
  </si>
  <si>
    <t>어디에서든 널 원해 [개정판]</t>
  </si>
  <si>
    <t>어이상실의 시대 [선연재]</t>
  </si>
  <si>
    <t>아찔한 전남편</t>
    <phoneticPr fontId="11" type="noConversion"/>
  </si>
  <si>
    <t>오늘도 월월</t>
    <phoneticPr fontId="11" type="noConversion"/>
  </si>
  <si>
    <t>마녀와 용의 신혼일기</t>
    <phoneticPr fontId="11" type="noConversion"/>
  </si>
  <si>
    <t>속도위반 대표님과 계약 아내</t>
    <phoneticPr fontId="11" type="noConversion"/>
  </si>
  <si>
    <t>한번만 해주는게 그렇게 어려워? (한 번만 부탁해!)</t>
  </si>
  <si>
    <t>[GL] 한집 두 살림</t>
  </si>
  <si>
    <t>12월분</t>
    <phoneticPr fontId="11" type="noConversion"/>
  </si>
  <si>
    <t>어디에서든 널 원해 (개정판) [완]</t>
  </si>
  <si>
    <t>어디에서든 널 원해 [완]</t>
  </si>
  <si>
    <t>삼장법사 리턴즈</t>
  </si>
  <si>
    <t>어디에서든 널 원해 (개정판)</t>
  </si>
  <si>
    <t>12월분</t>
  </si>
  <si>
    <t>황비님? 황비님!-12월</t>
  </si>
  <si>
    <t>황비님? 황비님!-12월</t>
    <phoneticPr fontId="11" type="noConversion"/>
  </si>
  <si>
    <t>인 유어 드림-12월</t>
  </si>
  <si>
    <t>인 유어 드림-12월</t>
    <phoneticPr fontId="11" type="noConversion"/>
  </si>
  <si>
    <t>귀신 보는 공작부인-12월</t>
  </si>
  <si>
    <t>귀신 보는 공작부인-12월</t>
    <phoneticPr fontId="11" type="noConversion"/>
  </si>
  <si>
    <t>12월분</t>
    <phoneticPr fontId="11" type="noConversion"/>
  </si>
  <si>
    <t>사랑과 우정 사이에서[성인]</t>
  </si>
  <si>
    <t>옆집 최애 [일반판]</t>
  </si>
  <si>
    <t>한집 두 살림[성인판]</t>
  </si>
  <si>
    <t>마녀와 성녀를 XX하는 법</t>
  </si>
  <si>
    <t>멍멍이와 주인님</t>
  </si>
  <si>
    <t>학사신공 [연재]</t>
  </si>
  <si>
    <t>서녀공략 [연재]</t>
  </si>
  <si>
    <t>전직고수 [연재]</t>
  </si>
  <si>
    <t>도군 [연재]</t>
  </si>
  <si>
    <t>1/10 송금</t>
    <phoneticPr fontId="11" type="noConversion"/>
  </si>
  <si>
    <t>계약 만료</t>
    <phoneticPr fontId="11" type="noConversion"/>
  </si>
  <si>
    <t>엠스토리링크</t>
  </si>
  <si>
    <t>■ 스토리숲 22년 12월 (주)스토리위즈 정산서</t>
    <phoneticPr fontId="19" type="noConversion"/>
  </si>
  <si>
    <t xml:space="preserve">  **판매월 12월1일~12월31일 기준</t>
    <phoneticPr fontId="19" type="noConversion"/>
  </si>
  <si>
    <t>대국민! 연애 참견 쇼</t>
  </si>
  <si>
    <t>코미코코리아</t>
    <phoneticPr fontId="11" type="noConversion"/>
  </si>
  <si>
    <t>v 분기정산,이월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</si>
</sst>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(&quot;$&quot;* #,##0_);_(&quot;$&quot;* \(#,##0\);_(&quot;$&quot;* &quot;-&quot;_);_(@_)"/>
    <numFmt numFmtId="177" formatCode="_(* #,##0_);_(* \(#,##0\);_(* &quot;-&quot;_);_(@_)"/>
    <numFmt numFmtId="178" formatCode="#,##0_ ;[Red]\-#,##0\ "/>
    <numFmt numFmtId="179" formatCode="&quot; &quot;* #,##0&quot; &quot;;&quot;-&quot;* #,##0&quot; &quot;;&quot; &quot;* &quot;- &quot;"/>
    <numFmt numFmtId="180" formatCode="&quot; &quot;* #,##0.00&quot; &quot;;&quot;-&quot;* #,##0.00&quot; &quot;;&quot; &quot;* &quot;- &quot;"/>
    <numFmt numFmtId="181" formatCode="mm&quot;월&quot;\ dd&quot;일&quot;"/>
    <numFmt numFmtId="182" formatCode="_-* #,##0_-;\-* #,##0_-;_-* &quot;-&quot;??_-;_-@_-"/>
    <numFmt numFmtId="183" formatCode="yyyy/mm/dd\ &quot;기준&quot;"/>
    <numFmt numFmtId="184" formatCode="0.0%"/>
    <numFmt numFmtId="185" formatCode="_-* #,##0.00_-;\-* #,##0.00_-;_-* &quot;-&quot;_-;_-@_-"/>
    <numFmt numFmtId="186" formatCode="m&quot;/&quot;d;@"/>
    <numFmt numFmtId="187" formatCode="0_ ;[Red]\-0\ "/>
    <numFmt numFmtId="188" formatCode="#,##0_ "/>
  </numFmts>
  <fonts count="50">
    <font>
      <sz val="11"/>
      <color rgb="FF000000"/>
      <name val="맑은 고딕"/>
    </font>
    <font>
      <sz val="8"/>
      <color theme="1"/>
      <name val="나눔고딕"/>
      <family val="2"/>
      <charset val="129"/>
    </font>
    <font>
      <sz val="8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</font>
    <font>
      <u/>
      <sz val="11"/>
      <color rgb="FF954F72"/>
      <name val="맑은 고딕"/>
      <family val="3"/>
      <charset val="129"/>
    </font>
    <font>
      <sz val="11"/>
      <color rgb="FF000000"/>
      <name val="Calibri"/>
      <family val="2"/>
    </font>
    <font>
      <sz val="9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 val="singleAccounting"/>
      <sz val="9"/>
      <color rgb="FFFF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다키 L"/>
      <family val="3"/>
      <charset val="129"/>
    </font>
    <font>
      <b/>
      <i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나눔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auto="1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8">
    <xf numFmtId="0" fontId="0" fillId="0" borderId="0">
      <alignment vertical="center"/>
    </xf>
    <xf numFmtId="0" fontId="4" fillId="0" borderId="0">
      <alignment vertical="center"/>
    </xf>
    <xf numFmtId="41" fontId="10" fillId="0" borderId="0">
      <alignment vertical="center"/>
    </xf>
    <xf numFmtId="0" fontId="5" fillId="0" borderId="0"/>
    <xf numFmtId="0" fontId="10" fillId="0" borderId="0">
      <alignment vertical="center"/>
    </xf>
    <xf numFmtId="41" fontId="10" fillId="0" borderId="0">
      <alignment vertical="center"/>
    </xf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177" fontId="10" fillId="0" borderId="0"/>
    <xf numFmtId="0" fontId="7" fillId="0" borderId="0">
      <alignment vertical="center"/>
    </xf>
    <xf numFmtId="0" fontId="6" fillId="0" borderId="0"/>
    <xf numFmtId="177" fontId="6" fillId="0" borderId="0"/>
    <xf numFmtId="0" fontId="10" fillId="0" borderId="0"/>
    <xf numFmtId="0" fontId="8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2" fillId="0" borderId="0"/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/>
    <xf numFmtId="41" fontId="6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/>
    <xf numFmtId="0" fontId="14" fillId="0" borderId="0"/>
    <xf numFmtId="0" fontId="12" fillId="0" borderId="0"/>
    <xf numFmtId="176" fontId="12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13" fillId="0" borderId="0"/>
  </cellStyleXfs>
  <cellXfs count="1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17" fillId="0" borderId="0" xfId="44">
      <alignment vertical="center"/>
    </xf>
    <xf numFmtId="41" fontId="18" fillId="0" borderId="0" xfId="44" applyFont="1">
      <alignment vertical="center"/>
    </xf>
    <xf numFmtId="41" fontId="23" fillId="0" borderId="0" xfId="44" applyFont="1">
      <alignment vertical="center"/>
    </xf>
    <xf numFmtId="41" fontId="24" fillId="0" borderId="0" xfId="44" applyFont="1">
      <alignment vertical="center"/>
    </xf>
    <xf numFmtId="41" fontId="21" fillId="0" borderId="0" xfId="44" applyFont="1">
      <alignment vertical="center"/>
    </xf>
    <xf numFmtId="41" fontId="20" fillId="2" borderId="7" xfId="44" applyFont="1" applyFill="1" applyBorder="1" applyAlignment="1">
      <alignment horizontal="center" vertical="center"/>
    </xf>
    <xf numFmtId="41" fontId="20" fillId="2" borderId="8" xfId="44" applyFont="1" applyFill="1" applyBorder="1" applyAlignment="1">
      <alignment horizontal="center" vertical="center"/>
    </xf>
    <xf numFmtId="41" fontId="20" fillId="2" borderId="9" xfId="44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41" fontId="26" fillId="3" borderId="9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41" fontId="26" fillId="3" borderId="2" xfId="0" applyNumberFormat="1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41" fontId="21" fillId="4" borderId="5" xfId="44" applyFont="1" applyFill="1" applyBorder="1" applyAlignment="1">
      <alignment horizontal="right" vertical="center"/>
    </xf>
    <xf numFmtId="0" fontId="30" fillId="4" borderId="0" xfId="0" applyFont="1" applyFill="1" applyAlignment="1">
      <alignment horizontal="center" vertical="center"/>
    </xf>
    <xf numFmtId="0" fontId="21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3" fontId="32" fillId="0" borderId="0" xfId="0" applyNumberFormat="1" applyFont="1">
      <alignment vertical="center"/>
    </xf>
    <xf numFmtId="9" fontId="15" fillId="0" borderId="0" xfId="43" applyAlignment="1">
      <alignment horizontal="center" vertical="center"/>
    </xf>
    <xf numFmtId="0" fontId="29" fillId="4" borderId="3" xfId="0" quotePrefix="1" applyFont="1" applyFill="1" applyBorder="1" applyAlignment="1">
      <alignment horizontal="center" vertical="center"/>
    </xf>
    <xf numFmtId="49" fontId="35" fillId="5" borderId="4" xfId="0" applyNumberFormat="1" applyFont="1" applyFill="1" applyBorder="1" applyAlignment="1">
      <alignment horizontal="center" vertical="center"/>
    </xf>
    <xf numFmtId="49" fontId="36" fillId="6" borderId="4" xfId="0" applyNumberFormat="1" applyFont="1" applyFill="1" applyBorder="1" applyAlignment="1">
      <alignment horizontal="center" vertical="center"/>
    </xf>
    <xf numFmtId="179" fontId="36" fillId="6" borderId="4" xfId="0" applyNumberFormat="1" applyFont="1" applyFill="1" applyBorder="1" applyAlignment="1">
      <alignment horizontal="center" vertical="center"/>
    </xf>
    <xf numFmtId="179" fontId="36" fillId="7" borderId="4" xfId="0" applyNumberFormat="1" applyFont="1" applyFill="1" applyBorder="1" applyAlignment="1">
      <alignment horizontal="center" vertical="center"/>
    </xf>
    <xf numFmtId="179" fontId="36" fillId="8" borderId="4" xfId="0" applyNumberFormat="1" applyFont="1" applyFill="1" applyBorder="1" applyAlignment="1">
      <alignment horizontal="center" vertical="center"/>
    </xf>
    <xf numFmtId="179" fontId="36" fillId="6" borderId="4" xfId="0" applyNumberFormat="1" applyFont="1" applyFill="1" applyBorder="1" applyAlignment="1">
      <alignment horizontal="center" vertical="center" wrapText="1"/>
    </xf>
    <xf numFmtId="49" fontId="35" fillId="9" borderId="4" xfId="0" applyNumberFormat="1" applyFont="1" applyFill="1" applyBorder="1" applyAlignment="1">
      <alignment horizontal="center" vertical="center"/>
    </xf>
    <xf numFmtId="0" fontId="35" fillId="9" borderId="4" xfId="0" applyFont="1" applyFill="1" applyBorder="1" applyAlignment="1">
      <alignment horizontal="center" vertical="center"/>
    </xf>
    <xf numFmtId="179" fontId="35" fillId="9" borderId="4" xfId="0" applyNumberFormat="1" applyFont="1" applyFill="1" applyBorder="1">
      <alignment vertical="center"/>
    </xf>
    <xf numFmtId="0" fontId="10" fillId="0" borderId="0" xfId="0" applyFont="1">
      <alignment vertical="center"/>
    </xf>
    <xf numFmtId="180" fontId="36" fillId="6" borderId="4" xfId="0" applyNumberFormat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41" fontId="22" fillId="0" borderId="0" xfId="44" applyFont="1" applyAlignment="1">
      <alignment horizontal="center" vertical="center"/>
    </xf>
    <xf numFmtId="41" fontId="25" fillId="0" borderId="0" xfId="0" applyNumberFormat="1" applyFont="1" applyAlignment="1">
      <alignment horizontal="center" vertical="center"/>
    </xf>
    <xf numFmtId="181" fontId="0" fillId="0" borderId="0" xfId="0" applyNumberFormat="1">
      <alignment vertical="center"/>
    </xf>
    <xf numFmtId="0" fontId="32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11" borderId="0" xfId="0" applyFont="1" applyFill="1">
      <alignment vertical="center"/>
    </xf>
    <xf numFmtId="41" fontId="36" fillId="6" borderId="4" xfId="46" applyFont="1" applyFill="1" applyBorder="1" applyAlignment="1">
      <alignment horizontal="center" vertical="center"/>
    </xf>
    <xf numFmtId="49" fontId="36" fillId="4" borderId="4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 vertical="center"/>
    </xf>
    <xf numFmtId="178" fontId="28" fillId="0" borderId="4" xfId="45" applyNumberFormat="1" applyFont="1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41" fontId="21" fillId="2" borderId="5" xfId="44" applyFont="1" applyFill="1" applyBorder="1" applyAlignment="1">
      <alignment horizontal="right" vertical="center"/>
    </xf>
    <xf numFmtId="178" fontId="28" fillId="4" borderId="4" xfId="45" applyNumberFormat="1" applyFont="1" applyFill="1" applyBorder="1">
      <alignment vertical="center"/>
    </xf>
    <xf numFmtId="41" fontId="21" fillId="4" borderId="6" xfId="44" applyFont="1" applyFill="1" applyBorder="1">
      <alignment vertical="center"/>
    </xf>
    <xf numFmtId="0" fontId="16" fillId="4" borderId="5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41" fillId="0" borderId="0" xfId="0" applyFont="1">
      <alignment vertical="center"/>
    </xf>
    <xf numFmtId="182" fontId="21" fillId="4" borderId="6" xfId="44" applyNumberFormat="1" applyFont="1" applyFill="1" applyBorder="1">
      <alignment vertical="center"/>
    </xf>
    <xf numFmtId="0" fontId="40" fillId="0" borderId="4" xfId="0" applyFont="1" applyBorder="1" applyAlignment="1">
      <alignment horizontal="center" wrapText="1"/>
    </xf>
    <xf numFmtId="0" fontId="36" fillId="6" borderId="4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183" fontId="10" fillId="11" borderId="0" xfId="0" applyNumberFormat="1" applyFont="1" applyFill="1" applyAlignment="1">
      <alignment horizontal="center" vertical="center"/>
    </xf>
    <xf numFmtId="180" fontId="36" fillId="8" borderId="4" xfId="0" applyNumberFormat="1" applyFont="1" applyFill="1" applyBorder="1" applyAlignment="1">
      <alignment horizontal="center" vertical="center"/>
    </xf>
    <xf numFmtId="2" fontId="38" fillId="11" borderId="0" xfId="0" applyNumberFormat="1" applyFont="1" applyFill="1">
      <alignment vertical="center"/>
    </xf>
    <xf numFmtId="41" fontId="0" fillId="0" borderId="0" xfId="46" applyFont="1">
      <alignment vertical="center"/>
    </xf>
    <xf numFmtId="41" fontId="21" fillId="0" borderId="0" xfId="46" applyFont="1">
      <alignment vertical="center"/>
    </xf>
    <xf numFmtId="41" fontId="21" fillId="0" borderId="0" xfId="0" applyNumberFormat="1" applyFont="1">
      <alignment vertical="center"/>
    </xf>
    <xf numFmtId="182" fontId="21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43" fillId="0" borderId="0" xfId="0" applyFont="1" applyAlignment="1">
      <alignment vertical="center" wrapText="1"/>
    </xf>
    <xf numFmtId="0" fontId="43" fillId="10" borderId="4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49" fontId="46" fillId="5" borderId="4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79" fontId="10" fillId="6" borderId="4" xfId="0" applyNumberFormat="1" applyFont="1" applyFill="1" applyBorder="1" applyAlignment="1">
      <alignment horizontal="center" vertical="center"/>
    </xf>
    <xf numFmtId="179" fontId="10" fillId="7" borderId="4" xfId="0" applyNumberFormat="1" applyFont="1" applyFill="1" applyBorder="1" applyAlignment="1">
      <alignment horizontal="center" vertical="center"/>
    </xf>
    <xf numFmtId="179" fontId="10" fillId="8" borderId="4" xfId="0" applyNumberFormat="1" applyFont="1" applyFill="1" applyBorder="1" applyAlignment="1">
      <alignment horizontal="center" vertical="center"/>
    </xf>
    <xf numFmtId="179" fontId="10" fillId="6" borderId="4" xfId="0" applyNumberFormat="1" applyFont="1" applyFill="1" applyBorder="1" applyAlignment="1">
      <alignment horizontal="center" vertical="center" wrapText="1"/>
    </xf>
    <xf numFmtId="49" fontId="46" fillId="9" borderId="4" xfId="0" applyNumberFormat="1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179" fontId="46" fillId="9" borderId="4" xfId="0" applyNumberFormat="1" applyFont="1" applyFill="1" applyBorder="1">
      <alignment vertical="center"/>
    </xf>
    <xf numFmtId="184" fontId="0" fillId="0" borderId="0" xfId="43" applyNumberFormat="1" applyFont="1">
      <alignment vertical="center"/>
    </xf>
    <xf numFmtId="41" fontId="40" fillId="0" borderId="4" xfId="46" applyFont="1" applyBorder="1" applyAlignment="1">
      <alignment horizontal="center" wrapText="1"/>
    </xf>
    <xf numFmtId="41" fontId="36" fillId="7" borderId="4" xfId="46" applyFont="1" applyFill="1" applyBorder="1" applyAlignment="1">
      <alignment horizontal="center" vertical="center"/>
    </xf>
    <xf numFmtId="41" fontId="36" fillId="8" borderId="4" xfId="46" applyFont="1" applyFill="1" applyBorder="1" applyAlignment="1">
      <alignment horizontal="center" vertical="center"/>
    </xf>
    <xf numFmtId="41" fontId="36" fillId="6" borderId="4" xfId="46" applyFont="1" applyFill="1" applyBorder="1" applyAlignment="1">
      <alignment horizontal="center" vertical="center" wrapText="1"/>
    </xf>
    <xf numFmtId="41" fontId="21" fillId="13" borderId="5" xfId="44" applyFont="1" applyFill="1" applyBorder="1" applyAlignment="1">
      <alignment horizontal="right" vertical="center"/>
    </xf>
    <xf numFmtId="0" fontId="21" fillId="0" borderId="4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49" fontId="36" fillId="6" borderId="10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1" fontId="35" fillId="9" borderId="4" xfId="46" applyFont="1" applyFill="1" applyBorder="1" applyAlignment="1">
      <alignment vertical="center"/>
    </xf>
    <xf numFmtId="185" fontId="35" fillId="9" borderId="4" xfId="46" applyNumberFormat="1" applyFont="1" applyFill="1" applyBorder="1" applyAlignment="1">
      <alignment vertical="center"/>
    </xf>
    <xf numFmtId="187" fontId="17" fillId="0" borderId="12" xfId="0" applyNumberFormat="1" applyFont="1" applyBorder="1" applyAlignment="1">
      <alignment horizontal="center" vertical="center"/>
    </xf>
    <xf numFmtId="2" fontId="29" fillId="4" borderId="3" xfId="0" applyNumberFormat="1" applyFont="1" applyFill="1" applyBorder="1" applyAlignment="1">
      <alignment horizontal="center" vertical="center"/>
    </xf>
    <xf numFmtId="49" fontId="36" fillId="13" borderId="4" xfId="0" applyNumberFormat="1" applyFont="1" applyFill="1" applyBorder="1" applyAlignment="1">
      <alignment horizontal="center" vertical="center"/>
    </xf>
    <xf numFmtId="41" fontId="35" fillId="5" borderId="4" xfId="46" applyFont="1" applyFill="1" applyBorder="1" applyAlignment="1">
      <alignment horizontal="center" vertical="center"/>
    </xf>
    <xf numFmtId="185" fontId="36" fillId="8" borderId="4" xfId="46" applyNumberFormat="1" applyFont="1" applyFill="1" applyBorder="1" applyAlignment="1">
      <alignment horizontal="center" vertical="center"/>
    </xf>
    <xf numFmtId="180" fontId="35" fillId="9" borderId="4" xfId="0" applyNumberFormat="1" applyFont="1" applyFill="1" applyBorder="1">
      <alignment vertical="center"/>
    </xf>
    <xf numFmtId="49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79" fontId="0" fillId="6" borderId="4" xfId="0" applyNumberFormat="1" applyFill="1" applyBorder="1" applyAlignment="1">
      <alignment horizontal="center" vertical="center"/>
    </xf>
    <xf numFmtId="179" fontId="0" fillId="7" borderId="4" xfId="0" applyNumberFormat="1" applyFill="1" applyBorder="1" applyAlignment="1">
      <alignment horizontal="center" vertical="center"/>
    </xf>
    <xf numFmtId="179" fontId="0" fillId="8" borderId="4" xfId="0" applyNumberFormat="1" applyFill="1" applyBorder="1" applyAlignment="1">
      <alignment horizontal="center" vertical="center"/>
    </xf>
    <xf numFmtId="179" fontId="0" fillId="6" borderId="4" xfId="0" applyNumberFormat="1" applyFill="1" applyBorder="1" applyAlignment="1">
      <alignment horizontal="center" vertical="center" wrapText="1"/>
    </xf>
    <xf numFmtId="49" fontId="46" fillId="12" borderId="10" xfId="0" applyNumberFormat="1" applyFont="1" applyFill="1" applyBorder="1" applyAlignment="1">
      <alignment horizontal="center" vertical="center"/>
    </xf>
    <xf numFmtId="49" fontId="46" fillId="5" borderId="10" xfId="0" applyNumberFormat="1" applyFont="1" applyFill="1" applyBorder="1" applyAlignment="1">
      <alignment horizontal="center" vertical="center"/>
    </xf>
    <xf numFmtId="49" fontId="10" fillId="0" borderId="0" xfId="0" applyNumberFormat="1" applyFont="1">
      <alignment vertical="center"/>
    </xf>
    <xf numFmtId="49" fontId="10" fillId="0" borderId="0" xfId="0" quotePrefix="1" applyNumberFormat="1" applyFont="1">
      <alignment vertical="center"/>
    </xf>
    <xf numFmtId="49" fontId="10" fillId="4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>
      <alignment vertical="center"/>
    </xf>
    <xf numFmtId="0" fontId="47" fillId="0" borderId="4" xfId="0" applyFont="1" applyBorder="1" applyAlignment="1">
      <alignment horizontal="center" wrapText="1"/>
    </xf>
    <xf numFmtId="41" fontId="10" fillId="6" borderId="4" xfId="46" applyFont="1" applyFill="1" applyBorder="1" applyAlignment="1">
      <alignment horizontal="center" vertical="center"/>
    </xf>
    <xf numFmtId="3" fontId="17" fillId="0" borderId="6" xfId="0" applyNumberFormat="1" applyFont="1" applyBorder="1" applyAlignment="1">
      <alignment vertical="center" wrapText="1"/>
    </xf>
    <xf numFmtId="49" fontId="10" fillId="13" borderId="4" xfId="0" applyNumberFormat="1" applyFont="1" applyFill="1" applyBorder="1" applyAlignment="1">
      <alignment horizontal="center" vertical="center"/>
    </xf>
    <xf numFmtId="41" fontId="17" fillId="0" borderId="6" xfId="46" applyFont="1" applyBorder="1" applyAlignment="1">
      <alignment horizontal="right" wrapText="1"/>
    </xf>
    <xf numFmtId="41" fontId="17" fillId="2" borderId="6" xfId="46" applyFont="1" applyFill="1" applyBorder="1" applyAlignment="1">
      <alignment horizontal="right" wrapText="1"/>
    </xf>
    <xf numFmtId="0" fontId="48" fillId="0" borderId="0" xfId="0" applyFont="1" applyAlignment="1">
      <alignment vertical="center" wrapText="1"/>
    </xf>
    <xf numFmtId="3" fontId="17" fillId="0" borderId="0" xfId="0" applyNumberFormat="1" applyFont="1" applyAlignment="1">
      <alignment horizontal="right" wrapText="1"/>
    </xf>
    <xf numFmtId="3" fontId="17" fillId="2" borderId="0" xfId="0" applyNumberFormat="1" applyFont="1" applyFill="1" applyAlignment="1">
      <alignment horizontal="right" wrapText="1"/>
    </xf>
    <xf numFmtId="0" fontId="30" fillId="0" borderId="4" xfId="0" applyFont="1" applyBorder="1" applyAlignment="1">
      <alignment horizontal="center" vertical="center"/>
    </xf>
    <xf numFmtId="41" fontId="17" fillId="0" borderId="4" xfId="46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80" fontId="10" fillId="6" borderId="4" xfId="0" applyNumberFormat="1" applyFont="1" applyFill="1" applyBorder="1" applyAlignment="1">
      <alignment horizontal="center" vertical="center"/>
    </xf>
    <xf numFmtId="41" fontId="10" fillId="8" borderId="4" xfId="46" applyFont="1" applyFill="1" applyBorder="1" applyAlignment="1">
      <alignment horizontal="center" vertical="center"/>
    </xf>
    <xf numFmtId="9" fontId="10" fillId="0" borderId="0" xfId="0" applyNumberFormat="1" applyFont="1">
      <alignment vertical="center"/>
    </xf>
    <xf numFmtId="186" fontId="10" fillId="0" borderId="0" xfId="0" applyNumberFormat="1" applyFont="1">
      <alignment vertical="center"/>
    </xf>
    <xf numFmtId="180" fontId="10" fillId="8" borderId="4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80" fontId="0" fillId="6" borderId="4" xfId="0" applyNumberFormat="1" applyFill="1" applyBorder="1" applyAlignment="1">
      <alignment horizontal="center" vertical="center"/>
    </xf>
    <xf numFmtId="41" fontId="0" fillId="8" borderId="4" xfId="46" applyFont="1" applyFill="1" applyBorder="1" applyAlignment="1">
      <alignment horizontal="center" vertical="center"/>
    </xf>
    <xf numFmtId="185" fontId="35" fillId="9" borderId="4" xfId="46" applyNumberFormat="1" applyFont="1" applyFill="1" applyBorder="1">
      <alignment vertical="center"/>
    </xf>
    <xf numFmtId="41" fontId="35" fillId="9" borderId="4" xfId="46" applyFont="1" applyFill="1" applyBorder="1">
      <alignment vertical="center"/>
    </xf>
    <xf numFmtId="49" fontId="10" fillId="0" borderId="4" xfId="0" applyNumberFormat="1" applyFont="1" applyBorder="1" applyAlignment="1">
      <alignment horizontal="center" vertical="center"/>
    </xf>
    <xf numFmtId="181" fontId="10" fillId="0" borderId="0" xfId="0" applyNumberFormat="1" applyFont="1">
      <alignment vertical="center"/>
    </xf>
    <xf numFmtId="49" fontId="36" fillId="2" borderId="4" xfId="0" applyNumberFormat="1" applyFont="1" applyFill="1" applyBorder="1" applyAlignment="1">
      <alignment horizontal="center" vertical="center"/>
    </xf>
    <xf numFmtId="49" fontId="36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41" fontId="31" fillId="3" borderId="18" xfId="0" applyNumberFormat="1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41" fontId="31" fillId="3" borderId="20" xfId="0" applyNumberFormat="1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41" fontId="21" fillId="2" borderId="22" xfId="44" applyFont="1" applyFill="1" applyBorder="1" applyAlignment="1">
      <alignment horizontal="right" vertical="center"/>
    </xf>
    <xf numFmtId="0" fontId="0" fillId="0" borderId="23" xfId="0" applyBorder="1">
      <alignment vertical="center"/>
    </xf>
    <xf numFmtId="0" fontId="29" fillId="4" borderId="1" xfId="0" applyFont="1" applyFill="1" applyBorder="1" applyAlignment="1">
      <alignment horizontal="center" vertical="center"/>
    </xf>
    <xf numFmtId="41" fontId="21" fillId="4" borderId="2" xfId="44" applyFont="1" applyFill="1" applyBorder="1" applyAlignment="1">
      <alignment horizontal="right" vertical="center"/>
    </xf>
    <xf numFmtId="49" fontId="10" fillId="14" borderId="4" xfId="0" applyNumberFormat="1" applyFont="1" applyFill="1" applyBorder="1" applyAlignment="1">
      <alignment horizontal="center" vertical="center"/>
    </xf>
    <xf numFmtId="49" fontId="0" fillId="14" borderId="4" xfId="0" applyNumberFormat="1" applyFill="1" applyBorder="1" applyAlignment="1">
      <alignment horizontal="center" vertical="center"/>
    </xf>
    <xf numFmtId="188" fontId="35" fillId="9" borderId="4" xfId="0" applyNumberFormat="1" applyFont="1" applyFill="1" applyBorder="1">
      <alignment vertical="center"/>
    </xf>
    <xf numFmtId="41" fontId="21" fillId="0" borderId="6" xfId="44" applyFont="1" applyFill="1" applyBorder="1">
      <alignment vertical="center"/>
    </xf>
    <xf numFmtId="182" fontId="21" fillId="0" borderId="6" xfId="44" applyNumberFormat="1" applyFont="1" applyFill="1" applyBorder="1">
      <alignment vertical="center"/>
    </xf>
    <xf numFmtId="0" fontId="27" fillId="0" borderId="3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27" fillId="0" borderId="13" xfId="0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41" fontId="20" fillId="12" borderId="15" xfId="44" applyFont="1" applyFill="1" applyBorder="1">
      <alignment vertical="center"/>
    </xf>
    <xf numFmtId="41" fontId="20" fillId="12" borderId="8" xfId="44" applyFont="1" applyFill="1" applyBorder="1">
      <alignment vertical="center"/>
    </xf>
    <xf numFmtId="0" fontId="29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48">
    <cellStyle name="Normal 2" xfId="47"/>
    <cellStyle name="기본 2" xfId="13"/>
    <cellStyle name="기본 3" xfId="17"/>
    <cellStyle name="백분율" xfId="43" builtinId="5"/>
    <cellStyle name="쉼표 [0]" xfId="46" builtinId="6"/>
    <cellStyle name="쉼표 [0] 10 3" xfId="2"/>
    <cellStyle name="쉼표 [0] 10 3 2" xfId="26"/>
    <cellStyle name="쉼표 [0] 18 2 2 2" xfId="10"/>
    <cellStyle name="쉼표 [0] 18 2 2 2 2" xfId="29"/>
    <cellStyle name="쉼표 [0] 18 2 3" xfId="9"/>
    <cellStyle name="쉼표 [0] 18 2 3 2" xfId="28"/>
    <cellStyle name="쉼표 [0] 18 4" xfId="5"/>
    <cellStyle name="쉼표 [0] 18 4 2" xfId="27"/>
    <cellStyle name="쉼표 [0] 18 5" xfId="11"/>
    <cellStyle name="쉼표 [0] 18 5 2" xfId="30"/>
    <cellStyle name="쉼표 [0] 2" xfId="25"/>
    <cellStyle name="쉼표 [0] 2 10" xfId="45"/>
    <cellStyle name="쉼표 [0] 3" xfId="34"/>
    <cellStyle name="쉼표 [0] 34" xfId="42"/>
    <cellStyle name="쉼표 [0] 37" xfId="44"/>
    <cellStyle name="쉼표 [0] 4" xfId="36"/>
    <cellStyle name="쉼표 [0] 5" xfId="37"/>
    <cellStyle name="쉼표[0] 2" xfId="15"/>
    <cellStyle name="쉼표[0] 2 2" xfId="31"/>
    <cellStyle name="쉼표[0] 3" xfId="18"/>
    <cellStyle name="쉼표[0] 3 2" xfId="32"/>
    <cellStyle name="열어 본 하이퍼링크" xfId="16"/>
    <cellStyle name="표준" xfId="0" builtinId="0"/>
    <cellStyle name="표준 10" xfId="35"/>
    <cellStyle name="표준 10 2" xfId="38"/>
    <cellStyle name="표준 146 3" xfId="12"/>
    <cellStyle name="표준 149 2" xfId="8"/>
    <cellStyle name="표준 151 2" xfId="6"/>
    <cellStyle name="표준 157" xfId="4"/>
    <cellStyle name="표준 168" xfId="14"/>
    <cellStyle name="표준 2" xfId="7"/>
    <cellStyle name="표준 2 2" xfId="39"/>
    <cellStyle name="표준 2 3" xfId="3"/>
    <cellStyle name="표준 3" xfId="19"/>
    <cellStyle name="표준 4" xfId="20"/>
    <cellStyle name="표준 5" xfId="21"/>
    <cellStyle name="표준 6" xfId="22"/>
    <cellStyle name="표준 7" xfId="23"/>
    <cellStyle name="표준 8" xfId="24"/>
    <cellStyle name="표준 9" xfId="33"/>
    <cellStyle name="표준 90" xfId="40"/>
    <cellStyle name="표준 97" xfId="41"/>
    <cellStyle name="하이퍼링크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15"/>
  <sheetViews>
    <sheetView zoomScale="85" zoomScaleNormal="85" workbookViewId="0">
      <pane ySplit="1" topLeftCell="A916" activePane="bottomLeft" state="frozen"/>
      <selection pane="bottomLeft" activeCell="J935" sqref="J935"/>
    </sheetView>
  </sheetViews>
  <sheetFormatPr defaultColWidth="9" defaultRowHeight="17.399999999999999"/>
  <cols>
    <col min="1" max="1" width="19.19921875" style="32" customWidth="1"/>
    <col min="2" max="2" width="10.69921875" style="32" customWidth="1"/>
    <col min="3" max="3" width="38.69921875" style="32" customWidth="1"/>
    <col min="4" max="4" width="13.5" style="32" customWidth="1"/>
    <col min="5" max="5" width="13" style="32" customWidth="1"/>
    <col min="6" max="6" width="8.5" style="32" bestFit="1" customWidth="1"/>
    <col min="7" max="7" width="9" style="32" customWidth="1"/>
    <col min="8" max="16384" width="9" style="32"/>
  </cols>
  <sheetData>
    <row r="1" spans="1:6">
      <c r="A1" s="71" t="s">
        <v>0</v>
      </c>
      <c r="B1" s="71" t="s">
        <v>1</v>
      </c>
      <c r="C1" s="71" t="s">
        <v>2</v>
      </c>
      <c r="D1" s="71" t="s">
        <v>3</v>
      </c>
      <c r="E1" s="106" t="s">
        <v>4</v>
      </c>
      <c r="F1" s="107" t="s">
        <v>5</v>
      </c>
    </row>
    <row r="2" spans="1:6">
      <c r="A2" s="72" t="s">
        <v>6</v>
      </c>
      <c r="B2" s="72" t="s">
        <v>507</v>
      </c>
      <c r="C2" s="72" t="s">
        <v>7</v>
      </c>
      <c r="D2" s="74">
        <v>634996.80000000005</v>
      </c>
      <c r="E2" s="76">
        <v>444498</v>
      </c>
    </row>
    <row r="3" spans="1:6">
      <c r="A3" s="72" t="s">
        <v>6</v>
      </c>
      <c r="B3" s="72" t="s">
        <v>507</v>
      </c>
      <c r="C3" s="72" t="s">
        <v>382</v>
      </c>
      <c r="D3" s="74">
        <v>4835187</v>
      </c>
      <c r="E3" s="76">
        <v>3384633</v>
      </c>
    </row>
    <row r="4" spans="1:6">
      <c r="A4" s="72" t="s">
        <v>6</v>
      </c>
      <c r="B4" s="72" t="s">
        <v>507</v>
      </c>
      <c r="C4" s="72" t="s">
        <v>389</v>
      </c>
      <c r="D4" s="74">
        <v>429033.8</v>
      </c>
      <c r="E4" s="76">
        <v>300323</v>
      </c>
    </row>
    <row r="5" spans="1:6">
      <c r="A5" s="72" t="s">
        <v>6</v>
      </c>
      <c r="B5" s="72" t="s">
        <v>507</v>
      </c>
      <c r="C5" s="72" t="s">
        <v>43</v>
      </c>
      <c r="D5" s="74">
        <v>73972.2</v>
      </c>
      <c r="E5" s="76">
        <v>51781</v>
      </c>
    </row>
    <row r="6" spans="1:6">
      <c r="A6" s="72" t="s">
        <v>6</v>
      </c>
      <c r="B6" s="72" t="s">
        <v>507</v>
      </c>
      <c r="C6" s="72" t="s">
        <v>8</v>
      </c>
      <c r="D6" s="74">
        <v>324635.40000000002</v>
      </c>
      <c r="E6" s="76">
        <v>227243</v>
      </c>
    </row>
    <row r="7" spans="1:6">
      <c r="A7" s="72" t="s">
        <v>6</v>
      </c>
      <c r="B7" s="72" t="s">
        <v>507</v>
      </c>
      <c r="C7" s="72" t="s">
        <v>9</v>
      </c>
      <c r="D7" s="74">
        <v>165445</v>
      </c>
      <c r="E7" s="76">
        <v>115811</v>
      </c>
    </row>
    <row r="8" spans="1:6">
      <c r="A8" s="72" t="s">
        <v>6</v>
      </c>
      <c r="B8" s="72" t="s">
        <v>507</v>
      </c>
      <c r="C8" s="72" t="s">
        <v>114</v>
      </c>
      <c r="D8" s="74">
        <v>531387.9</v>
      </c>
      <c r="E8" s="76">
        <v>371971</v>
      </c>
    </row>
    <row r="9" spans="1:6">
      <c r="A9" s="72" t="s">
        <v>6</v>
      </c>
      <c r="B9" s="72" t="s">
        <v>507</v>
      </c>
      <c r="C9" s="72" t="s">
        <v>10</v>
      </c>
      <c r="D9" s="74">
        <v>701039.3</v>
      </c>
      <c r="E9" s="76">
        <v>490729</v>
      </c>
    </row>
    <row r="10" spans="1:6">
      <c r="A10" s="72" t="s">
        <v>6</v>
      </c>
      <c r="B10" s="72" t="s">
        <v>507</v>
      </c>
      <c r="C10" s="72" t="s">
        <v>11</v>
      </c>
      <c r="D10" s="74">
        <v>668745.89999999991</v>
      </c>
      <c r="E10" s="76">
        <v>468124</v>
      </c>
    </row>
    <row r="11" spans="1:6">
      <c r="A11" s="72" t="s">
        <v>6</v>
      </c>
      <c r="B11" s="72" t="s">
        <v>507</v>
      </c>
      <c r="C11" s="72" t="s">
        <v>12</v>
      </c>
      <c r="D11" s="74">
        <v>214639.2</v>
      </c>
      <c r="E11" s="76">
        <v>150248</v>
      </c>
    </row>
    <row r="12" spans="1:6">
      <c r="A12" s="72" t="s">
        <v>6</v>
      </c>
      <c r="B12" s="72" t="s">
        <v>507</v>
      </c>
      <c r="C12" s="72" t="s">
        <v>13</v>
      </c>
      <c r="D12" s="74">
        <v>416774.2</v>
      </c>
      <c r="E12" s="76">
        <v>291742</v>
      </c>
    </row>
    <row r="13" spans="1:6">
      <c r="A13" s="72" t="s">
        <v>6</v>
      </c>
      <c r="B13" s="72" t="s">
        <v>507</v>
      </c>
      <c r="C13" s="72" t="s">
        <v>419</v>
      </c>
      <c r="D13" s="74">
        <v>291315.7</v>
      </c>
      <c r="E13" s="76">
        <v>203921</v>
      </c>
    </row>
    <row r="14" spans="1:6">
      <c r="A14" s="72" t="s">
        <v>6</v>
      </c>
      <c r="B14" s="72" t="s">
        <v>507</v>
      </c>
      <c r="C14" s="72" t="s">
        <v>14</v>
      </c>
      <c r="D14" s="74">
        <v>12824654.699999999</v>
      </c>
      <c r="E14" s="76">
        <v>8977257</v>
      </c>
    </row>
    <row r="15" spans="1:6">
      <c r="A15" s="72" t="s">
        <v>6</v>
      </c>
      <c r="B15" s="72" t="s">
        <v>507</v>
      </c>
      <c r="C15" s="72" t="s">
        <v>15</v>
      </c>
      <c r="D15" s="74">
        <v>160287.4</v>
      </c>
      <c r="E15" s="76">
        <v>112202</v>
      </c>
    </row>
    <row r="16" spans="1:6">
      <c r="A16" s="72" t="s">
        <v>6</v>
      </c>
      <c r="B16" s="72" t="s">
        <v>507</v>
      </c>
      <c r="C16" s="72" t="s">
        <v>16</v>
      </c>
      <c r="D16" s="74">
        <v>123755</v>
      </c>
      <c r="E16" s="76">
        <v>86627</v>
      </c>
    </row>
    <row r="17" spans="1:5">
      <c r="A17" s="72" t="s">
        <v>6</v>
      </c>
      <c r="B17" s="72" t="s">
        <v>507</v>
      </c>
      <c r="C17" s="72" t="s">
        <v>17</v>
      </c>
      <c r="D17" s="74">
        <v>51241.8</v>
      </c>
      <c r="E17" s="76">
        <v>35870</v>
      </c>
    </row>
    <row r="18" spans="1:5">
      <c r="A18" s="72" t="s">
        <v>6</v>
      </c>
      <c r="B18" s="72" t="s">
        <v>507</v>
      </c>
      <c r="C18" s="72" t="s">
        <v>18</v>
      </c>
      <c r="D18" s="74">
        <v>7470</v>
      </c>
      <c r="E18" s="76">
        <v>5229</v>
      </c>
    </row>
    <row r="19" spans="1:5">
      <c r="A19" s="72" t="s">
        <v>6</v>
      </c>
      <c r="B19" s="72" t="s">
        <v>507</v>
      </c>
      <c r="C19" s="72" t="s">
        <v>19</v>
      </c>
      <c r="D19" s="74">
        <v>79185</v>
      </c>
      <c r="E19" s="76">
        <v>55429</v>
      </c>
    </row>
    <row r="20" spans="1:5">
      <c r="A20" s="72" t="s">
        <v>6</v>
      </c>
      <c r="B20" s="72" t="s">
        <v>507</v>
      </c>
      <c r="C20" s="72" t="s">
        <v>20</v>
      </c>
      <c r="D20" s="74">
        <v>42681.8</v>
      </c>
      <c r="E20" s="76">
        <v>29878</v>
      </c>
    </row>
    <row r="21" spans="1:5">
      <c r="A21" s="72" t="s">
        <v>6</v>
      </c>
      <c r="B21" s="72" t="s">
        <v>507</v>
      </c>
      <c r="C21" s="72" t="s">
        <v>21</v>
      </c>
      <c r="D21" s="74">
        <v>416079.8</v>
      </c>
      <c r="E21" s="76">
        <v>291255</v>
      </c>
    </row>
    <row r="22" spans="1:5">
      <c r="A22" s="72" t="s">
        <v>6</v>
      </c>
      <c r="B22" s="72" t="s">
        <v>507</v>
      </c>
      <c r="C22" s="72" t="s">
        <v>527</v>
      </c>
      <c r="D22" s="74">
        <v>2580</v>
      </c>
      <c r="E22" s="76">
        <v>1806</v>
      </c>
    </row>
    <row r="23" spans="1:5">
      <c r="A23" s="72" t="s">
        <v>6</v>
      </c>
      <c r="B23" s="72" t="s">
        <v>507</v>
      </c>
      <c r="C23" s="72" t="s">
        <v>401</v>
      </c>
      <c r="D23" s="74">
        <v>137165</v>
      </c>
      <c r="E23" s="76">
        <v>96015</v>
      </c>
    </row>
    <row r="24" spans="1:5">
      <c r="A24" s="72" t="s">
        <v>6</v>
      </c>
      <c r="B24" s="72" t="s">
        <v>507</v>
      </c>
      <c r="C24" s="72" t="s">
        <v>22</v>
      </c>
      <c r="D24" s="74">
        <v>3603150.0999999996</v>
      </c>
      <c r="E24" s="76">
        <v>2522205</v>
      </c>
    </row>
    <row r="25" spans="1:5">
      <c r="A25" s="72" t="s">
        <v>6</v>
      </c>
      <c r="B25" s="72" t="s">
        <v>507</v>
      </c>
      <c r="C25" s="72" t="s">
        <v>23</v>
      </c>
      <c r="D25" s="74">
        <v>4078</v>
      </c>
      <c r="E25" s="76">
        <v>2854</v>
      </c>
    </row>
    <row r="26" spans="1:5">
      <c r="A26" s="72" t="s">
        <v>6</v>
      </c>
      <c r="B26" s="72" t="s">
        <v>507</v>
      </c>
      <c r="C26" s="72" t="s">
        <v>24</v>
      </c>
      <c r="D26" s="74">
        <v>2430</v>
      </c>
      <c r="E26" s="76">
        <v>1701</v>
      </c>
    </row>
    <row r="27" spans="1:5">
      <c r="A27" s="72" t="s">
        <v>6</v>
      </c>
      <c r="B27" s="72" t="s">
        <v>507</v>
      </c>
      <c r="C27" s="72" t="s">
        <v>25</v>
      </c>
      <c r="D27" s="74">
        <v>4042</v>
      </c>
      <c r="E27" s="76">
        <v>2828</v>
      </c>
    </row>
    <row r="28" spans="1:5">
      <c r="A28" s="72" t="s">
        <v>6</v>
      </c>
      <c r="B28" s="72" t="s">
        <v>507</v>
      </c>
      <c r="C28" s="72" t="s">
        <v>26</v>
      </c>
      <c r="D28" s="74">
        <v>6040</v>
      </c>
      <c r="E28" s="76">
        <v>4228</v>
      </c>
    </row>
    <row r="29" spans="1:5">
      <c r="A29" s="72" t="s">
        <v>6</v>
      </c>
      <c r="B29" s="72" t="s">
        <v>507</v>
      </c>
      <c r="C29" s="72" t="s">
        <v>528</v>
      </c>
      <c r="D29" s="74">
        <v>23217</v>
      </c>
      <c r="E29" s="76">
        <v>16252</v>
      </c>
    </row>
    <row r="30" spans="1:5">
      <c r="A30" s="72" t="s">
        <v>6</v>
      </c>
      <c r="B30" s="72" t="s">
        <v>507</v>
      </c>
      <c r="C30" s="72" t="s">
        <v>27</v>
      </c>
      <c r="D30" s="74">
        <v>5973</v>
      </c>
      <c r="E30" s="76">
        <v>4181</v>
      </c>
    </row>
    <row r="31" spans="1:5">
      <c r="A31" s="72" t="s">
        <v>6</v>
      </c>
      <c r="B31" s="72" t="s">
        <v>507</v>
      </c>
      <c r="C31" s="72" t="s">
        <v>390</v>
      </c>
      <c r="D31" s="74">
        <v>80549</v>
      </c>
      <c r="E31" s="76">
        <v>56385</v>
      </c>
    </row>
    <row r="32" spans="1:5">
      <c r="A32" s="72" t="s">
        <v>6</v>
      </c>
      <c r="B32" s="72" t="s">
        <v>507</v>
      </c>
      <c r="C32" s="72" t="s">
        <v>28</v>
      </c>
      <c r="D32" s="74">
        <v>20064.599999999999</v>
      </c>
      <c r="E32" s="76">
        <v>14045</v>
      </c>
    </row>
    <row r="33" spans="1:5">
      <c r="A33" s="72" t="s">
        <v>6</v>
      </c>
      <c r="B33" s="72" t="s">
        <v>507</v>
      </c>
      <c r="C33" s="72" t="s">
        <v>29</v>
      </c>
      <c r="D33" s="74">
        <v>89692</v>
      </c>
      <c r="E33" s="76">
        <v>62784</v>
      </c>
    </row>
    <row r="34" spans="1:5">
      <c r="A34" s="72" t="s">
        <v>6</v>
      </c>
      <c r="B34" s="72" t="s">
        <v>507</v>
      </c>
      <c r="C34" s="72" t="s">
        <v>427</v>
      </c>
      <c r="D34" s="74">
        <v>19110</v>
      </c>
      <c r="E34" s="76">
        <v>13377</v>
      </c>
    </row>
    <row r="35" spans="1:5">
      <c r="A35" s="72" t="s">
        <v>6</v>
      </c>
      <c r="B35" s="72" t="s">
        <v>507</v>
      </c>
      <c r="C35" s="72" t="s">
        <v>30</v>
      </c>
      <c r="D35" s="74">
        <v>1280122.8</v>
      </c>
      <c r="E35" s="76">
        <v>896085</v>
      </c>
    </row>
    <row r="36" spans="1:5">
      <c r="A36" s="72" t="s">
        <v>6</v>
      </c>
      <c r="B36" s="72" t="s">
        <v>507</v>
      </c>
      <c r="C36" s="72" t="s">
        <v>31</v>
      </c>
      <c r="D36" s="74">
        <v>-825</v>
      </c>
      <c r="E36" s="76">
        <v>-578</v>
      </c>
    </row>
    <row r="37" spans="1:5">
      <c r="A37" s="72" t="s">
        <v>6</v>
      </c>
      <c r="B37" s="72" t="s">
        <v>507</v>
      </c>
      <c r="C37" s="72" t="s">
        <v>32</v>
      </c>
      <c r="D37" s="74">
        <v>7549144</v>
      </c>
      <c r="E37" s="76">
        <v>5284402</v>
      </c>
    </row>
    <row r="38" spans="1:5">
      <c r="A38" s="72" t="s">
        <v>6</v>
      </c>
      <c r="B38" s="72" t="s">
        <v>507</v>
      </c>
      <c r="C38" s="72" t="s">
        <v>413</v>
      </c>
      <c r="D38" s="74">
        <v>5233084</v>
      </c>
      <c r="E38" s="76">
        <v>3663159</v>
      </c>
    </row>
    <row r="39" spans="1:5">
      <c r="A39" s="72" t="s">
        <v>6</v>
      </c>
      <c r="B39" s="72" t="s">
        <v>507</v>
      </c>
      <c r="C39" s="72" t="s">
        <v>33</v>
      </c>
      <c r="D39" s="74">
        <v>2255</v>
      </c>
      <c r="E39" s="76">
        <v>1579</v>
      </c>
    </row>
    <row r="40" spans="1:5">
      <c r="A40" s="72" t="s">
        <v>6</v>
      </c>
      <c r="B40" s="72" t="s">
        <v>507</v>
      </c>
      <c r="C40" s="72" t="s">
        <v>360</v>
      </c>
      <c r="D40" s="74">
        <v>780464.4</v>
      </c>
      <c r="E40" s="76">
        <v>546327</v>
      </c>
    </row>
    <row r="41" spans="1:5">
      <c r="A41" s="72" t="s">
        <v>6</v>
      </c>
      <c r="B41" s="72" t="s">
        <v>507</v>
      </c>
      <c r="C41" s="72" t="s">
        <v>373</v>
      </c>
      <c r="D41" s="74">
        <v>5044372.2</v>
      </c>
      <c r="E41" s="76">
        <v>3531062</v>
      </c>
    </row>
    <row r="42" spans="1:5">
      <c r="A42" s="72" t="s">
        <v>6</v>
      </c>
      <c r="B42" s="72" t="s">
        <v>507</v>
      </c>
      <c r="C42" s="72" t="s">
        <v>34</v>
      </c>
      <c r="D42" s="74">
        <v>180</v>
      </c>
      <c r="E42" s="76">
        <v>126</v>
      </c>
    </row>
    <row r="43" spans="1:5">
      <c r="A43" s="72" t="s">
        <v>6</v>
      </c>
      <c r="B43" s="72" t="s">
        <v>507</v>
      </c>
      <c r="C43" s="72" t="s">
        <v>35</v>
      </c>
      <c r="D43" s="74">
        <v>18526</v>
      </c>
      <c r="E43" s="76">
        <v>12968</v>
      </c>
    </row>
    <row r="44" spans="1:5">
      <c r="A44" s="72" t="s">
        <v>6</v>
      </c>
      <c r="B44" s="72" t="s">
        <v>507</v>
      </c>
      <c r="C44" s="72" t="s">
        <v>36</v>
      </c>
      <c r="D44" s="74">
        <v>208476</v>
      </c>
      <c r="E44" s="76">
        <v>145934</v>
      </c>
    </row>
    <row r="45" spans="1:5">
      <c r="A45" s="72" t="s">
        <v>6</v>
      </c>
      <c r="B45" s="72" t="s">
        <v>507</v>
      </c>
      <c r="C45" s="72" t="s">
        <v>112</v>
      </c>
      <c r="D45" s="74">
        <v>5567933.4000000004</v>
      </c>
      <c r="E45" s="76">
        <v>3897553</v>
      </c>
    </row>
    <row r="46" spans="1:5">
      <c r="A46" s="72" t="s">
        <v>6</v>
      </c>
      <c r="B46" s="72" t="s">
        <v>507</v>
      </c>
      <c r="C46" s="72" t="s">
        <v>37</v>
      </c>
      <c r="D46" s="74">
        <v>149033.4</v>
      </c>
      <c r="E46" s="76">
        <v>104323</v>
      </c>
    </row>
    <row r="47" spans="1:5">
      <c r="A47" s="72" t="s">
        <v>6</v>
      </c>
      <c r="B47" s="72" t="s">
        <v>507</v>
      </c>
      <c r="C47" s="72" t="s">
        <v>38</v>
      </c>
      <c r="D47" s="74">
        <v>196763</v>
      </c>
      <c r="E47" s="76">
        <v>137733</v>
      </c>
    </row>
    <row r="48" spans="1:5">
      <c r="A48" s="72" t="s">
        <v>6</v>
      </c>
      <c r="B48" s="72" t="s">
        <v>507</v>
      </c>
      <c r="C48" s="72" t="s">
        <v>39</v>
      </c>
      <c r="D48" s="74">
        <v>45772</v>
      </c>
      <c r="E48" s="76">
        <v>32041</v>
      </c>
    </row>
    <row r="49" spans="1:14">
      <c r="A49" s="72" t="s">
        <v>6</v>
      </c>
      <c r="B49" s="72" t="s">
        <v>507</v>
      </c>
      <c r="C49" s="72" t="s">
        <v>40</v>
      </c>
      <c r="D49" s="74">
        <v>145734.20000000001</v>
      </c>
      <c r="E49" s="76">
        <v>102014</v>
      </c>
    </row>
    <row r="50" spans="1:14">
      <c r="A50" s="72" t="s">
        <v>6</v>
      </c>
      <c r="B50" s="72" t="s">
        <v>507</v>
      </c>
      <c r="C50" s="72" t="s">
        <v>41</v>
      </c>
      <c r="D50" s="74">
        <v>52735</v>
      </c>
      <c r="E50" s="76">
        <v>36915</v>
      </c>
    </row>
    <row r="51" spans="1:14">
      <c r="A51" s="72" t="s">
        <v>6</v>
      </c>
      <c r="B51" s="72" t="s">
        <v>507</v>
      </c>
      <c r="C51" s="72" t="s">
        <v>42</v>
      </c>
      <c r="D51" s="74">
        <v>2762241.6999999997</v>
      </c>
      <c r="E51" s="76">
        <v>1657344</v>
      </c>
    </row>
    <row r="52" spans="1:14">
      <c r="A52" s="72" t="s">
        <v>6</v>
      </c>
      <c r="B52" s="72" t="s">
        <v>507</v>
      </c>
      <c r="C52" s="72" t="s">
        <v>43</v>
      </c>
      <c r="D52" s="74">
        <v>48975</v>
      </c>
      <c r="E52" s="76">
        <v>29385</v>
      </c>
    </row>
    <row r="53" spans="1:14">
      <c r="A53" s="72" t="s">
        <v>6</v>
      </c>
      <c r="B53" s="72" t="s">
        <v>507</v>
      </c>
      <c r="C53" s="72" t="s">
        <v>551</v>
      </c>
      <c r="D53" s="74">
        <v>74442</v>
      </c>
      <c r="E53" s="76">
        <v>44665</v>
      </c>
    </row>
    <row r="54" spans="1:14">
      <c r="A54" s="72" t="s">
        <v>6</v>
      </c>
      <c r="B54" s="72" t="s">
        <v>507</v>
      </c>
      <c r="C54" s="72" t="s">
        <v>44</v>
      </c>
      <c r="D54" s="74">
        <v>327896</v>
      </c>
      <c r="E54" s="76">
        <v>196736</v>
      </c>
    </row>
    <row r="55" spans="1:14">
      <c r="A55" s="72" t="s">
        <v>6</v>
      </c>
      <c r="B55" s="72" t="s">
        <v>507</v>
      </c>
      <c r="C55" s="72" t="s">
        <v>45</v>
      </c>
      <c r="D55" s="74">
        <v>579755.69999999995</v>
      </c>
      <c r="E55" s="76">
        <v>347852</v>
      </c>
    </row>
    <row r="56" spans="1:14">
      <c r="A56" s="72" t="s">
        <v>6</v>
      </c>
      <c r="B56" s="72" t="s">
        <v>507</v>
      </c>
      <c r="C56" s="72" t="s">
        <v>361</v>
      </c>
      <c r="D56" s="74">
        <v>325329.2</v>
      </c>
      <c r="E56" s="76">
        <v>195197</v>
      </c>
    </row>
    <row r="57" spans="1:14">
      <c r="A57" s="72" t="s">
        <v>6</v>
      </c>
      <c r="B57" s="72" t="s">
        <v>507</v>
      </c>
      <c r="C57" s="72" t="s">
        <v>46</v>
      </c>
      <c r="D57" s="74">
        <v>3492073.5</v>
      </c>
      <c r="E57" s="76">
        <v>2095244</v>
      </c>
    </row>
    <row r="58" spans="1:14">
      <c r="A58" s="72" t="s">
        <v>47</v>
      </c>
      <c r="B58" s="72" t="s">
        <v>507</v>
      </c>
      <c r="C58" s="72" t="s">
        <v>42</v>
      </c>
      <c r="D58" s="74">
        <v>695373</v>
      </c>
      <c r="E58" s="76">
        <v>378924</v>
      </c>
    </row>
    <row r="59" spans="1:14">
      <c r="A59" s="72" t="s">
        <v>47</v>
      </c>
      <c r="B59" s="72" t="s">
        <v>507</v>
      </c>
      <c r="C59" s="72" t="s">
        <v>44</v>
      </c>
      <c r="D59" s="74">
        <v>173243</v>
      </c>
      <c r="E59" s="76">
        <v>87653</v>
      </c>
    </row>
    <row r="60" spans="1:14">
      <c r="A60" s="72" t="s">
        <v>47</v>
      </c>
      <c r="B60" s="72" t="s">
        <v>507</v>
      </c>
      <c r="C60" s="72" t="s">
        <v>45</v>
      </c>
      <c r="D60" s="74">
        <v>243572</v>
      </c>
      <c r="E60" s="76">
        <v>129045</v>
      </c>
    </row>
    <row r="61" spans="1:14">
      <c r="A61" s="100" t="s">
        <v>48</v>
      </c>
      <c r="B61" s="72" t="s">
        <v>418</v>
      </c>
      <c r="C61" s="100" t="s">
        <v>42</v>
      </c>
      <c r="D61" s="102">
        <v>26480</v>
      </c>
      <c r="E61" s="104">
        <v>26480</v>
      </c>
      <c r="F61"/>
      <c r="G61"/>
      <c r="H61"/>
      <c r="I61"/>
      <c r="J61"/>
      <c r="K61"/>
      <c r="L61"/>
      <c r="M61"/>
      <c r="N61"/>
    </row>
    <row r="62" spans="1:14">
      <c r="A62" s="72" t="s">
        <v>48</v>
      </c>
      <c r="B62" s="72" t="s">
        <v>418</v>
      </c>
      <c r="C62" s="72" t="s">
        <v>43</v>
      </c>
      <c r="D62" s="74">
        <v>2816</v>
      </c>
      <c r="E62" s="76">
        <v>2816</v>
      </c>
    </row>
    <row r="63" spans="1:14">
      <c r="A63" s="72" t="s">
        <v>48</v>
      </c>
      <c r="B63" s="72" t="s">
        <v>418</v>
      </c>
      <c r="C63" s="72" t="s">
        <v>46</v>
      </c>
      <c r="D63" s="74">
        <v>35618</v>
      </c>
      <c r="E63" s="76">
        <v>35618</v>
      </c>
    </row>
    <row r="64" spans="1:14">
      <c r="A64" s="72" t="s">
        <v>48</v>
      </c>
      <c r="B64" s="72" t="s">
        <v>418</v>
      </c>
      <c r="C64" s="72" t="s">
        <v>36</v>
      </c>
      <c r="D64" s="74">
        <v>1245</v>
      </c>
      <c r="E64" s="76">
        <v>1245</v>
      </c>
    </row>
    <row r="65" spans="1:14">
      <c r="A65" s="72" t="s">
        <v>48</v>
      </c>
      <c r="B65" s="72" t="s">
        <v>418</v>
      </c>
      <c r="C65" s="72" t="s">
        <v>139</v>
      </c>
      <c r="D65" s="74">
        <v>21927</v>
      </c>
      <c r="E65" s="76">
        <v>21927</v>
      </c>
    </row>
    <row r="66" spans="1:14">
      <c r="A66" s="72" t="s">
        <v>461</v>
      </c>
      <c r="B66" s="72" t="s">
        <v>397</v>
      </c>
      <c r="C66" s="72" t="s">
        <v>139</v>
      </c>
      <c r="D66" s="74">
        <v>109726</v>
      </c>
      <c r="E66" s="76">
        <v>109726</v>
      </c>
    </row>
    <row r="67" spans="1:14">
      <c r="A67" s="72" t="s">
        <v>49</v>
      </c>
      <c r="B67" s="72" t="s">
        <v>405</v>
      </c>
      <c r="C67" s="100" t="s">
        <v>64</v>
      </c>
      <c r="D67" s="102">
        <v>62038</v>
      </c>
      <c r="E67" s="104">
        <v>62038</v>
      </c>
    </row>
    <row r="68" spans="1:14">
      <c r="A68" s="72" t="s">
        <v>49</v>
      </c>
      <c r="B68" s="72" t="s">
        <v>405</v>
      </c>
      <c r="C68" s="100" t="s">
        <v>255</v>
      </c>
      <c r="D68" s="102">
        <v>806182</v>
      </c>
      <c r="E68" s="104">
        <v>806182</v>
      </c>
    </row>
    <row r="69" spans="1:14">
      <c r="A69" s="72"/>
      <c r="B69" s="72"/>
      <c r="C69" s="72"/>
      <c r="D69" s="74"/>
      <c r="E69" s="76"/>
      <c r="N69" s="32" t="s">
        <v>50</v>
      </c>
    </row>
    <row r="70" spans="1:14">
      <c r="A70" s="72"/>
      <c r="B70" s="72"/>
      <c r="C70" s="72"/>
      <c r="D70" s="74"/>
      <c r="E70" s="76"/>
    </row>
    <row r="71" spans="1:14">
      <c r="A71" s="72" t="s">
        <v>52</v>
      </c>
      <c r="B71" s="72" t="s">
        <v>507</v>
      </c>
      <c r="C71" s="72" t="s">
        <v>23</v>
      </c>
      <c r="D71" s="74">
        <v>2100</v>
      </c>
      <c r="E71" s="76">
        <v>2100</v>
      </c>
    </row>
    <row r="72" spans="1:14">
      <c r="A72" s="72" t="s">
        <v>52</v>
      </c>
      <c r="B72" s="72" t="s">
        <v>507</v>
      </c>
      <c r="C72" s="72" t="s">
        <v>54</v>
      </c>
      <c r="D72" s="74">
        <v>3150</v>
      </c>
      <c r="E72" s="76">
        <v>3150</v>
      </c>
    </row>
    <row r="73" spans="1:14">
      <c r="A73" s="72" t="s">
        <v>52</v>
      </c>
      <c r="B73" s="72" t="s">
        <v>507</v>
      </c>
      <c r="C73" s="72" t="s">
        <v>541</v>
      </c>
      <c r="D73" s="74">
        <v>140</v>
      </c>
      <c r="E73" s="76">
        <v>140</v>
      </c>
    </row>
    <row r="74" spans="1:14">
      <c r="A74" s="72" t="s">
        <v>52</v>
      </c>
      <c r="B74" s="72" t="s">
        <v>507</v>
      </c>
      <c r="C74" s="72" t="s">
        <v>55</v>
      </c>
      <c r="D74" s="74">
        <v>12040</v>
      </c>
      <c r="E74" s="76">
        <v>12040</v>
      </c>
    </row>
    <row r="75" spans="1:14">
      <c r="A75" s="72" t="s">
        <v>52</v>
      </c>
      <c r="B75" s="72" t="s">
        <v>507</v>
      </c>
      <c r="C75" s="72" t="s">
        <v>56</v>
      </c>
      <c r="D75" s="74">
        <v>12040</v>
      </c>
      <c r="E75" s="76">
        <v>12040</v>
      </c>
    </row>
    <row r="76" spans="1:14">
      <c r="A76" s="72" t="s">
        <v>52</v>
      </c>
      <c r="B76" s="72" t="s">
        <v>507</v>
      </c>
      <c r="C76" s="72" t="s">
        <v>58</v>
      </c>
      <c r="D76" s="74">
        <v>17360</v>
      </c>
      <c r="E76" s="76">
        <v>17360</v>
      </c>
    </row>
    <row r="77" spans="1:14">
      <c r="A77" s="72" t="s">
        <v>52</v>
      </c>
      <c r="B77" s="72" t="s">
        <v>507</v>
      </c>
      <c r="C77" s="72" t="s">
        <v>114</v>
      </c>
      <c r="D77" s="74">
        <v>14000</v>
      </c>
      <c r="E77" s="76">
        <v>14000</v>
      </c>
    </row>
    <row r="78" spans="1:14">
      <c r="A78" s="72" t="s">
        <v>52</v>
      </c>
      <c r="B78" s="72" t="s">
        <v>507</v>
      </c>
      <c r="C78" s="72" t="s">
        <v>59</v>
      </c>
      <c r="D78" s="74">
        <v>64200</v>
      </c>
      <c r="E78" s="76">
        <v>64200</v>
      </c>
    </row>
    <row r="79" spans="1:14">
      <c r="A79" s="72" t="s">
        <v>52</v>
      </c>
      <c r="B79" s="72" t="s">
        <v>507</v>
      </c>
      <c r="C79" s="72" t="s">
        <v>60</v>
      </c>
      <c r="D79" s="74">
        <v>17200</v>
      </c>
      <c r="E79" s="76">
        <v>17200</v>
      </c>
    </row>
    <row r="80" spans="1:14">
      <c r="A80" s="72" t="s">
        <v>52</v>
      </c>
      <c r="B80" s="72" t="s">
        <v>507</v>
      </c>
      <c r="C80" s="72" t="s">
        <v>61</v>
      </c>
      <c r="D80" s="74">
        <v>9150</v>
      </c>
      <c r="E80" s="76">
        <v>9150</v>
      </c>
    </row>
    <row r="81" spans="1:5">
      <c r="A81" s="72" t="s">
        <v>52</v>
      </c>
      <c r="B81" s="72" t="s">
        <v>507</v>
      </c>
      <c r="C81" s="72" t="s">
        <v>62</v>
      </c>
      <c r="D81" s="74">
        <v>9750</v>
      </c>
      <c r="E81" s="76">
        <v>9750</v>
      </c>
    </row>
    <row r="82" spans="1:5">
      <c r="A82" s="72" t="s">
        <v>52</v>
      </c>
      <c r="B82" s="72" t="s">
        <v>507</v>
      </c>
      <c r="C82" s="72" t="s">
        <v>21</v>
      </c>
      <c r="D82" s="74">
        <v>426636</v>
      </c>
      <c r="E82" s="76">
        <v>426636</v>
      </c>
    </row>
    <row r="83" spans="1:5">
      <c r="A83" s="72" t="s">
        <v>52</v>
      </c>
      <c r="B83" s="72" t="s">
        <v>507</v>
      </c>
      <c r="C83" s="72" t="s">
        <v>63</v>
      </c>
      <c r="D83" s="74">
        <v>1332156</v>
      </c>
      <c r="E83" s="76">
        <v>1332156</v>
      </c>
    </row>
    <row r="84" spans="1:5">
      <c r="A84" s="72" t="s">
        <v>52</v>
      </c>
      <c r="B84" s="72" t="s">
        <v>507</v>
      </c>
      <c r="C84" s="72" t="s">
        <v>101</v>
      </c>
      <c r="D84" s="74">
        <v>750</v>
      </c>
      <c r="E84" s="76">
        <v>750</v>
      </c>
    </row>
    <row r="85" spans="1:5">
      <c r="A85" s="72" t="s">
        <v>52</v>
      </c>
      <c r="B85" s="72" t="s">
        <v>507</v>
      </c>
      <c r="C85" s="72" t="s">
        <v>64</v>
      </c>
      <c r="D85" s="74">
        <v>2800</v>
      </c>
      <c r="E85" s="76">
        <v>2800</v>
      </c>
    </row>
    <row r="86" spans="1:5">
      <c r="A86" s="72" t="s">
        <v>52</v>
      </c>
      <c r="B86" s="72" t="s">
        <v>507</v>
      </c>
      <c r="C86" s="72" t="s">
        <v>33</v>
      </c>
      <c r="D86" s="74">
        <v>1344</v>
      </c>
      <c r="E86" s="76">
        <v>1344</v>
      </c>
    </row>
    <row r="87" spans="1:5">
      <c r="A87" s="72" t="s">
        <v>52</v>
      </c>
      <c r="B87" s="72" t="s">
        <v>507</v>
      </c>
      <c r="C87" s="72" t="s">
        <v>65</v>
      </c>
      <c r="D87" s="74">
        <v>2004072</v>
      </c>
      <c r="E87" s="76">
        <v>2004072</v>
      </c>
    </row>
    <row r="88" spans="1:5">
      <c r="A88" s="72" t="s">
        <v>52</v>
      </c>
      <c r="B88" s="72" t="s">
        <v>507</v>
      </c>
      <c r="C88" s="72" t="s">
        <v>12</v>
      </c>
      <c r="D88" s="74">
        <v>988764</v>
      </c>
      <c r="E88" s="76">
        <v>988764</v>
      </c>
    </row>
    <row r="89" spans="1:5">
      <c r="A89" s="72" t="s">
        <v>52</v>
      </c>
      <c r="B89" s="72" t="s">
        <v>507</v>
      </c>
      <c r="C89" s="72" t="s">
        <v>29</v>
      </c>
      <c r="D89" s="74">
        <v>166572</v>
      </c>
      <c r="E89" s="76">
        <v>166572</v>
      </c>
    </row>
    <row r="90" spans="1:5">
      <c r="A90" s="72" t="s">
        <v>52</v>
      </c>
      <c r="B90" s="72" t="s">
        <v>507</v>
      </c>
      <c r="C90" s="72" t="s">
        <v>20</v>
      </c>
      <c r="D90" s="74">
        <v>34524</v>
      </c>
      <c r="E90" s="76">
        <v>34524</v>
      </c>
    </row>
    <row r="91" spans="1:5">
      <c r="A91" s="72" t="s">
        <v>52</v>
      </c>
      <c r="B91" s="72" t="s">
        <v>507</v>
      </c>
      <c r="C91" s="72" t="s">
        <v>66</v>
      </c>
      <c r="D91" s="74">
        <v>18150</v>
      </c>
      <c r="E91" s="76">
        <v>18150</v>
      </c>
    </row>
    <row r="92" spans="1:5">
      <c r="A92" s="72" t="s">
        <v>52</v>
      </c>
      <c r="B92" s="72" t="s">
        <v>507</v>
      </c>
      <c r="C92" s="72" t="s">
        <v>16</v>
      </c>
      <c r="D92" s="74">
        <v>91980</v>
      </c>
      <c r="E92" s="76">
        <v>91980</v>
      </c>
    </row>
    <row r="93" spans="1:5">
      <c r="A93" s="72" t="s">
        <v>52</v>
      </c>
      <c r="B93" s="72" t="s">
        <v>507</v>
      </c>
      <c r="C93" s="72" t="s">
        <v>67</v>
      </c>
      <c r="D93" s="74">
        <v>68544</v>
      </c>
      <c r="E93" s="76">
        <v>68544</v>
      </c>
    </row>
    <row r="94" spans="1:5">
      <c r="A94" s="72" t="s">
        <v>52</v>
      </c>
      <c r="B94" s="72" t="s">
        <v>507</v>
      </c>
      <c r="C94" s="72" t="s">
        <v>68</v>
      </c>
      <c r="D94" s="74">
        <v>372204</v>
      </c>
      <c r="E94" s="76">
        <v>372204</v>
      </c>
    </row>
    <row r="95" spans="1:5">
      <c r="A95" s="72" t="s">
        <v>52</v>
      </c>
      <c r="B95" s="72" t="s">
        <v>507</v>
      </c>
      <c r="C95" s="72" t="s">
        <v>69</v>
      </c>
      <c r="D95" s="74">
        <v>175896</v>
      </c>
      <c r="E95" s="76">
        <v>175896</v>
      </c>
    </row>
    <row r="96" spans="1:5">
      <c r="A96" s="72" t="s">
        <v>52</v>
      </c>
      <c r="B96" s="72" t="s">
        <v>507</v>
      </c>
      <c r="C96" s="72" t="s">
        <v>15</v>
      </c>
      <c r="D96" s="74">
        <v>840</v>
      </c>
      <c r="E96" s="76">
        <v>840</v>
      </c>
    </row>
    <row r="97" spans="1:5">
      <c r="A97" s="72" t="s">
        <v>52</v>
      </c>
      <c r="B97" s="72" t="s">
        <v>507</v>
      </c>
      <c r="C97" s="72" t="s">
        <v>70</v>
      </c>
      <c r="D97" s="74">
        <v>1050</v>
      </c>
      <c r="E97" s="76">
        <v>1050</v>
      </c>
    </row>
    <row r="98" spans="1:5">
      <c r="A98" s="72" t="s">
        <v>52</v>
      </c>
      <c r="B98" s="72" t="s">
        <v>507</v>
      </c>
      <c r="C98" s="72" t="s">
        <v>71</v>
      </c>
      <c r="D98" s="74">
        <v>699552</v>
      </c>
      <c r="E98" s="76">
        <v>699552</v>
      </c>
    </row>
    <row r="99" spans="1:5">
      <c r="A99" s="72" t="s">
        <v>52</v>
      </c>
      <c r="B99" s="72" t="s">
        <v>507</v>
      </c>
      <c r="C99" s="72" t="s">
        <v>72</v>
      </c>
      <c r="D99" s="74">
        <v>1102752</v>
      </c>
      <c r="E99" s="76">
        <v>1102752</v>
      </c>
    </row>
    <row r="100" spans="1:5">
      <c r="A100" s="72" t="s">
        <v>52</v>
      </c>
      <c r="B100" s="72" t="s">
        <v>507</v>
      </c>
      <c r="C100" s="72" t="s">
        <v>73</v>
      </c>
      <c r="D100" s="74">
        <v>400</v>
      </c>
      <c r="E100" s="76">
        <v>400</v>
      </c>
    </row>
    <row r="101" spans="1:5">
      <c r="A101" s="72" t="s">
        <v>52</v>
      </c>
      <c r="B101" s="72" t="s">
        <v>507</v>
      </c>
      <c r="C101" s="72" t="s">
        <v>74</v>
      </c>
      <c r="D101" s="74">
        <v>35532</v>
      </c>
      <c r="E101" s="76">
        <v>35532</v>
      </c>
    </row>
    <row r="102" spans="1:5">
      <c r="A102" s="72" t="s">
        <v>52</v>
      </c>
      <c r="B102" s="72" t="s">
        <v>507</v>
      </c>
      <c r="C102" s="72" t="s">
        <v>75</v>
      </c>
      <c r="D102" s="74">
        <v>174384</v>
      </c>
      <c r="E102" s="76">
        <v>174384</v>
      </c>
    </row>
    <row r="103" spans="1:5">
      <c r="A103" s="72" t="s">
        <v>52</v>
      </c>
      <c r="B103" s="72" t="s">
        <v>507</v>
      </c>
      <c r="C103" s="72" t="s">
        <v>76</v>
      </c>
      <c r="D103" s="74">
        <v>13104</v>
      </c>
      <c r="E103" s="76">
        <v>13104</v>
      </c>
    </row>
    <row r="104" spans="1:5">
      <c r="A104" s="72" t="s">
        <v>52</v>
      </c>
      <c r="B104" s="72" t="s">
        <v>507</v>
      </c>
      <c r="C104" s="72" t="s">
        <v>77</v>
      </c>
      <c r="D104" s="74">
        <v>1008</v>
      </c>
      <c r="E104" s="76">
        <v>1008</v>
      </c>
    </row>
    <row r="105" spans="1:5">
      <c r="A105" s="72" t="s">
        <v>52</v>
      </c>
      <c r="B105" s="72" t="s">
        <v>507</v>
      </c>
      <c r="C105" s="72" t="s">
        <v>363</v>
      </c>
      <c r="D105" s="74">
        <v>29064</v>
      </c>
      <c r="E105" s="76">
        <v>29064</v>
      </c>
    </row>
    <row r="106" spans="1:5">
      <c r="A106" s="72" t="s">
        <v>52</v>
      </c>
      <c r="B106" s="72" t="s">
        <v>507</v>
      </c>
      <c r="C106" s="72" t="s">
        <v>364</v>
      </c>
      <c r="D106" s="74">
        <v>3192</v>
      </c>
      <c r="E106" s="76">
        <v>3192</v>
      </c>
    </row>
    <row r="107" spans="1:5">
      <c r="A107" s="72" t="s">
        <v>52</v>
      </c>
      <c r="B107" s="72" t="s">
        <v>507</v>
      </c>
      <c r="C107" s="72" t="s">
        <v>377</v>
      </c>
      <c r="D107" s="74">
        <v>2800</v>
      </c>
      <c r="E107" s="76">
        <v>2800</v>
      </c>
    </row>
    <row r="108" spans="1:5">
      <c r="A108" s="72" t="s">
        <v>52</v>
      </c>
      <c r="B108" s="72" t="s">
        <v>507</v>
      </c>
      <c r="C108" s="72" t="s">
        <v>378</v>
      </c>
      <c r="D108" s="74">
        <v>2808624</v>
      </c>
      <c r="E108" s="76">
        <v>2808624</v>
      </c>
    </row>
    <row r="109" spans="1:5">
      <c r="A109" s="72" t="s">
        <v>52</v>
      </c>
      <c r="B109" s="72" t="s">
        <v>507</v>
      </c>
      <c r="C109" s="72" t="s">
        <v>91</v>
      </c>
      <c r="D109" s="74">
        <v>9400</v>
      </c>
      <c r="E109" s="76">
        <v>9400</v>
      </c>
    </row>
    <row r="110" spans="1:5">
      <c r="A110" s="72" t="s">
        <v>52</v>
      </c>
      <c r="B110" s="72" t="s">
        <v>507</v>
      </c>
      <c r="C110" s="72" t="s">
        <v>379</v>
      </c>
      <c r="D110" s="74">
        <v>7000</v>
      </c>
      <c r="E110" s="76">
        <v>7000</v>
      </c>
    </row>
    <row r="111" spans="1:5">
      <c r="A111" s="72" t="s">
        <v>52</v>
      </c>
      <c r="B111" s="72" t="s">
        <v>507</v>
      </c>
      <c r="C111" s="72" t="s">
        <v>542</v>
      </c>
      <c r="D111" s="74">
        <v>252</v>
      </c>
      <c r="E111" s="76">
        <v>252</v>
      </c>
    </row>
    <row r="112" spans="1:5">
      <c r="A112" s="72" t="s">
        <v>52</v>
      </c>
      <c r="B112" s="72" t="s">
        <v>507</v>
      </c>
      <c r="C112" s="72" t="s">
        <v>380</v>
      </c>
      <c r="D112" s="74">
        <v>4032</v>
      </c>
      <c r="E112" s="76">
        <v>4032</v>
      </c>
    </row>
    <row r="113" spans="1:5">
      <c r="A113" s="72" t="s">
        <v>52</v>
      </c>
      <c r="B113" s="72" t="s">
        <v>507</v>
      </c>
      <c r="C113" s="72" t="s">
        <v>394</v>
      </c>
      <c r="D113" s="74">
        <v>13356</v>
      </c>
      <c r="E113" s="76">
        <v>13356</v>
      </c>
    </row>
    <row r="114" spans="1:5">
      <c r="A114" s="72" t="s">
        <v>52</v>
      </c>
      <c r="B114" s="72" t="s">
        <v>507</v>
      </c>
      <c r="C114" s="72" t="s">
        <v>393</v>
      </c>
      <c r="D114" s="74">
        <v>18396</v>
      </c>
      <c r="E114" s="76">
        <v>18396</v>
      </c>
    </row>
    <row r="115" spans="1:5">
      <c r="A115" s="72" t="s">
        <v>52</v>
      </c>
      <c r="B115" s="72" t="s">
        <v>507</v>
      </c>
      <c r="C115" s="72" t="s">
        <v>543</v>
      </c>
      <c r="D115" s="74">
        <v>13440</v>
      </c>
      <c r="E115" s="76">
        <v>13440</v>
      </c>
    </row>
    <row r="116" spans="1:5">
      <c r="A116" s="72" t="s">
        <v>52</v>
      </c>
      <c r="B116" s="72" t="s">
        <v>507</v>
      </c>
      <c r="C116" s="72" t="s">
        <v>544</v>
      </c>
      <c r="D116" s="74">
        <v>10332</v>
      </c>
      <c r="E116" s="76">
        <v>10332</v>
      </c>
    </row>
    <row r="117" spans="1:5">
      <c r="A117" s="72" t="s">
        <v>52</v>
      </c>
      <c r="B117" s="72" t="s">
        <v>507</v>
      </c>
      <c r="C117" s="72" t="s">
        <v>219</v>
      </c>
      <c r="D117" s="74">
        <v>21300</v>
      </c>
      <c r="E117" s="76">
        <v>21300</v>
      </c>
    </row>
    <row r="118" spans="1:5">
      <c r="A118" s="72" t="s">
        <v>52</v>
      </c>
      <c r="B118" s="72" t="s">
        <v>507</v>
      </c>
      <c r="C118" s="72" t="s">
        <v>372</v>
      </c>
      <c r="D118" s="74">
        <v>26400</v>
      </c>
      <c r="E118" s="76">
        <v>26400</v>
      </c>
    </row>
    <row r="119" spans="1:5">
      <c r="A119" s="72" t="s">
        <v>52</v>
      </c>
      <c r="B119" s="72" t="s">
        <v>507</v>
      </c>
      <c r="C119" s="72" t="s">
        <v>545</v>
      </c>
      <c r="D119" s="74">
        <v>16296</v>
      </c>
      <c r="E119" s="76">
        <v>16296</v>
      </c>
    </row>
    <row r="120" spans="1:5">
      <c r="A120" s="72"/>
      <c r="B120" s="72"/>
      <c r="C120" s="72"/>
      <c r="D120" s="74"/>
      <c r="E120" s="76"/>
    </row>
    <row r="121" spans="1:5">
      <c r="A121" s="72" t="s">
        <v>78</v>
      </c>
      <c r="B121" s="72" t="s">
        <v>536</v>
      </c>
      <c r="C121" s="72" t="s">
        <v>66</v>
      </c>
      <c r="D121" s="74">
        <v>14800</v>
      </c>
      <c r="E121" s="76">
        <v>10360</v>
      </c>
    </row>
    <row r="122" spans="1:5">
      <c r="A122" s="72" t="s">
        <v>78</v>
      </c>
      <c r="B122" s="72" t="s">
        <v>536</v>
      </c>
      <c r="C122" s="72" t="s">
        <v>8</v>
      </c>
      <c r="D122" s="74">
        <v>7600</v>
      </c>
      <c r="E122" s="76">
        <v>5320</v>
      </c>
    </row>
    <row r="123" spans="1:5">
      <c r="A123" s="72" t="s">
        <v>78</v>
      </c>
      <c r="B123" s="72" t="s">
        <v>536</v>
      </c>
      <c r="C123" s="72" t="s">
        <v>9</v>
      </c>
      <c r="D123" s="74">
        <v>2200</v>
      </c>
      <c r="E123" s="76">
        <v>1540</v>
      </c>
    </row>
    <row r="124" spans="1:5">
      <c r="A124" s="72" t="s">
        <v>78</v>
      </c>
      <c r="B124" s="72" t="s">
        <v>536</v>
      </c>
      <c r="C124" s="72" t="s">
        <v>11</v>
      </c>
      <c r="D124" s="74">
        <v>49200</v>
      </c>
      <c r="E124" s="76">
        <v>34440</v>
      </c>
    </row>
    <row r="125" spans="1:5">
      <c r="A125" s="72" t="s">
        <v>78</v>
      </c>
      <c r="B125" s="72" t="s">
        <v>536</v>
      </c>
      <c r="C125" s="72" t="s">
        <v>53</v>
      </c>
      <c r="D125" s="74">
        <v>39300</v>
      </c>
      <c r="E125" s="76">
        <v>27510</v>
      </c>
    </row>
    <row r="126" spans="1:5">
      <c r="A126" s="72" t="s">
        <v>78</v>
      </c>
      <c r="B126" s="72" t="s">
        <v>536</v>
      </c>
      <c r="C126" s="72" t="s">
        <v>537</v>
      </c>
      <c r="D126" s="74">
        <v>17100</v>
      </c>
      <c r="E126" s="76">
        <v>11970</v>
      </c>
    </row>
    <row r="127" spans="1:5">
      <c r="A127" s="72" t="s">
        <v>78</v>
      </c>
      <c r="B127" s="72" t="s">
        <v>536</v>
      </c>
      <c r="C127" s="72" t="s">
        <v>23</v>
      </c>
      <c r="D127" s="74">
        <v>5800</v>
      </c>
      <c r="E127" s="76">
        <v>4060</v>
      </c>
    </row>
    <row r="128" spans="1:5">
      <c r="A128" s="72" t="s">
        <v>78</v>
      </c>
      <c r="B128" s="72" t="s">
        <v>536</v>
      </c>
      <c r="C128" s="72" t="s">
        <v>64</v>
      </c>
      <c r="D128" s="74">
        <v>19200</v>
      </c>
      <c r="E128" s="76">
        <v>13440</v>
      </c>
    </row>
    <row r="129" spans="1:7">
      <c r="A129" s="72" t="s">
        <v>78</v>
      </c>
      <c r="B129" s="72" t="s">
        <v>536</v>
      </c>
      <c r="C129" s="72" t="s">
        <v>30</v>
      </c>
      <c r="D129" s="74">
        <v>272800</v>
      </c>
      <c r="E129" s="76">
        <v>190960</v>
      </c>
    </row>
    <row r="130" spans="1:7">
      <c r="A130" s="72" t="s">
        <v>78</v>
      </c>
      <c r="B130" s="72" t="s">
        <v>536</v>
      </c>
      <c r="C130" s="72" t="s">
        <v>360</v>
      </c>
      <c r="D130" s="74">
        <v>152500</v>
      </c>
      <c r="E130" s="76">
        <v>106750</v>
      </c>
    </row>
    <row r="131" spans="1:7">
      <c r="A131" s="72" t="s">
        <v>78</v>
      </c>
      <c r="B131" s="72" t="s">
        <v>536</v>
      </c>
      <c r="C131" s="72" t="s">
        <v>38</v>
      </c>
      <c r="D131" s="74">
        <v>11400</v>
      </c>
      <c r="E131" s="76">
        <v>7980</v>
      </c>
    </row>
    <row r="132" spans="1:7">
      <c r="A132" s="72"/>
      <c r="B132" s="72"/>
      <c r="C132" s="72"/>
      <c r="D132" s="74"/>
      <c r="E132" s="76"/>
    </row>
    <row r="133" spans="1:7">
      <c r="A133" s="72"/>
      <c r="B133" s="72"/>
      <c r="C133" s="72"/>
      <c r="D133" s="74"/>
      <c r="E133" s="76"/>
    </row>
    <row r="134" spans="1:7">
      <c r="A134" s="72" t="s">
        <v>81</v>
      </c>
      <c r="B134" s="72" t="s">
        <v>411</v>
      </c>
      <c r="C134" s="72" t="s">
        <v>85</v>
      </c>
      <c r="D134" s="74">
        <v>420</v>
      </c>
      <c r="E134" s="76">
        <v>420</v>
      </c>
      <c r="G134" s="108"/>
    </row>
    <row r="135" spans="1:7">
      <c r="A135" s="72" t="s">
        <v>86</v>
      </c>
      <c r="B135" s="72" t="s">
        <v>412</v>
      </c>
      <c r="C135" s="72" t="s">
        <v>53</v>
      </c>
      <c r="D135" s="74">
        <v>131339</v>
      </c>
      <c r="E135" s="76">
        <v>131339</v>
      </c>
      <c r="G135" s="108" t="s">
        <v>82</v>
      </c>
    </row>
    <row r="136" spans="1:7">
      <c r="A136" s="72" t="s">
        <v>86</v>
      </c>
      <c r="B136" s="72" t="s">
        <v>412</v>
      </c>
      <c r="C136" s="72" t="s">
        <v>21</v>
      </c>
      <c r="D136" s="74">
        <v>62629</v>
      </c>
      <c r="E136" s="76">
        <v>62629</v>
      </c>
      <c r="G136" s="109" t="s">
        <v>84</v>
      </c>
    </row>
    <row r="137" spans="1:7">
      <c r="A137" s="72" t="s">
        <v>86</v>
      </c>
      <c r="B137" s="72" t="s">
        <v>412</v>
      </c>
      <c r="C137" s="72" t="s">
        <v>87</v>
      </c>
      <c r="D137" s="74">
        <v>1890</v>
      </c>
      <c r="E137" s="76">
        <v>1890</v>
      </c>
    </row>
    <row r="138" spans="1:7">
      <c r="A138" s="72" t="s">
        <v>86</v>
      </c>
      <c r="B138" s="72" t="s">
        <v>412</v>
      </c>
      <c r="C138" s="72" t="s">
        <v>64</v>
      </c>
      <c r="D138" s="74">
        <v>23101</v>
      </c>
      <c r="E138" s="76">
        <v>23101</v>
      </c>
    </row>
    <row r="139" spans="1:7">
      <c r="A139" s="72" t="s">
        <v>86</v>
      </c>
      <c r="B139" s="72" t="s">
        <v>412</v>
      </c>
      <c r="C139" s="72" t="s">
        <v>26</v>
      </c>
      <c r="D139" s="74">
        <v>227</v>
      </c>
      <c r="E139" s="76">
        <v>227</v>
      </c>
    </row>
    <row r="140" spans="1:7">
      <c r="A140" s="72" t="s">
        <v>86</v>
      </c>
      <c r="B140" s="72" t="s">
        <v>412</v>
      </c>
      <c r="C140" s="72" t="s">
        <v>55</v>
      </c>
      <c r="D140" s="74">
        <v>8748</v>
      </c>
      <c r="E140" s="76">
        <v>8748</v>
      </c>
    </row>
    <row r="141" spans="1:7">
      <c r="A141" s="72" t="s">
        <v>86</v>
      </c>
      <c r="B141" s="72" t="s">
        <v>412</v>
      </c>
      <c r="C141" s="72" t="s">
        <v>88</v>
      </c>
      <c r="D141" s="74">
        <v>11081</v>
      </c>
      <c r="E141" s="76">
        <v>11081</v>
      </c>
    </row>
    <row r="142" spans="1:7">
      <c r="A142" s="72" t="s">
        <v>86</v>
      </c>
      <c r="B142" s="72" t="s">
        <v>412</v>
      </c>
      <c r="C142" s="72" t="s">
        <v>85</v>
      </c>
      <c r="D142" s="74">
        <v>15579</v>
      </c>
      <c r="E142" s="76">
        <v>15579</v>
      </c>
    </row>
    <row r="143" spans="1:7">
      <c r="A143" s="72" t="s">
        <v>86</v>
      </c>
      <c r="B143" s="72" t="s">
        <v>412</v>
      </c>
      <c r="C143" s="72" t="s">
        <v>56</v>
      </c>
      <c r="D143" s="74">
        <v>8672</v>
      </c>
      <c r="E143" s="76">
        <v>8672</v>
      </c>
    </row>
    <row r="144" spans="1:7">
      <c r="A144" s="72" t="s">
        <v>86</v>
      </c>
      <c r="B144" s="72" t="s">
        <v>412</v>
      </c>
      <c r="C144" s="72" t="s">
        <v>80</v>
      </c>
      <c r="D144" s="74">
        <v>18436</v>
      </c>
      <c r="E144" s="76">
        <v>18436</v>
      </c>
    </row>
    <row r="145" spans="1:5">
      <c r="A145" s="72" t="s">
        <v>86</v>
      </c>
      <c r="B145" s="72" t="s">
        <v>412</v>
      </c>
      <c r="C145" s="72" t="s">
        <v>30</v>
      </c>
      <c r="D145" s="74">
        <v>990090</v>
      </c>
      <c r="E145" s="76">
        <v>990090</v>
      </c>
    </row>
    <row r="146" spans="1:5">
      <c r="A146" s="72" t="s">
        <v>86</v>
      </c>
      <c r="B146" s="72" t="s">
        <v>412</v>
      </c>
      <c r="C146" s="72" t="s">
        <v>360</v>
      </c>
      <c r="D146" s="74">
        <v>654210</v>
      </c>
      <c r="E146" s="76">
        <v>654210</v>
      </c>
    </row>
    <row r="147" spans="1:5">
      <c r="A147" s="72" t="s">
        <v>86</v>
      </c>
      <c r="B147" s="72" t="s">
        <v>412</v>
      </c>
      <c r="C147" s="72" t="s">
        <v>11</v>
      </c>
      <c r="D147" s="74">
        <v>475740</v>
      </c>
      <c r="E147" s="76">
        <v>475740</v>
      </c>
    </row>
    <row r="148" spans="1:5">
      <c r="A148" s="72" t="s">
        <v>86</v>
      </c>
      <c r="B148" s="72" t="s">
        <v>412</v>
      </c>
      <c r="C148" s="72" t="s">
        <v>8</v>
      </c>
      <c r="D148" s="74">
        <v>408114</v>
      </c>
      <c r="E148" s="76">
        <v>408114</v>
      </c>
    </row>
    <row r="149" spans="1:5">
      <c r="A149" s="72" t="s">
        <v>86</v>
      </c>
      <c r="B149" s="72" t="s">
        <v>412</v>
      </c>
      <c r="C149" s="72" t="s">
        <v>90</v>
      </c>
      <c r="D149" s="74">
        <v>127386</v>
      </c>
      <c r="E149" s="76">
        <v>127386</v>
      </c>
    </row>
    <row r="150" spans="1:5">
      <c r="A150" s="72" t="s">
        <v>86</v>
      </c>
      <c r="B150" s="72" t="s">
        <v>412</v>
      </c>
      <c r="C150" s="72" t="s">
        <v>22</v>
      </c>
      <c r="D150" s="74">
        <v>91998</v>
      </c>
      <c r="E150" s="76">
        <v>91998</v>
      </c>
    </row>
    <row r="151" spans="1:5">
      <c r="A151" s="72" t="s">
        <v>86</v>
      </c>
      <c r="B151" s="72" t="s">
        <v>412</v>
      </c>
      <c r="C151" s="72" t="s">
        <v>38</v>
      </c>
      <c r="D151" s="74">
        <v>30744</v>
      </c>
      <c r="E151" s="76">
        <v>30744</v>
      </c>
    </row>
    <row r="152" spans="1:5">
      <c r="A152" s="72" t="s">
        <v>86</v>
      </c>
      <c r="B152" s="72" t="s">
        <v>412</v>
      </c>
      <c r="C152" s="72" t="s">
        <v>9</v>
      </c>
      <c r="D152" s="74">
        <v>26352</v>
      </c>
      <c r="E152" s="76">
        <v>26352</v>
      </c>
    </row>
    <row r="153" spans="1:5">
      <c r="A153" s="72" t="s">
        <v>86</v>
      </c>
      <c r="B153" s="72" t="s">
        <v>412</v>
      </c>
      <c r="C153" s="72" t="s">
        <v>413</v>
      </c>
      <c r="D153" s="74">
        <v>34038</v>
      </c>
      <c r="E153" s="76">
        <v>34038</v>
      </c>
    </row>
    <row r="154" spans="1:5">
      <c r="A154" s="72" t="s">
        <v>86</v>
      </c>
      <c r="B154" s="72" t="s">
        <v>412</v>
      </c>
      <c r="C154" s="72" t="s">
        <v>10</v>
      </c>
      <c r="D154" s="74">
        <v>17496</v>
      </c>
      <c r="E154" s="76">
        <v>17496</v>
      </c>
    </row>
    <row r="155" spans="1:5">
      <c r="A155" s="72" t="s">
        <v>86</v>
      </c>
      <c r="B155" s="72" t="s">
        <v>412</v>
      </c>
      <c r="C155" s="72" t="s">
        <v>66</v>
      </c>
      <c r="D155" s="74">
        <v>30024</v>
      </c>
      <c r="E155" s="76">
        <v>30024</v>
      </c>
    </row>
    <row r="156" spans="1:5">
      <c r="A156" s="72" t="s">
        <v>86</v>
      </c>
      <c r="B156" s="72" t="s">
        <v>412</v>
      </c>
      <c r="C156" s="72" t="s">
        <v>12</v>
      </c>
      <c r="D156" s="74">
        <v>30024</v>
      </c>
      <c r="E156" s="76">
        <v>30024</v>
      </c>
    </row>
    <row r="157" spans="1:5">
      <c r="A157" s="72" t="s">
        <v>86</v>
      </c>
      <c r="B157" s="72" t="s">
        <v>412</v>
      </c>
      <c r="C157" s="72" t="s">
        <v>367</v>
      </c>
      <c r="D157" s="74">
        <v>14346</v>
      </c>
      <c r="E157" s="76">
        <v>14346</v>
      </c>
    </row>
    <row r="158" spans="1:5">
      <c r="A158" s="72" t="s">
        <v>86</v>
      </c>
      <c r="B158" s="72" t="s">
        <v>412</v>
      </c>
      <c r="C158" s="72" t="s">
        <v>13</v>
      </c>
      <c r="D158" s="74">
        <v>14400</v>
      </c>
      <c r="E158" s="76">
        <v>14400</v>
      </c>
    </row>
    <row r="159" spans="1:5">
      <c r="A159" s="72" t="s">
        <v>86</v>
      </c>
      <c r="B159" s="72" t="s">
        <v>412</v>
      </c>
      <c r="C159" s="72" t="s">
        <v>91</v>
      </c>
      <c r="D159" s="74">
        <v>26874</v>
      </c>
      <c r="E159" s="76">
        <v>26874</v>
      </c>
    </row>
    <row r="160" spans="1:5">
      <c r="A160" s="72" t="s">
        <v>86</v>
      </c>
      <c r="B160" s="72" t="s">
        <v>412</v>
      </c>
      <c r="C160" s="72" t="s">
        <v>14</v>
      </c>
      <c r="D160" s="74">
        <v>2808</v>
      </c>
      <c r="E160" s="76">
        <v>2808</v>
      </c>
    </row>
    <row r="161" spans="1:5">
      <c r="A161" s="72" t="s">
        <v>86</v>
      </c>
      <c r="B161" s="72" t="s">
        <v>412</v>
      </c>
      <c r="C161" s="72" t="s">
        <v>89</v>
      </c>
      <c r="D161" s="74">
        <v>15552</v>
      </c>
      <c r="E161" s="76">
        <v>15552</v>
      </c>
    </row>
    <row r="162" spans="1:5">
      <c r="A162" s="72" t="s">
        <v>86</v>
      </c>
      <c r="B162" s="72" t="s">
        <v>412</v>
      </c>
      <c r="C162" s="72" t="s">
        <v>401</v>
      </c>
      <c r="D162" s="74">
        <v>8820</v>
      </c>
      <c r="E162" s="76">
        <v>8820</v>
      </c>
    </row>
    <row r="163" spans="1:5">
      <c r="A163" s="72" t="s">
        <v>86</v>
      </c>
      <c r="B163" s="72" t="s">
        <v>412</v>
      </c>
      <c r="C163" s="72" t="s">
        <v>70</v>
      </c>
      <c r="D163" s="74">
        <v>14472</v>
      </c>
      <c r="E163" s="76">
        <v>14472</v>
      </c>
    </row>
    <row r="164" spans="1:5">
      <c r="A164" s="72" t="s">
        <v>86</v>
      </c>
      <c r="B164" s="72" t="s">
        <v>412</v>
      </c>
      <c r="C164" s="72" t="s">
        <v>390</v>
      </c>
      <c r="D164" s="74">
        <v>11916</v>
      </c>
      <c r="E164" s="76">
        <v>11916</v>
      </c>
    </row>
    <row r="165" spans="1:5">
      <c r="A165" s="72" t="s">
        <v>86</v>
      </c>
      <c r="B165" s="72" t="s">
        <v>412</v>
      </c>
      <c r="C165" s="72" t="s">
        <v>58</v>
      </c>
      <c r="D165" s="74">
        <v>1674</v>
      </c>
      <c r="E165" s="76">
        <v>1674</v>
      </c>
    </row>
    <row r="166" spans="1:5">
      <c r="A166" s="72" t="s">
        <v>86</v>
      </c>
      <c r="B166" s="72" t="s">
        <v>412</v>
      </c>
      <c r="C166" s="72" t="s">
        <v>15</v>
      </c>
      <c r="D166" s="74">
        <v>5076</v>
      </c>
      <c r="E166" s="76">
        <v>5076</v>
      </c>
    </row>
    <row r="167" spans="1:5">
      <c r="A167" s="72" t="s">
        <v>86</v>
      </c>
      <c r="B167" s="72" t="s">
        <v>412</v>
      </c>
      <c r="C167" s="72" t="s">
        <v>51</v>
      </c>
      <c r="D167" s="74">
        <v>4716</v>
      </c>
      <c r="E167" s="76">
        <v>4716</v>
      </c>
    </row>
    <row r="168" spans="1:5">
      <c r="A168" s="72" t="s">
        <v>86</v>
      </c>
      <c r="B168" s="72" t="s">
        <v>412</v>
      </c>
      <c r="C168" s="72" t="s">
        <v>389</v>
      </c>
      <c r="D168" s="74">
        <v>2052</v>
      </c>
      <c r="E168" s="76">
        <v>2052</v>
      </c>
    </row>
    <row r="169" spans="1:5">
      <c r="A169" s="72" t="s">
        <v>86</v>
      </c>
      <c r="B169" s="72" t="s">
        <v>412</v>
      </c>
      <c r="C169" s="72" t="s">
        <v>36</v>
      </c>
      <c r="D169" s="74">
        <v>1296</v>
      </c>
      <c r="E169" s="76">
        <v>1296</v>
      </c>
    </row>
    <row r="170" spans="1:5">
      <c r="A170" s="72" t="s">
        <v>86</v>
      </c>
      <c r="B170" s="72" t="s">
        <v>412</v>
      </c>
      <c r="C170" s="72" t="s">
        <v>34</v>
      </c>
      <c r="D170" s="74">
        <v>738</v>
      </c>
      <c r="E170" s="76">
        <v>738</v>
      </c>
    </row>
    <row r="171" spans="1:5">
      <c r="A171" s="72" t="s">
        <v>86</v>
      </c>
      <c r="B171" s="72" t="s">
        <v>412</v>
      </c>
      <c r="C171" s="72" t="s">
        <v>16</v>
      </c>
      <c r="D171" s="74">
        <v>720</v>
      </c>
      <c r="E171" s="76">
        <v>720</v>
      </c>
    </row>
    <row r="172" spans="1:5">
      <c r="A172" s="72" t="s">
        <v>86</v>
      </c>
      <c r="B172" s="72" t="s">
        <v>412</v>
      </c>
      <c r="C172" s="72" t="s">
        <v>414</v>
      </c>
      <c r="D172" s="74">
        <v>324</v>
      </c>
      <c r="E172" s="76">
        <v>324</v>
      </c>
    </row>
    <row r="173" spans="1:5">
      <c r="A173" s="72" t="s">
        <v>86</v>
      </c>
      <c r="B173" s="72" t="s">
        <v>412</v>
      </c>
      <c r="C173" s="72" t="s">
        <v>111</v>
      </c>
      <c r="D173" s="74">
        <v>108</v>
      </c>
      <c r="E173" s="76">
        <v>108</v>
      </c>
    </row>
    <row r="174" spans="1:5">
      <c r="A174" s="72" t="s">
        <v>86</v>
      </c>
      <c r="B174" s="72" t="s">
        <v>412</v>
      </c>
      <c r="C174" s="72" t="s">
        <v>112</v>
      </c>
      <c r="D174" s="74">
        <v>216</v>
      </c>
      <c r="E174" s="76">
        <v>216</v>
      </c>
    </row>
    <row r="175" spans="1:5">
      <c r="A175" s="72" t="s">
        <v>86</v>
      </c>
      <c r="B175" s="72" t="s">
        <v>412</v>
      </c>
      <c r="C175" s="72" t="s">
        <v>382</v>
      </c>
      <c r="D175" s="74">
        <v>324</v>
      </c>
      <c r="E175" s="76">
        <v>324</v>
      </c>
    </row>
    <row r="176" spans="1:5">
      <c r="A176" s="72"/>
      <c r="B176" s="72"/>
      <c r="C176" s="72"/>
      <c r="D176" s="74"/>
      <c r="E176" s="76"/>
    </row>
    <row r="177" spans="1:5">
      <c r="A177" s="72"/>
      <c r="B177" s="72"/>
      <c r="C177" s="72"/>
      <c r="D177" s="74"/>
      <c r="E177" s="76"/>
    </row>
    <row r="178" spans="1:5">
      <c r="A178" s="72" t="s">
        <v>92</v>
      </c>
      <c r="B178" s="72" t="s">
        <v>405</v>
      </c>
      <c r="C178" s="72" t="s">
        <v>93</v>
      </c>
      <c r="D178" s="74">
        <v>7843.4999999999991</v>
      </c>
      <c r="E178" s="76">
        <v>7843.4999999999991</v>
      </c>
    </row>
    <row r="179" spans="1:5">
      <c r="A179" s="72" t="s">
        <v>92</v>
      </c>
      <c r="B179" s="72" t="s">
        <v>405</v>
      </c>
      <c r="C179" s="72" t="s">
        <v>424</v>
      </c>
      <c r="D179" s="74">
        <v>283.5</v>
      </c>
      <c r="E179" s="76">
        <v>283.5</v>
      </c>
    </row>
    <row r="180" spans="1:5">
      <c r="A180" s="72" t="s">
        <v>92</v>
      </c>
      <c r="B180" s="72" t="s">
        <v>405</v>
      </c>
      <c r="C180" s="72" t="s">
        <v>66</v>
      </c>
      <c r="D180" s="74">
        <v>5512.5</v>
      </c>
      <c r="E180" s="76">
        <v>5512.5</v>
      </c>
    </row>
    <row r="181" spans="1:5">
      <c r="A181" s="72" t="s">
        <v>92</v>
      </c>
      <c r="B181" s="72" t="s">
        <v>405</v>
      </c>
      <c r="C181" s="72" t="s">
        <v>382</v>
      </c>
      <c r="D181" s="74">
        <v>7092.75</v>
      </c>
      <c r="E181" s="76">
        <v>7092.75</v>
      </c>
    </row>
    <row r="182" spans="1:5">
      <c r="A182" s="72" t="s">
        <v>92</v>
      </c>
      <c r="B182" s="72" t="s">
        <v>405</v>
      </c>
      <c r="C182" s="72" t="s">
        <v>389</v>
      </c>
      <c r="D182" s="74">
        <v>4509.75</v>
      </c>
      <c r="E182" s="76">
        <v>4509.75</v>
      </c>
    </row>
    <row r="183" spans="1:5">
      <c r="A183" s="72" t="s">
        <v>92</v>
      </c>
      <c r="B183" s="72" t="s">
        <v>405</v>
      </c>
      <c r="C183" s="72" t="s">
        <v>8</v>
      </c>
      <c r="D183" s="74">
        <v>20469.75</v>
      </c>
      <c r="E183" s="76">
        <v>20469.75</v>
      </c>
    </row>
    <row r="184" spans="1:5">
      <c r="A184" s="72" t="s">
        <v>92</v>
      </c>
      <c r="B184" s="72" t="s">
        <v>405</v>
      </c>
      <c r="C184" s="72" t="s">
        <v>9</v>
      </c>
      <c r="D184" s="74">
        <v>61094.249999999993</v>
      </c>
      <c r="E184" s="76">
        <v>61094.249999999993</v>
      </c>
    </row>
    <row r="185" spans="1:5">
      <c r="A185" s="72" t="s">
        <v>92</v>
      </c>
      <c r="B185" s="72" t="s">
        <v>405</v>
      </c>
      <c r="C185" s="72" t="s">
        <v>114</v>
      </c>
      <c r="D185" s="74">
        <v>11560.5</v>
      </c>
      <c r="E185" s="76">
        <v>11560.5</v>
      </c>
    </row>
    <row r="186" spans="1:5">
      <c r="A186" s="72" t="s">
        <v>92</v>
      </c>
      <c r="B186" s="72" t="s">
        <v>405</v>
      </c>
      <c r="C186" s="72" t="s">
        <v>10</v>
      </c>
      <c r="D186" s="74">
        <v>16185.749999999998</v>
      </c>
      <c r="E186" s="76">
        <v>16185.749999999998</v>
      </c>
    </row>
    <row r="187" spans="1:5">
      <c r="A187" s="72" t="s">
        <v>92</v>
      </c>
      <c r="B187" s="72" t="s">
        <v>405</v>
      </c>
      <c r="C187" s="72" t="s">
        <v>11</v>
      </c>
      <c r="D187" s="74">
        <v>85548.75</v>
      </c>
      <c r="E187" s="76">
        <v>85548.75</v>
      </c>
    </row>
    <row r="188" spans="1:5">
      <c r="A188" s="72" t="s">
        <v>92</v>
      </c>
      <c r="B188" s="72" t="s">
        <v>405</v>
      </c>
      <c r="C188" s="72" t="s">
        <v>12</v>
      </c>
      <c r="D188" s="74">
        <v>334768.875</v>
      </c>
      <c r="E188" s="76">
        <v>334768.875</v>
      </c>
    </row>
    <row r="189" spans="1:5">
      <c r="A189" s="72" t="s">
        <v>92</v>
      </c>
      <c r="B189" s="72" t="s">
        <v>405</v>
      </c>
      <c r="C189" s="72" t="s">
        <v>13</v>
      </c>
      <c r="D189" s="74">
        <v>81459</v>
      </c>
      <c r="E189" s="76">
        <v>81459</v>
      </c>
    </row>
    <row r="190" spans="1:5">
      <c r="A190" s="72" t="s">
        <v>92</v>
      </c>
      <c r="B190" s="72" t="s">
        <v>405</v>
      </c>
      <c r="C190" s="72" t="s">
        <v>90</v>
      </c>
      <c r="D190" s="74">
        <v>1431535.875</v>
      </c>
      <c r="E190" s="76">
        <v>1431535.875</v>
      </c>
    </row>
    <row r="191" spans="1:5">
      <c r="A191" s="72" t="s">
        <v>92</v>
      </c>
      <c r="B191" s="72" t="s">
        <v>405</v>
      </c>
      <c r="C191" s="72" t="s">
        <v>14</v>
      </c>
      <c r="D191" s="74">
        <v>21509.25</v>
      </c>
      <c r="E191" s="76">
        <v>21509.25</v>
      </c>
    </row>
    <row r="192" spans="1:5">
      <c r="A192" s="72" t="s">
        <v>92</v>
      </c>
      <c r="B192" s="72" t="s">
        <v>405</v>
      </c>
      <c r="C192" s="72" t="s">
        <v>16</v>
      </c>
      <c r="D192" s="74">
        <v>43617</v>
      </c>
      <c r="E192" s="76">
        <v>43617</v>
      </c>
    </row>
    <row r="193" spans="1:5">
      <c r="A193" s="72" t="s">
        <v>92</v>
      </c>
      <c r="B193" s="72" t="s">
        <v>405</v>
      </c>
      <c r="C193" s="72" t="s">
        <v>94</v>
      </c>
      <c r="D193" s="74">
        <v>84078.75</v>
      </c>
      <c r="E193" s="76">
        <v>84078.75</v>
      </c>
    </row>
    <row r="194" spans="1:5">
      <c r="A194" s="72" t="s">
        <v>92</v>
      </c>
      <c r="B194" s="72" t="s">
        <v>405</v>
      </c>
      <c r="C194" s="72" t="s">
        <v>369</v>
      </c>
      <c r="D194" s="74">
        <v>82477.5</v>
      </c>
      <c r="E194" s="76">
        <v>82477.5</v>
      </c>
    </row>
    <row r="195" spans="1:5">
      <c r="A195" s="72" t="s">
        <v>92</v>
      </c>
      <c r="B195" s="72" t="s">
        <v>405</v>
      </c>
      <c r="C195" s="72" t="s">
        <v>370</v>
      </c>
      <c r="D195" s="74">
        <v>5370.75</v>
      </c>
      <c r="E195" s="76">
        <v>5370.75</v>
      </c>
    </row>
    <row r="196" spans="1:5">
      <c r="A196" s="72" t="s">
        <v>92</v>
      </c>
      <c r="B196" s="72" t="s">
        <v>405</v>
      </c>
      <c r="C196" s="72" t="s">
        <v>58</v>
      </c>
      <c r="D196" s="74">
        <v>53292.75</v>
      </c>
      <c r="E196" s="76">
        <v>53292.75</v>
      </c>
    </row>
    <row r="197" spans="1:5">
      <c r="A197" s="72" t="s">
        <v>92</v>
      </c>
      <c r="B197" s="72" t="s">
        <v>405</v>
      </c>
      <c r="C197" s="72" t="s">
        <v>207</v>
      </c>
      <c r="D197" s="74">
        <v>787.5</v>
      </c>
      <c r="E197" s="76">
        <v>787.5</v>
      </c>
    </row>
    <row r="198" spans="1:5">
      <c r="A198" s="72" t="s">
        <v>92</v>
      </c>
      <c r="B198" s="72" t="s">
        <v>405</v>
      </c>
      <c r="C198" s="72" t="s">
        <v>21</v>
      </c>
      <c r="D198" s="74">
        <v>41396.25</v>
      </c>
      <c r="E198" s="76">
        <v>41396.25</v>
      </c>
    </row>
    <row r="199" spans="1:5">
      <c r="A199" s="72" t="s">
        <v>92</v>
      </c>
      <c r="B199" s="72" t="s">
        <v>405</v>
      </c>
      <c r="C199" s="72" t="s">
        <v>401</v>
      </c>
      <c r="D199" s="74">
        <v>49318.5</v>
      </c>
      <c r="E199" s="76">
        <v>49318.5</v>
      </c>
    </row>
    <row r="200" spans="1:5">
      <c r="A200" s="72" t="s">
        <v>92</v>
      </c>
      <c r="B200" s="72" t="s">
        <v>405</v>
      </c>
      <c r="C200" s="72" t="s">
        <v>22</v>
      </c>
      <c r="D200" s="74">
        <v>1305958.5</v>
      </c>
      <c r="E200" s="76">
        <v>1305958.5</v>
      </c>
    </row>
    <row r="201" spans="1:5">
      <c r="A201" s="72" t="s">
        <v>92</v>
      </c>
      <c r="B201" s="72" t="s">
        <v>405</v>
      </c>
      <c r="C201" s="72" t="s">
        <v>95</v>
      </c>
      <c r="D201" s="74">
        <v>5859</v>
      </c>
      <c r="E201" s="76">
        <v>5859</v>
      </c>
    </row>
    <row r="202" spans="1:5">
      <c r="A202" s="72" t="s">
        <v>92</v>
      </c>
      <c r="B202" s="72" t="s">
        <v>405</v>
      </c>
      <c r="C202" s="72" t="s">
        <v>54</v>
      </c>
      <c r="D202" s="74">
        <v>378</v>
      </c>
      <c r="E202" s="76">
        <v>378</v>
      </c>
    </row>
    <row r="203" spans="1:5">
      <c r="A203" s="72" t="s">
        <v>92</v>
      </c>
      <c r="B203" s="72" t="s">
        <v>405</v>
      </c>
      <c r="C203" s="72" t="s">
        <v>64</v>
      </c>
      <c r="D203" s="74">
        <v>24018.75</v>
      </c>
      <c r="E203" s="76">
        <v>24018.75</v>
      </c>
    </row>
    <row r="204" spans="1:5">
      <c r="A204" s="72" t="s">
        <v>92</v>
      </c>
      <c r="B204" s="72" t="s">
        <v>405</v>
      </c>
      <c r="C204" s="72" t="s">
        <v>73</v>
      </c>
      <c r="D204" s="74">
        <v>283.5</v>
      </c>
      <c r="E204" s="76">
        <v>283.5</v>
      </c>
    </row>
    <row r="205" spans="1:5">
      <c r="A205" s="72" t="s">
        <v>92</v>
      </c>
      <c r="B205" s="72" t="s">
        <v>405</v>
      </c>
      <c r="C205" s="72" t="s">
        <v>26</v>
      </c>
      <c r="D205" s="74">
        <v>2373</v>
      </c>
      <c r="E205" s="76">
        <v>2373</v>
      </c>
    </row>
    <row r="206" spans="1:5">
      <c r="A206" s="72" t="s">
        <v>92</v>
      </c>
      <c r="B206" s="72" t="s">
        <v>405</v>
      </c>
      <c r="C206" s="72" t="s">
        <v>425</v>
      </c>
      <c r="D206" s="74">
        <v>32857.125</v>
      </c>
      <c r="E206" s="76">
        <v>32857.125</v>
      </c>
    </row>
    <row r="207" spans="1:5">
      <c r="A207" s="72" t="s">
        <v>92</v>
      </c>
      <c r="B207" s="72" t="s">
        <v>405</v>
      </c>
      <c r="C207" s="72" t="s">
        <v>426</v>
      </c>
      <c r="D207" s="74">
        <v>1071</v>
      </c>
      <c r="E207" s="76">
        <v>1071</v>
      </c>
    </row>
    <row r="208" spans="1:5">
      <c r="A208" s="72" t="s">
        <v>92</v>
      </c>
      <c r="B208" s="72" t="s">
        <v>405</v>
      </c>
      <c r="C208" s="72" t="s">
        <v>390</v>
      </c>
      <c r="D208" s="74">
        <v>5937.75</v>
      </c>
      <c r="E208" s="76">
        <v>5937.75</v>
      </c>
    </row>
    <row r="209" spans="1:14">
      <c r="A209" s="72" t="s">
        <v>92</v>
      </c>
      <c r="B209" s="72" t="s">
        <v>405</v>
      </c>
      <c r="C209" s="72" t="s">
        <v>96</v>
      </c>
      <c r="D209" s="74">
        <v>13450.5</v>
      </c>
      <c r="E209" s="76">
        <v>13450.5</v>
      </c>
    </row>
    <row r="210" spans="1:14">
      <c r="A210" s="72" t="s">
        <v>92</v>
      </c>
      <c r="B210" s="72" t="s">
        <v>405</v>
      </c>
      <c r="C210" s="72" t="s">
        <v>384</v>
      </c>
      <c r="D210" s="74">
        <v>94.5</v>
      </c>
      <c r="E210" s="76">
        <v>94.5</v>
      </c>
    </row>
    <row r="211" spans="1:14">
      <c r="A211" s="72" t="s">
        <v>92</v>
      </c>
      <c r="B211" s="72" t="s">
        <v>405</v>
      </c>
      <c r="C211" s="72" t="s">
        <v>111</v>
      </c>
      <c r="D211" s="74">
        <v>11891.25</v>
      </c>
      <c r="E211" s="76">
        <v>11891.25</v>
      </c>
    </row>
    <row r="212" spans="1:14">
      <c r="A212" s="100" t="s">
        <v>92</v>
      </c>
      <c r="B212" s="100" t="s">
        <v>405</v>
      </c>
      <c r="C212" s="100" t="s">
        <v>29</v>
      </c>
      <c r="D212" s="102">
        <v>63367.499999999993</v>
      </c>
      <c r="E212" s="104">
        <v>63367.499999999993</v>
      </c>
      <c r="F212"/>
      <c r="G212"/>
      <c r="H212"/>
      <c r="I212"/>
      <c r="J212"/>
      <c r="K212"/>
      <c r="L212"/>
      <c r="M212"/>
      <c r="N212"/>
    </row>
    <row r="213" spans="1:14">
      <c r="A213" s="100" t="s">
        <v>92</v>
      </c>
      <c r="B213" s="100" t="s">
        <v>405</v>
      </c>
      <c r="C213" s="100" t="s">
        <v>427</v>
      </c>
      <c r="D213" s="102">
        <v>567</v>
      </c>
      <c r="E213" s="104">
        <v>567</v>
      </c>
      <c r="F213"/>
      <c r="G213"/>
      <c r="H213"/>
      <c r="I213"/>
      <c r="J213"/>
      <c r="K213"/>
      <c r="L213"/>
      <c r="M213"/>
      <c r="N213"/>
    </row>
    <row r="214" spans="1:14">
      <c r="A214" s="100" t="s">
        <v>92</v>
      </c>
      <c r="B214" s="100" t="s">
        <v>405</v>
      </c>
      <c r="C214" s="100" t="s">
        <v>97</v>
      </c>
      <c r="D214" s="102">
        <v>378</v>
      </c>
      <c r="E214" s="104">
        <v>378</v>
      </c>
      <c r="F214"/>
      <c r="G214"/>
      <c r="H214"/>
      <c r="I214"/>
      <c r="J214"/>
      <c r="K214"/>
      <c r="L214"/>
      <c r="M214"/>
      <c r="N214"/>
    </row>
    <row r="215" spans="1:14">
      <c r="A215" s="100" t="s">
        <v>92</v>
      </c>
      <c r="B215" s="100" t="s">
        <v>405</v>
      </c>
      <c r="C215" s="100" t="s">
        <v>30</v>
      </c>
      <c r="D215" s="102">
        <v>69615</v>
      </c>
      <c r="E215" s="104">
        <v>69615</v>
      </c>
      <c r="F215"/>
      <c r="G215"/>
      <c r="H215"/>
      <c r="I215"/>
      <c r="J215"/>
      <c r="K215"/>
      <c r="L215"/>
      <c r="M215"/>
      <c r="N215"/>
    </row>
    <row r="216" spans="1:14">
      <c r="A216" s="100" t="s">
        <v>92</v>
      </c>
      <c r="B216" s="100" t="s">
        <v>405</v>
      </c>
      <c r="C216" s="100" t="s">
        <v>98</v>
      </c>
      <c r="D216" s="102">
        <v>9024.75</v>
      </c>
      <c r="E216" s="104">
        <v>9024.75</v>
      </c>
      <c r="F216"/>
      <c r="G216"/>
      <c r="H216"/>
      <c r="I216"/>
      <c r="J216"/>
      <c r="K216"/>
      <c r="L216"/>
      <c r="M216"/>
      <c r="N216"/>
    </row>
    <row r="217" spans="1:14">
      <c r="A217" s="100" t="s">
        <v>92</v>
      </c>
      <c r="B217" s="100" t="s">
        <v>405</v>
      </c>
      <c r="C217" s="100" t="s">
        <v>413</v>
      </c>
      <c r="D217" s="102">
        <v>2856</v>
      </c>
      <c r="E217" s="104">
        <v>2856</v>
      </c>
      <c r="F217"/>
      <c r="G217"/>
      <c r="H217"/>
      <c r="I217"/>
      <c r="J217"/>
      <c r="K217"/>
      <c r="L217"/>
      <c r="M217"/>
      <c r="N217"/>
    </row>
    <row r="218" spans="1:14">
      <c r="A218" s="100" t="s">
        <v>92</v>
      </c>
      <c r="B218" s="100" t="s">
        <v>405</v>
      </c>
      <c r="C218" s="100" t="s">
        <v>33</v>
      </c>
      <c r="D218" s="102">
        <v>756</v>
      </c>
      <c r="E218" s="104">
        <v>756</v>
      </c>
      <c r="F218"/>
      <c r="G218"/>
      <c r="H218"/>
      <c r="I218"/>
      <c r="J218"/>
      <c r="K218"/>
      <c r="L218"/>
      <c r="M218"/>
      <c r="N218"/>
    </row>
    <row r="219" spans="1:14">
      <c r="A219" s="100" t="s">
        <v>92</v>
      </c>
      <c r="B219" s="100" t="s">
        <v>405</v>
      </c>
      <c r="C219" s="100" t="s">
        <v>360</v>
      </c>
      <c r="D219" s="102">
        <v>98343</v>
      </c>
      <c r="E219" s="104">
        <v>98343</v>
      </c>
      <c r="F219"/>
      <c r="G219"/>
      <c r="H219"/>
      <c r="I219"/>
      <c r="J219"/>
      <c r="K219"/>
      <c r="L219"/>
      <c r="M219"/>
      <c r="N219"/>
    </row>
    <row r="220" spans="1:14">
      <c r="A220" s="100" t="s">
        <v>92</v>
      </c>
      <c r="B220" s="100" t="s">
        <v>405</v>
      </c>
      <c r="C220" s="100" t="s">
        <v>373</v>
      </c>
      <c r="D220" s="102">
        <v>1721.25</v>
      </c>
      <c r="E220" s="104">
        <v>1721.25</v>
      </c>
      <c r="F220"/>
      <c r="G220"/>
      <c r="H220"/>
      <c r="I220"/>
      <c r="J220"/>
      <c r="K220"/>
      <c r="L220"/>
      <c r="M220"/>
      <c r="N220"/>
    </row>
    <row r="221" spans="1:14">
      <c r="A221" s="100" t="s">
        <v>92</v>
      </c>
      <c r="B221" s="100" t="s">
        <v>405</v>
      </c>
      <c r="C221" s="100" t="s">
        <v>62</v>
      </c>
      <c r="D221" s="102">
        <v>5549.25</v>
      </c>
      <c r="E221" s="104">
        <v>5549.25</v>
      </c>
      <c r="F221"/>
      <c r="G221"/>
      <c r="H221"/>
      <c r="I221"/>
      <c r="J221"/>
      <c r="K221"/>
      <c r="L221"/>
      <c r="M221"/>
      <c r="N221"/>
    </row>
    <row r="222" spans="1:14">
      <c r="A222" s="100" t="s">
        <v>92</v>
      </c>
      <c r="B222" s="100" t="s">
        <v>405</v>
      </c>
      <c r="C222" s="100" t="s">
        <v>34</v>
      </c>
      <c r="D222" s="102">
        <v>13497.75</v>
      </c>
      <c r="E222" s="104">
        <v>13497.75</v>
      </c>
      <c r="F222"/>
      <c r="G222"/>
      <c r="H222"/>
      <c r="I222"/>
      <c r="J222"/>
      <c r="K222"/>
      <c r="L222"/>
      <c r="M222"/>
      <c r="N222"/>
    </row>
    <row r="223" spans="1:14">
      <c r="A223" s="100" t="s">
        <v>92</v>
      </c>
      <c r="B223" s="100" t="s">
        <v>405</v>
      </c>
      <c r="C223" s="100" t="s">
        <v>57</v>
      </c>
      <c r="D223" s="102">
        <v>178.5</v>
      </c>
      <c r="E223" s="104">
        <v>178.5</v>
      </c>
      <c r="F223"/>
      <c r="G223"/>
      <c r="H223"/>
      <c r="I223"/>
      <c r="J223"/>
      <c r="K223"/>
      <c r="L223"/>
      <c r="M223"/>
      <c r="N223"/>
    </row>
    <row r="224" spans="1:14">
      <c r="A224" s="100" t="s">
        <v>92</v>
      </c>
      <c r="B224" s="100" t="s">
        <v>405</v>
      </c>
      <c r="C224" s="100" t="s">
        <v>61</v>
      </c>
      <c r="D224" s="102">
        <v>189</v>
      </c>
      <c r="E224" s="104">
        <v>189</v>
      </c>
      <c r="F224"/>
      <c r="G224"/>
      <c r="H224"/>
      <c r="I224"/>
      <c r="J224"/>
      <c r="K224"/>
      <c r="L224"/>
      <c r="M224"/>
      <c r="N224"/>
    </row>
    <row r="225" spans="1:14">
      <c r="A225" s="100" t="s">
        <v>92</v>
      </c>
      <c r="B225" s="100" t="s">
        <v>405</v>
      </c>
      <c r="C225" s="100" t="s">
        <v>36</v>
      </c>
      <c r="D225" s="102">
        <v>4137</v>
      </c>
      <c r="E225" s="104">
        <v>4137</v>
      </c>
      <c r="F225"/>
      <c r="G225"/>
      <c r="H225"/>
      <c r="I225"/>
      <c r="J225"/>
      <c r="K225"/>
      <c r="L225"/>
      <c r="M225"/>
      <c r="N225"/>
    </row>
    <row r="226" spans="1:14">
      <c r="A226" s="100" t="s">
        <v>92</v>
      </c>
      <c r="B226" s="100" t="s">
        <v>405</v>
      </c>
      <c r="C226" s="100" t="s">
        <v>112</v>
      </c>
      <c r="D226" s="102">
        <v>14280</v>
      </c>
      <c r="E226" s="104">
        <v>14280</v>
      </c>
      <c r="F226"/>
      <c r="G226"/>
      <c r="H226"/>
      <c r="I226"/>
      <c r="J226"/>
      <c r="K226"/>
      <c r="L226"/>
      <c r="M226"/>
      <c r="N226"/>
    </row>
    <row r="227" spans="1:14">
      <c r="A227" s="100" t="s">
        <v>92</v>
      </c>
      <c r="B227" s="100" t="s">
        <v>405</v>
      </c>
      <c r="C227" s="100" t="s">
        <v>70</v>
      </c>
      <c r="D227" s="102">
        <v>5355</v>
      </c>
      <c r="E227" s="104">
        <v>5355</v>
      </c>
      <c r="F227"/>
      <c r="G227"/>
      <c r="H227"/>
      <c r="I227"/>
      <c r="J227"/>
      <c r="K227"/>
      <c r="L227"/>
      <c r="M227"/>
      <c r="N227"/>
    </row>
    <row r="228" spans="1:14">
      <c r="A228" s="100" t="s">
        <v>92</v>
      </c>
      <c r="B228" s="100" t="s">
        <v>405</v>
      </c>
      <c r="C228" s="100" t="s">
        <v>38</v>
      </c>
      <c r="D228" s="102">
        <v>33295.5</v>
      </c>
      <c r="E228" s="104">
        <v>33295.5</v>
      </c>
      <c r="F228"/>
      <c r="G228"/>
      <c r="H228"/>
      <c r="I228"/>
      <c r="J228"/>
      <c r="K228"/>
      <c r="L228"/>
      <c r="M228"/>
      <c r="N228"/>
    </row>
    <row r="229" spans="1:14">
      <c r="A229" s="100" t="s">
        <v>92</v>
      </c>
      <c r="B229" s="100" t="s">
        <v>405</v>
      </c>
      <c r="C229" s="100" t="s">
        <v>40</v>
      </c>
      <c r="D229" s="102">
        <v>3570</v>
      </c>
      <c r="E229" s="104">
        <v>3570</v>
      </c>
      <c r="F229"/>
      <c r="G229"/>
      <c r="H229"/>
      <c r="I229"/>
      <c r="J229"/>
      <c r="K229"/>
      <c r="L229"/>
      <c r="M229"/>
      <c r="N229"/>
    </row>
    <row r="230" spans="1:14">
      <c r="A230" s="100" t="s">
        <v>92</v>
      </c>
      <c r="B230" s="100" t="s">
        <v>405</v>
      </c>
      <c r="C230" s="100" t="s">
        <v>59</v>
      </c>
      <c r="D230" s="102">
        <v>31442.249999999996</v>
      </c>
      <c r="E230" s="104">
        <v>31442.249999999996</v>
      </c>
      <c r="F230"/>
      <c r="G230"/>
      <c r="H230"/>
      <c r="I230"/>
      <c r="J230"/>
      <c r="K230"/>
      <c r="L230"/>
      <c r="M230"/>
      <c r="N230"/>
    </row>
    <row r="231" spans="1:14">
      <c r="A231" s="100" t="s">
        <v>92</v>
      </c>
      <c r="B231" s="100" t="s">
        <v>405</v>
      </c>
      <c r="C231" s="100" t="s">
        <v>428</v>
      </c>
      <c r="D231" s="102">
        <v>3352</v>
      </c>
      <c r="E231" s="104">
        <v>3352</v>
      </c>
      <c r="F231"/>
      <c r="G231"/>
      <c r="H231"/>
      <c r="I231"/>
      <c r="J231"/>
      <c r="K231"/>
      <c r="L231"/>
      <c r="M231"/>
      <c r="N231"/>
    </row>
    <row r="232" spans="1:14">
      <c r="A232" s="100" t="s">
        <v>92</v>
      </c>
      <c r="B232" s="100" t="s">
        <v>405</v>
      </c>
      <c r="C232" s="100" t="s">
        <v>429</v>
      </c>
      <c r="D232" s="102">
        <v>2470</v>
      </c>
      <c r="E232" s="104">
        <v>2470</v>
      </c>
      <c r="F232"/>
      <c r="G232"/>
      <c r="H232"/>
      <c r="I232"/>
      <c r="J232"/>
      <c r="K232"/>
      <c r="L232"/>
      <c r="M232"/>
      <c r="N232"/>
    </row>
    <row r="233" spans="1:14">
      <c r="A233" s="100" t="s">
        <v>92</v>
      </c>
      <c r="B233" s="100" t="s">
        <v>405</v>
      </c>
      <c r="C233" s="100" t="s">
        <v>430</v>
      </c>
      <c r="D233" s="102">
        <v>1411</v>
      </c>
      <c r="E233" s="104">
        <v>1411</v>
      </c>
      <c r="F233"/>
      <c r="G233"/>
      <c r="H233"/>
      <c r="I233"/>
      <c r="J233"/>
      <c r="K233"/>
      <c r="L233"/>
      <c r="M233"/>
      <c r="N233"/>
    </row>
    <row r="234" spans="1:14">
      <c r="A234" s="100" t="s">
        <v>92</v>
      </c>
      <c r="B234" s="100" t="s">
        <v>405</v>
      </c>
      <c r="C234" s="100" t="s">
        <v>431</v>
      </c>
      <c r="D234" s="102">
        <v>5468</v>
      </c>
      <c r="E234" s="104">
        <v>5468</v>
      </c>
      <c r="F234"/>
      <c r="G234"/>
      <c r="H234"/>
      <c r="I234"/>
      <c r="J234"/>
      <c r="K234"/>
      <c r="L234"/>
      <c r="M234"/>
      <c r="N234"/>
    </row>
    <row r="235" spans="1:14">
      <c r="A235" s="100" t="s">
        <v>92</v>
      </c>
      <c r="B235" s="100" t="s">
        <v>405</v>
      </c>
      <c r="C235" s="100" t="s">
        <v>432</v>
      </c>
      <c r="D235" s="102">
        <v>4322</v>
      </c>
      <c r="E235" s="104">
        <v>4322</v>
      </c>
      <c r="F235"/>
      <c r="G235"/>
      <c r="H235"/>
      <c r="I235"/>
      <c r="J235"/>
      <c r="K235"/>
      <c r="L235"/>
      <c r="M235"/>
      <c r="N235"/>
    </row>
    <row r="236" spans="1:14">
      <c r="A236" s="100" t="s">
        <v>92</v>
      </c>
      <c r="B236" s="100" t="s">
        <v>405</v>
      </c>
      <c r="C236" s="100" t="s">
        <v>433</v>
      </c>
      <c r="D236" s="102">
        <v>4586</v>
      </c>
      <c r="E236" s="104">
        <v>4586</v>
      </c>
      <c r="F236"/>
      <c r="G236"/>
      <c r="H236"/>
      <c r="I236"/>
      <c r="J236"/>
      <c r="K236"/>
      <c r="L236"/>
      <c r="M236"/>
      <c r="N236"/>
    </row>
    <row r="237" spans="1:14">
      <c r="A237" s="100" t="s">
        <v>92</v>
      </c>
      <c r="B237" s="100" t="s">
        <v>405</v>
      </c>
      <c r="C237" s="100" t="s">
        <v>434</v>
      </c>
      <c r="D237" s="102">
        <v>5645</v>
      </c>
      <c r="E237" s="104">
        <v>5645</v>
      </c>
      <c r="F237"/>
      <c r="G237"/>
      <c r="H237"/>
      <c r="I237"/>
      <c r="J237"/>
      <c r="K237"/>
      <c r="L237"/>
      <c r="M237"/>
      <c r="N237"/>
    </row>
    <row r="238" spans="1:14">
      <c r="A238" s="100" t="s">
        <v>92</v>
      </c>
      <c r="B238" s="100" t="s">
        <v>405</v>
      </c>
      <c r="C238" s="100" t="s">
        <v>435</v>
      </c>
      <c r="D238" s="102">
        <v>32810</v>
      </c>
      <c r="E238" s="104">
        <v>32810</v>
      </c>
      <c r="F238"/>
      <c r="G238"/>
      <c r="H238"/>
      <c r="I238"/>
      <c r="J238"/>
      <c r="K238"/>
      <c r="L238"/>
      <c r="M238"/>
      <c r="N238"/>
    </row>
    <row r="239" spans="1:14">
      <c r="A239" s="100" t="s">
        <v>92</v>
      </c>
      <c r="B239" s="100" t="s">
        <v>405</v>
      </c>
      <c r="C239" s="100" t="s">
        <v>436</v>
      </c>
      <c r="D239" s="102">
        <v>39161</v>
      </c>
      <c r="E239" s="104">
        <v>39161</v>
      </c>
      <c r="F239"/>
      <c r="G239"/>
      <c r="H239"/>
      <c r="I239"/>
      <c r="J239"/>
      <c r="K239"/>
      <c r="L239"/>
      <c r="M239"/>
      <c r="N239"/>
    </row>
    <row r="240" spans="1:14">
      <c r="A240" s="100" t="s">
        <v>92</v>
      </c>
      <c r="B240" s="100" t="s">
        <v>405</v>
      </c>
      <c r="C240" s="100" t="s">
        <v>437</v>
      </c>
      <c r="D240" s="102">
        <v>2293</v>
      </c>
      <c r="E240" s="104">
        <v>2293</v>
      </c>
      <c r="F240"/>
      <c r="G240"/>
      <c r="H240"/>
      <c r="I240"/>
      <c r="J240"/>
      <c r="K240"/>
      <c r="L240"/>
      <c r="M240"/>
      <c r="N240"/>
    </row>
    <row r="241" spans="1:14">
      <c r="A241" s="100" t="s">
        <v>92</v>
      </c>
      <c r="B241" s="100" t="s">
        <v>405</v>
      </c>
      <c r="C241" s="100" t="s">
        <v>438</v>
      </c>
      <c r="D241" s="102">
        <v>1940</v>
      </c>
      <c r="E241" s="104">
        <v>1940</v>
      </c>
      <c r="F241"/>
      <c r="G241"/>
      <c r="H241"/>
      <c r="I241"/>
      <c r="J241"/>
      <c r="K241"/>
      <c r="L241"/>
      <c r="M241"/>
      <c r="N241"/>
    </row>
    <row r="242" spans="1:14">
      <c r="A242" s="100" t="s">
        <v>92</v>
      </c>
      <c r="B242" s="100" t="s">
        <v>405</v>
      </c>
      <c r="C242" s="100" t="s">
        <v>439</v>
      </c>
      <c r="D242" s="102">
        <v>3704</v>
      </c>
      <c r="E242" s="104">
        <v>3704</v>
      </c>
      <c r="F242"/>
      <c r="G242"/>
      <c r="H242"/>
      <c r="I242"/>
      <c r="J242"/>
      <c r="K242"/>
      <c r="L242"/>
      <c r="M242"/>
      <c r="N242"/>
    </row>
    <row r="243" spans="1:14">
      <c r="A243" s="100" t="s">
        <v>92</v>
      </c>
      <c r="B243" s="100" t="s">
        <v>405</v>
      </c>
      <c r="C243" s="100" t="s">
        <v>440</v>
      </c>
      <c r="D243" s="102">
        <v>706</v>
      </c>
      <c r="E243" s="104">
        <v>706</v>
      </c>
      <c r="F243"/>
      <c r="G243"/>
      <c r="H243"/>
      <c r="I243"/>
      <c r="J243"/>
      <c r="K243"/>
      <c r="L243"/>
      <c r="M243"/>
      <c r="N243"/>
    </row>
    <row r="244" spans="1:14">
      <c r="A244" s="100" t="s">
        <v>92</v>
      </c>
      <c r="B244" s="100" t="s">
        <v>405</v>
      </c>
      <c r="C244" s="100" t="s">
        <v>441</v>
      </c>
      <c r="D244" s="102">
        <v>1764</v>
      </c>
      <c r="E244" s="104">
        <v>1764</v>
      </c>
      <c r="F244"/>
      <c r="G244"/>
      <c r="H244"/>
      <c r="I244"/>
      <c r="J244"/>
      <c r="K244"/>
      <c r="L244"/>
      <c r="M244"/>
      <c r="N244"/>
    </row>
    <row r="245" spans="1:14">
      <c r="A245" s="100" t="s">
        <v>92</v>
      </c>
      <c r="B245" s="100" t="s">
        <v>405</v>
      </c>
      <c r="C245" s="100" t="s">
        <v>442</v>
      </c>
      <c r="D245" s="102">
        <v>1852</v>
      </c>
      <c r="E245" s="104">
        <v>1852</v>
      </c>
      <c r="F245"/>
      <c r="G245"/>
      <c r="H245"/>
      <c r="I245"/>
      <c r="J245"/>
      <c r="K245"/>
      <c r="L245"/>
      <c r="M245"/>
      <c r="N245"/>
    </row>
    <row r="246" spans="1:14">
      <c r="A246" s="100" t="s">
        <v>92</v>
      </c>
      <c r="B246" s="100" t="s">
        <v>405</v>
      </c>
      <c r="C246" s="100" t="s">
        <v>443</v>
      </c>
      <c r="D246" s="102">
        <v>46393</v>
      </c>
      <c r="E246" s="104">
        <v>46393</v>
      </c>
      <c r="F246"/>
      <c r="G246"/>
      <c r="H246"/>
      <c r="I246"/>
      <c r="J246"/>
      <c r="K246"/>
      <c r="L246"/>
      <c r="M246"/>
      <c r="N246"/>
    </row>
    <row r="247" spans="1:14">
      <c r="A247" s="100" t="s">
        <v>92</v>
      </c>
      <c r="B247" s="100" t="s">
        <v>405</v>
      </c>
      <c r="C247" s="100" t="s">
        <v>444</v>
      </c>
      <c r="D247" s="102">
        <v>529</v>
      </c>
      <c r="E247" s="104">
        <v>529</v>
      </c>
      <c r="F247"/>
      <c r="G247"/>
      <c r="H247"/>
      <c r="I247"/>
      <c r="J247"/>
      <c r="K247"/>
      <c r="L247"/>
      <c r="M247"/>
      <c r="N247"/>
    </row>
    <row r="248" spans="1:14">
      <c r="A248" s="100" t="s">
        <v>92</v>
      </c>
      <c r="B248" s="100" t="s">
        <v>405</v>
      </c>
      <c r="C248" s="100" t="s">
        <v>445</v>
      </c>
      <c r="D248" s="102">
        <v>265</v>
      </c>
      <c r="E248" s="104">
        <v>265</v>
      </c>
      <c r="F248"/>
      <c r="G248"/>
      <c r="H248"/>
      <c r="I248"/>
      <c r="J248"/>
      <c r="K248"/>
      <c r="L248"/>
      <c r="M248"/>
      <c r="N248"/>
    </row>
    <row r="249" spans="1:14">
      <c r="A249" s="100" t="s">
        <v>92</v>
      </c>
      <c r="B249" s="100" t="s">
        <v>405</v>
      </c>
      <c r="C249" s="100" t="s">
        <v>446</v>
      </c>
      <c r="D249" s="102">
        <v>2205</v>
      </c>
      <c r="E249" s="104">
        <v>2205</v>
      </c>
      <c r="F249"/>
      <c r="G249"/>
      <c r="H249"/>
      <c r="I249"/>
      <c r="J249"/>
      <c r="K249"/>
      <c r="L249"/>
      <c r="M249"/>
      <c r="N249"/>
    </row>
    <row r="250" spans="1:14">
      <c r="A250" s="100" t="s">
        <v>92</v>
      </c>
      <c r="B250" s="100" t="s">
        <v>405</v>
      </c>
      <c r="C250" s="100" t="s">
        <v>447</v>
      </c>
      <c r="D250" s="102">
        <v>56</v>
      </c>
      <c r="E250" s="104">
        <v>56</v>
      </c>
      <c r="F250"/>
      <c r="G250"/>
      <c r="H250"/>
      <c r="I250"/>
      <c r="J250"/>
      <c r="K250"/>
      <c r="L250"/>
      <c r="M250"/>
      <c r="N250"/>
    </row>
    <row r="251" spans="1:14">
      <c r="A251" s="100" t="s">
        <v>92</v>
      </c>
      <c r="B251" s="100" t="s">
        <v>405</v>
      </c>
      <c r="C251" s="100" t="s">
        <v>448</v>
      </c>
      <c r="D251" s="102">
        <v>529</v>
      </c>
      <c r="E251" s="104">
        <v>529</v>
      </c>
      <c r="F251"/>
      <c r="G251"/>
      <c r="H251"/>
      <c r="I251"/>
      <c r="J251"/>
      <c r="K251"/>
      <c r="L251"/>
      <c r="M251"/>
      <c r="N251"/>
    </row>
    <row r="252" spans="1:14">
      <c r="A252" s="100" t="s">
        <v>92</v>
      </c>
      <c r="B252" s="100" t="s">
        <v>405</v>
      </c>
      <c r="C252" s="100" t="s">
        <v>449</v>
      </c>
      <c r="D252" s="102">
        <v>28400</v>
      </c>
      <c r="E252" s="104">
        <v>28400</v>
      </c>
      <c r="F252"/>
      <c r="G252"/>
      <c r="H252"/>
      <c r="I252"/>
      <c r="J252"/>
      <c r="K252"/>
      <c r="L252"/>
      <c r="M252"/>
      <c r="N252"/>
    </row>
    <row r="253" spans="1:14">
      <c r="A253" s="100" t="s">
        <v>92</v>
      </c>
      <c r="B253" s="100" t="s">
        <v>405</v>
      </c>
      <c r="C253" s="100" t="s">
        <v>450</v>
      </c>
      <c r="D253" s="102">
        <v>640</v>
      </c>
      <c r="E253" s="104">
        <v>640</v>
      </c>
      <c r="F253"/>
      <c r="G253"/>
      <c r="H253"/>
      <c r="I253"/>
      <c r="J253"/>
      <c r="K253"/>
      <c r="L253"/>
      <c r="M253"/>
      <c r="N253"/>
    </row>
    <row r="254" spans="1:14">
      <c r="A254" s="100" t="s">
        <v>92</v>
      </c>
      <c r="B254" s="100" t="s">
        <v>405</v>
      </c>
      <c r="C254" s="100" t="s">
        <v>451</v>
      </c>
      <c r="D254" s="102">
        <v>21609</v>
      </c>
      <c r="E254" s="104">
        <v>21609</v>
      </c>
      <c r="F254"/>
      <c r="G254"/>
      <c r="H254"/>
      <c r="I254"/>
      <c r="J254"/>
      <c r="K254"/>
      <c r="L254"/>
      <c r="M254"/>
      <c r="N254"/>
    </row>
    <row r="255" spans="1:14">
      <c r="A255" s="100" t="s">
        <v>92</v>
      </c>
      <c r="B255" s="100" t="s">
        <v>405</v>
      </c>
      <c r="C255" s="100" t="s">
        <v>452</v>
      </c>
      <c r="D255" s="102">
        <v>6527</v>
      </c>
      <c r="E255" s="104">
        <v>6527</v>
      </c>
      <c r="F255"/>
      <c r="G255"/>
      <c r="H255"/>
      <c r="I255"/>
      <c r="J255"/>
      <c r="K255"/>
      <c r="L255"/>
      <c r="M255"/>
      <c r="N255"/>
    </row>
    <row r="256" spans="1:14">
      <c r="A256" s="100" t="s">
        <v>92</v>
      </c>
      <c r="B256" s="100" t="s">
        <v>405</v>
      </c>
      <c r="C256" s="100" t="s">
        <v>453</v>
      </c>
      <c r="D256" s="102">
        <v>1058</v>
      </c>
      <c r="E256" s="104">
        <v>1058</v>
      </c>
      <c r="F256"/>
      <c r="G256"/>
      <c r="H256"/>
      <c r="I256"/>
      <c r="J256"/>
      <c r="K256"/>
      <c r="L256"/>
      <c r="M256"/>
      <c r="N256"/>
    </row>
    <row r="257" spans="1:14">
      <c r="A257" s="100" t="s">
        <v>92</v>
      </c>
      <c r="B257" s="100" t="s">
        <v>405</v>
      </c>
      <c r="C257" s="100" t="s">
        <v>454</v>
      </c>
      <c r="D257" s="102">
        <v>26636</v>
      </c>
      <c r="E257" s="104">
        <v>26636</v>
      </c>
      <c r="F257"/>
      <c r="G257"/>
      <c r="H257"/>
      <c r="I257"/>
      <c r="J257"/>
      <c r="K257"/>
      <c r="L257"/>
      <c r="M257"/>
      <c r="N257"/>
    </row>
    <row r="258" spans="1:14">
      <c r="A258" s="100" t="s">
        <v>92</v>
      </c>
      <c r="B258" s="100" t="s">
        <v>405</v>
      </c>
      <c r="C258" s="100" t="s">
        <v>455</v>
      </c>
      <c r="D258" s="102">
        <v>794</v>
      </c>
      <c r="E258" s="104">
        <v>794</v>
      </c>
      <c r="F258"/>
      <c r="G258"/>
      <c r="H258"/>
      <c r="I258"/>
      <c r="J258"/>
      <c r="K258"/>
      <c r="L258"/>
      <c r="M258"/>
      <c r="N258"/>
    </row>
    <row r="259" spans="1:14">
      <c r="A259" s="72" t="s">
        <v>92</v>
      </c>
      <c r="B259" s="72" t="s">
        <v>405</v>
      </c>
      <c r="C259" s="72" t="s">
        <v>456</v>
      </c>
      <c r="D259" s="74">
        <v>6350</v>
      </c>
      <c r="E259" s="76">
        <v>6350</v>
      </c>
    </row>
    <row r="260" spans="1:14">
      <c r="A260" s="72" t="s">
        <v>92</v>
      </c>
      <c r="B260" s="72" t="s">
        <v>405</v>
      </c>
      <c r="C260" s="72" t="s">
        <v>457</v>
      </c>
      <c r="D260" s="74">
        <v>353</v>
      </c>
      <c r="E260" s="76">
        <v>353</v>
      </c>
    </row>
    <row r="261" spans="1:14">
      <c r="A261" s="72" t="s">
        <v>92</v>
      </c>
      <c r="B261" s="72" t="s">
        <v>405</v>
      </c>
      <c r="C261" s="72" t="s">
        <v>458</v>
      </c>
      <c r="D261" s="74">
        <v>1058</v>
      </c>
      <c r="E261" s="76">
        <v>1058</v>
      </c>
    </row>
    <row r="262" spans="1:14">
      <c r="A262" s="72" t="s">
        <v>92</v>
      </c>
      <c r="B262" s="72" t="s">
        <v>405</v>
      </c>
      <c r="C262" s="72" t="s">
        <v>459</v>
      </c>
      <c r="D262" s="74">
        <v>176</v>
      </c>
      <c r="E262" s="76">
        <v>176</v>
      </c>
    </row>
    <row r="263" spans="1:14">
      <c r="A263" s="72" t="s">
        <v>92</v>
      </c>
      <c r="B263" s="72" t="s">
        <v>405</v>
      </c>
      <c r="C263" s="72" t="s">
        <v>460</v>
      </c>
      <c r="D263" s="74">
        <v>1058</v>
      </c>
      <c r="E263" s="76">
        <v>1058</v>
      </c>
    </row>
    <row r="264" spans="1:14">
      <c r="A264" s="72"/>
      <c r="B264" s="72"/>
      <c r="C264" s="72"/>
      <c r="D264" s="74"/>
      <c r="E264" s="76"/>
    </row>
    <row r="265" spans="1:14">
      <c r="A265" s="72"/>
      <c r="B265" s="72"/>
      <c r="C265" s="72"/>
      <c r="D265" s="74"/>
      <c r="E265" s="76"/>
    </row>
    <row r="266" spans="1:14">
      <c r="A266" s="72" t="s">
        <v>99</v>
      </c>
      <c r="B266" s="72" t="s">
        <v>507</v>
      </c>
      <c r="C266" s="72" t="s">
        <v>22</v>
      </c>
      <c r="D266" s="74">
        <v>108600</v>
      </c>
      <c r="E266" s="76">
        <v>76020</v>
      </c>
    </row>
    <row r="267" spans="1:14">
      <c r="A267" s="72" t="s">
        <v>99</v>
      </c>
      <c r="B267" s="72" t="s">
        <v>507</v>
      </c>
      <c r="C267" s="72" t="s">
        <v>90</v>
      </c>
      <c r="D267" s="74">
        <v>87900</v>
      </c>
      <c r="E267" s="76">
        <v>61529.999999999993</v>
      </c>
    </row>
    <row r="268" spans="1:14">
      <c r="A268" s="72" t="s">
        <v>99</v>
      </c>
      <c r="B268" s="72" t="s">
        <v>507</v>
      </c>
      <c r="C268" s="72" t="s">
        <v>95</v>
      </c>
      <c r="D268" s="74">
        <v>60000</v>
      </c>
      <c r="E268" s="76">
        <v>42000</v>
      </c>
    </row>
    <row r="269" spans="1:14">
      <c r="A269" s="72" t="s">
        <v>99</v>
      </c>
      <c r="B269" s="72" t="s">
        <v>507</v>
      </c>
      <c r="C269" s="72" t="s">
        <v>59</v>
      </c>
      <c r="D269" s="74">
        <v>24300</v>
      </c>
      <c r="E269" s="76">
        <v>17010</v>
      </c>
    </row>
    <row r="270" spans="1:14">
      <c r="A270" s="72" t="s">
        <v>99</v>
      </c>
      <c r="B270" s="72" t="s">
        <v>507</v>
      </c>
      <c r="C270" s="72" t="s">
        <v>62</v>
      </c>
      <c r="D270" s="74">
        <v>18800</v>
      </c>
      <c r="E270" s="76">
        <v>13160</v>
      </c>
    </row>
    <row r="271" spans="1:14">
      <c r="A271" s="72" t="s">
        <v>99</v>
      </c>
      <c r="B271" s="72" t="s">
        <v>507</v>
      </c>
      <c r="C271" s="72" t="s">
        <v>12</v>
      </c>
      <c r="D271" s="74">
        <v>5900</v>
      </c>
      <c r="E271" s="76">
        <v>4130</v>
      </c>
    </row>
    <row r="272" spans="1:14">
      <c r="A272" s="72" t="s">
        <v>99</v>
      </c>
      <c r="B272" s="72" t="s">
        <v>507</v>
      </c>
      <c r="C272" s="72" t="s">
        <v>523</v>
      </c>
      <c r="D272" s="74">
        <v>1500</v>
      </c>
      <c r="E272" s="76">
        <v>1050</v>
      </c>
    </row>
    <row r="273" spans="1:5">
      <c r="A273" s="72" t="s">
        <v>99</v>
      </c>
      <c r="B273" s="72" t="s">
        <v>507</v>
      </c>
      <c r="C273" s="72" t="s">
        <v>101</v>
      </c>
      <c r="D273" s="74">
        <v>1200</v>
      </c>
      <c r="E273" s="76">
        <v>840</v>
      </c>
    </row>
    <row r="274" spans="1:5">
      <c r="A274" s="72" t="s">
        <v>99</v>
      </c>
      <c r="B274" s="72" t="s">
        <v>507</v>
      </c>
      <c r="C274" s="72" t="s">
        <v>21</v>
      </c>
      <c r="D274" s="74">
        <v>1200</v>
      </c>
      <c r="E274" s="76">
        <v>840</v>
      </c>
    </row>
    <row r="275" spans="1:5">
      <c r="A275" s="72" t="s">
        <v>99</v>
      </c>
      <c r="B275" s="72" t="s">
        <v>507</v>
      </c>
      <c r="C275" s="72" t="s">
        <v>58</v>
      </c>
      <c r="D275" s="74">
        <v>900</v>
      </c>
      <c r="E275" s="76">
        <v>630</v>
      </c>
    </row>
    <row r="276" spans="1:5">
      <c r="A276" s="72" t="s">
        <v>99</v>
      </c>
      <c r="B276" s="72" t="s">
        <v>507</v>
      </c>
      <c r="C276" s="72" t="s">
        <v>57</v>
      </c>
      <c r="D276" s="74">
        <v>900</v>
      </c>
      <c r="E276" s="76">
        <v>630</v>
      </c>
    </row>
    <row r="277" spans="1:5">
      <c r="A277" s="72" t="s">
        <v>99</v>
      </c>
      <c r="B277" s="72" t="s">
        <v>507</v>
      </c>
      <c r="C277" s="72" t="s">
        <v>55</v>
      </c>
      <c r="D277" s="74">
        <v>600</v>
      </c>
      <c r="E277" s="76">
        <v>420</v>
      </c>
    </row>
    <row r="278" spans="1:5">
      <c r="A278" s="72" t="s">
        <v>99</v>
      </c>
      <c r="B278" s="72" t="s">
        <v>507</v>
      </c>
      <c r="C278" s="72" t="s">
        <v>197</v>
      </c>
      <c r="D278" s="74">
        <v>300</v>
      </c>
      <c r="E278" s="76">
        <v>210</v>
      </c>
    </row>
    <row r="279" spans="1:5">
      <c r="A279" s="72"/>
      <c r="B279" s="72"/>
      <c r="C279" s="72"/>
      <c r="D279" s="74"/>
      <c r="E279" s="76"/>
    </row>
    <row r="280" spans="1:5">
      <c r="A280" s="72" t="s">
        <v>102</v>
      </c>
      <c r="B280" s="72" t="s">
        <v>405</v>
      </c>
      <c r="C280" s="72" t="s">
        <v>66</v>
      </c>
      <c r="D280" s="74">
        <v>7350</v>
      </c>
      <c r="E280" s="76">
        <v>7350</v>
      </c>
    </row>
    <row r="281" spans="1:5">
      <c r="A281" s="72" t="s">
        <v>102</v>
      </c>
      <c r="B281" s="72" t="s">
        <v>405</v>
      </c>
      <c r="C281" s="72" t="s">
        <v>382</v>
      </c>
      <c r="D281" s="74">
        <v>50010.800000000039</v>
      </c>
      <c r="E281" s="76">
        <v>50010.800000000039</v>
      </c>
    </row>
    <row r="282" spans="1:5">
      <c r="A282" s="72" t="s">
        <v>102</v>
      </c>
      <c r="B282" s="72" t="s">
        <v>405</v>
      </c>
      <c r="C282" s="72" t="s">
        <v>389</v>
      </c>
      <c r="D282" s="74">
        <v>5740</v>
      </c>
      <c r="E282" s="76">
        <v>5740</v>
      </c>
    </row>
    <row r="283" spans="1:5">
      <c r="A283" s="72" t="s">
        <v>102</v>
      </c>
      <c r="B283" s="72" t="s">
        <v>405</v>
      </c>
      <c r="C283" s="72" t="s">
        <v>8</v>
      </c>
      <c r="D283" s="74">
        <v>5448.8</v>
      </c>
      <c r="E283" s="76">
        <v>5448.8</v>
      </c>
    </row>
    <row r="284" spans="1:5">
      <c r="A284" s="72" t="s">
        <v>102</v>
      </c>
      <c r="B284" s="72" t="s">
        <v>405</v>
      </c>
      <c r="C284" s="72" t="s">
        <v>9</v>
      </c>
      <c r="D284" s="74">
        <v>15215.200000000004</v>
      </c>
      <c r="E284" s="76">
        <v>15215.200000000004</v>
      </c>
    </row>
    <row r="285" spans="1:5">
      <c r="A285" s="72" t="s">
        <v>102</v>
      </c>
      <c r="B285" s="72" t="s">
        <v>405</v>
      </c>
      <c r="C285" s="72" t="s">
        <v>10</v>
      </c>
      <c r="D285" s="74">
        <v>12674.899999999998</v>
      </c>
      <c r="E285" s="76">
        <v>12674.899999999998</v>
      </c>
    </row>
    <row r="286" spans="1:5">
      <c r="A286" s="72" t="s">
        <v>102</v>
      </c>
      <c r="B286" s="72" t="s">
        <v>405</v>
      </c>
      <c r="C286" s="72" t="s">
        <v>11</v>
      </c>
      <c r="D286" s="74">
        <v>117954.9</v>
      </c>
      <c r="E286" s="76">
        <v>117954.9</v>
      </c>
    </row>
    <row r="287" spans="1:5">
      <c r="A287" s="72" t="s">
        <v>102</v>
      </c>
      <c r="B287" s="72" t="s">
        <v>405</v>
      </c>
      <c r="C287" s="72" t="s">
        <v>12</v>
      </c>
      <c r="D287" s="74">
        <v>11970</v>
      </c>
      <c r="E287" s="76">
        <v>11970</v>
      </c>
    </row>
    <row r="288" spans="1:5">
      <c r="A288" s="72" t="s">
        <v>102</v>
      </c>
      <c r="B288" s="72" t="s">
        <v>405</v>
      </c>
      <c r="C288" s="72" t="s">
        <v>13</v>
      </c>
      <c r="D288" s="74">
        <v>107198</v>
      </c>
      <c r="E288" s="76">
        <v>107198</v>
      </c>
    </row>
    <row r="289" spans="1:5">
      <c r="A289" s="72" t="s">
        <v>102</v>
      </c>
      <c r="B289" s="72" t="s">
        <v>405</v>
      </c>
      <c r="C289" s="72" t="s">
        <v>90</v>
      </c>
      <c r="D289" s="74">
        <v>355512.49100000033</v>
      </c>
      <c r="E289" s="76">
        <v>355512.49100000033</v>
      </c>
    </row>
    <row r="290" spans="1:5">
      <c r="A290" s="72" t="s">
        <v>102</v>
      </c>
      <c r="B290" s="72" t="s">
        <v>405</v>
      </c>
      <c r="C290" s="72" t="s">
        <v>419</v>
      </c>
      <c r="D290" s="74">
        <v>4474.3999999999996</v>
      </c>
      <c r="E290" s="76">
        <v>4474.3999999999996</v>
      </c>
    </row>
    <row r="291" spans="1:5">
      <c r="A291" s="72" t="s">
        <v>102</v>
      </c>
      <c r="B291" s="72" t="s">
        <v>405</v>
      </c>
      <c r="C291" s="72" t="s">
        <v>14</v>
      </c>
      <c r="D291" s="74">
        <v>93926.001999999979</v>
      </c>
      <c r="E291" s="76">
        <v>93926.001999999979</v>
      </c>
    </row>
    <row r="292" spans="1:5">
      <c r="A292" s="72" t="s">
        <v>102</v>
      </c>
      <c r="B292" s="72" t="s">
        <v>405</v>
      </c>
      <c r="C292" s="72" t="s">
        <v>15</v>
      </c>
      <c r="D292" s="74">
        <v>16982</v>
      </c>
      <c r="E292" s="76">
        <v>16982</v>
      </c>
    </row>
    <row r="293" spans="1:5">
      <c r="A293" s="72" t="s">
        <v>102</v>
      </c>
      <c r="B293" s="72" t="s">
        <v>405</v>
      </c>
      <c r="C293" s="72" t="s">
        <v>16</v>
      </c>
      <c r="D293" s="74">
        <v>1540</v>
      </c>
      <c r="E293" s="76">
        <v>1540</v>
      </c>
    </row>
    <row r="294" spans="1:5">
      <c r="A294" s="72" t="s">
        <v>102</v>
      </c>
      <c r="B294" s="72" t="s">
        <v>405</v>
      </c>
      <c r="C294" s="72" t="s">
        <v>205</v>
      </c>
      <c r="D294" s="74">
        <v>160544.99799999999</v>
      </c>
      <c r="E294" s="76">
        <v>160544.99799999999</v>
      </c>
    </row>
    <row r="295" spans="1:5">
      <c r="A295" s="72" t="s">
        <v>102</v>
      </c>
      <c r="B295" s="72" t="s">
        <v>405</v>
      </c>
      <c r="C295" s="72" t="s">
        <v>383</v>
      </c>
      <c r="D295" s="74">
        <v>16128</v>
      </c>
      <c r="E295" s="76">
        <v>16128</v>
      </c>
    </row>
    <row r="296" spans="1:5">
      <c r="A296" s="72" t="s">
        <v>102</v>
      </c>
      <c r="B296" s="72" t="s">
        <v>405</v>
      </c>
      <c r="C296" s="72" t="s">
        <v>53</v>
      </c>
      <c r="D296" s="74">
        <v>52290</v>
      </c>
      <c r="E296" s="76">
        <v>52290</v>
      </c>
    </row>
    <row r="297" spans="1:5">
      <c r="A297" s="72" t="s">
        <v>102</v>
      </c>
      <c r="B297" s="72" t="s">
        <v>405</v>
      </c>
      <c r="C297" s="72" t="s">
        <v>58</v>
      </c>
      <c r="D297" s="74">
        <v>13230</v>
      </c>
      <c r="E297" s="76">
        <v>13230</v>
      </c>
    </row>
    <row r="298" spans="1:5">
      <c r="A298" s="72" t="s">
        <v>102</v>
      </c>
      <c r="B298" s="72" t="s">
        <v>405</v>
      </c>
      <c r="C298" s="72" t="s">
        <v>21</v>
      </c>
      <c r="D298" s="74">
        <v>5894</v>
      </c>
      <c r="E298" s="76">
        <v>5894</v>
      </c>
    </row>
    <row r="299" spans="1:5">
      <c r="A299" s="72" t="s">
        <v>102</v>
      </c>
      <c r="B299" s="72" t="s">
        <v>405</v>
      </c>
      <c r="C299" s="72" t="s">
        <v>401</v>
      </c>
      <c r="D299" s="74">
        <v>49431.200000000012</v>
      </c>
      <c r="E299" s="76">
        <v>49431.200000000012</v>
      </c>
    </row>
    <row r="300" spans="1:5">
      <c r="A300" s="72" t="s">
        <v>102</v>
      </c>
      <c r="B300" s="72" t="s">
        <v>405</v>
      </c>
      <c r="C300" s="72" t="s">
        <v>22</v>
      </c>
      <c r="D300" s="74">
        <v>278819.79999999981</v>
      </c>
      <c r="E300" s="76">
        <v>278819.79999999981</v>
      </c>
    </row>
    <row r="301" spans="1:5">
      <c r="A301" s="72" t="s">
        <v>102</v>
      </c>
      <c r="B301" s="72" t="s">
        <v>405</v>
      </c>
      <c r="C301" s="72" t="s">
        <v>64</v>
      </c>
      <c r="D301" s="74">
        <v>30072</v>
      </c>
      <c r="E301" s="76">
        <v>30072</v>
      </c>
    </row>
    <row r="302" spans="1:5">
      <c r="A302" s="72" t="s">
        <v>102</v>
      </c>
      <c r="B302" s="72" t="s">
        <v>405</v>
      </c>
      <c r="C302" s="72" t="s">
        <v>200</v>
      </c>
      <c r="D302" s="74">
        <v>20475.000000000007</v>
      </c>
      <c r="E302" s="76">
        <v>20475.000000000007</v>
      </c>
    </row>
    <row r="303" spans="1:5">
      <c r="A303" s="72" t="s">
        <v>102</v>
      </c>
      <c r="B303" s="72" t="s">
        <v>405</v>
      </c>
      <c r="C303" s="72" t="s">
        <v>219</v>
      </c>
      <c r="D303" s="74">
        <v>96663.003999999986</v>
      </c>
      <c r="E303" s="76">
        <v>96663.003999999986</v>
      </c>
    </row>
    <row r="304" spans="1:5">
      <c r="A304" s="72" t="s">
        <v>102</v>
      </c>
      <c r="B304" s="72" t="s">
        <v>405</v>
      </c>
      <c r="C304" s="72" t="s">
        <v>417</v>
      </c>
      <c r="D304" s="74">
        <v>39174.100000000013</v>
      </c>
      <c r="E304" s="76">
        <v>39174.100000000013</v>
      </c>
    </row>
    <row r="305" spans="1:5">
      <c r="A305" s="72" t="s">
        <v>102</v>
      </c>
      <c r="B305" s="72" t="s">
        <v>405</v>
      </c>
      <c r="C305" s="72" t="s">
        <v>390</v>
      </c>
      <c r="D305" s="74">
        <v>25146.799999999999</v>
      </c>
      <c r="E305" s="76">
        <v>25146.799999999999</v>
      </c>
    </row>
    <row r="306" spans="1:5">
      <c r="A306" s="72" t="s">
        <v>102</v>
      </c>
      <c r="B306" s="72" t="s">
        <v>405</v>
      </c>
      <c r="C306" s="72" t="s">
        <v>55</v>
      </c>
      <c r="D306" s="74">
        <v>18354</v>
      </c>
      <c r="E306" s="76">
        <v>18354</v>
      </c>
    </row>
    <row r="307" spans="1:5">
      <c r="A307" s="72" t="s">
        <v>102</v>
      </c>
      <c r="B307" s="72" t="s">
        <v>405</v>
      </c>
      <c r="C307" s="72" t="s">
        <v>100</v>
      </c>
      <c r="D307" s="74">
        <v>3834.5999999999995</v>
      </c>
      <c r="E307" s="76">
        <v>3834.5999999999995</v>
      </c>
    </row>
    <row r="308" spans="1:5">
      <c r="A308" s="72" t="s">
        <v>102</v>
      </c>
      <c r="B308" s="72" t="s">
        <v>405</v>
      </c>
      <c r="C308" s="72" t="s">
        <v>29</v>
      </c>
      <c r="D308" s="74">
        <v>23408</v>
      </c>
      <c r="E308" s="76">
        <v>23408</v>
      </c>
    </row>
    <row r="309" spans="1:5">
      <c r="A309" s="72" t="s">
        <v>102</v>
      </c>
      <c r="B309" s="72" t="s">
        <v>405</v>
      </c>
      <c r="C309" s="72" t="s">
        <v>372</v>
      </c>
      <c r="D309" s="74">
        <v>15922.199999999999</v>
      </c>
      <c r="E309" s="76">
        <v>15922.199999999999</v>
      </c>
    </row>
    <row r="310" spans="1:5">
      <c r="A310" s="72" t="s">
        <v>102</v>
      </c>
      <c r="B310" s="72" t="s">
        <v>405</v>
      </c>
      <c r="C310" s="72" t="s">
        <v>30</v>
      </c>
      <c r="D310" s="74">
        <v>170222.511</v>
      </c>
      <c r="E310" s="76">
        <v>170222.511</v>
      </c>
    </row>
    <row r="311" spans="1:5">
      <c r="A311" s="72" t="s">
        <v>102</v>
      </c>
      <c r="B311" s="72" t="s">
        <v>405</v>
      </c>
      <c r="C311" s="72" t="s">
        <v>32</v>
      </c>
      <c r="D311" s="74">
        <v>456153.59700000001</v>
      </c>
      <c r="E311" s="76">
        <v>456153.59700000001</v>
      </c>
    </row>
    <row r="312" spans="1:5">
      <c r="A312" s="72" t="s">
        <v>102</v>
      </c>
      <c r="B312" s="72" t="s">
        <v>405</v>
      </c>
      <c r="C312" s="72" t="s">
        <v>413</v>
      </c>
      <c r="D312" s="74">
        <v>42302.400000000009</v>
      </c>
      <c r="E312" s="76">
        <v>42302.400000000009</v>
      </c>
    </row>
    <row r="313" spans="1:5">
      <c r="A313" s="72" t="s">
        <v>102</v>
      </c>
      <c r="B313" s="72" t="s">
        <v>405</v>
      </c>
      <c r="C313" s="72" t="s">
        <v>360</v>
      </c>
      <c r="D313" s="74">
        <v>190810.89999999994</v>
      </c>
      <c r="E313" s="76">
        <v>190810.89999999994</v>
      </c>
    </row>
    <row r="314" spans="1:5">
      <c r="A314" s="72" t="s">
        <v>102</v>
      </c>
      <c r="B314" s="72" t="s">
        <v>405</v>
      </c>
      <c r="C314" s="72" t="s">
        <v>373</v>
      </c>
      <c r="D314" s="74">
        <v>17946.599999999999</v>
      </c>
      <c r="E314" s="76">
        <v>17946.599999999999</v>
      </c>
    </row>
    <row r="315" spans="1:5">
      <c r="A315" s="72" t="s">
        <v>102</v>
      </c>
      <c r="B315" s="72" t="s">
        <v>405</v>
      </c>
      <c r="C315" s="72" t="s">
        <v>34</v>
      </c>
      <c r="D315" s="74">
        <v>13370</v>
      </c>
      <c r="E315" s="76">
        <v>13370</v>
      </c>
    </row>
    <row r="316" spans="1:5">
      <c r="A316" s="72" t="s">
        <v>102</v>
      </c>
      <c r="B316" s="72" t="s">
        <v>405</v>
      </c>
      <c r="C316" s="72" t="s">
        <v>112</v>
      </c>
      <c r="D316" s="74">
        <v>25046</v>
      </c>
      <c r="E316" s="76">
        <v>25046</v>
      </c>
    </row>
    <row r="317" spans="1:5">
      <c r="A317" s="72" t="s">
        <v>102</v>
      </c>
      <c r="B317" s="72" t="s">
        <v>405</v>
      </c>
      <c r="C317" s="72" t="s">
        <v>70</v>
      </c>
      <c r="D317" s="74">
        <v>2100</v>
      </c>
      <c r="E317" s="76">
        <v>2100</v>
      </c>
    </row>
    <row r="318" spans="1:5">
      <c r="A318" s="72" t="s">
        <v>102</v>
      </c>
      <c r="B318" s="72" t="s">
        <v>405</v>
      </c>
      <c r="C318" s="72" t="s">
        <v>38</v>
      </c>
      <c r="D318" s="74">
        <v>28042.009000000002</v>
      </c>
      <c r="E318" s="76">
        <v>28042.009000000002</v>
      </c>
    </row>
    <row r="319" spans="1:5">
      <c r="A319" s="72" t="s">
        <v>102</v>
      </c>
      <c r="B319" s="72" t="s">
        <v>405</v>
      </c>
      <c r="C319" s="72" t="s">
        <v>103</v>
      </c>
      <c r="D319" s="74">
        <v>1890</v>
      </c>
      <c r="E319" s="76">
        <v>1890</v>
      </c>
    </row>
    <row r="320" spans="1:5">
      <c r="A320" s="72" t="s">
        <v>102</v>
      </c>
      <c r="B320" s="72" t="s">
        <v>405</v>
      </c>
      <c r="C320" s="72" t="s">
        <v>40</v>
      </c>
      <c r="D320" s="74">
        <v>1470</v>
      </c>
      <c r="E320" s="76">
        <v>1470</v>
      </c>
    </row>
    <row r="321" spans="1:7">
      <c r="A321" s="72" t="s">
        <v>102</v>
      </c>
      <c r="B321" s="72" t="s">
        <v>405</v>
      </c>
      <c r="C321" s="72" t="s">
        <v>80</v>
      </c>
      <c r="D321" s="74">
        <v>31290</v>
      </c>
      <c r="E321" s="76">
        <v>31290</v>
      </c>
    </row>
    <row r="322" spans="1:7">
      <c r="A322" s="72" t="s">
        <v>102</v>
      </c>
      <c r="B322" s="72" t="s">
        <v>405</v>
      </c>
      <c r="C322" s="72" t="s">
        <v>104</v>
      </c>
      <c r="D322" s="74">
        <v>634.20000000000005</v>
      </c>
      <c r="E322" s="76">
        <v>634.20000000000005</v>
      </c>
    </row>
    <row r="323" spans="1:7">
      <c r="A323" s="72"/>
      <c r="B323" s="72"/>
      <c r="C323" s="72"/>
      <c r="D323" s="74"/>
      <c r="E323" s="76"/>
    </row>
    <row r="324" spans="1:7">
      <c r="A324" s="72"/>
      <c r="B324" s="135"/>
      <c r="C324" s="72"/>
      <c r="D324" s="74"/>
      <c r="E324" s="76"/>
    </row>
    <row r="325" spans="1:7">
      <c r="A325" s="72" t="s">
        <v>105</v>
      </c>
      <c r="B325" s="135" t="s">
        <v>405</v>
      </c>
      <c r="C325" s="110" t="s">
        <v>478</v>
      </c>
      <c r="D325" s="74">
        <v>258318</v>
      </c>
      <c r="E325" s="76">
        <v>258318</v>
      </c>
      <c r="F325" s="32" t="s">
        <v>385</v>
      </c>
      <c r="G325" s="32" t="s">
        <v>385</v>
      </c>
    </row>
    <row r="326" spans="1:7">
      <c r="A326" s="72" t="s">
        <v>552</v>
      </c>
      <c r="B326" s="135" t="s">
        <v>524</v>
      </c>
      <c r="C326" s="91" t="s">
        <v>106</v>
      </c>
      <c r="D326" s="74">
        <v>105100</v>
      </c>
      <c r="E326" s="76">
        <v>53877</v>
      </c>
    </row>
    <row r="327" spans="1:7">
      <c r="A327" s="72" t="s">
        <v>552</v>
      </c>
      <c r="B327" s="135" t="s">
        <v>524</v>
      </c>
      <c r="C327" s="91" t="s">
        <v>382</v>
      </c>
      <c r="D327" s="74">
        <v>41800</v>
      </c>
      <c r="E327" s="76">
        <v>24430</v>
      </c>
    </row>
    <row r="328" spans="1:7">
      <c r="A328" s="72" t="s">
        <v>552</v>
      </c>
      <c r="B328" s="135" t="s">
        <v>524</v>
      </c>
      <c r="C328" s="91" t="s">
        <v>389</v>
      </c>
      <c r="D328" s="74">
        <v>600</v>
      </c>
      <c r="E328" s="76">
        <v>294</v>
      </c>
    </row>
    <row r="329" spans="1:7">
      <c r="A329" s="72" t="s">
        <v>552</v>
      </c>
      <c r="B329" s="135" t="s">
        <v>524</v>
      </c>
      <c r="C329" s="91" t="s">
        <v>8</v>
      </c>
      <c r="D329" s="74">
        <v>102400</v>
      </c>
      <c r="E329" s="76">
        <v>56056</v>
      </c>
    </row>
    <row r="330" spans="1:7">
      <c r="A330" s="72" t="s">
        <v>552</v>
      </c>
      <c r="B330" s="135" t="s">
        <v>524</v>
      </c>
      <c r="C330" s="110" t="s">
        <v>9</v>
      </c>
      <c r="D330" s="74">
        <v>65100</v>
      </c>
      <c r="E330" s="76">
        <v>27585</v>
      </c>
    </row>
    <row r="331" spans="1:7">
      <c r="A331" s="72" t="s">
        <v>552</v>
      </c>
      <c r="B331" s="135" t="s">
        <v>524</v>
      </c>
      <c r="C331" s="110" t="s">
        <v>10</v>
      </c>
      <c r="D331" s="74">
        <v>24200</v>
      </c>
      <c r="E331" s="76">
        <v>10416</v>
      </c>
    </row>
    <row r="332" spans="1:7">
      <c r="A332" s="72" t="s">
        <v>552</v>
      </c>
      <c r="B332" s="135" t="s">
        <v>524</v>
      </c>
      <c r="C332" s="111" t="s">
        <v>11</v>
      </c>
      <c r="D332" s="74">
        <v>49400</v>
      </c>
      <c r="E332" s="76">
        <v>32270</v>
      </c>
    </row>
    <row r="333" spans="1:7">
      <c r="A333" s="72" t="s">
        <v>552</v>
      </c>
      <c r="B333" s="135" t="s">
        <v>524</v>
      </c>
      <c r="C333" s="91" t="s">
        <v>12</v>
      </c>
      <c r="D333" s="74">
        <v>88400</v>
      </c>
      <c r="E333" s="76">
        <v>37215</v>
      </c>
    </row>
    <row r="334" spans="1:7">
      <c r="A334" s="72" t="s">
        <v>552</v>
      </c>
      <c r="B334" s="135" t="s">
        <v>524</v>
      </c>
      <c r="C334" s="110" t="s">
        <v>13</v>
      </c>
      <c r="D334" s="74">
        <v>485200</v>
      </c>
      <c r="E334" s="76">
        <v>276052</v>
      </c>
    </row>
    <row r="335" spans="1:7">
      <c r="A335" s="72" t="s">
        <v>552</v>
      </c>
      <c r="B335" s="135" t="s">
        <v>524</v>
      </c>
      <c r="C335" s="110" t="s">
        <v>90</v>
      </c>
      <c r="D335" s="74">
        <v>367300</v>
      </c>
      <c r="E335" s="76">
        <v>168774</v>
      </c>
    </row>
    <row r="336" spans="1:7">
      <c r="A336" s="72" t="s">
        <v>552</v>
      </c>
      <c r="B336" s="135" t="s">
        <v>524</v>
      </c>
      <c r="C336" s="111" t="s">
        <v>14</v>
      </c>
      <c r="D336" s="74">
        <v>10800</v>
      </c>
      <c r="E336" s="76">
        <v>5838</v>
      </c>
    </row>
    <row r="337" spans="1:5">
      <c r="A337" s="72" t="s">
        <v>552</v>
      </c>
      <c r="B337" s="135" t="s">
        <v>524</v>
      </c>
      <c r="C337" s="91" t="s">
        <v>15</v>
      </c>
      <c r="D337" s="74">
        <v>3000</v>
      </c>
      <c r="E337" s="76">
        <v>1470</v>
      </c>
    </row>
    <row r="338" spans="1:5">
      <c r="A338" s="72" t="s">
        <v>552</v>
      </c>
      <c r="B338" s="135" t="s">
        <v>524</v>
      </c>
      <c r="C338" s="110" t="s">
        <v>16</v>
      </c>
      <c r="D338" s="74">
        <v>109400</v>
      </c>
      <c r="E338" s="76">
        <v>46002</v>
      </c>
    </row>
    <row r="339" spans="1:5">
      <c r="A339" s="72" t="s">
        <v>552</v>
      </c>
      <c r="B339" s="135" t="s">
        <v>524</v>
      </c>
      <c r="C339" s="110" t="s">
        <v>107</v>
      </c>
      <c r="D339" s="74">
        <v>15600</v>
      </c>
      <c r="E339" s="76">
        <v>7644</v>
      </c>
    </row>
    <row r="340" spans="1:5">
      <c r="A340" s="72" t="s">
        <v>552</v>
      </c>
      <c r="B340" s="135" t="s">
        <v>524</v>
      </c>
      <c r="C340" s="91" t="s">
        <v>58</v>
      </c>
      <c r="D340" s="74">
        <v>3300</v>
      </c>
      <c r="E340" s="76">
        <v>1881</v>
      </c>
    </row>
    <row r="341" spans="1:5">
      <c r="A341" s="72" t="s">
        <v>552</v>
      </c>
      <c r="B341" s="135" t="s">
        <v>524</v>
      </c>
      <c r="C341" s="110" t="s">
        <v>108</v>
      </c>
      <c r="D341" s="74">
        <v>20700</v>
      </c>
      <c r="E341" s="76">
        <v>10539</v>
      </c>
    </row>
    <row r="342" spans="1:5">
      <c r="A342" s="72" t="s">
        <v>552</v>
      </c>
      <c r="B342" s="135" t="s">
        <v>524</v>
      </c>
      <c r="C342" s="91" t="s">
        <v>21</v>
      </c>
      <c r="D342" s="74">
        <v>96400</v>
      </c>
      <c r="E342" s="76">
        <v>43323</v>
      </c>
    </row>
    <row r="343" spans="1:5">
      <c r="A343" s="72" t="s">
        <v>552</v>
      </c>
      <c r="B343" s="135" t="s">
        <v>524</v>
      </c>
      <c r="C343" s="110" t="s">
        <v>401</v>
      </c>
      <c r="D343" s="74">
        <v>37700</v>
      </c>
      <c r="E343" s="76">
        <v>22442</v>
      </c>
    </row>
    <row r="344" spans="1:5">
      <c r="A344" s="72" t="s">
        <v>552</v>
      </c>
      <c r="B344" s="135" t="s">
        <v>524</v>
      </c>
      <c r="C344" s="111" t="s">
        <v>22</v>
      </c>
      <c r="D344" s="74">
        <v>1163000</v>
      </c>
      <c r="E344" s="76">
        <v>514806</v>
      </c>
    </row>
    <row r="345" spans="1:5">
      <c r="A345" s="72" t="s">
        <v>552</v>
      </c>
      <c r="B345" s="135" t="s">
        <v>524</v>
      </c>
      <c r="C345" s="91" t="s">
        <v>525</v>
      </c>
      <c r="D345" s="74">
        <v>15900</v>
      </c>
      <c r="E345" s="76">
        <v>7980</v>
      </c>
    </row>
    <row r="346" spans="1:5">
      <c r="A346" s="72" t="s">
        <v>552</v>
      </c>
      <c r="B346" s="135" t="s">
        <v>524</v>
      </c>
      <c r="C346" s="110" t="s">
        <v>526</v>
      </c>
      <c r="D346" s="74">
        <v>421200</v>
      </c>
      <c r="E346" s="76">
        <v>290472</v>
      </c>
    </row>
    <row r="347" spans="1:5">
      <c r="A347" s="72" t="s">
        <v>552</v>
      </c>
      <c r="B347" s="135" t="s">
        <v>524</v>
      </c>
      <c r="C347" s="110" t="s">
        <v>109</v>
      </c>
      <c r="D347" s="74">
        <v>7800</v>
      </c>
      <c r="E347" s="76">
        <v>3276</v>
      </c>
    </row>
    <row r="348" spans="1:5">
      <c r="A348" s="72" t="s">
        <v>552</v>
      </c>
      <c r="B348" s="135" t="s">
        <v>524</v>
      </c>
      <c r="C348" s="91" t="s">
        <v>110</v>
      </c>
      <c r="D348" s="74">
        <v>6300</v>
      </c>
      <c r="E348" s="76">
        <v>3591</v>
      </c>
    </row>
    <row r="349" spans="1:5">
      <c r="A349" s="72" t="s">
        <v>552</v>
      </c>
      <c r="B349" s="135" t="s">
        <v>524</v>
      </c>
      <c r="C349" s="110" t="s">
        <v>111</v>
      </c>
      <c r="D349" s="74">
        <v>8900</v>
      </c>
      <c r="E349" s="76">
        <v>5201</v>
      </c>
    </row>
    <row r="350" spans="1:5">
      <c r="A350" s="72" t="s">
        <v>552</v>
      </c>
      <c r="B350" s="135" t="s">
        <v>524</v>
      </c>
      <c r="C350" s="91" t="s">
        <v>29</v>
      </c>
      <c r="D350" s="74">
        <v>197600</v>
      </c>
      <c r="E350" s="76">
        <v>86622</v>
      </c>
    </row>
    <row r="351" spans="1:5">
      <c r="A351" s="72" t="s">
        <v>552</v>
      </c>
      <c r="B351" s="135" t="s">
        <v>524</v>
      </c>
      <c r="C351" s="110" t="s">
        <v>30</v>
      </c>
      <c r="D351" s="74">
        <v>84800</v>
      </c>
      <c r="E351" s="76">
        <v>49133</v>
      </c>
    </row>
    <row r="352" spans="1:5">
      <c r="A352" s="72" t="s">
        <v>552</v>
      </c>
      <c r="B352" s="135" t="s">
        <v>524</v>
      </c>
      <c r="C352" s="110" t="s">
        <v>32</v>
      </c>
      <c r="D352" s="74">
        <v>22600</v>
      </c>
      <c r="E352" s="76">
        <v>11074</v>
      </c>
    </row>
    <row r="353" spans="1:5">
      <c r="A353" s="72" t="s">
        <v>552</v>
      </c>
      <c r="B353" s="135" t="s">
        <v>524</v>
      </c>
      <c r="C353" s="91" t="s">
        <v>360</v>
      </c>
      <c r="D353" s="74">
        <v>52900</v>
      </c>
      <c r="E353" s="76">
        <v>30058</v>
      </c>
    </row>
    <row r="354" spans="1:5">
      <c r="A354" s="72" t="s">
        <v>552</v>
      </c>
      <c r="B354" s="135" t="s">
        <v>524</v>
      </c>
      <c r="C354" s="110" t="s">
        <v>373</v>
      </c>
      <c r="D354" s="74">
        <v>18800</v>
      </c>
      <c r="E354" s="76">
        <v>9212</v>
      </c>
    </row>
    <row r="355" spans="1:5">
      <c r="A355" s="72" t="s">
        <v>552</v>
      </c>
      <c r="B355" s="135" t="s">
        <v>524</v>
      </c>
      <c r="C355" s="91" t="s">
        <v>36</v>
      </c>
      <c r="D355" s="74">
        <v>2400</v>
      </c>
      <c r="E355" s="76">
        <v>1176</v>
      </c>
    </row>
    <row r="356" spans="1:5">
      <c r="A356" s="72" t="s">
        <v>552</v>
      </c>
      <c r="B356" s="135" t="s">
        <v>524</v>
      </c>
      <c r="C356" s="110" t="s">
        <v>112</v>
      </c>
      <c r="D356" s="74">
        <v>3400</v>
      </c>
      <c r="E356" s="76">
        <v>1708</v>
      </c>
    </row>
    <row r="357" spans="1:5">
      <c r="A357" s="72" t="s">
        <v>552</v>
      </c>
      <c r="B357" s="135" t="s">
        <v>524</v>
      </c>
      <c r="C357" s="110" t="s">
        <v>70</v>
      </c>
      <c r="D357" s="74">
        <v>200</v>
      </c>
      <c r="E357" s="76">
        <v>98</v>
      </c>
    </row>
    <row r="358" spans="1:5">
      <c r="A358" s="72" t="s">
        <v>552</v>
      </c>
      <c r="B358" s="135" t="s">
        <v>524</v>
      </c>
      <c r="C358" s="110" t="s">
        <v>38</v>
      </c>
      <c r="D358" s="74">
        <v>25600</v>
      </c>
      <c r="E358" s="76">
        <v>13552</v>
      </c>
    </row>
    <row r="359" spans="1:5">
      <c r="A359" s="72" t="s">
        <v>552</v>
      </c>
      <c r="B359" s="135" t="s">
        <v>524</v>
      </c>
      <c r="C359" s="111" t="s">
        <v>40</v>
      </c>
      <c r="D359" s="74">
        <v>5400</v>
      </c>
      <c r="E359" s="76">
        <v>3213</v>
      </c>
    </row>
    <row r="360" spans="1:5">
      <c r="A360" s="72" t="s">
        <v>552</v>
      </c>
      <c r="B360" s="135" t="s">
        <v>524</v>
      </c>
      <c r="C360" s="91" t="s">
        <v>80</v>
      </c>
      <c r="D360" s="74">
        <v>5700</v>
      </c>
      <c r="E360" s="76">
        <v>3078</v>
      </c>
    </row>
    <row r="361" spans="1:5">
      <c r="A361" s="72" t="s">
        <v>552</v>
      </c>
      <c r="B361" s="135" t="s">
        <v>524</v>
      </c>
      <c r="C361" s="110" t="s">
        <v>104</v>
      </c>
      <c r="D361" s="74">
        <v>1200</v>
      </c>
      <c r="E361" s="76">
        <v>540</v>
      </c>
    </row>
    <row r="362" spans="1:5">
      <c r="A362" s="72"/>
      <c r="B362" s="135"/>
      <c r="C362" s="91"/>
      <c r="D362" s="74"/>
      <c r="E362" s="76"/>
    </row>
    <row r="363" spans="1:5">
      <c r="A363" s="72"/>
      <c r="B363" s="135"/>
      <c r="D363" s="74"/>
      <c r="E363" s="76"/>
    </row>
    <row r="364" spans="1:5">
      <c r="A364" s="72" t="s">
        <v>113</v>
      </c>
      <c r="B364" s="135" t="s">
        <v>405</v>
      </c>
      <c r="C364" s="94" t="s">
        <v>114</v>
      </c>
      <c r="D364" s="74">
        <v>398304</v>
      </c>
      <c r="E364" s="76">
        <v>398304</v>
      </c>
    </row>
    <row r="365" spans="1:5">
      <c r="A365" s="72" t="s">
        <v>113</v>
      </c>
      <c r="B365" s="135" t="s">
        <v>405</v>
      </c>
      <c r="C365" s="94" t="s">
        <v>58</v>
      </c>
      <c r="D365" s="74">
        <v>37717</v>
      </c>
      <c r="E365" s="76">
        <v>37717</v>
      </c>
    </row>
    <row r="366" spans="1:5">
      <c r="A366" s="72" t="s">
        <v>113</v>
      </c>
      <c r="B366" s="135" t="s">
        <v>405</v>
      </c>
      <c r="C366" s="94" t="s">
        <v>115</v>
      </c>
      <c r="D366" s="74">
        <v>132020</v>
      </c>
      <c r="E366" s="76">
        <v>132020</v>
      </c>
    </row>
    <row r="367" spans="1:5">
      <c r="A367" s="72" t="s">
        <v>113</v>
      </c>
      <c r="B367" s="135" t="s">
        <v>405</v>
      </c>
      <c r="C367" s="94" t="s">
        <v>64</v>
      </c>
      <c r="D367" s="74">
        <v>41555</v>
      </c>
      <c r="E367" s="76">
        <v>41555</v>
      </c>
    </row>
    <row r="368" spans="1:5">
      <c r="A368" s="72" t="s">
        <v>113</v>
      </c>
      <c r="B368" s="135" t="s">
        <v>405</v>
      </c>
      <c r="C368" s="94" t="s">
        <v>55</v>
      </c>
      <c r="D368" s="74">
        <v>18502</v>
      </c>
      <c r="E368" s="76">
        <v>18502</v>
      </c>
    </row>
    <row r="369" spans="1:5">
      <c r="A369" s="72" t="s">
        <v>113</v>
      </c>
      <c r="B369" s="135" t="s">
        <v>405</v>
      </c>
      <c r="C369" s="110" t="s">
        <v>55</v>
      </c>
      <c r="D369" s="74">
        <v>116089</v>
      </c>
      <c r="E369" s="76">
        <v>116089</v>
      </c>
    </row>
    <row r="370" spans="1:5">
      <c r="A370" s="72" t="s">
        <v>113</v>
      </c>
      <c r="B370" s="135" t="s">
        <v>405</v>
      </c>
      <c r="C370" s="110" t="s">
        <v>116</v>
      </c>
      <c r="D370" s="74">
        <v>75869</v>
      </c>
      <c r="E370" s="76">
        <v>75869</v>
      </c>
    </row>
    <row r="371" spans="1:5">
      <c r="A371" s="72"/>
      <c r="B371" s="135"/>
      <c r="C371" s="110"/>
      <c r="D371" s="74"/>
      <c r="E371" s="76"/>
    </row>
    <row r="372" spans="1:5">
      <c r="A372" s="72" t="s">
        <v>117</v>
      </c>
      <c r="B372" s="135" t="s">
        <v>498</v>
      </c>
      <c r="C372" s="91" t="s">
        <v>22</v>
      </c>
      <c r="D372" s="74">
        <v>10200</v>
      </c>
      <c r="E372" s="76">
        <v>7140</v>
      </c>
    </row>
    <row r="373" spans="1:5">
      <c r="A373" s="72" t="s">
        <v>117</v>
      </c>
      <c r="B373" s="135" t="s">
        <v>498</v>
      </c>
      <c r="C373" s="91" t="s">
        <v>497</v>
      </c>
      <c r="D373" s="74">
        <v>1000</v>
      </c>
      <c r="E373" s="76">
        <v>700</v>
      </c>
    </row>
    <row r="374" spans="1:5">
      <c r="A374" s="72" t="s">
        <v>117</v>
      </c>
      <c r="B374" s="135" t="s">
        <v>498</v>
      </c>
      <c r="C374" s="91" t="s">
        <v>12</v>
      </c>
      <c r="D374" s="74">
        <v>1600</v>
      </c>
      <c r="E374" s="76">
        <v>1120</v>
      </c>
    </row>
    <row r="375" spans="1:5">
      <c r="A375" s="72" t="s">
        <v>117</v>
      </c>
      <c r="B375" s="135" t="s">
        <v>498</v>
      </c>
      <c r="C375" s="91" t="s">
        <v>90</v>
      </c>
      <c r="D375" s="74">
        <v>45600</v>
      </c>
      <c r="E375" s="76">
        <v>31920</v>
      </c>
    </row>
    <row r="376" spans="1:5">
      <c r="A376" s="72" t="s">
        <v>117</v>
      </c>
      <c r="B376" s="135" t="s">
        <v>498</v>
      </c>
      <c r="C376" s="91" t="s">
        <v>80</v>
      </c>
      <c r="D376" s="74">
        <v>2400</v>
      </c>
      <c r="E376" s="76">
        <v>1680</v>
      </c>
    </row>
    <row r="377" spans="1:5">
      <c r="A377" s="72" t="s">
        <v>117</v>
      </c>
      <c r="B377" s="135" t="s">
        <v>498</v>
      </c>
      <c r="C377" s="91" t="s">
        <v>18</v>
      </c>
      <c r="D377" s="74">
        <v>1500</v>
      </c>
      <c r="E377" s="76">
        <v>1050</v>
      </c>
    </row>
    <row r="378" spans="1:5">
      <c r="A378" s="72" t="s">
        <v>117</v>
      </c>
      <c r="B378" s="135" t="s">
        <v>498</v>
      </c>
      <c r="C378" s="91" t="s">
        <v>16</v>
      </c>
      <c r="D378" s="74">
        <v>400</v>
      </c>
      <c r="E378" s="76">
        <v>280</v>
      </c>
    </row>
    <row r="379" spans="1:5">
      <c r="A379" s="72" t="s">
        <v>117</v>
      </c>
      <c r="B379" s="135" t="s">
        <v>498</v>
      </c>
      <c r="C379" s="91" t="s">
        <v>9</v>
      </c>
      <c r="D379" s="74">
        <v>600</v>
      </c>
      <c r="E379" s="76">
        <v>420</v>
      </c>
    </row>
    <row r="380" spans="1:5">
      <c r="A380" s="72" t="s">
        <v>117</v>
      </c>
      <c r="B380" s="135" t="s">
        <v>498</v>
      </c>
      <c r="C380" s="91" t="s">
        <v>10</v>
      </c>
      <c r="D380" s="74">
        <v>400</v>
      </c>
      <c r="E380" s="76">
        <v>280</v>
      </c>
    </row>
    <row r="381" spans="1:5">
      <c r="A381" s="72" t="s">
        <v>117</v>
      </c>
      <c r="B381" s="135" t="s">
        <v>498</v>
      </c>
      <c r="C381" s="91" t="s">
        <v>14</v>
      </c>
      <c r="D381" s="74">
        <v>1000</v>
      </c>
      <c r="E381" s="76">
        <v>700</v>
      </c>
    </row>
    <row r="382" spans="1:5">
      <c r="A382" s="72" t="s">
        <v>117</v>
      </c>
      <c r="B382" s="135" t="s">
        <v>498</v>
      </c>
      <c r="C382" s="91" t="s">
        <v>8</v>
      </c>
      <c r="D382" s="74">
        <v>400</v>
      </c>
      <c r="E382" s="76">
        <v>280</v>
      </c>
    </row>
    <row r="383" spans="1:5">
      <c r="A383" s="72" t="s">
        <v>117</v>
      </c>
      <c r="B383" s="135" t="s">
        <v>498</v>
      </c>
      <c r="C383" s="91" t="s">
        <v>36</v>
      </c>
      <c r="D383" s="74">
        <v>200</v>
      </c>
      <c r="E383" s="76">
        <v>140</v>
      </c>
    </row>
    <row r="384" spans="1:5">
      <c r="A384" s="72"/>
      <c r="B384" s="135"/>
      <c r="C384" s="72"/>
      <c r="D384" s="74"/>
      <c r="E384" s="76"/>
    </row>
    <row r="385" spans="1:5">
      <c r="A385" s="72" t="s">
        <v>118</v>
      </c>
      <c r="B385" s="135" t="s">
        <v>515</v>
      </c>
      <c r="C385" s="72" t="s">
        <v>8</v>
      </c>
      <c r="D385" s="74">
        <v>800</v>
      </c>
      <c r="E385" s="76">
        <v>528</v>
      </c>
    </row>
    <row r="386" spans="1:5">
      <c r="A386" s="72" t="s">
        <v>118</v>
      </c>
      <c r="B386" s="135" t="s">
        <v>515</v>
      </c>
      <c r="C386" s="72" t="s">
        <v>9</v>
      </c>
      <c r="D386" s="74">
        <v>9300</v>
      </c>
      <c r="E386" s="76">
        <v>6138</v>
      </c>
    </row>
    <row r="387" spans="1:5">
      <c r="A387" s="72" t="s">
        <v>118</v>
      </c>
      <c r="B387" s="135" t="s">
        <v>515</v>
      </c>
      <c r="C387" s="113" t="s">
        <v>11</v>
      </c>
      <c r="D387" s="74">
        <v>32000</v>
      </c>
      <c r="E387" s="76">
        <v>21120</v>
      </c>
    </row>
    <row r="388" spans="1:5">
      <c r="A388" s="72" t="s">
        <v>118</v>
      </c>
      <c r="B388" s="135" t="s">
        <v>515</v>
      </c>
      <c r="C388" s="113" t="s">
        <v>13</v>
      </c>
      <c r="D388" s="74">
        <v>5200</v>
      </c>
      <c r="E388" s="76">
        <v>3432</v>
      </c>
    </row>
    <row r="389" spans="1:5">
      <c r="A389" s="72" t="s">
        <v>118</v>
      </c>
      <c r="B389" s="135" t="s">
        <v>515</v>
      </c>
      <c r="C389" s="113" t="s">
        <v>14</v>
      </c>
      <c r="D389" s="74">
        <v>209200</v>
      </c>
      <c r="E389" s="76">
        <v>138072</v>
      </c>
    </row>
    <row r="390" spans="1:5">
      <c r="A390" s="72" t="s">
        <v>118</v>
      </c>
      <c r="B390" s="135" t="s">
        <v>515</v>
      </c>
      <c r="C390" s="113" t="s">
        <v>15</v>
      </c>
      <c r="D390" s="74">
        <v>600</v>
      </c>
      <c r="E390" s="76">
        <v>396</v>
      </c>
    </row>
    <row r="391" spans="1:5">
      <c r="A391" s="72" t="s">
        <v>118</v>
      </c>
      <c r="B391" s="135" t="s">
        <v>515</v>
      </c>
      <c r="C391" s="113" t="s">
        <v>22</v>
      </c>
      <c r="D391" s="74">
        <v>3200</v>
      </c>
      <c r="E391" s="76">
        <v>2112</v>
      </c>
    </row>
    <row r="392" spans="1:5">
      <c r="A392" s="72" t="s">
        <v>118</v>
      </c>
      <c r="B392" s="135" t="s">
        <v>515</v>
      </c>
      <c r="C392" s="72" t="s">
        <v>64</v>
      </c>
      <c r="D392" s="74">
        <v>600</v>
      </c>
      <c r="E392" s="76">
        <v>396</v>
      </c>
    </row>
    <row r="393" spans="1:5">
      <c r="A393" s="72" t="s">
        <v>118</v>
      </c>
      <c r="B393" s="135" t="s">
        <v>515</v>
      </c>
      <c r="C393" s="72" t="s">
        <v>30</v>
      </c>
      <c r="D393" s="74">
        <v>264400</v>
      </c>
      <c r="E393" s="76">
        <v>174504</v>
      </c>
    </row>
    <row r="394" spans="1:5">
      <c r="A394" s="72" t="s">
        <v>118</v>
      </c>
      <c r="B394" s="135" t="s">
        <v>515</v>
      </c>
      <c r="C394" s="113" t="s">
        <v>32</v>
      </c>
      <c r="D394" s="74">
        <v>4400</v>
      </c>
      <c r="E394" s="76">
        <v>2904</v>
      </c>
    </row>
    <row r="395" spans="1:5">
      <c r="A395" s="72" t="s">
        <v>118</v>
      </c>
      <c r="B395" s="135" t="s">
        <v>515</v>
      </c>
      <c r="C395" s="113" t="s">
        <v>56</v>
      </c>
      <c r="D395" s="74">
        <v>600</v>
      </c>
      <c r="E395" s="76">
        <v>396</v>
      </c>
    </row>
    <row r="396" spans="1:5">
      <c r="A396" s="72"/>
      <c r="B396" s="72"/>
      <c r="C396" s="72"/>
      <c r="D396" s="74"/>
      <c r="E396" s="76"/>
    </row>
    <row r="397" spans="1:5">
      <c r="A397" s="72"/>
      <c r="B397" s="72"/>
      <c r="C397" s="72"/>
      <c r="D397" s="74"/>
      <c r="E397" s="76"/>
    </row>
    <row r="398" spans="1:5">
      <c r="A398" s="72" t="s">
        <v>119</v>
      </c>
      <c r="B398" s="72" t="s">
        <v>405</v>
      </c>
      <c r="C398" s="72" t="s">
        <v>120</v>
      </c>
      <c r="D398" s="74">
        <v>36902.46</v>
      </c>
      <c r="E398" s="104">
        <v>36902.46</v>
      </c>
    </row>
    <row r="399" spans="1:5">
      <c r="A399" s="72" t="s">
        <v>119</v>
      </c>
      <c r="B399" s="72" t="s">
        <v>405</v>
      </c>
      <c r="C399" s="72" t="s">
        <v>66</v>
      </c>
      <c r="D399" s="74">
        <v>10134.880000000016</v>
      </c>
      <c r="E399" s="104">
        <v>10134.880000000016</v>
      </c>
    </row>
    <row r="400" spans="1:5">
      <c r="A400" s="72" t="s">
        <v>119</v>
      </c>
      <c r="B400" s="72" t="s">
        <v>405</v>
      </c>
      <c r="C400" s="72" t="s">
        <v>382</v>
      </c>
      <c r="D400" s="74">
        <v>5431.9999999999991</v>
      </c>
      <c r="E400" s="104">
        <v>5431.9999999999991</v>
      </c>
    </row>
    <row r="401" spans="1:5">
      <c r="A401" s="72" t="s">
        <v>119</v>
      </c>
      <c r="B401" s="72" t="s">
        <v>405</v>
      </c>
      <c r="C401" s="72" t="s">
        <v>479</v>
      </c>
      <c r="D401" s="74">
        <v>2380</v>
      </c>
      <c r="E401" s="104">
        <v>2380</v>
      </c>
    </row>
    <row r="402" spans="1:5">
      <c r="A402" s="72" t="s">
        <v>119</v>
      </c>
      <c r="B402" s="72" t="s">
        <v>405</v>
      </c>
      <c r="C402" s="72" t="s">
        <v>8</v>
      </c>
      <c r="D402" s="74">
        <v>249729.76999999979</v>
      </c>
      <c r="E402" s="104">
        <v>249729.76999999979</v>
      </c>
    </row>
    <row r="403" spans="1:5">
      <c r="A403" s="72" t="s">
        <v>119</v>
      </c>
      <c r="B403" s="72" t="s">
        <v>405</v>
      </c>
      <c r="C403" s="72" t="s">
        <v>9</v>
      </c>
      <c r="D403" s="74">
        <v>39793.599999999933</v>
      </c>
      <c r="E403" s="104">
        <v>39793.599999999933</v>
      </c>
    </row>
    <row r="404" spans="1:5">
      <c r="A404" s="72" t="s">
        <v>119</v>
      </c>
      <c r="B404" s="72" t="s">
        <v>405</v>
      </c>
      <c r="C404" s="72" t="s">
        <v>10</v>
      </c>
      <c r="D404" s="74">
        <v>15820</v>
      </c>
      <c r="E404" s="104">
        <v>15820</v>
      </c>
    </row>
    <row r="405" spans="1:5">
      <c r="A405" s="72" t="s">
        <v>119</v>
      </c>
      <c r="B405" s="72" t="s">
        <v>405</v>
      </c>
      <c r="C405" s="72" t="s">
        <v>11</v>
      </c>
      <c r="D405" s="74">
        <v>338640.67999999993</v>
      </c>
      <c r="E405" s="104">
        <v>338640.67999999993</v>
      </c>
    </row>
    <row r="406" spans="1:5">
      <c r="A406" s="72" t="s">
        <v>119</v>
      </c>
      <c r="B406" s="72" t="s">
        <v>405</v>
      </c>
      <c r="C406" s="72" t="s">
        <v>12</v>
      </c>
      <c r="D406" s="74">
        <v>108210.47999999982</v>
      </c>
      <c r="E406" s="104">
        <v>108210.47999999982</v>
      </c>
    </row>
    <row r="407" spans="1:5">
      <c r="A407" s="72" t="s">
        <v>119</v>
      </c>
      <c r="B407" s="72" t="s">
        <v>405</v>
      </c>
      <c r="C407" s="72" t="s">
        <v>13</v>
      </c>
      <c r="D407" s="74">
        <v>168669.2</v>
      </c>
      <c r="E407" s="104">
        <v>168669.2</v>
      </c>
    </row>
    <row r="408" spans="1:5">
      <c r="A408" s="72" t="s">
        <v>119</v>
      </c>
      <c r="B408" s="72" t="s">
        <v>405</v>
      </c>
      <c r="C408" s="72" t="s">
        <v>90</v>
      </c>
      <c r="D408" s="74">
        <v>1928081.3599999989</v>
      </c>
      <c r="E408" s="104">
        <v>1928081.3599999989</v>
      </c>
    </row>
    <row r="409" spans="1:5">
      <c r="A409" s="72" t="s">
        <v>119</v>
      </c>
      <c r="B409" s="72" t="s">
        <v>405</v>
      </c>
      <c r="C409" s="72" t="s">
        <v>14</v>
      </c>
      <c r="D409" s="74">
        <v>12180</v>
      </c>
      <c r="E409" s="104">
        <v>12180</v>
      </c>
    </row>
    <row r="410" spans="1:5">
      <c r="A410" s="72" t="s">
        <v>119</v>
      </c>
      <c r="B410" s="72" t="s">
        <v>405</v>
      </c>
      <c r="C410" s="72" t="s">
        <v>16</v>
      </c>
      <c r="D410" s="74">
        <v>11877.600000000022</v>
      </c>
      <c r="E410" s="104">
        <v>11877.600000000022</v>
      </c>
    </row>
    <row r="411" spans="1:5">
      <c r="A411" s="72" t="s">
        <v>119</v>
      </c>
      <c r="B411" s="72" t="s">
        <v>405</v>
      </c>
      <c r="C411" s="72" t="s">
        <v>91</v>
      </c>
      <c r="D411" s="74">
        <v>7350</v>
      </c>
      <c r="E411" s="104">
        <v>7350</v>
      </c>
    </row>
    <row r="412" spans="1:5">
      <c r="A412" s="72" t="s">
        <v>119</v>
      </c>
      <c r="B412" s="72" t="s">
        <v>405</v>
      </c>
      <c r="C412" s="72" t="s">
        <v>53</v>
      </c>
      <c r="D412" s="74">
        <v>160575.37999999986</v>
      </c>
      <c r="E412" s="104">
        <v>160575.37999999986</v>
      </c>
    </row>
    <row r="413" spans="1:5">
      <c r="A413" s="72" t="s">
        <v>119</v>
      </c>
      <c r="B413" s="72" t="s">
        <v>405</v>
      </c>
      <c r="C413" s="72" t="s">
        <v>356</v>
      </c>
      <c r="D413" s="74">
        <v>85578.27</v>
      </c>
      <c r="E413" s="104">
        <v>85578.27</v>
      </c>
    </row>
    <row r="414" spans="1:5">
      <c r="A414" s="72" t="s">
        <v>119</v>
      </c>
      <c r="B414" s="72" t="s">
        <v>405</v>
      </c>
      <c r="C414" s="72" t="s">
        <v>18</v>
      </c>
      <c r="D414" s="74">
        <v>5670</v>
      </c>
      <c r="E414" s="104">
        <v>5670</v>
      </c>
    </row>
    <row r="415" spans="1:5">
      <c r="A415" s="72" t="s">
        <v>119</v>
      </c>
      <c r="B415" s="72" t="s">
        <v>405</v>
      </c>
      <c r="C415" s="72" t="s">
        <v>58</v>
      </c>
      <c r="D415" s="74">
        <v>2310</v>
      </c>
      <c r="E415" s="104">
        <v>2310</v>
      </c>
    </row>
    <row r="416" spans="1:5">
      <c r="A416" s="72" t="s">
        <v>119</v>
      </c>
      <c r="B416" s="72" t="s">
        <v>405</v>
      </c>
      <c r="C416" s="72" t="s">
        <v>195</v>
      </c>
      <c r="D416" s="74">
        <v>5443.2000000000025</v>
      </c>
      <c r="E416" s="104">
        <v>5443.2000000000025</v>
      </c>
    </row>
    <row r="417" spans="1:14">
      <c r="A417" s="72" t="s">
        <v>119</v>
      </c>
      <c r="B417" s="72" t="s">
        <v>405</v>
      </c>
      <c r="C417" s="72" t="s">
        <v>20</v>
      </c>
      <c r="D417" s="74">
        <v>7000</v>
      </c>
      <c r="E417" s="104">
        <v>7000</v>
      </c>
    </row>
    <row r="418" spans="1:14">
      <c r="A418" s="72" t="s">
        <v>119</v>
      </c>
      <c r="B418" s="72" t="s">
        <v>405</v>
      </c>
      <c r="C418" s="72" t="s">
        <v>21</v>
      </c>
      <c r="D418" s="74">
        <v>37093.279999999984</v>
      </c>
      <c r="E418" s="104">
        <v>37093.279999999984</v>
      </c>
    </row>
    <row r="419" spans="1:14">
      <c r="A419" s="72" t="s">
        <v>119</v>
      </c>
      <c r="B419" s="72" t="s">
        <v>405</v>
      </c>
      <c r="C419" s="72" t="s">
        <v>401</v>
      </c>
      <c r="D419" s="74">
        <v>13202.000000000002</v>
      </c>
      <c r="E419" s="104">
        <v>13202.000000000002</v>
      </c>
    </row>
    <row r="420" spans="1:14">
      <c r="A420" s="72" t="s">
        <v>119</v>
      </c>
      <c r="B420" s="72" t="s">
        <v>405</v>
      </c>
      <c r="C420" s="72" t="s">
        <v>22</v>
      </c>
      <c r="D420" s="74">
        <v>687902.1999999996</v>
      </c>
      <c r="E420" s="104">
        <v>687902.1999999996</v>
      </c>
    </row>
    <row r="421" spans="1:14">
      <c r="A421" s="72" t="s">
        <v>119</v>
      </c>
      <c r="B421" s="72" t="s">
        <v>405</v>
      </c>
      <c r="C421" s="72" t="s">
        <v>95</v>
      </c>
      <c r="D421" s="74">
        <v>5073.6000000000004</v>
      </c>
      <c r="E421" s="104">
        <v>5073.6000000000004</v>
      </c>
    </row>
    <row r="422" spans="1:14">
      <c r="A422" s="100" t="s">
        <v>119</v>
      </c>
      <c r="B422" s="100" t="s">
        <v>405</v>
      </c>
      <c r="C422" s="100" t="s">
        <v>79</v>
      </c>
      <c r="D422" s="102">
        <v>151.19999999999999</v>
      </c>
      <c r="E422" s="104">
        <v>151.19999999999999</v>
      </c>
      <c r="F422"/>
      <c r="G422"/>
      <c r="H422"/>
      <c r="I422"/>
      <c r="J422"/>
      <c r="K422"/>
      <c r="L422"/>
      <c r="M422"/>
      <c r="N422"/>
    </row>
    <row r="423" spans="1:14">
      <c r="A423" s="100" t="s">
        <v>119</v>
      </c>
      <c r="B423" s="100" t="s">
        <v>405</v>
      </c>
      <c r="C423" s="100" t="s">
        <v>23</v>
      </c>
      <c r="D423" s="102">
        <v>140</v>
      </c>
      <c r="E423" s="104">
        <v>140</v>
      </c>
      <c r="F423"/>
      <c r="G423"/>
      <c r="H423"/>
      <c r="I423"/>
      <c r="J423"/>
      <c r="K423"/>
      <c r="L423"/>
      <c r="M423"/>
      <c r="N423"/>
    </row>
    <row r="424" spans="1:14">
      <c r="A424" s="100" t="s">
        <v>119</v>
      </c>
      <c r="B424" s="100" t="s">
        <v>405</v>
      </c>
      <c r="C424" s="100" t="s">
        <v>54</v>
      </c>
      <c r="D424" s="102">
        <v>140</v>
      </c>
      <c r="E424" s="104">
        <v>140</v>
      </c>
      <c r="F424"/>
      <c r="G424"/>
      <c r="H424"/>
      <c r="I424"/>
      <c r="J424"/>
      <c r="K424"/>
      <c r="L424"/>
      <c r="M424"/>
      <c r="N424"/>
    </row>
    <row r="425" spans="1:14">
      <c r="A425" s="100" t="s">
        <v>119</v>
      </c>
      <c r="B425" s="100" t="s">
        <v>405</v>
      </c>
      <c r="C425" s="100" t="s">
        <v>121</v>
      </c>
      <c r="D425" s="102">
        <v>15960</v>
      </c>
      <c r="E425" s="104">
        <v>15960</v>
      </c>
      <c r="F425"/>
      <c r="G425"/>
      <c r="H425"/>
      <c r="I425"/>
      <c r="J425"/>
      <c r="K425"/>
      <c r="L425"/>
      <c r="M425"/>
      <c r="N425"/>
    </row>
    <row r="426" spans="1:14">
      <c r="A426" s="100" t="s">
        <v>119</v>
      </c>
      <c r="B426" s="100" t="s">
        <v>405</v>
      </c>
      <c r="C426" s="100" t="s">
        <v>219</v>
      </c>
      <c r="D426" s="102">
        <v>111960.8</v>
      </c>
      <c r="E426" s="104">
        <v>111960.8</v>
      </c>
      <c r="F426"/>
      <c r="G426"/>
      <c r="H426"/>
      <c r="I426"/>
      <c r="J426"/>
      <c r="K426"/>
      <c r="L426"/>
      <c r="M426"/>
      <c r="N426"/>
    </row>
    <row r="427" spans="1:14">
      <c r="A427" s="100" t="s">
        <v>119</v>
      </c>
      <c r="B427" s="100" t="s">
        <v>405</v>
      </c>
      <c r="C427" s="100" t="s">
        <v>417</v>
      </c>
      <c r="D427" s="102">
        <v>2570.4</v>
      </c>
      <c r="E427" s="104">
        <v>2570.4</v>
      </c>
      <c r="F427"/>
      <c r="G427"/>
      <c r="H427"/>
      <c r="I427"/>
      <c r="J427"/>
      <c r="K427"/>
      <c r="L427"/>
      <c r="M427"/>
      <c r="N427"/>
    </row>
    <row r="428" spans="1:14">
      <c r="A428" s="100" t="s">
        <v>119</v>
      </c>
      <c r="B428" s="100" t="s">
        <v>405</v>
      </c>
      <c r="C428" s="100" t="s">
        <v>101</v>
      </c>
      <c r="D428" s="102">
        <v>453.59999999999997</v>
      </c>
      <c r="E428" s="104">
        <v>453.59999999999997</v>
      </c>
      <c r="F428"/>
      <c r="G428"/>
      <c r="H428"/>
      <c r="I428"/>
      <c r="J428"/>
      <c r="K428"/>
      <c r="L428"/>
      <c r="M428"/>
      <c r="N428"/>
    </row>
    <row r="429" spans="1:14">
      <c r="A429" s="100" t="s">
        <v>119</v>
      </c>
      <c r="B429" s="100" t="s">
        <v>405</v>
      </c>
      <c r="C429" s="100" t="s">
        <v>390</v>
      </c>
      <c r="D429" s="102">
        <v>343658.8299999999</v>
      </c>
      <c r="E429" s="104">
        <v>343658.8299999999</v>
      </c>
      <c r="F429"/>
      <c r="G429"/>
      <c r="H429"/>
      <c r="I429"/>
      <c r="J429"/>
      <c r="K429"/>
      <c r="L429"/>
      <c r="M429"/>
      <c r="N429"/>
    </row>
    <row r="430" spans="1:14">
      <c r="A430" s="72" t="s">
        <v>119</v>
      </c>
      <c r="B430" s="72" t="s">
        <v>405</v>
      </c>
      <c r="C430" s="72" t="s">
        <v>55</v>
      </c>
      <c r="D430" s="74">
        <v>6720</v>
      </c>
      <c r="E430" s="104">
        <v>6720</v>
      </c>
    </row>
    <row r="431" spans="1:14">
      <c r="A431" s="72" t="s">
        <v>119</v>
      </c>
      <c r="B431" s="72" t="s">
        <v>405</v>
      </c>
      <c r="C431" s="72" t="s">
        <v>480</v>
      </c>
      <c r="D431" s="74">
        <v>210</v>
      </c>
      <c r="E431" s="104">
        <v>210</v>
      </c>
    </row>
    <row r="432" spans="1:14">
      <c r="A432" s="72" t="s">
        <v>119</v>
      </c>
      <c r="B432" s="72" t="s">
        <v>405</v>
      </c>
      <c r="C432" s="72" t="s">
        <v>111</v>
      </c>
      <c r="D432" s="74">
        <v>9724.4</v>
      </c>
      <c r="E432" s="104">
        <v>9724.4</v>
      </c>
    </row>
    <row r="433" spans="1:5">
      <c r="A433" s="72" t="s">
        <v>119</v>
      </c>
      <c r="B433" s="72" t="s">
        <v>405</v>
      </c>
      <c r="C433" s="72" t="s">
        <v>29</v>
      </c>
      <c r="D433" s="74">
        <v>39024.159999999989</v>
      </c>
      <c r="E433" s="104">
        <v>39024.159999999989</v>
      </c>
    </row>
    <row r="434" spans="1:5">
      <c r="A434" s="72" t="s">
        <v>119</v>
      </c>
      <c r="B434" s="72" t="s">
        <v>405</v>
      </c>
      <c r="C434" s="72" t="s">
        <v>30</v>
      </c>
      <c r="D434" s="74">
        <v>724166.62000000058</v>
      </c>
      <c r="E434" s="104">
        <v>724166.62000000058</v>
      </c>
    </row>
    <row r="435" spans="1:5">
      <c r="A435" s="72" t="s">
        <v>119</v>
      </c>
      <c r="B435" s="72" t="s">
        <v>405</v>
      </c>
      <c r="C435" s="72" t="s">
        <v>32</v>
      </c>
      <c r="D435" s="74">
        <v>11440.800000000017</v>
      </c>
      <c r="E435" s="104">
        <v>11440.800000000017</v>
      </c>
    </row>
    <row r="436" spans="1:5">
      <c r="A436" s="72" t="s">
        <v>119</v>
      </c>
      <c r="B436" s="72" t="s">
        <v>405</v>
      </c>
      <c r="C436" s="72" t="s">
        <v>413</v>
      </c>
      <c r="D436" s="74">
        <v>1820</v>
      </c>
      <c r="E436" s="104">
        <v>1820</v>
      </c>
    </row>
    <row r="437" spans="1:5">
      <c r="A437" s="72" t="s">
        <v>119</v>
      </c>
      <c r="B437" s="72" t="s">
        <v>405</v>
      </c>
      <c r="C437" s="72" t="s">
        <v>360</v>
      </c>
      <c r="D437" s="74">
        <v>1182681.3100000003</v>
      </c>
      <c r="E437" s="104">
        <v>1182681.3100000003</v>
      </c>
    </row>
    <row r="438" spans="1:5">
      <c r="A438" s="72" t="s">
        <v>119</v>
      </c>
      <c r="B438" s="72" t="s">
        <v>405</v>
      </c>
      <c r="C438" s="72" t="s">
        <v>373</v>
      </c>
      <c r="D438" s="74">
        <v>140</v>
      </c>
      <c r="E438" s="104">
        <v>140</v>
      </c>
    </row>
    <row r="439" spans="1:5">
      <c r="A439" s="72" t="s">
        <v>119</v>
      </c>
      <c r="B439" s="72" t="s">
        <v>405</v>
      </c>
      <c r="C439" s="72" t="s">
        <v>62</v>
      </c>
      <c r="D439" s="74">
        <v>560</v>
      </c>
      <c r="E439" s="104">
        <v>560</v>
      </c>
    </row>
    <row r="440" spans="1:5">
      <c r="A440" s="72" t="s">
        <v>119</v>
      </c>
      <c r="B440" s="72" t="s">
        <v>405</v>
      </c>
      <c r="C440" s="72" t="s">
        <v>57</v>
      </c>
      <c r="D440" s="74">
        <v>4670.4000000000005</v>
      </c>
      <c r="E440" s="104">
        <v>4670.4000000000005</v>
      </c>
    </row>
    <row r="441" spans="1:5">
      <c r="A441" s="72" t="s">
        <v>119</v>
      </c>
      <c r="B441" s="72" t="s">
        <v>405</v>
      </c>
      <c r="C441" s="72" t="s">
        <v>112</v>
      </c>
      <c r="D441" s="74">
        <v>140</v>
      </c>
      <c r="E441" s="104">
        <v>140</v>
      </c>
    </row>
    <row r="442" spans="1:5">
      <c r="A442" s="72" t="s">
        <v>119</v>
      </c>
      <c r="B442" s="72" t="s">
        <v>405</v>
      </c>
      <c r="C442" s="72" t="s">
        <v>70</v>
      </c>
      <c r="D442" s="74">
        <v>2116.8000000000002</v>
      </c>
      <c r="E442" s="104">
        <v>2116.8000000000002</v>
      </c>
    </row>
    <row r="443" spans="1:5">
      <c r="A443" s="72" t="s">
        <v>119</v>
      </c>
      <c r="B443" s="72" t="s">
        <v>405</v>
      </c>
      <c r="C443" s="72" t="s">
        <v>38</v>
      </c>
      <c r="D443" s="74">
        <v>118598.94000000006</v>
      </c>
      <c r="E443" s="104">
        <v>118598.94000000006</v>
      </c>
    </row>
    <row r="444" spans="1:5">
      <c r="A444" s="72" t="s">
        <v>119</v>
      </c>
      <c r="B444" s="72" t="s">
        <v>405</v>
      </c>
      <c r="C444" s="72" t="s">
        <v>56</v>
      </c>
      <c r="D444" s="74">
        <v>9794.4</v>
      </c>
      <c r="E444" s="104">
        <v>9794.4</v>
      </c>
    </row>
    <row r="445" spans="1:5">
      <c r="A445" s="72" t="s">
        <v>119</v>
      </c>
      <c r="B445" s="72" t="s">
        <v>405</v>
      </c>
      <c r="C445" s="72" t="s">
        <v>122</v>
      </c>
      <c r="D445" s="74">
        <v>210</v>
      </c>
      <c r="E445" s="104">
        <v>210</v>
      </c>
    </row>
    <row r="446" spans="1:5">
      <c r="A446" s="72" t="s">
        <v>119</v>
      </c>
      <c r="B446" s="72" t="s">
        <v>405</v>
      </c>
      <c r="C446" s="72" t="s">
        <v>40</v>
      </c>
      <c r="D446" s="74">
        <v>140</v>
      </c>
      <c r="E446" s="104">
        <v>140</v>
      </c>
    </row>
    <row r="447" spans="1:5">
      <c r="A447" s="72" t="s">
        <v>119</v>
      </c>
      <c r="B447" s="72" t="s">
        <v>405</v>
      </c>
      <c r="C447" s="72" t="s">
        <v>80</v>
      </c>
      <c r="D447" s="74">
        <v>8419.33</v>
      </c>
      <c r="E447" s="104">
        <v>8419.33</v>
      </c>
    </row>
    <row r="448" spans="1:5">
      <c r="A448" s="72" t="s">
        <v>119</v>
      </c>
      <c r="B448" s="72" t="s">
        <v>405</v>
      </c>
      <c r="C448" s="72" t="s">
        <v>104</v>
      </c>
      <c r="D448" s="74">
        <v>27803.999999999964</v>
      </c>
      <c r="E448" s="104">
        <v>27803.999999999964</v>
      </c>
    </row>
    <row r="449" spans="1:5">
      <c r="A449" s="72"/>
      <c r="B449" s="72"/>
      <c r="C449" s="72"/>
      <c r="D449" s="74"/>
      <c r="E449" s="76"/>
    </row>
    <row r="450" spans="1:5">
      <c r="A450" s="72" t="s">
        <v>123</v>
      </c>
      <c r="B450" s="72" t="s">
        <v>397</v>
      </c>
      <c r="C450" s="72" t="s">
        <v>124</v>
      </c>
      <c r="D450" s="114">
        <v>7380</v>
      </c>
      <c r="E450" s="76">
        <v>7380</v>
      </c>
    </row>
    <row r="451" spans="1:5">
      <c r="A451" s="72" t="s">
        <v>123</v>
      </c>
      <c r="B451" s="72" t="s">
        <v>397</v>
      </c>
      <c r="C451" s="72" t="s">
        <v>125</v>
      </c>
      <c r="D451" s="114">
        <v>95760</v>
      </c>
      <c r="E451" s="76">
        <v>95760</v>
      </c>
    </row>
    <row r="452" spans="1:5">
      <c r="A452" s="72" t="s">
        <v>123</v>
      </c>
      <c r="B452" s="72" t="s">
        <v>397</v>
      </c>
      <c r="C452" s="72" t="s">
        <v>126</v>
      </c>
      <c r="D452" s="114">
        <v>42840</v>
      </c>
      <c r="E452" s="76">
        <v>42840</v>
      </c>
    </row>
    <row r="453" spans="1:5">
      <c r="A453" s="72" t="s">
        <v>123</v>
      </c>
      <c r="B453" s="72" t="s">
        <v>397</v>
      </c>
      <c r="C453" s="72" t="s">
        <v>127</v>
      </c>
      <c r="D453" s="114">
        <v>1880820</v>
      </c>
      <c r="E453" s="76">
        <v>1880820</v>
      </c>
    </row>
    <row r="454" spans="1:5">
      <c r="A454" s="72" t="s">
        <v>123</v>
      </c>
      <c r="B454" s="72" t="s">
        <v>397</v>
      </c>
      <c r="C454" s="72" t="s">
        <v>83</v>
      </c>
      <c r="D454" s="114">
        <v>54900</v>
      </c>
      <c r="E454" s="76">
        <v>54900</v>
      </c>
    </row>
    <row r="455" spans="1:5">
      <c r="A455" s="72" t="s">
        <v>123</v>
      </c>
      <c r="B455" s="72" t="s">
        <v>397</v>
      </c>
      <c r="C455" s="72" t="s">
        <v>128</v>
      </c>
      <c r="D455" s="114">
        <v>3644460</v>
      </c>
      <c r="E455" s="76">
        <v>3644460</v>
      </c>
    </row>
    <row r="456" spans="1:5">
      <c r="A456" s="72" t="s">
        <v>123</v>
      </c>
      <c r="B456" s="72" t="s">
        <v>397</v>
      </c>
      <c r="C456" s="72" t="s">
        <v>129</v>
      </c>
      <c r="D456" s="114">
        <v>845820</v>
      </c>
      <c r="E456" s="76">
        <v>845820</v>
      </c>
    </row>
    <row r="457" spans="1:5">
      <c r="A457" s="72" t="s">
        <v>123</v>
      </c>
      <c r="B457" s="72" t="s">
        <v>397</v>
      </c>
      <c r="C457" s="72" t="s">
        <v>130</v>
      </c>
      <c r="D457" s="114">
        <v>406260</v>
      </c>
      <c r="E457" s="76">
        <v>406260</v>
      </c>
    </row>
    <row r="458" spans="1:5">
      <c r="A458" s="72" t="s">
        <v>123</v>
      </c>
      <c r="B458" s="72" t="s">
        <v>397</v>
      </c>
      <c r="C458" s="72" t="s">
        <v>131</v>
      </c>
      <c r="D458" s="114">
        <v>284400</v>
      </c>
      <c r="E458" s="76">
        <v>284400</v>
      </c>
    </row>
    <row r="459" spans="1:5">
      <c r="A459" s="72" t="s">
        <v>123</v>
      </c>
      <c r="B459" s="72" t="s">
        <v>397</v>
      </c>
      <c r="C459" s="72" t="s">
        <v>132</v>
      </c>
      <c r="D459" s="114">
        <v>372060</v>
      </c>
      <c r="E459" s="76">
        <v>372060</v>
      </c>
    </row>
    <row r="460" spans="1:5">
      <c r="A460" s="72" t="s">
        <v>123</v>
      </c>
      <c r="B460" s="72" t="s">
        <v>397</v>
      </c>
      <c r="C460" s="72" t="s">
        <v>133</v>
      </c>
      <c r="D460" s="114">
        <v>243180</v>
      </c>
      <c r="E460" s="76">
        <v>243180</v>
      </c>
    </row>
    <row r="461" spans="1:5">
      <c r="A461" s="72" t="s">
        <v>123</v>
      </c>
      <c r="B461" s="72" t="s">
        <v>397</v>
      </c>
      <c r="C461" s="72" t="s">
        <v>134</v>
      </c>
      <c r="D461" s="114">
        <v>198720</v>
      </c>
      <c r="E461" s="76">
        <v>198720</v>
      </c>
    </row>
    <row r="462" spans="1:5">
      <c r="A462" s="72" t="s">
        <v>123</v>
      </c>
      <c r="B462" s="72" t="s">
        <v>397</v>
      </c>
      <c r="C462" s="72" t="s">
        <v>395</v>
      </c>
      <c r="D462" s="114">
        <v>113400</v>
      </c>
      <c r="E462" s="76">
        <v>113400</v>
      </c>
    </row>
    <row r="463" spans="1:5">
      <c r="A463" s="72" t="s">
        <v>123</v>
      </c>
      <c r="B463" s="72" t="s">
        <v>397</v>
      </c>
      <c r="C463" s="72" t="s">
        <v>135</v>
      </c>
      <c r="D463" s="114">
        <v>1026000</v>
      </c>
      <c r="E463" s="76">
        <v>1026000</v>
      </c>
    </row>
    <row r="464" spans="1:5">
      <c r="A464" s="72" t="s">
        <v>123</v>
      </c>
      <c r="B464" s="72" t="s">
        <v>397</v>
      </c>
      <c r="C464" s="72" t="s">
        <v>136</v>
      </c>
      <c r="D464" s="114">
        <v>307980</v>
      </c>
      <c r="E464" s="76">
        <v>307980</v>
      </c>
    </row>
    <row r="465" spans="1:5">
      <c r="A465" s="72" t="s">
        <v>123</v>
      </c>
      <c r="B465" s="72" t="s">
        <v>397</v>
      </c>
      <c r="C465" s="72" t="s">
        <v>137</v>
      </c>
      <c r="D465" s="114">
        <v>419940</v>
      </c>
      <c r="E465" s="76">
        <v>419940</v>
      </c>
    </row>
    <row r="466" spans="1:5">
      <c r="A466" s="72" t="s">
        <v>123</v>
      </c>
      <c r="B466" s="72" t="s">
        <v>397</v>
      </c>
      <c r="C466" s="72" t="s">
        <v>396</v>
      </c>
      <c r="D466" s="114">
        <v>902880</v>
      </c>
      <c r="E466" s="76">
        <v>902880</v>
      </c>
    </row>
    <row r="467" spans="1:5">
      <c r="A467" s="72"/>
      <c r="B467" s="72"/>
      <c r="C467" s="72"/>
      <c r="D467" s="114"/>
      <c r="E467" s="76"/>
    </row>
    <row r="468" spans="1:5">
      <c r="A468" s="72"/>
      <c r="B468" s="72"/>
      <c r="C468" s="72"/>
      <c r="D468" s="114"/>
      <c r="E468" s="76"/>
    </row>
    <row r="469" spans="1:5">
      <c r="A469" s="72" t="s">
        <v>138</v>
      </c>
      <c r="B469" s="72" t="s">
        <v>405</v>
      </c>
      <c r="C469" s="72" t="s">
        <v>46</v>
      </c>
      <c r="D469" s="115">
        <v>647225</v>
      </c>
      <c r="E469" s="76">
        <v>647225</v>
      </c>
    </row>
    <row r="470" spans="1:5">
      <c r="A470" s="72" t="s">
        <v>138</v>
      </c>
      <c r="B470" s="72" t="s">
        <v>405</v>
      </c>
      <c r="C470" s="72" t="s">
        <v>361</v>
      </c>
      <c r="D470" s="115">
        <v>159503</v>
      </c>
      <c r="E470" s="76">
        <v>159503</v>
      </c>
    </row>
    <row r="471" spans="1:5">
      <c r="A471" s="72" t="s">
        <v>138</v>
      </c>
      <c r="B471" s="72" t="s">
        <v>405</v>
      </c>
      <c r="C471" s="72" t="s">
        <v>255</v>
      </c>
      <c r="D471" s="115">
        <v>118465</v>
      </c>
      <c r="E471" s="76">
        <v>118465</v>
      </c>
    </row>
    <row r="472" spans="1:5">
      <c r="A472" s="72" t="s">
        <v>138</v>
      </c>
      <c r="B472" s="72" t="s">
        <v>405</v>
      </c>
      <c r="C472" s="72" t="s">
        <v>140</v>
      </c>
      <c r="D472" s="115">
        <v>115103</v>
      </c>
      <c r="E472" s="76">
        <v>115103</v>
      </c>
    </row>
    <row r="473" spans="1:5">
      <c r="A473" s="72" t="s">
        <v>138</v>
      </c>
      <c r="B473" s="72" t="s">
        <v>405</v>
      </c>
      <c r="C473" s="72" t="s">
        <v>44</v>
      </c>
      <c r="D473" s="115">
        <v>107244</v>
      </c>
      <c r="E473" s="76">
        <v>107244</v>
      </c>
    </row>
    <row r="474" spans="1:5">
      <c r="A474" s="72" t="s">
        <v>138</v>
      </c>
      <c r="B474" s="72" t="s">
        <v>405</v>
      </c>
      <c r="C474" s="72" t="s">
        <v>59</v>
      </c>
      <c r="D474" s="115">
        <v>105113</v>
      </c>
      <c r="E474" s="76">
        <v>105113</v>
      </c>
    </row>
    <row r="475" spans="1:5">
      <c r="A475" s="72" t="s">
        <v>138</v>
      </c>
      <c r="B475" s="72" t="s">
        <v>405</v>
      </c>
      <c r="C475" s="72" t="s">
        <v>58</v>
      </c>
      <c r="D475" s="115">
        <v>86669</v>
      </c>
      <c r="E475" s="76">
        <v>86669</v>
      </c>
    </row>
    <row r="476" spans="1:5">
      <c r="A476" s="72" t="s">
        <v>138</v>
      </c>
      <c r="B476" s="72" t="s">
        <v>405</v>
      </c>
      <c r="C476" s="72" t="s">
        <v>55</v>
      </c>
      <c r="D476" s="115">
        <v>77579</v>
      </c>
      <c r="E476" s="76">
        <v>77579</v>
      </c>
    </row>
    <row r="477" spans="1:5">
      <c r="A477" s="72" t="s">
        <v>138</v>
      </c>
      <c r="B477" s="72" t="s">
        <v>405</v>
      </c>
      <c r="C477" s="72" t="s">
        <v>36</v>
      </c>
      <c r="D477" s="115">
        <v>53366</v>
      </c>
      <c r="E477" s="76">
        <v>53366</v>
      </c>
    </row>
    <row r="478" spans="1:5">
      <c r="A478" s="72" t="s">
        <v>138</v>
      </c>
      <c r="B478" s="72" t="s">
        <v>405</v>
      </c>
      <c r="C478" s="72" t="s">
        <v>130</v>
      </c>
      <c r="D478" s="115">
        <v>51124</v>
      </c>
      <c r="E478" s="76">
        <v>51124</v>
      </c>
    </row>
    <row r="479" spans="1:5">
      <c r="A479" s="72" t="s">
        <v>138</v>
      </c>
      <c r="B479" s="72" t="s">
        <v>405</v>
      </c>
      <c r="C479" s="72" t="s">
        <v>466</v>
      </c>
      <c r="D479" s="115">
        <v>46669</v>
      </c>
      <c r="E479" s="76">
        <v>46669</v>
      </c>
    </row>
    <row r="480" spans="1:5">
      <c r="A480" s="72" t="s">
        <v>138</v>
      </c>
      <c r="B480" s="72" t="s">
        <v>405</v>
      </c>
      <c r="C480" s="72" t="s">
        <v>64</v>
      </c>
      <c r="D480" s="115">
        <v>35932</v>
      </c>
      <c r="E480" s="76">
        <v>35932</v>
      </c>
    </row>
    <row r="481" spans="1:14">
      <c r="A481" s="72" t="s">
        <v>138</v>
      </c>
      <c r="B481" s="72" t="s">
        <v>405</v>
      </c>
      <c r="C481" s="72" t="s">
        <v>467</v>
      </c>
      <c r="D481" s="115">
        <v>17862</v>
      </c>
      <c r="E481" s="76">
        <v>17862</v>
      </c>
    </row>
    <row r="482" spans="1:14">
      <c r="A482" s="72" t="s">
        <v>138</v>
      </c>
      <c r="B482" s="72" t="s">
        <v>405</v>
      </c>
      <c r="C482" s="72" t="s">
        <v>23</v>
      </c>
      <c r="D482" s="115">
        <v>17074</v>
      </c>
      <c r="E482" s="76">
        <v>17074</v>
      </c>
    </row>
    <row r="483" spans="1:14">
      <c r="A483" s="72" t="s">
        <v>138</v>
      </c>
      <c r="B483" s="72" t="s">
        <v>405</v>
      </c>
      <c r="C483" s="72" t="s">
        <v>124</v>
      </c>
      <c r="D483" s="115">
        <v>14307</v>
      </c>
      <c r="E483" s="76">
        <v>14307</v>
      </c>
    </row>
    <row r="484" spans="1:14">
      <c r="A484" s="72" t="s">
        <v>138</v>
      </c>
      <c r="B484" s="72" t="s">
        <v>405</v>
      </c>
      <c r="C484" s="72" t="s">
        <v>372</v>
      </c>
      <c r="D484" s="115">
        <v>12909</v>
      </c>
      <c r="E484" s="76">
        <v>12909</v>
      </c>
    </row>
    <row r="485" spans="1:14">
      <c r="A485" s="116" t="s">
        <v>141</v>
      </c>
      <c r="B485" s="72" t="s">
        <v>405</v>
      </c>
      <c r="C485" s="72" t="s">
        <v>59</v>
      </c>
      <c r="D485" s="114">
        <v>125549</v>
      </c>
      <c r="E485" s="76">
        <v>125549</v>
      </c>
    </row>
    <row r="486" spans="1:14">
      <c r="A486" s="116" t="s">
        <v>141</v>
      </c>
      <c r="B486" s="72" t="s">
        <v>405</v>
      </c>
      <c r="C486" s="72" t="s">
        <v>465</v>
      </c>
      <c r="D486" s="114">
        <v>105473</v>
      </c>
      <c r="E486" s="76">
        <v>105473</v>
      </c>
    </row>
    <row r="487" spans="1:14">
      <c r="A487" s="116" t="s">
        <v>141</v>
      </c>
      <c r="B487" s="72" t="s">
        <v>405</v>
      </c>
      <c r="C487" s="72" t="s">
        <v>44</v>
      </c>
      <c r="D487" s="114">
        <v>54099</v>
      </c>
      <c r="E487" s="76">
        <v>54099</v>
      </c>
    </row>
    <row r="488" spans="1:14">
      <c r="A488" s="72"/>
      <c r="B488" s="72"/>
      <c r="C488" s="72"/>
      <c r="D488" s="114"/>
      <c r="E488" s="76"/>
    </row>
    <row r="489" spans="1:14">
      <c r="A489" s="72"/>
      <c r="B489" s="72"/>
      <c r="C489" s="72"/>
      <c r="D489" s="114"/>
      <c r="E489" s="76"/>
    </row>
    <row r="490" spans="1:14">
      <c r="A490" s="72" t="s">
        <v>142</v>
      </c>
      <c r="B490" s="72" t="s">
        <v>405</v>
      </c>
      <c r="C490" s="72" t="s">
        <v>55</v>
      </c>
      <c r="D490" s="74">
        <v>71333</v>
      </c>
      <c r="E490" s="76">
        <v>71333</v>
      </c>
    </row>
    <row r="491" spans="1:14">
      <c r="A491" s="72" t="s">
        <v>142</v>
      </c>
      <c r="B491" s="72" t="s">
        <v>405</v>
      </c>
      <c r="C491" s="72" t="s">
        <v>143</v>
      </c>
      <c r="D491" s="74">
        <v>715297</v>
      </c>
      <c r="E491" s="76">
        <v>715297</v>
      </c>
    </row>
    <row r="492" spans="1:14">
      <c r="A492" s="72" t="s">
        <v>142</v>
      </c>
      <c r="B492" s="72" t="s">
        <v>405</v>
      </c>
      <c r="C492" s="72" t="s">
        <v>62</v>
      </c>
      <c r="D492" s="74">
        <v>3115</v>
      </c>
      <c r="E492" s="76">
        <v>3115</v>
      </c>
    </row>
    <row r="493" spans="1:14">
      <c r="A493" s="72" t="s">
        <v>142</v>
      </c>
      <c r="B493" s="72" t="s">
        <v>405</v>
      </c>
      <c r="C493" s="72" t="s">
        <v>484</v>
      </c>
      <c r="D493" s="74">
        <v>863</v>
      </c>
      <c r="E493" s="76">
        <v>863</v>
      </c>
    </row>
    <row r="494" spans="1:14">
      <c r="A494" s="72" t="s">
        <v>142</v>
      </c>
      <c r="B494" s="72" t="s">
        <v>405</v>
      </c>
      <c r="C494" s="72" t="s">
        <v>115</v>
      </c>
      <c r="D494" s="74">
        <v>115954</v>
      </c>
      <c r="E494" s="76">
        <v>115954</v>
      </c>
    </row>
    <row r="495" spans="1:14">
      <c r="A495" s="72" t="s">
        <v>142</v>
      </c>
      <c r="B495" s="72" t="s">
        <v>405</v>
      </c>
      <c r="C495" s="72" t="s">
        <v>91</v>
      </c>
      <c r="D495" s="74">
        <v>104338</v>
      </c>
      <c r="E495" s="76">
        <v>104338</v>
      </c>
    </row>
    <row r="496" spans="1:14">
      <c r="A496" s="100" t="s">
        <v>142</v>
      </c>
      <c r="B496" s="100" t="s">
        <v>405</v>
      </c>
      <c r="C496" s="100" t="s">
        <v>88</v>
      </c>
      <c r="D496" s="102">
        <v>34096</v>
      </c>
      <c r="E496" s="104">
        <v>34096</v>
      </c>
      <c r="F496"/>
      <c r="G496"/>
      <c r="H496"/>
      <c r="I496"/>
      <c r="J496"/>
      <c r="K496"/>
      <c r="L496"/>
      <c r="M496"/>
      <c r="N496"/>
    </row>
    <row r="497" spans="1:14">
      <c r="A497" s="100" t="s">
        <v>142</v>
      </c>
      <c r="B497" s="100" t="s">
        <v>405</v>
      </c>
      <c r="C497" s="100" t="s">
        <v>23</v>
      </c>
      <c r="D497" s="102">
        <v>11858</v>
      </c>
      <c r="E497" s="104">
        <v>11858</v>
      </c>
      <c r="F497"/>
      <c r="G497"/>
      <c r="H497"/>
      <c r="I497"/>
      <c r="J497"/>
      <c r="K497"/>
      <c r="L497"/>
      <c r="M497"/>
      <c r="N497"/>
    </row>
    <row r="498" spans="1:14">
      <c r="A498" s="100" t="s">
        <v>142</v>
      </c>
      <c r="B498" s="100" t="s">
        <v>405</v>
      </c>
      <c r="C498" s="100" t="s">
        <v>66</v>
      </c>
      <c r="D498" s="102">
        <v>97767</v>
      </c>
      <c r="E498" s="104">
        <v>97767</v>
      </c>
      <c r="F498"/>
      <c r="G498"/>
      <c r="H498"/>
      <c r="I498"/>
      <c r="J498"/>
      <c r="K498"/>
      <c r="L498"/>
      <c r="M498"/>
      <c r="N498"/>
    </row>
    <row r="499" spans="1:14">
      <c r="A499" s="100" t="s">
        <v>142</v>
      </c>
      <c r="B499" s="100" t="s">
        <v>405</v>
      </c>
      <c r="C499" s="100" t="s">
        <v>144</v>
      </c>
      <c r="D499" s="102">
        <v>9662839</v>
      </c>
      <c r="E499" s="104">
        <v>9662839</v>
      </c>
      <c r="F499"/>
      <c r="G499"/>
      <c r="H499"/>
      <c r="I499"/>
      <c r="J499"/>
      <c r="K499"/>
      <c r="L499"/>
      <c r="M499"/>
      <c r="N499"/>
    </row>
    <row r="500" spans="1:14">
      <c r="A500" s="100" t="s">
        <v>142</v>
      </c>
      <c r="B500" s="100" t="s">
        <v>405</v>
      </c>
      <c r="C500" s="100" t="s">
        <v>36</v>
      </c>
      <c r="D500" s="102">
        <v>75444</v>
      </c>
      <c r="E500" s="104">
        <v>75444</v>
      </c>
      <c r="F500"/>
      <c r="G500"/>
      <c r="H500"/>
      <c r="I500"/>
      <c r="J500"/>
      <c r="K500"/>
      <c r="L500"/>
      <c r="M500"/>
      <c r="N500"/>
    </row>
    <row r="501" spans="1:14">
      <c r="A501" s="72" t="s">
        <v>142</v>
      </c>
      <c r="B501" s="72" t="s">
        <v>405</v>
      </c>
      <c r="C501" s="72" t="s">
        <v>43</v>
      </c>
      <c r="D501" s="74">
        <v>299693</v>
      </c>
      <c r="E501" s="76">
        <v>299693</v>
      </c>
    </row>
    <row r="502" spans="1:14">
      <c r="A502" s="72" t="s">
        <v>142</v>
      </c>
      <c r="B502" s="72" t="s">
        <v>405</v>
      </c>
      <c r="C502" s="72" t="s">
        <v>146</v>
      </c>
      <c r="D502" s="74">
        <v>262508</v>
      </c>
      <c r="E502" s="76">
        <v>262508</v>
      </c>
    </row>
    <row r="503" spans="1:14">
      <c r="A503" s="72" t="s">
        <v>142</v>
      </c>
      <c r="B503" s="72" t="s">
        <v>405</v>
      </c>
      <c r="C503" s="72" t="s">
        <v>44</v>
      </c>
      <c r="D503" s="74">
        <v>22558</v>
      </c>
      <c r="E503" s="76">
        <v>22558</v>
      </c>
    </row>
    <row r="504" spans="1:14">
      <c r="A504" s="72" t="s">
        <v>142</v>
      </c>
      <c r="B504" s="72" t="s">
        <v>405</v>
      </c>
      <c r="C504" s="72" t="s">
        <v>53</v>
      </c>
      <c r="D504" s="74">
        <v>195790</v>
      </c>
      <c r="E504" s="76">
        <v>195790</v>
      </c>
    </row>
    <row r="505" spans="1:14">
      <c r="A505" s="72" t="s">
        <v>142</v>
      </c>
      <c r="B505" s="72" t="s">
        <v>405</v>
      </c>
      <c r="C505" s="72" t="s">
        <v>485</v>
      </c>
      <c r="D505" s="74">
        <v>42436</v>
      </c>
      <c r="E505" s="76">
        <v>42436</v>
      </c>
    </row>
    <row r="506" spans="1:14">
      <c r="A506" s="72" t="s">
        <v>142</v>
      </c>
      <c r="B506" s="72" t="s">
        <v>405</v>
      </c>
      <c r="C506" s="72" t="s">
        <v>45</v>
      </c>
      <c r="D506" s="74">
        <v>151651</v>
      </c>
      <c r="E506" s="76">
        <v>151651</v>
      </c>
    </row>
    <row r="507" spans="1:14">
      <c r="A507" s="72" t="s">
        <v>142</v>
      </c>
      <c r="B507" s="72" t="s">
        <v>405</v>
      </c>
      <c r="C507" s="72" t="s">
        <v>139</v>
      </c>
      <c r="D507" s="74">
        <v>192839</v>
      </c>
      <c r="E507" s="76">
        <v>192839</v>
      </c>
    </row>
    <row r="508" spans="1:14">
      <c r="A508" s="72"/>
      <c r="B508" s="72"/>
      <c r="C508" s="72"/>
      <c r="D508" s="74"/>
      <c r="E508" s="76"/>
    </row>
    <row r="509" spans="1:14">
      <c r="A509" s="72" t="s">
        <v>147</v>
      </c>
      <c r="B509" s="72" t="s">
        <v>371</v>
      </c>
      <c r="C509" s="72" t="s">
        <v>145</v>
      </c>
      <c r="D509" s="74">
        <v>212</v>
      </c>
      <c r="E509" s="76">
        <v>212</v>
      </c>
    </row>
    <row r="510" spans="1:14">
      <c r="A510" s="72" t="s">
        <v>147</v>
      </c>
      <c r="B510" s="72" t="s">
        <v>371</v>
      </c>
      <c r="C510" s="72" t="s">
        <v>91</v>
      </c>
      <c r="D510" s="74">
        <v>9315</v>
      </c>
      <c r="E510" s="76">
        <v>9315</v>
      </c>
    </row>
    <row r="511" spans="1:14">
      <c r="A511" s="72" t="s">
        <v>147</v>
      </c>
      <c r="B511" s="72" t="s">
        <v>371</v>
      </c>
      <c r="C511" s="72" t="s">
        <v>62</v>
      </c>
      <c r="D511" s="74">
        <v>661</v>
      </c>
      <c r="E511" s="76">
        <v>661</v>
      </c>
    </row>
    <row r="512" spans="1:14">
      <c r="A512" s="72" t="s">
        <v>147</v>
      </c>
      <c r="B512" s="72" t="s">
        <v>371</v>
      </c>
      <c r="C512" s="72" t="s">
        <v>143</v>
      </c>
      <c r="D512" s="74">
        <v>40585</v>
      </c>
      <c r="E512" s="76">
        <v>40585</v>
      </c>
    </row>
    <row r="513" spans="1:5">
      <c r="A513" s="72" t="s">
        <v>147</v>
      </c>
      <c r="B513" s="72" t="s">
        <v>371</v>
      </c>
      <c r="C513" s="72" t="s">
        <v>148</v>
      </c>
      <c r="D513" s="74">
        <v>12476</v>
      </c>
      <c r="E513" s="76">
        <v>12476</v>
      </c>
    </row>
    <row r="514" spans="1:5">
      <c r="A514" s="72" t="s">
        <v>147</v>
      </c>
      <c r="B514" s="72" t="s">
        <v>371</v>
      </c>
      <c r="C514" s="72" t="s">
        <v>149</v>
      </c>
      <c r="D514" s="74">
        <v>27259</v>
      </c>
      <c r="E514" s="76">
        <v>27259</v>
      </c>
    </row>
    <row r="515" spans="1:5">
      <c r="A515" s="72" t="s">
        <v>147</v>
      </c>
      <c r="B515" s="72" t="s">
        <v>371</v>
      </c>
      <c r="C515" s="72" t="s">
        <v>115</v>
      </c>
      <c r="D515" s="74">
        <v>26282</v>
      </c>
      <c r="E515" s="76">
        <v>26282</v>
      </c>
    </row>
    <row r="516" spans="1:5">
      <c r="A516" s="72" t="s">
        <v>147</v>
      </c>
      <c r="B516" s="72" t="s">
        <v>371</v>
      </c>
      <c r="C516" s="72" t="s">
        <v>23</v>
      </c>
      <c r="D516" s="74">
        <v>2266</v>
      </c>
      <c r="E516" s="76">
        <v>2266</v>
      </c>
    </row>
    <row r="517" spans="1:5">
      <c r="A517" s="72" t="s">
        <v>147</v>
      </c>
      <c r="B517" s="72" t="s">
        <v>371</v>
      </c>
      <c r="C517" s="72" t="s">
        <v>55</v>
      </c>
      <c r="D517" s="74">
        <v>5999</v>
      </c>
      <c r="E517" s="76">
        <v>5999</v>
      </c>
    </row>
    <row r="518" spans="1:5">
      <c r="A518" s="72" t="s">
        <v>147</v>
      </c>
      <c r="B518" s="72" t="s">
        <v>371</v>
      </c>
      <c r="C518" s="72" t="s">
        <v>26</v>
      </c>
      <c r="D518" s="74">
        <v>10224</v>
      </c>
      <c r="E518" s="76">
        <v>10224</v>
      </c>
    </row>
    <row r="519" spans="1:5">
      <c r="A519" s="72"/>
      <c r="B519" s="72"/>
      <c r="C519" s="72"/>
      <c r="D519" s="74"/>
      <c r="E519" s="76"/>
    </row>
    <row r="520" spans="1:5">
      <c r="A520" s="72"/>
      <c r="B520" s="72"/>
      <c r="C520" s="72"/>
      <c r="D520" s="74"/>
      <c r="E520" s="76"/>
    </row>
    <row r="521" spans="1:5">
      <c r="A521" s="72" t="s">
        <v>150</v>
      </c>
      <c r="B521" s="72" t="s">
        <v>507</v>
      </c>
      <c r="C521" s="72" t="s">
        <v>386</v>
      </c>
      <c r="D521" s="74">
        <v>676540</v>
      </c>
      <c r="E521" s="76">
        <v>409542</v>
      </c>
    </row>
    <row r="522" spans="1:5">
      <c r="A522" s="72" t="s">
        <v>150</v>
      </c>
      <c r="B522" s="72" t="s">
        <v>507</v>
      </c>
      <c r="C522" s="72" t="s">
        <v>387</v>
      </c>
      <c r="D522" s="74">
        <v>28360</v>
      </c>
      <c r="E522" s="76">
        <v>17044.8</v>
      </c>
    </row>
    <row r="523" spans="1:5">
      <c r="A523" s="72" t="s">
        <v>150</v>
      </c>
      <c r="B523" s="72" t="s">
        <v>507</v>
      </c>
      <c r="C523" s="72" t="s">
        <v>155</v>
      </c>
      <c r="D523" s="74">
        <v>303060</v>
      </c>
      <c r="E523" s="76">
        <v>175356</v>
      </c>
    </row>
    <row r="524" spans="1:5">
      <c r="A524" s="72" t="s">
        <v>150</v>
      </c>
      <c r="B524" s="72" t="s">
        <v>507</v>
      </c>
      <c r="C524" s="72" t="s">
        <v>508</v>
      </c>
      <c r="D524" s="74">
        <v>240</v>
      </c>
      <c r="E524" s="76">
        <v>151.19999999999999</v>
      </c>
    </row>
    <row r="525" spans="1:5">
      <c r="A525" s="72" t="s">
        <v>150</v>
      </c>
      <c r="B525" s="72" t="s">
        <v>507</v>
      </c>
      <c r="C525" s="72" t="s">
        <v>156</v>
      </c>
      <c r="D525" s="74">
        <v>70040</v>
      </c>
      <c r="E525" s="76">
        <v>42384</v>
      </c>
    </row>
    <row r="526" spans="1:5">
      <c r="A526" s="72" t="s">
        <v>150</v>
      </c>
      <c r="B526" s="72" t="s">
        <v>507</v>
      </c>
      <c r="C526" s="72" t="s">
        <v>157</v>
      </c>
      <c r="D526" s="74">
        <v>119780</v>
      </c>
      <c r="E526" s="76">
        <v>73041.600000000006</v>
      </c>
    </row>
    <row r="527" spans="1:5">
      <c r="A527" s="72" t="s">
        <v>150</v>
      </c>
      <c r="B527" s="72" t="s">
        <v>507</v>
      </c>
      <c r="C527" s="72" t="s">
        <v>509</v>
      </c>
      <c r="D527" s="74">
        <v>376752</v>
      </c>
      <c r="E527" s="76">
        <v>228081.96</v>
      </c>
    </row>
    <row r="528" spans="1:5">
      <c r="A528" s="72" t="s">
        <v>150</v>
      </c>
      <c r="B528" s="72" t="s">
        <v>507</v>
      </c>
      <c r="C528" s="72" t="s">
        <v>158</v>
      </c>
      <c r="D528" s="74">
        <v>664340</v>
      </c>
      <c r="E528" s="76">
        <v>397027.2</v>
      </c>
    </row>
    <row r="529" spans="1:5">
      <c r="A529" s="72" t="s">
        <v>150</v>
      </c>
      <c r="B529" s="72" t="s">
        <v>507</v>
      </c>
      <c r="C529" s="72" t="s">
        <v>159</v>
      </c>
      <c r="D529" s="74">
        <v>43660</v>
      </c>
      <c r="E529" s="76">
        <v>26196</v>
      </c>
    </row>
    <row r="530" spans="1:5">
      <c r="A530" s="72" t="s">
        <v>150</v>
      </c>
      <c r="B530" s="72" t="s">
        <v>507</v>
      </c>
      <c r="C530" s="72" t="s">
        <v>510</v>
      </c>
      <c r="D530" s="74">
        <v>1200</v>
      </c>
      <c r="E530" s="76">
        <v>756</v>
      </c>
    </row>
    <row r="531" spans="1:5">
      <c r="A531" s="72" t="s">
        <v>150</v>
      </c>
      <c r="B531" s="72" t="s">
        <v>507</v>
      </c>
      <c r="C531" s="72" t="s">
        <v>160</v>
      </c>
      <c r="D531" s="74">
        <v>2400</v>
      </c>
      <c r="E531" s="76">
        <v>1440</v>
      </c>
    </row>
    <row r="532" spans="1:5" ht="15.75" customHeight="1">
      <c r="A532" s="72" t="s">
        <v>150</v>
      </c>
      <c r="B532" s="72" t="s">
        <v>507</v>
      </c>
      <c r="C532" s="72" t="s">
        <v>511</v>
      </c>
      <c r="D532" s="74">
        <v>5000</v>
      </c>
      <c r="E532" s="76">
        <v>3000</v>
      </c>
    </row>
    <row r="533" spans="1:5" ht="15.75" customHeight="1">
      <c r="A533" s="72" t="s">
        <v>150</v>
      </c>
      <c r="B533" s="72" t="s">
        <v>507</v>
      </c>
      <c r="C533" s="72" t="s">
        <v>512</v>
      </c>
      <c r="D533" s="74">
        <v>115610</v>
      </c>
      <c r="E533" s="76">
        <v>69589.2</v>
      </c>
    </row>
    <row r="534" spans="1:5" ht="15.75" customHeight="1">
      <c r="A534" s="72" t="s">
        <v>150</v>
      </c>
      <c r="B534" s="72" t="s">
        <v>507</v>
      </c>
      <c r="C534" s="72" t="s">
        <v>388</v>
      </c>
      <c r="D534" s="74">
        <v>56800</v>
      </c>
      <c r="E534" s="76">
        <v>34216.800000000003</v>
      </c>
    </row>
    <row r="535" spans="1:5" ht="15.75" customHeight="1">
      <c r="A535" s="72" t="s">
        <v>150</v>
      </c>
      <c r="B535" s="72" t="s">
        <v>507</v>
      </c>
      <c r="C535" s="72" t="s">
        <v>357</v>
      </c>
      <c r="D535" s="74">
        <v>18440</v>
      </c>
      <c r="E535" s="76">
        <v>11200.8</v>
      </c>
    </row>
    <row r="536" spans="1:5" ht="15.75" customHeight="1">
      <c r="A536" s="72" t="s">
        <v>150</v>
      </c>
      <c r="B536" s="72" t="s">
        <v>507</v>
      </c>
      <c r="C536" s="72" t="s">
        <v>161</v>
      </c>
      <c r="D536" s="74">
        <v>149808</v>
      </c>
      <c r="E536" s="76">
        <v>91628.64</v>
      </c>
    </row>
    <row r="537" spans="1:5" ht="15.75" customHeight="1">
      <c r="A537" s="72" t="s">
        <v>150</v>
      </c>
      <c r="B537" s="72" t="s">
        <v>507</v>
      </c>
      <c r="C537" s="72" t="s">
        <v>162</v>
      </c>
      <c r="D537" s="74">
        <v>464760</v>
      </c>
      <c r="E537" s="76">
        <v>284356.8</v>
      </c>
    </row>
    <row r="538" spans="1:5" ht="15.75" customHeight="1">
      <c r="A538" s="72" t="s">
        <v>150</v>
      </c>
      <c r="B538" s="72" t="s">
        <v>507</v>
      </c>
      <c r="C538" s="72" t="s">
        <v>513</v>
      </c>
      <c r="D538" s="74">
        <v>199320</v>
      </c>
      <c r="E538" s="76">
        <v>120124.8</v>
      </c>
    </row>
    <row r="539" spans="1:5">
      <c r="A539" s="72" t="s">
        <v>150</v>
      </c>
      <c r="B539" s="72" t="s">
        <v>507</v>
      </c>
      <c r="C539" s="72" t="s">
        <v>358</v>
      </c>
      <c r="D539" s="74">
        <v>4694942</v>
      </c>
      <c r="E539" s="76">
        <v>2818920.36</v>
      </c>
    </row>
    <row r="540" spans="1:5" ht="15.75" customHeight="1">
      <c r="A540" s="72" t="s">
        <v>150</v>
      </c>
      <c r="B540" s="72" t="s">
        <v>507</v>
      </c>
      <c r="C540" s="72" t="s">
        <v>374</v>
      </c>
      <c r="D540" s="74">
        <v>161680</v>
      </c>
      <c r="E540" s="76">
        <v>98390.399999999994</v>
      </c>
    </row>
    <row r="541" spans="1:5" ht="15.75" customHeight="1">
      <c r="A541" s="72" t="s">
        <v>150</v>
      </c>
      <c r="B541" s="72" t="s">
        <v>507</v>
      </c>
      <c r="C541" s="72" t="s">
        <v>375</v>
      </c>
      <c r="D541" s="74">
        <v>626712</v>
      </c>
      <c r="E541" s="76">
        <v>379384.56</v>
      </c>
    </row>
    <row r="542" spans="1:5" ht="15.75" customHeight="1">
      <c r="A542" s="72" t="s">
        <v>150</v>
      </c>
      <c r="B542" s="72" t="s">
        <v>507</v>
      </c>
      <c r="C542" s="72" t="s">
        <v>163</v>
      </c>
      <c r="D542" s="74">
        <v>170280</v>
      </c>
      <c r="E542" s="76">
        <v>103370.4</v>
      </c>
    </row>
    <row r="543" spans="1:5" ht="15.75" customHeight="1">
      <c r="A543" s="72" t="s">
        <v>150</v>
      </c>
      <c r="B543" s="72" t="s">
        <v>507</v>
      </c>
      <c r="C543" s="72" t="s">
        <v>359</v>
      </c>
      <c r="D543" s="74">
        <v>3900</v>
      </c>
      <c r="E543" s="76">
        <v>2340</v>
      </c>
    </row>
    <row r="544" spans="1:5" ht="15.75" customHeight="1">
      <c r="A544" s="72" t="s">
        <v>150</v>
      </c>
      <c r="B544" s="72" t="s">
        <v>507</v>
      </c>
      <c r="C544" s="72" t="s">
        <v>151</v>
      </c>
      <c r="D544" s="74">
        <v>105040</v>
      </c>
      <c r="E544" s="76">
        <v>63427.199999999997</v>
      </c>
    </row>
    <row r="545" spans="1:5" ht="15.75" customHeight="1">
      <c r="A545" s="72" t="s">
        <v>150</v>
      </c>
      <c r="B545" s="72" t="s">
        <v>507</v>
      </c>
      <c r="C545" s="72" t="s">
        <v>43</v>
      </c>
      <c r="D545" s="74">
        <v>81440</v>
      </c>
      <c r="E545" s="76">
        <v>49303.199999999997</v>
      </c>
    </row>
    <row r="546" spans="1:5" ht="15.75" customHeight="1">
      <c r="A546" s="72" t="s">
        <v>150</v>
      </c>
      <c r="B546" s="72" t="s">
        <v>507</v>
      </c>
      <c r="C546" s="72" t="s">
        <v>9</v>
      </c>
      <c r="D546" s="74">
        <v>221152</v>
      </c>
      <c r="E546" s="76">
        <v>131760.35999999999</v>
      </c>
    </row>
    <row r="547" spans="1:5" ht="15.75" customHeight="1">
      <c r="A547" s="72" t="s">
        <v>150</v>
      </c>
      <c r="B547" s="72" t="s">
        <v>507</v>
      </c>
      <c r="C547" s="72" t="s">
        <v>11</v>
      </c>
      <c r="D547" s="74">
        <v>1491620</v>
      </c>
      <c r="E547" s="76">
        <v>895732.8</v>
      </c>
    </row>
    <row r="548" spans="1:5" ht="15.75" customHeight="1">
      <c r="A548" s="72" t="s">
        <v>150</v>
      </c>
      <c r="B548" s="72" t="s">
        <v>507</v>
      </c>
      <c r="C548" s="72" t="s">
        <v>12</v>
      </c>
      <c r="D548" s="74">
        <v>299268</v>
      </c>
      <c r="E548" s="76">
        <v>178548.48000000001</v>
      </c>
    </row>
    <row r="549" spans="1:5" ht="15.75" customHeight="1">
      <c r="A549" s="72" t="s">
        <v>150</v>
      </c>
      <c r="B549" s="72" t="s">
        <v>507</v>
      </c>
      <c r="C549" s="72" t="s">
        <v>90</v>
      </c>
      <c r="D549" s="74">
        <v>614104</v>
      </c>
      <c r="E549" s="76">
        <v>368961.96</v>
      </c>
    </row>
    <row r="550" spans="1:5">
      <c r="A550" s="72" t="s">
        <v>150</v>
      </c>
      <c r="B550" s="72" t="s">
        <v>507</v>
      </c>
      <c r="C550" s="72" t="s">
        <v>16</v>
      </c>
      <c r="D550" s="74">
        <v>75520</v>
      </c>
      <c r="E550" s="76">
        <v>45592.800000000003</v>
      </c>
    </row>
    <row r="551" spans="1:5" ht="15.75" customHeight="1">
      <c r="A551" s="72" t="s">
        <v>150</v>
      </c>
      <c r="B551" s="72" t="s">
        <v>507</v>
      </c>
      <c r="C551" s="72" t="s">
        <v>53</v>
      </c>
      <c r="D551" s="74">
        <v>315060</v>
      </c>
      <c r="E551" s="76">
        <v>189046.8</v>
      </c>
    </row>
    <row r="552" spans="1:5" ht="15.75" customHeight="1">
      <c r="A552" s="72" t="s">
        <v>150</v>
      </c>
      <c r="B552" s="72" t="s">
        <v>507</v>
      </c>
      <c r="C552" s="72" t="s">
        <v>356</v>
      </c>
      <c r="D552" s="74">
        <v>67128</v>
      </c>
      <c r="E552" s="76">
        <v>39663</v>
      </c>
    </row>
    <row r="553" spans="1:5" ht="15.75" customHeight="1">
      <c r="A553" s="72" t="s">
        <v>150</v>
      </c>
      <c r="B553" s="72" t="s">
        <v>507</v>
      </c>
      <c r="C553" s="72" t="s">
        <v>58</v>
      </c>
      <c r="D553" s="74">
        <v>55800</v>
      </c>
      <c r="E553" s="76">
        <v>33480</v>
      </c>
    </row>
    <row r="554" spans="1:5" ht="15.75" customHeight="1">
      <c r="A554" s="72" t="s">
        <v>150</v>
      </c>
      <c r="B554" s="72" t="s">
        <v>507</v>
      </c>
      <c r="C554" s="72" t="s">
        <v>152</v>
      </c>
      <c r="D554" s="74">
        <v>300</v>
      </c>
      <c r="E554" s="76">
        <v>180</v>
      </c>
    </row>
    <row r="555" spans="1:5" ht="15.75" customHeight="1">
      <c r="A555" s="72" t="s">
        <v>150</v>
      </c>
      <c r="B555" s="72" t="s">
        <v>507</v>
      </c>
      <c r="C555" s="72" t="s">
        <v>21</v>
      </c>
      <c r="D555" s="74">
        <v>200</v>
      </c>
      <c r="E555" s="76">
        <v>120</v>
      </c>
    </row>
    <row r="556" spans="1:5">
      <c r="A556" s="72" t="s">
        <v>150</v>
      </c>
      <c r="B556" s="72" t="s">
        <v>507</v>
      </c>
      <c r="C556" s="72" t="s">
        <v>22</v>
      </c>
      <c r="D556" s="74">
        <v>1032480</v>
      </c>
      <c r="E556" s="76">
        <v>620193.6</v>
      </c>
    </row>
    <row r="557" spans="1:5" ht="15.75" customHeight="1">
      <c r="A557" s="72" t="s">
        <v>150</v>
      </c>
      <c r="B557" s="72" t="s">
        <v>507</v>
      </c>
      <c r="C557" s="72" t="s">
        <v>95</v>
      </c>
      <c r="D557" s="74">
        <v>19880</v>
      </c>
      <c r="E557" s="76">
        <v>11942.4</v>
      </c>
    </row>
    <row r="558" spans="1:5">
      <c r="A558" s="72" t="s">
        <v>150</v>
      </c>
      <c r="B558" s="72" t="s">
        <v>507</v>
      </c>
      <c r="C558" s="72" t="s">
        <v>23</v>
      </c>
      <c r="D558" s="74">
        <v>400</v>
      </c>
      <c r="E558" s="76">
        <v>240</v>
      </c>
    </row>
    <row r="559" spans="1:5" ht="15.75" customHeight="1">
      <c r="A559" s="72" t="s">
        <v>150</v>
      </c>
      <c r="B559" s="72" t="s">
        <v>507</v>
      </c>
      <c r="C559" s="72" t="s">
        <v>64</v>
      </c>
      <c r="D559" s="74">
        <v>54600</v>
      </c>
      <c r="E559" s="76">
        <v>32760</v>
      </c>
    </row>
    <row r="560" spans="1:5" ht="15.75" customHeight="1">
      <c r="A560" s="72" t="s">
        <v>150</v>
      </c>
      <c r="B560" s="72" t="s">
        <v>507</v>
      </c>
      <c r="C560" s="72" t="s">
        <v>219</v>
      </c>
      <c r="D560" s="74">
        <v>216930</v>
      </c>
      <c r="E560" s="76">
        <v>130158</v>
      </c>
    </row>
    <row r="561" spans="1:5" ht="15.75" customHeight="1">
      <c r="A561" s="72" t="s">
        <v>150</v>
      </c>
      <c r="B561" s="72" t="s">
        <v>507</v>
      </c>
      <c r="C561" s="72" t="s">
        <v>514</v>
      </c>
      <c r="D561" s="74">
        <v>22848</v>
      </c>
      <c r="E561" s="76">
        <v>14187.24</v>
      </c>
    </row>
    <row r="562" spans="1:5" ht="15.75" customHeight="1">
      <c r="A562" s="72" t="s">
        <v>150</v>
      </c>
      <c r="B562" s="72" t="s">
        <v>507</v>
      </c>
      <c r="C562" s="72" t="s">
        <v>27</v>
      </c>
      <c r="D562" s="74">
        <v>15690</v>
      </c>
      <c r="E562" s="76">
        <v>9414</v>
      </c>
    </row>
    <row r="563" spans="1:5" ht="15.75" customHeight="1">
      <c r="A563" s="72" t="s">
        <v>150</v>
      </c>
      <c r="B563" s="72" t="s">
        <v>507</v>
      </c>
      <c r="C563" s="72" t="s">
        <v>101</v>
      </c>
      <c r="D563" s="74">
        <v>5400</v>
      </c>
      <c r="E563" s="76">
        <v>3240</v>
      </c>
    </row>
    <row r="564" spans="1:5" ht="15.75" customHeight="1">
      <c r="A564" s="72" t="s">
        <v>150</v>
      </c>
      <c r="B564" s="72" t="s">
        <v>507</v>
      </c>
      <c r="C564" s="72" t="s">
        <v>153</v>
      </c>
      <c r="D564" s="74">
        <v>41760</v>
      </c>
      <c r="E564" s="76">
        <v>25056</v>
      </c>
    </row>
    <row r="565" spans="1:5">
      <c r="A565" s="72" t="s">
        <v>150</v>
      </c>
      <c r="B565" s="72" t="s">
        <v>507</v>
      </c>
      <c r="C565" s="72" t="s">
        <v>154</v>
      </c>
      <c r="D565" s="74">
        <v>360</v>
      </c>
      <c r="E565" s="76">
        <v>226.8</v>
      </c>
    </row>
    <row r="566" spans="1:5" ht="15.75" customHeight="1">
      <c r="A566" s="72" t="s">
        <v>150</v>
      </c>
      <c r="B566" s="72" t="s">
        <v>507</v>
      </c>
      <c r="C566" s="72" t="s">
        <v>30</v>
      </c>
      <c r="D566" s="74">
        <v>1610824</v>
      </c>
      <c r="E566" s="76">
        <v>963781.68</v>
      </c>
    </row>
    <row r="567" spans="1:5">
      <c r="A567" s="72" t="s">
        <v>150</v>
      </c>
      <c r="B567" s="72" t="s">
        <v>507</v>
      </c>
      <c r="C567" s="72" t="s">
        <v>33</v>
      </c>
      <c r="D567" s="74">
        <v>5140</v>
      </c>
      <c r="E567" s="76">
        <v>3145.2</v>
      </c>
    </row>
    <row r="568" spans="1:5" ht="15.75" customHeight="1">
      <c r="A568" s="72" t="s">
        <v>150</v>
      </c>
      <c r="B568" s="72" t="s">
        <v>507</v>
      </c>
      <c r="C568" s="72" t="s">
        <v>62</v>
      </c>
      <c r="D568" s="74">
        <v>5000</v>
      </c>
      <c r="E568" s="76">
        <v>3000</v>
      </c>
    </row>
    <row r="569" spans="1:5" ht="15.75" customHeight="1">
      <c r="A569" s="72" t="s">
        <v>150</v>
      </c>
      <c r="B569" s="72" t="s">
        <v>507</v>
      </c>
      <c r="C569" s="72" t="s">
        <v>70</v>
      </c>
      <c r="D569" s="74">
        <v>640</v>
      </c>
      <c r="E569" s="76">
        <v>391.2</v>
      </c>
    </row>
    <row r="570" spans="1:5" ht="15.75" customHeight="1">
      <c r="A570" s="72" t="s">
        <v>150</v>
      </c>
      <c r="B570" s="72" t="s">
        <v>507</v>
      </c>
      <c r="C570" s="72" t="s">
        <v>56</v>
      </c>
      <c r="D570" s="74">
        <v>3600</v>
      </c>
      <c r="E570" s="76">
        <v>2160</v>
      </c>
    </row>
    <row r="571" spans="1:5" ht="15.75" customHeight="1">
      <c r="A571" s="72" t="s">
        <v>150</v>
      </c>
      <c r="B571" s="72" t="s">
        <v>507</v>
      </c>
      <c r="C571" s="72" t="s">
        <v>80</v>
      </c>
      <c r="D571" s="74">
        <v>4800</v>
      </c>
      <c r="E571" s="76">
        <v>2880</v>
      </c>
    </row>
    <row r="572" spans="1:5" ht="15.75" customHeight="1">
      <c r="A572" s="72" t="s">
        <v>150</v>
      </c>
      <c r="B572" s="72" t="s">
        <v>507</v>
      </c>
      <c r="C572" s="72" t="s">
        <v>104</v>
      </c>
      <c r="D572" s="74">
        <v>360</v>
      </c>
      <c r="E572" s="76">
        <v>226.8</v>
      </c>
    </row>
    <row r="573" spans="1:5" ht="15.75" customHeight="1">
      <c r="A573" s="72"/>
      <c r="B573" s="72"/>
      <c r="C573" s="72"/>
      <c r="D573" s="74"/>
      <c r="E573" s="76"/>
    </row>
    <row r="574" spans="1:5">
      <c r="A574" s="72" t="s">
        <v>164</v>
      </c>
      <c r="B574" s="72" t="s">
        <v>507</v>
      </c>
      <c r="C574" s="72" t="s">
        <v>14</v>
      </c>
      <c r="D574" s="74">
        <v>1896353.6</v>
      </c>
      <c r="E574" s="76">
        <v>1327447.52</v>
      </c>
    </row>
    <row r="575" spans="1:5" ht="15.75" customHeight="1">
      <c r="A575" s="72" t="s">
        <v>164</v>
      </c>
      <c r="B575" s="72" t="s">
        <v>507</v>
      </c>
      <c r="C575" s="72" t="s">
        <v>166</v>
      </c>
      <c r="D575" s="74">
        <v>1863997.7</v>
      </c>
      <c r="E575" s="76">
        <v>1304798.3899999999</v>
      </c>
    </row>
    <row r="576" spans="1:5">
      <c r="A576" s="72" t="s">
        <v>164</v>
      </c>
      <c r="B576" s="72" t="s">
        <v>507</v>
      </c>
      <c r="C576" s="72" t="s">
        <v>354</v>
      </c>
      <c r="D576" s="74">
        <v>1762382.8</v>
      </c>
      <c r="E576" s="76">
        <v>1233667.96</v>
      </c>
    </row>
    <row r="577" spans="1:5">
      <c r="A577" s="72" t="s">
        <v>164</v>
      </c>
      <c r="B577" s="72" t="s">
        <v>507</v>
      </c>
      <c r="C577" s="72" t="s">
        <v>90</v>
      </c>
      <c r="D577" s="74">
        <v>1505312.6</v>
      </c>
      <c r="E577" s="76">
        <v>1053718.82</v>
      </c>
    </row>
    <row r="578" spans="1:5">
      <c r="A578" s="72" t="s">
        <v>164</v>
      </c>
      <c r="B578" s="72" t="s">
        <v>507</v>
      </c>
      <c r="C578" s="72" t="s">
        <v>165</v>
      </c>
      <c r="D578" s="74">
        <v>1187740.6000000001</v>
      </c>
      <c r="E578" s="76">
        <v>831418.42</v>
      </c>
    </row>
    <row r="579" spans="1:5">
      <c r="A579" s="72" t="s">
        <v>164</v>
      </c>
      <c r="B579" s="72" t="s">
        <v>507</v>
      </c>
      <c r="C579" s="72" t="s">
        <v>112</v>
      </c>
      <c r="D579" s="74">
        <v>1138096</v>
      </c>
      <c r="E579" s="76">
        <v>796667.2</v>
      </c>
    </row>
    <row r="580" spans="1:5">
      <c r="A580" s="72" t="s">
        <v>164</v>
      </c>
      <c r="B580" s="72" t="s">
        <v>507</v>
      </c>
      <c r="C580" s="72" t="s">
        <v>167</v>
      </c>
      <c r="D580" s="74">
        <v>1059344</v>
      </c>
      <c r="E580" s="76">
        <v>741540.79999999993</v>
      </c>
    </row>
    <row r="581" spans="1:5">
      <c r="A581" s="72" t="s">
        <v>164</v>
      </c>
      <c r="B581" s="72" t="s">
        <v>507</v>
      </c>
      <c r="C581" s="72" t="s">
        <v>43</v>
      </c>
      <c r="D581" s="74">
        <v>846255.6</v>
      </c>
      <c r="E581" s="76">
        <v>592378.91999999993</v>
      </c>
    </row>
    <row r="582" spans="1:5">
      <c r="A582" s="72" t="s">
        <v>164</v>
      </c>
      <c r="B582" s="72" t="s">
        <v>507</v>
      </c>
      <c r="C582" s="72" t="s">
        <v>382</v>
      </c>
      <c r="D582" s="74">
        <v>687850.2</v>
      </c>
      <c r="E582" s="76">
        <v>481495.13999999996</v>
      </c>
    </row>
    <row r="583" spans="1:5">
      <c r="A583" s="72" t="s">
        <v>164</v>
      </c>
      <c r="B583" s="72" t="s">
        <v>507</v>
      </c>
      <c r="C583" s="72" t="s">
        <v>21</v>
      </c>
      <c r="D583" s="74">
        <v>626292.4</v>
      </c>
      <c r="E583" s="76">
        <v>438404.68</v>
      </c>
    </row>
    <row r="584" spans="1:5">
      <c r="A584" s="72" t="s">
        <v>164</v>
      </c>
      <c r="B584" s="72" t="s">
        <v>507</v>
      </c>
      <c r="C584" s="72" t="s">
        <v>413</v>
      </c>
      <c r="D584" s="74">
        <v>544349.19999999995</v>
      </c>
      <c r="E584" s="76">
        <v>381044.43999999994</v>
      </c>
    </row>
    <row r="585" spans="1:5" ht="15.75" customHeight="1">
      <c r="A585" s="72" t="s">
        <v>164</v>
      </c>
      <c r="B585" s="72" t="s">
        <v>507</v>
      </c>
      <c r="C585" s="72" t="s">
        <v>13</v>
      </c>
      <c r="D585" s="74">
        <v>525328</v>
      </c>
      <c r="E585" s="76">
        <v>367729.6</v>
      </c>
    </row>
    <row r="586" spans="1:5">
      <c r="A586" s="72" t="s">
        <v>164</v>
      </c>
      <c r="B586" s="72" t="s">
        <v>507</v>
      </c>
      <c r="C586" s="72" t="s">
        <v>401</v>
      </c>
      <c r="D586" s="74">
        <v>512703.2</v>
      </c>
      <c r="E586" s="76">
        <v>358892.24</v>
      </c>
    </row>
    <row r="587" spans="1:5">
      <c r="A587" s="72" t="s">
        <v>164</v>
      </c>
      <c r="B587" s="72" t="s">
        <v>507</v>
      </c>
      <c r="C587" s="72" t="s">
        <v>10</v>
      </c>
      <c r="D587" s="74">
        <v>406467.2</v>
      </c>
      <c r="E587" s="76">
        <v>284527.03999999998</v>
      </c>
    </row>
    <row r="588" spans="1:5">
      <c r="A588" s="72" t="s">
        <v>164</v>
      </c>
      <c r="B588" s="72" t="s">
        <v>507</v>
      </c>
      <c r="C588" s="72" t="s">
        <v>114</v>
      </c>
      <c r="D588" s="74">
        <v>401044.4</v>
      </c>
      <c r="E588" s="76">
        <v>280731.08</v>
      </c>
    </row>
    <row r="589" spans="1:5">
      <c r="A589" s="72" t="s">
        <v>164</v>
      </c>
      <c r="B589" s="72" t="s">
        <v>507</v>
      </c>
      <c r="C589" s="72" t="s">
        <v>51</v>
      </c>
      <c r="D589" s="74">
        <v>406433.6</v>
      </c>
      <c r="E589" s="76">
        <v>284503.51999999996</v>
      </c>
    </row>
    <row r="590" spans="1:5">
      <c r="A590" s="72" t="s">
        <v>164</v>
      </c>
      <c r="B590" s="72" t="s">
        <v>507</v>
      </c>
      <c r="C590" s="72" t="s">
        <v>32</v>
      </c>
      <c r="D590" s="74">
        <v>368333.6</v>
      </c>
      <c r="E590" s="76">
        <v>257833.51999999996</v>
      </c>
    </row>
    <row r="591" spans="1:5">
      <c r="A591" s="72" t="s">
        <v>164</v>
      </c>
      <c r="B591" s="72" t="s">
        <v>507</v>
      </c>
      <c r="C591" s="72" t="s">
        <v>373</v>
      </c>
      <c r="D591" s="74">
        <v>283432</v>
      </c>
      <c r="E591" s="76">
        <v>198402.4</v>
      </c>
    </row>
    <row r="592" spans="1:5">
      <c r="A592" s="72" t="s">
        <v>164</v>
      </c>
      <c r="B592" s="72" t="s">
        <v>507</v>
      </c>
      <c r="C592" s="72" t="s">
        <v>355</v>
      </c>
      <c r="D592" s="74">
        <v>284649.90000000002</v>
      </c>
      <c r="E592" s="76">
        <v>199254.93</v>
      </c>
    </row>
    <row r="593" spans="1:5">
      <c r="A593" s="72" t="s">
        <v>164</v>
      </c>
      <c r="B593" s="72" t="s">
        <v>507</v>
      </c>
      <c r="C593" s="72" t="s">
        <v>29</v>
      </c>
      <c r="D593" s="74">
        <v>284835.20000000001</v>
      </c>
      <c r="E593" s="76">
        <v>199384.63999999998</v>
      </c>
    </row>
    <row r="594" spans="1:5" ht="15.75" customHeight="1">
      <c r="A594" s="72" t="s">
        <v>164</v>
      </c>
      <c r="B594" s="72" t="s">
        <v>507</v>
      </c>
      <c r="C594" s="72" t="s">
        <v>376</v>
      </c>
      <c r="D594" s="74">
        <v>227979.6</v>
      </c>
      <c r="E594" s="76">
        <v>159585.72</v>
      </c>
    </row>
    <row r="595" spans="1:5">
      <c r="A595" s="72" t="s">
        <v>164</v>
      </c>
      <c r="B595" s="72" t="s">
        <v>507</v>
      </c>
      <c r="C595" s="72" t="s">
        <v>516</v>
      </c>
      <c r="D595" s="74">
        <v>207036</v>
      </c>
      <c r="E595" s="76">
        <v>144925.19999999998</v>
      </c>
    </row>
    <row r="596" spans="1:5">
      <c r="A596" s="72" t="s">
        <v>164</v>
      </c>
      <c r="B596" s="72" t="s">
        <v>507</v>
      </c>
      <c r="C596" s="72" t="s">
        <v>12</v>
      </c>
      <c r="D596" s="74">
        <v>202459.2</v>
      </c>
      <c r="E596" s="76">
        <v>141721.44</v>
      </c>
    </row>
    <row r="597" spans="1:5">
      <c r="A597" s="72" t="s">
        <v>164</v>
      </c>
      <c r="B597" s="72" t="s">
        <v>507</v>
      </c>
      <c r="C597" s="72" t="s">
        <v>73</v>
      </c>
      <c r="D597" s="74">
        <v>180201.60000000001</v>
      </c>
      <c r="E597" s="76">
        <v>126141.12</v>
      </c>
    </row>
    <row r="598" spans="1:5">
      <c r="A598" s="72" t="s">
        <v>164</v>
      </c>
      <c r="B598" s="72" t="s">
        <v>507</v>
      </c>
      <c r="C598" s="72" t="s">
        <v>170</v>
      </c>
      <c r="D598" s="74">
        <v>183738.4</v>
      </c>
      <c r="E598" s="76">
        <v>128616.87999999999</v>
      </c>
    </row>
    <row r="599" spans="1:5">
      <c r="A599" s="72" t="s">
        <v>164</v>
      </c>
      <c r="B599" s="72" t="s">
        <v>507</v>
      </c>
      <c r="C599" s="72" t="s">
        <v>168</v>
      </c>
      <c r="D599" s="74">
        <v>170820</v>
      </c>
      <c r="E599" s="76">
        <v>119573.99999999999</v>
      </c>
    </row>
    <row r="600" spans="1:5">
      <c r="A600" s="72" t="s">
        <v>164</v>
      </c>
      <c r="B600" s="72" t="s">
        <v>507</v>
      </c>
      <c r="C600" s="72" t="s">
        <v>55</v>
      </c>
      <c r="D600" s="74">
        <v>143470.39999999999</v>
      </c>
      <c r="E600" s="76">
        <v>100429.27999999998</v>
      </c>
    </row>
    <row r="601" spans="1:5">
      <c r="A601" s="72" t="s">
        <v>164</v>
      </c>
      <c r="B601" s="72" t="s">
        <v>507</v>
      </c>
      <c r="C601" s="72" t="s">
        <v>391</v>
      </c>
      <c r="D601" s="74">
        <v>121462.39999999999</v>
      </c>
      <c r="E601" s="76">
        <v>85023.679999999993</v>
      </c>
    </row>
    <row r="602" spans="1:5">
      <c r="A602" s="72" t="s">
        <v>164</v>
      </c>
      <c r="B602" s="72" t="s">
        <v>507</v>
      </c>
      <c r="C602" s="72" t="s">
        <v>173</v>
      </c>
      <c r="D602" s="74">
        <v>111608</v>
      </c>
      <c r="E602" s="76">
        <v>78125.599999999991</v>
      </c>
    </row>
    <row r="603" spans="1:5" ht="15.75" customHeight="1">
      <c r="A603" s="72" t="s">
        <v>164</v>
      </c>
      <c r="B603" s="72" t="s">
        <v>507</v>
      </c>
      <c r="C603" s="72" t="s">
        <v>169</v>
      </c>
      <c r="D603" s="74">
        <v>108765.6</v>
      </c>
      <c r="E603" s="76">
        <v>76135.92</v>
      </c>
    </row>
    <row r="604" spans="1:5">
      <c r="A604" s="72" t="s">
        <v>164</v>
      </c>
      <c r="B604" s="72" t="s">
        <v>507</v>
      </c>
      <c r="C604" s="72" t="s">
        <v>419</v>
      </c>
      <c r="D604" s="74">
        <v>90957.6</v>
      </c>
      <c r="E604" s="76">
        <v>63670.32</v>
      </c>
    </row>
    <row r="605" spans="1:5">
      <c r="A605" s="72" t="s">
        <v>164</v>
      </c>
      <c r="B605" s="72" t="s">
        <v>507</v>
      </c>
      <c r="C605" s="72" t="s">
        <v>111</v>
      </c>
      <c r="D605" s="74">
        <v>78942.399999999994</v>
      </c>
      <c r="E605" s="76">
        <v>55259.679999999993</v>
      </c>
    </row>
    <row r="606" spans="1:5">
      <c r="A606" s="72" t="s">
        <v>164</v>
      </c>
      <c r="B606" s="72" t="s">
        <v>507</v>
      </c>
      <c r="C606" s="72" t="s">
        <v>16</v>
      </c>
      <c r="D606" s="74">
        <v>67574</v>
      </c>
      <c r="E606" s="76">
        <v>47301.799999999996</v>
      </c>
    </row>
    <row r="607" spans="1:5">
      <c r="A607" s="72" t="s">
        <v>164</v>
      </c>
      <c r="B607" s="72" t="s">
        <v>507</v>
      </c>
      <c r="C607" s="72" t="s">
        <v>154</v>
      </c>
      <c r="D607" s="74">
        <v>70782.399999999994</v>
      </c>
      <c r="E607" s="76">
        <v>49547.679999999993</v>
      </c>
    </row>
    <row r="608" spans="1:5">
      <c r="A608" s="72" t="s">
        <v>164</v>
      </c>
      <c r="B608" s="72" t="s">
        <v>507</v>
      </c>
      <c r="C608" s="72" t="s">
        <v>104</v>
      </c>
      <c r="D608" s="74">
        <v>61416.7</v>
      </c>
      <c r="E608" s="76">
        <v>42991.689999999995</v>
      </c>
    </row>
    <row r="609" spans="1:5">
      <c r="A609" s="72" t="s">
        <v>164</v>
      </c>
      <c r="B609" s="72" t="s">
        <v>507</v>
      </c>
      <c r="C609" s="72" t="s">
        <v>37</v>
      </c>
      <c r="D609" s="74">
        <v>41225.199999999997</v>
      </c>
      <c r="E609" s="76">
        <v>28857.639999999996</v>
      </c>
    </row>
    <row r="610" spans="1:5">
      <c r="A610" s="72" t="s">
        <v>164</v>
      </c>
      <c r="B610" s="72" t="s">
        <v>507</v>
      </c>
      <c r="C610" s="72" t="s">
        <v>58</v>
      </c>
      <c r="D610" s="74">
        <v>41496</v>
      </c>
      <c r="E610" s="76">
        <v>29047.199999999997</v>
      </c>
    </row>
    <row r="611" spans="1:5">
      <c r="A611" s="72" t="s">
        <v>164</v>
      </c>
      <c r="B611" s="72" t="s">
        <v>507</v>
      </c>
      <c r="C611" s="72" t="s">
        <v>15</v>
      </c>
      <c r="D611" s="74">
        <v>40876</v>
      </c>
      <c r="E611" s="76">
        <v>28613.199999999997</v>
      </c>
    </row>
    <row r="612" spans="1:5">
      <c r="A612" s="72" t="s">
        <v>164</v>
      </c>
      <c r="B612" s="72" t="s">
        <v>507</v>
      </c>
      <c r="C612" s="72" t="s">
        <v>7</v>
      </c>
      <c r="D612" s="74">
        <v>40282</v>
      </c>
      <c r="E612" s="76">
        <v>28197.399999999998</v>
      </c>
    </row>
    <row r="613" spans="1:5">
      <c r="A613" s="72" t="s">
        <v>164</v>
      </c>
      <c r="B613" s="72" t="s">
        <v>507</v>
      </c>
      <c r="C613" s="72" t="s">
        <v>172</v>
      </c>
      <c r="D613" s="74">
        <v>37422</v>
      </c>
      <c r="E613" s="76">
        <v>26195.399999999998</v>
      </c>
    </row>
    <row r="614" spans="1:5">
      <c r="A614" s="72" t="s">
        <v>164</v>
      </c>
      <c r="B614" s="72" t="s">
        <v>507</v>
      </c>
      <c r="C614" s="72" t="s">
        <v>389</v>
      </c>
      <c r="D614" s="74">
        <v>33424</v>
      </c>
      <c r="E614" s="76">
        <v>23396.799999999999</v>
      </c>
    </row>
    <row r="615" spans="1:5">
      <c r="A615" s="72" t="s">
        <v>164</v>
      </c>
      <c r="B615" s="72" t="s">
        <v>507</v>
      </c>
      <c r="C615" s="72" t="s">
        <v>517</v>
      </c>
      <c r="D615" s="74">
        <v>30816</v>
      </c>
      <c r="E615" s="76">
        <v>21571.199999999997</v>
      </c>
    </row>
    <row r="616" spans="1:5">
      <c r="A616" s="72" t="s">
        <v>164</v>
      </c>
      <c r="B616" s="72" t="s">
        <v>507</v>
      </c>
      <c r="C616" s="72" t="s">
        <v>36</v>
      </c>
      <c r="D616" s="74">
        <v>24462.400000000001</v>
      </c>
      <c r="E616" s="76">
        <v>17123.68</v>
      </c>
    </row>
    <row r="617" spans="1:5">
      <c r="A617" s="72" t="s">
        <v>164</v>
      </c>
      <c r="B617" s="72" t="s">
        <v>507</v>
      </c>
      <c r="C617" s="72" t="s">
        <v>171</v>
      </c>
      <c r="D617" s="74">
        <v>23356.799999999999</v>
      </c>
      <c r="E617" s="76">
        <v>16349.759999999998</v>
      </c>
    </row>
    <row r="618" spans="1:5">
      <c r="A618" s="72" t="s">
        <v>164</v>
      </c>
      <c r="B618" s="72" t="s">
        <v>507</v>
      </c>
      <c r="C618" s="72" t="s">
        <v>57</v>
      </c>
      <c r="D618" s="74">
        <v>22154.400000000001</v>
      </c>
      <c r="E618" s="76">
        <v>15508.08</v>
      </c>
    </row>
    <row r="619" spans="1:5">
      <c r="A619" s="72" t="s">
        <v>164</v>
      </c>
      <c r="B619" s="72" t="s">
        <v>507</v>
      </c>
      <c r="C619" s="72" t="s">
        <v>26</v>
      </c>
      <c r="D619" s="74">
        <v>19917.599999999999</v>
      </c>
      <c r="E619" s="76">
        <v>13942.319999999998</v>
      </c>
    </row>
    <row r="620" spans="1:5">
      <c r="A620" s="72" t="s">
        <v>164</v>
      </c>
      <c r="B620" s="72" t="s">
        <v>507</v>
      </c>
      <c r="C620" s="72" t="s">
        <v>20</v>
      </c>
      <c r="D620" s="74">
        <v>19210.400000000001</v>
      </c>
      <c r="E620" s="76">
        <v>13447.28</v>
      </c>
    </row>
    <row r="621" spans="1:5">
      <c r="A621" s="72" t="s">
        <v>164</v>
      </c>
      <c r="B621" s="72" t="s">
        <v>507</v>
      </c>
      <c r="C621" s="72" t="s">
        <v>88</v>
      </c>
      <c r="D621" s="74">
        <v>17188</v>
      </c>
      <c r="E621" s="76">
        <v>12031.599999999999</v>
      </c>
    </row>
    <row r="622" spans="1:5">
      <c r="A622" s="72" t="s">
        <v>164</v>
      </c>
      <c r="B622" s="72" t="s">
        <v>507</v>
      </c>
      <c r="C622" s="72" t="s">
        <v>40</v>
      </c>
      <c r="D622" s="74">
        <v>10899.3</v>
      </c>
      <c r="E622" s="76">
        <v>7629.5099999999993</v>
      </c>
    </row>
    <row r="623" spans="1:5">
      <c r="A623" s="72" t="s">
        <v>164</v>
      </c>
      <c r="B623" s="72" t="s">
        <v>507</v>
      </c>
      <c r="C623" s="72" t="s">
        <v>174</v>
      </c>
      <c r="D623" s="74">
        <v>8928</v>
      </c>
      <c r="E623" s="76">
        <v>6249.5999999999995</v>
      </c>
    </row>
    <row r="624" spans="1:5">
      <c r="A624" s="72" t="s">
        <v>164</v>
      </c>
      <c r="B624" s="72" t="s">
        <v>507</v>
      </c>
      <c r="C624" s="72" t="s">
        <v>152</v>
      </c>
      <c r="D624" s="74">
        <v>6508.8</v>
      </c>
      <c r="E624" s="76">
        <v>4556.16</v>
      </c>
    </row>
    <row r="625" spans="1:14">
      <c r="A625" s="72" t="s">
        <v>164</v>
      </c>
      <c r="B625" s="72" t="s">
        <v>507</v>
      </c>
      <c r="C625" s="72" t="s">
        <v>62</v>
      </c>
      <c r="D625" s="74">
        <v>3408</v>
      </c>
      <c r="E625" s="76">
        <v>2385.6</v>
      </c>
    </row>
    <row r="626" spans="1:14">
      <c r="A626" s="72" t="s">
        <v>164</v>
      </c>
      <c r="B626" s="72" t="s">
        <v>507</v>
      </c>
      <c r="C626" s="72" t="s">
        <v>31</v>
      </c>
      <c r="D626" s="74">
        <v>4200</v>
      </c>
      <c r="E626" s="76">
        <v>2940</v>
      </c>
    </row>
    <row r="627" spans="1:14">
      <c r="A627" s="72" t="s">
        <v>164</v>
      </c>
      <c r="B627" s="72" t="s">
        <v>507</v>
      </c>
      <c r="C627" s="72" t="s">
        <v>23</v>
      </c>
      <c r="D627" s="74">
        <v>1763.2</v>
      </c>
      <c r="E627" s="76">
        <v>1234.24</v>
      </c>
    </row>
    <row r="628" spans="1:14">
      <c r="A628" s="72" t="s">
        <v>164</v>
      </c>
      <c r="B628" s="72" t="s">
        <v>507</v>
      </c>
      <c r="C628" s="72" t="s">
        <v>95</v>
      </c>
      <c r="D628" s="74">
        <v>1800</v>
      </c>
      <c r="E628" s="76">
        <v>1260</v>
      </c>
    </row>
    <row r="629" spans="1:14">
      <c r="A629" s="72" t="s">
        <v>164</v>
      </c>
      <c r="B629" s="72" t="s">
        <v>507</v>
      </c>
      <c r="C629" s="72" t="s">
        <v>34</v>
      </c>
      <c r="D629" s="74">
        <v>1473.6</v>
      </c>
      <c r="E629" s="76">
        <v>1031.52</v>
      </c>
    </row>
    <row r="630" spans="1:14">
      <c r="A630" s="72" t="s">
        <v>164</v>
      </c>
      <c r="B630" s="72" t="s">
        <v>507</v>
      </c>
      <c r="C630" s="72" t="s">
        <v>372</v>
      </c>
      <c r="D630" s="74">
        <v>1200</v>
      </c>
      <c r="E630" s="76">
        <v>840</v>
      </c>
    </row>
    <row r="631" spans="1:14">
      <c r="A631" s="100" t="s">
        <v>164</v>
      </c>
      <c r="B631" s="72" t="s">
        <v>507</v>
      </c>
      <c r="C631" s="100" t="s">
        <v>101</v>
      </c>
      <c r="D631" s="102">
        <v>600</v>
      </c>
      <c r="E631" s="104">
        <v>420</v>
      </c>
      <c r="F631"/>
      <c r="G631"/>
      <c r="H631"/>
      <c r="I631"/>
      <c r="J631"/>
      <c r="K631"/>
      <c r="L631"/>
      <c r="M631"/>
      <c r="N631"/>
    </row>
    <row r="632" spans="1:14">
      <c r="A632" s="100" t="s">
        <v>164</v>
      </c>
      <c r="B632" s="72" t="s">
        <v>507</v>
      </c>
      <c r="C632" s="100" t="s">
        <v>24</v>
      </c>
      <c r="D632" s="102">
        <v>200</v>
      </c>
      <c r="E632" s="104">
        <v>140</v>
      </c>
      <c r="F632"/>
      <c r="G632"/>
      <c r="H632"/>
      <c r="I632"/>
      <c r="J632"/>
      <c r="K632"/>
      <c r="L632"/>
      <c r="M632"/>
      <c r="N632"/>
    </row>
    <row r="633" spans="1:14">
      <c r="A633" s="72" t="s">
        <v>175</v>
      </c>
      <c r="B633" s="72" t="s">
        <v>507</v>
      </c>
      <c r="C633" s="72" t="s">
        <v>519</v>
      </c>
      <c r="D633" s="74">
        <v>516509.2</v>
      </c>
      <c r="E633" s="76">
        <v>309905.52</v>
      </c>
    </row>
    <row r="634" spans="1:14">
      <c r="A634" s="72" t="s">
        <v>177</v>
      </c>
      <c r="B634" s="72" t="s">
        <v>507</v>
      </c>
      <c r="C634" s="72" t="s">
        <v>518</v>
      </c>
      <c r="D634" s="74">
        <v>8804522.3000000007</v>
      </c>
      <c r="E634" s="76">
        <v>5282713.38</v>
      </c>
      <c r="F634"/>
    </row>
    <row r="635" spans="1:14">
      <c r="A635" s="72" t="s">
        <v>179</v>
      </c>
      <c r="B635" s="72" t="s">
        <v>507</v>
      </c>
      <c r="C635" s="72" t="s">
        <v>521</v>
      </c>
      <c r="D635" s="74">
        <v>2779550.2</v>
      </c>
      <c r="E635" s="76">
        <v>1945685.14</v>
      </c>
    </row>
    <row r="636" spans="1:14">
      <c r="A636" s="72" t="s">
        <v>181</v>
      </c>
      <c r="B636" s="72" t="s">
        <v>507</v>
      </c>
      <c r="C636" s="72" t="s">
        <v>520</v>
      </c>
      <c r="D636" s="74">
        <v>16708370.6</v>
      </c>
      <c r="E636" s="76">
        <v>10025022.359999999</v>
      </c>
    </row>
    <row r="637" spans="1:14">
      <c r="A637" s="72" t="s">
        <v>398</v>
      </c>
      <c r="B637" s="72" t="s">
        <v>507</v>
      </c>
      <c r="C637" s="72" t="s">
        <v>408</v>
      </c>
      <c r="D637" s="74">
        <v>9617839.1999999993</v>
      </c>
      <c r="E637" s="76">
        <v>5770703.5199999996</v>
      </c>
    </row>
    <row r="638" spans="1:14">
      <c r="A638" s="72" t="s">
        <v>182</v>
      </c>
      <c r="B638" s="72" t="s">
        <v>507</v>
      </c>
      <c r="C638" s="72" t="s">
        <v>183</v>
      </c>
      <c r="D638" s="74">
        <v>16889596.399999999</v>
      </c>
      <c r="E638" s="76">
        <v>10133757.839999998</v>
      </c>
    </row>
    <row r="639" spans="1:14">
      <c r="A639" s="72" t="s">
        <v>184</v>
      </c>
      <c r="B639" s="72" t="s">
        <v>507</v>
      </c>
      <c r="C639" s="72" t="s">
        <v>489</v>
      </c>
      <c r="D639" s="74">
        <v>2204434</v>
      </c>
      <c r="E639" s="76">
        <v>1322660.3999999999</v>
      </c>
    </row>
    <row r="640" spans="1:14">
      <c r="A640" s="151" t="s">
        <v>185</v>
      </c>
      <c r="B640" s="72" t="s">
        <v>405</v>
      </c>
      <c r="C640" s="72" t="s">
        <v>420</v>
      </c>
      <c r="D640" s="74">
        <v>100</v>
      </c>
      <c r="E640" s="76">
        <v>100</v>
      </c>
    </row>
    <row r="641" spans="1:14">
      <c r="A641" s="151" t="s">
        <v>185</v>
      </c>
      <c r="B641" s="72" t="s">
        <v>405</v>
      </c>
      <c r="C641" s="72" t="s">
        <v>188</v>
      </c>
      <c r="D641" s="74">
        <v>2254215</v>
      </c>
      <c r="E641" s="76">
        <v>2254215</v>
      </c>
    </row>
    <row r="642" spans="1:14">
      <c r="A642" s="151" t="s">
        <v>185</v>
      </c>
      <c r="B642" s="72" t="s">
        <v>405</v>
      </c>
      <c r="C642" s="72" t="s">
        <v>186</v>
      </c>
      <c r="D642" s="74">
        <v>10757202</v>
      </c>
      <c r="E642" s="76">
        <v>10757202</v>
      </c>
    </row>
    <row r="643" spans="1:14">
      <c r="A643" s="151" t="s">
        <v>185</v>
      </c>
      <c r="B643" s="72" t="s">
        <v>405</v>
      </c>
      <c r="C643" s="72" t="s">
        <v>421</v>
      </c>
      <c r="D643" s="74">
        <v>95194</v>
      </c>
      <c r="E643" s="76">
        <v>95194</v>
      </c>
    </row>
    <row r="644" spans="1:14">
      <c r="A644" s="152" t="s">
        <v>185</v>
      </c>
      <c r="B644" s="72" t="s">
        <v>405</v>
      </c>
      <c r="C644" s="1" t="s">
        <v>422</v>
      </c>
      <c r="D644" s="102">
        <v>44035</v>
      </c>
      <c r="E644" s="104">
        <v>44035</v>
      </c>
      <c r="F644"/>
      <c r="G644"/>
      <c r="H644"/>
      <c r="I644"/>
      <c r="J644"/>
      <c r="K644"/>
      <c r="L644"/>
      <c r="M644"/>
      <c r="N644"/>
    </row>
    <row r="645" spans="1:14">
      <c r="A645" s="152" t="s">
        <v>185</v>
      </c>
      <c r="B645" s="100" t="s">
        <v>405</v>
      </c>
      <c r="C645" s="100" t="s">
        <v>183</v>
      </c>
      <c r="D645" s="102">
        <v>32544906</v>
      </c>
      <c r="E645" s="104">
        <v>32544906</v>
      </c>
      <c r="F645"/>
      <c r="G645"/>
      <c r="H645"/>
      <c r="I645"/>
      <c r="J645"/>
      <c r="K645"/>
      <c r="L645"/>
      <c r="M645"/>
      <c r="N645"/>
    </row>
    <row r="646" spans="1:14">
      <c r="A646" s="72" t="s">
        <v>187</v>
      </c>
      <c r="B646" s="100" t="s">
        <v>405</v>
      </c>
      <c r="C646" s="72" t="s">
        <v>486</v>
      </c>
      <c r="D646" s="74">
        <v>67175</v>
      </c>
      <c r="E646" s="76">
        <v>67175</v>
      </c>
    </row>
    <row r="647" spans="1:14">
      <c r="A647" s="72" t="s">
        <v>187</v>
      </c>
      <c r="B647" s="100" t="s">
        <v>405</v>
      </c>
      <c r="C647" s="72" t="s">
        <v>491</v>
      </c>
      <c r="D647" s="74">
        <v>25599</v>
      </c>
      <c r="E647" s="76">
        <v>25599</v>
      </c>
    </row>
    <row r="648" spans="1:14">
      <c r="A648" s="72" t="s">
        <v>187</v>
      </c>
      <c r="B648" s="100" t="s">
        <v>405</v>
      </c>
      <c r="C648" s="72" t="s">
        <v>399</v>
      </c>
      <c r="D648" s="74">
        <v>32077</v>
      </c>
      <c r="E648" s="76">
        <v>32077</v>
      </c>
    </row>
    <row r="649" spans="1:14">
      <c r="A649" s="72" t="s">
        <v>187</v>
      </c>
      <c r="B649" s="100" t="s">
        <v>405</v>
      </c>
      <c r="C649" s="72" t="s">
        <v>489</v>
      </c>
      <c r="D649" s="74">
        <v>963</v>
      </c>
      <c r="E649" s="76">
        <v>963</v>
      </c>
    </row>
    <row r="650" spans="1:14">
      <c r="A650" s="72" t="s">
        <v>187</v>
      </c>
      <c r="B650" s="100" t="s">
        <v>405</v>
      </c>
      <c r="C650" s="72" t="s">
        <v>183</v>
      </c>
      <c r="D650" s="74">
        <v>38040</v>
      </c>
      <c r="E650" s="76">
        <v>38040</v>
      </c>
    </row>
    <row r="651" spans="1:14">
      <c r="A651" s="72"/>
      <c r="B651" s="72"/>
      <c r="C651" s="72"/>
      <c r="D651" s="74"/>
      <c r="E651" s="76"/>
    </row>
    <row r="652" spans="1:14">
      <c r="A652" s="72" t="s">
        <v>189</v>
      </c>
      <c r="B652" s="72" t="s">
        <v>405</v>
      </c>
      <c r="C652" s="72" t="s">
        <v>22</v>
      </c>
      <c r="D652" s="117">
        <v>395514</v>
      </c>
      <c r="E652" s="118">
        <v>395514</v>
      </c>
    </row>
    <row r="653" spans="1:14">
      <c r="A653" s="72" t="s">
        <v>189</v>
      </c>
      <c r="B653" s="72" t="s">
        <v>405</v>
      </c>
      <c r="C653" s="72" t="s">
        <v>21</v>
      </c>
      <c r="D653" s="117">
        <v>729</v>
      </c>
      <c r="E653" s="118">
        <v>729</v>
      </c>
    </row>
    <row r="654" spans="1:14">
      <c r="A654" s="72" t="s">
        <v>189</v>
      </c>
      <c r="B654" s="72" t="s">
        <v>405</v>
      </c>
      <c r="C654" s="72" t="s">
        <v>90</v>
      </c>
      <c r="D654" s="117">
        <v>474759</v>
      </c>
      <c r="E654" s="118">
        <v>474759</v>
      </c>
    </row>
    <row r="655" spans="1:14">
      <c r="A655" s="72" t="s">
        <v>189</v>
      </c>
      <c r="B655" s="72" t="s">
        <v>405</v>
      </c>
      <c r="C655" s="72" t="s">
        <v>12</v>
      </c>
      <c r="D655" s="117">
        <v>45846</v>
      </c>
      <c r="E655" s="118">
        <v>45846</v>
      </c>
    </row>
    <row r="656" spans="1:14">
      <c r="A656" s="72" t="s">
        <v>189</v>
      </c>
      <c r="B656" s="72" t="s">
        <v>405</v>
      </c>
      <c r="C656" s="72" t="s">
        <v>10</v>
      </c>
      <c r="D656" s="117">
        <v>14229</v>
      </c>
      <c r="E656" s="118">
        <v>14229</v>
      </c>
    </row>
    <row r="657" spans="1:14">
      <c r="A657" s="72" t="s">
        <v>189</v>
      </c>
      <c r="B657" s="72" t="s">
        <v>405</v>
      </c>
      <c r="C657" s="72" t="s">
        <v>191</v>
      </c>
      <c r="D657" s="117">
        <v>23166</v>
      </c>
      <c r="E657" s="118">
        <v>23166</v>
      </c>
    </row>
    <row r="658" spans="1:14">
      <c r="A658" s="100" t="s">
        <v>189</v>
      </c>
      <c r="B658" s="72" t="s">
        <v>405</v>
      </c>
      <c r="C658" s="100" t="s">
        <v>14</v>
      </c>
      <c r="D658" s="117">
        <v>1753587</v>
      </c>
      <c r="E658" s="118">
        <v>1753587</v>
      </c>
      <c r="F658"/>
      <c r="G658"/>
      <c r="H658"/>
      <c r="I658"/>
      <c r="J658"/>
      <c r="K658"/>
      <c r="L658"/>
      <c r="M658"/>
      <c r="N658"/>
    </row>
    <row r="659" spans="1:14">
      <c r="A659" s="72" t="s">
        <v>189</v>
      </c>
      <c r="B659" s="72" t="s">
        <v>405</v>
      </c>
      <c r="C659" s="72" t="s">
        <v>32</v>
      </c>
      <c r="D659" s="117">
        <v>257976</v>
      </c>
      <c r="E659" s="118">
        <v>257976</v>
      </c>
    </row>
    <row r="660" spans="1:14">
      <c r="A660" s="72" t="s">
        <v>189</v>
      </c>
      <c r="B660" s="72" t="s">
        <v>405</v>
      </c>
      <c r="C660" s="72" t="s">
        <v>13</v>
      </c>
      <c r="D660" s="117">
        <v>45572</v>
      </c>
      <c r="E660" s="118">
        <v>45572</v>
      </c>
    </row>
    <row r="661" spans="1:14">
      <c r="A661" s="72" t="s">
        <v>189</v>
      </c>
      <c r="B661" s="72" t="s">
        <v>405</v>
      </c>
      <c r="C661" s="72" t="s">
        <v>29</v>
      </c>
      <c r="D661" s="117">
        <v>20606</v>
      </c>
      <c r="E661" s="118">
        <v>20606</v>
      </c>
    </row>
    <row r="662" spans="1:14">
      <c r="A662" s="72" t="s">
        <v>189</v>
      </c>
      <c r="B662" s="72" t="s">
        <v>405</v>
      </c>
      <c r="C662" s="72" t="s">
        <v>40</v>
      </c>
      <c r="D662" s="117">
        <v>56073</v>
      </c>
      <c r="E662" s="118">
        <v>56073</v>
      </c>
    </row>
    <row r="663" spans="1:14">
      <c r="A663" s="72" t="s">
        <v>189</v>
      </c>
      <c r="B663" s="72" t="s">
        <v>405</v>
      </c>
      <c r="C663" s="72" t="s">
        <v>111</v>
      </c>
      <c r="D663" s="117">
        <v>143272</v>
      </c>
      <c r="E663" s="118">
        <v>143272</v>
      </c>
    </row>
    <row r="664" spans="1:14">
      <c r="A664" s="100" t="s">
        <v>189</v>
      </c>
      <c r="B664" s="72" t="s">
        <v>405</v>
      </c>
      <c r="C664" s="100" t="s">
        <v>112</v>
      </c>
      <c r="D664" s="117">
        <v>84070</v>
      </c>
      <c r="E664" s="118">
        <v>84070</v>
      </c>
      <c r="F664"/>
      <c r="G664"/>
      <c r="H664"/>
      <c r="I664"/>
      <c r="J664"/>
      <c r="K664"/>
      <c r="L664"/>
      <c r="M664"/>
      <c r="N664"/>
    </row>
    <row r="665" spans="1:14">
      <c r="A665" s="100" t="s">
        <v>189</v>
      </c>
      <c r="B665" s="72" t="s">
        <v>405</v>
      </c>
      <c r="C665" s="100" t="s">
        <v>373</v>
      </c>
      <c r="D665" s="117">
        <v>77785</v>
      </c>
      <c r="E665" s="118">
        <v>77785</v>
      </c>
      <c r="F665"/>
      <c r="G665"/>
      <c r="H665"/>
      <c r="I665"/>
      <c r="J665"/>
      <c r="K665"/>
      <c r="L665"/>
      <c r="M665"/>
      <c r="N665"/>
    </row>
    <row r="666" spans="1:14">
      <c r="A666" s="100" t="s">
        <v>189</v>
      </c>
      <c r="B666" s="72" t="s">
        <v>405</v>
      </c>
      <c r="C666" s="100" t="s">
        <v>389</v>
      </c>
      <c r="D666" s="117">
        <v>15552</v>
      </c>
      <c r="E666" s="118">
        <v>15552</v>
      </c>
      <c r="F666"/>
      <c r="G666"/>
      <c r="H666"/>
      <c r="I666"/>
      <c r="J666"/>
      <c r="K666"/>
      <c r="L666"/>
      <c r="M666"/>
      <c r="N666"/>
    </row>
    <row r="667" spans="1:14">
      <c r="A667" s="100" t="s">
        <v>189</v>
      </c>
      <c r="B667" s="72" t="s">
        <v>405</v>
      </c>
      <c r="C667" s="100" t="s">
        <v>382</v>
      </c>
      <c r="D667" s="117">
        <v>340912</v>
      </c>
      <c r="E667" s="118">
        <v>340912</v>
      </c>
      <c r="F667"/>
      <c r="G667"/>
      <c r="H667"/>
      <c r="I667"/>
      <c r="J667"/>
      <c r="K667"/>
      <c r="L667"/>
      <c r="M667"/>
      <c r="N667"/>
    </row>
    <row r="668" spans="1:14">
      <c r="A668" s="100" t="s">
        <v>189</v>
      </c>
      <c r="B668" s="72" t="s">
        <v>405</v>
      </c>
      <c r="C668" s="100" t="s">
        <v>413</v>
      </c>
      <c r="D668" s="117">
        <v>150838</v>
      </c>
      <c r="E668" s="118">
        <v>150838</v>
      </c>
      <c r="F668"/>
      <c r="G668"/>
      <c r="H668"/>
      <c r="I668"/>
      <c r="J668"/>
      <c r="K668"/>
      <c r="L668"/>
      <c r="M668"/>
      <c r="N668"/>
    </row>
    <row r="669" spans="1:14">
      <c r="A669" s="72" t="s">
        <v>189</v>
      </c>
      <c r="B669" s="72" t="s">
        <v>405</v>
      </c>
      <c r="C669" s="72" t="s">
        <v>401</v>
      </c>
      <c r="D669" s="117">
        <v>5763</v>
      </c>
      <c r="E669" s="118">
        <v>5763</v>
      </c>
    </row>
    <row r="670" spans="1:14">
      <c r="A670" s="72"/>
      <c r="B670" s="72"/>
      <c r="C670" s="119"/>
      <c r="D670" s="120"/>
      <c r="E670" s="121"/>
    </row>
    <row r="671" spans="1:14">
      <c r="A671" s="72" t="s">
        <v>192</v>
      </c>
      <c r="B671" s="72" t="s">
        <v>405</v>
      </c>
      <c r="C671" s="122" t="s">
        <v>360</v>
      </c>
      <c r="D671" s="123">
        <v>15204840</v>
      </c>
      <c r="E671" s="76">
        <v>9122904</v>
      </c>
    </row>
    <row r="672" spans="1:14">
      <c r="A672" s="72" t="s">
        <v>192</v>
      </c>
      <c r="B672" s="72" t="s">
        <v>405</v>
      </c>
      <c r="C672" s="122" t="s">
        <v>11</v>
      </c>
      <c r="D672" s="123">
        <v>8092980</v>
      </c>
      <c r="E672" s="76">
        <v>4855788</v>
      </c>
    </row>
    <row r="673" spans="1:5">
      <c r="A673" s="72" t="s">
        <v>192</v>
      </c>
      <c r="B673" s="72" t="s">
        <v>405</v>
      </c>
      <c r="C673" s="122" t="s">
        <v>30</v>
      </c>
      <c r="D673" s="123">
        <v>6698160</v>
      </c>
      <c r="E673" s="76">
        <v>4018896</v>
      </c>
    </row>
    <row r="674" spans="1:5">
      <c r="A674" s="72" t="s">
        <v>192</v>
      </c>
      <c r="B674" s="72" t="s">
        <v>405</v>
      </c>
      <c r="C674" s="122" t="s">
        <v>90</v>
      </c>
      <c r="D674" s="123">
        <v>2786280</v>
      </c>
      <c r="E674" s="76">
        <v>1671768</v>
      </c>
    </row>
    <row r="675" spans="1:5">
      <c r="A675" s="72" t="s">
        <v>192</v>
      </c>
      <c r="B675" s="72" t="s">
        <v>405</v>
      </c>
      <c r="C675" s="122" t="s">
        <v>22</v>
      </c>
      <c r="D675" s="123">
        <v>2530080</v>
      </c>
      <c r="E675" s="76">
        <v>1518048</v>
      </c>
    </row>
    <row r="676" spans="1:5">
      <c r="A676" s="72" t="s">
        <v>192</v>
      </c>
      <c r="B676" s="72" t="s">
        <v>405</v>
      </c>
      <c r="C676" s="122" t="s">
        <v>8</v>
      </c>
      <c r="D676" s="123">
        <v>2461900</v>
      </c>
      <c r="E676" s="76">
        <v>1477140</v>
      </c>
    </row>
    <row r="677" spans="1:5">
      <c r="A677" s="72" t="s">
        <v>192</v>
      </c>
      <c r="B677" s="72" t="s">
        <v>405</v>
      </c>
      <c r="C677" s="122" t="s">
        <v>13</v>
      </c>
      <c r="D677" s="123">
        <v>1486380</v>
      </c>
      <c r="E677" s="76">
        <v>891828</v>
      </c>
    </row>
    <row r="678" spans="1:5">
      <c r="A678" s="72" t="s">
        <v>192</v>
      </c>
      <c r="B678" s="72" t="s">
        <v>405</v>
      </c>
      <c r="C678" s="122" t="s">
        <v>9</v>
      </c>
      <c r="D678" s="123">
        <v>780360</v>
      </c>
      <c r="E678" s="76">
        <v>468216</v>
      </c>
    </row>
    <row r="679" spans="1:5">
      <c r="A679" s="72" t="s">
        <v>192</v>
      </c>
      <c r="B679" s="72" t="s">
        <v>405</v>
      </c>
      <c r="C679" s="122" t="s">
        <v>219</v>
      </c>
      <c r="D679" s="123">
        <v>700980</v>
      </c>
      <c r="E679" s="76">
        <v>420588</v>
      </c>
    </row>
    <row r="680" spans="1:5">
      <c r="A680" s="72" t="s">
        <v>192</v>
      </c>
      <c r="B680" s="72" t="s">
        <v>405</v>
      </c>
      <c r="C680" s="122" t="s">
        <v>66</v>
      </c>
      <c r="D680" s="123">
        <v>422520</v>
      </c>
      <c r="E680" s="76">
        <v>253512</v>
      </c>
    </row>
    <row r="681" spans="1:5">
      <c r="A681" s="72" t="s">
        <v>192</v>
      </c>
      <c r="B681" s="72" t="s">
        <v>405</v>
      </c>
      <c r="C681" s="122" t="s">
        <v>21</v>
      </c>
      <c r="D681" s="123">
        <v>390880</v>
      </c>
      <c r="E681" s="76">
        <v>234528</v>
      </c>
    </row>
    <row r="682" spans="1:5">
      <c r="A682" s="72" t="s">
        <v>192</v>
      </c>
      <c r="B682" s="72" t="s">
        <v>405</v>
      </c>
      <c r="C682" s="122" t="s">
        <v>53</v>
      </c>
      <c r="D682" s="123">
        <v>296380</v>
      </c>
      <c r="E682" s="76">
        <v>177828</v>
      </c>
    </row>
    <row r="683" spans="1:5">
      <c r="A683" s="72" t="s">
        <v>192</v>
      </c>
      <c r="B683" s="72" t="s">
        <v>405</v>
      </c>
      <c r="C683" s="122" t="s">
        <v>29</v>
      </c>
      <c r="D683" s="123">
        <v>260400</v>
      </c>
      <c r="E683" s="76">
        <v>156240</v>
      </c>
    </row>
    <row r="684" spans="1:5">
      <c r="A684" s="72" t="s">
        <v>192</v>
      </c>
      <c r="B684" s="72" t="s">
        <v>405</v>
      </c>
      <c r="C684" s="122" t="s">
        <v>38</v>
      </c>
      <c r="D684" s="123">
        <v>216720</v>
      </c>
      <c r="E684" s="76">
        <v>130032</v>
      </c>
    </row>
    <row r="685" spans="1:5">
      <c r="A685" s="72" t="s">
        <v>192</v>
      </c>
      <c r="B685" s="72" t="s">
        <v>405</v>
      </c>
      <c r="C685" s="122" t="s">
        <v>10</v>
      </c>
      <c r="D685" s="123">
        <v>160440</v>
      </c>
      <c r="E685" s="76">
        <v>96264</v>
      </c>
    </row>
    <row r="686" spans="1:5">
      <c r="A686" s="72" t="s">
        <v>192</v>
      </c>
      <c r="B686" s="72" t="s">
        <v>405</v>
      </c>
      <c r="C686" s="122" t="s">
        <v>193</v>
      </c>
      <c r="D686" s="123">
        <v>159600</v>
      </c>
      <c r="E686" s="76">
        <v>95760</v>
      </c>
    </row>
    <row r="687" spans="1:5">
      <c r="A687" s="72" t="s">
        <v>192</v>
      </c>
      <c r="B687" s="72" t="s">
        <v>405</v>
      </c>
      <c r="C687" s="122" t="s">
        <v>401</v>
      </c>
      <c r="D687" s="123">
        <v>108080</v>
      </c>
      <c r="E687" s="76">
        <v>64848</v>
      </c>
    </row>
    <row r="688" spans="1:5">
      <c r="A688" s="72" t="s">
        <v>192</v>
      </c>
      <c r="B688" s="72" t="s">
        <v>405</v>
      </c>
      <c r="C688" s="122" t="s">
        <v>58</v>
      </c>
      <c r="D688" s="123">
        <v>93520</v>
      </c>
      <c r="E688" s="76">
        <v>56112</v>
      </c>
    </row>
    <row r="689" spans="1:5">
      <c r="A689" s="72" t="s">
        <v>192</v>
      </c>
      <c r="B689" s="72" t="s">
        <v>405</v>
      </c>
      <c r="C689" s="122" t="s">
        <v>417</v>
      </c>
      <c r="D689" s="123">
        <v>89460</v>
      </c>
      <c r="E689" s="76">
        <v>53676</v>
      </c>
    </row>
    <row r="690" spans="1:5">
      <c r="A690" s="72" t="s">
        <v>192</v>
      </c>
      <c r="B690" s="72" t="s">
        <v>405</v>
      </c>
      <c r="C690" s="122" t="s">
        <v>91</v>
      </c>
      <c r="D690" s="123">
        <v>82320</v>
      </c>
      <c r="E690" s="76">
        <v>49392</v>
      </c>
    </row>
    <row r="691" spans="1:5">
      <c r="A691" s="72" t="s">
        <v>192</v>
      </c>
      <c r="B691" s="72" t="s">
        <v>405</v>
      </c>
      <c r="C691" s="122" t="s">
        <v>390</v>
      </c>
      <c r="D691" s="123">
        <v>80220</v>
      </c>
      <c r="E691" s="76">
        <v>48132</v>
      </c>
    </row>
    <row r="692" spans="1:5">
      <c r="A692" s="72" t="s">
        <v>192</v>
      </c>
      <c r="B692" s="72" t="s">
        <v>405</v>
      </c>
      <c r="C692" s="122" t="s">
        <v>12</v>
      </c>
      <c r="D692" s="123">
        <v>72240</v>
      </c>
      <c r="E692" s="76">
        <v>43344</v>
      </c>
    </row>
    <row r="693" spans="1:5">
      <c r="A693" s="72" t="s">
        <v>192</v>
      </c>
      <c r="B693" s="72" t="s">
        <v>405</v>
      </c>
      <c r="C693" s="122" t="s">
        <v>16</v>
      </c>
      <c r="D693" s="123">
        <v>59220</v>
      </c>
      <c r="E693" s="76">
        <v>35532</v>
      </c>
    </row>
    <row r="694" spans="1:5">
      <c r="A694" s="72" t="s">
        <v>192</v>
      </c>
      <c r="B694" s="72" t="s">
        <v>405</v>
      </c>
      <c r="C694" s="122" t="s">
        <v>194</v>
      </c>
      <c r="D694" s="123">
        <v>50400</v>
      </c>
      <c r="E694" s="76">
        <v>30240</v>
      </c>
    </row>
    <row r="695" spans="1:5">
      <c r="A695" s="72" t="s">
        <v>192</v>
      </c>
      <c r="B695" s="72" t="s">
        <v>405</v>
      </c>
      <c r="C695" s="122" t="s">
        <v>15</v>
      </c>
      <c r="D695" s="123">
        <v>49280</v>
      </c>
      <c r="E695" s="76">
        <v>29568</v>
      </c>
    </row>
    <row r="696" spans="1:5">
      <c r="A696" s="72" t="s">
        <v>192</v>
      </c>
      <c r="B696" s="72" t="s">
        <v>405</v>
      </c>
      <c r="C696" s="122" t="s">
        <v>367</v>
      </c>
      <c r="D696" s="123">
        <v>35840</v>
      </c>
      <c r="E696" s="76">
        <v>21504</v>
      </c>
    </row>
    <row r="697" spans="1:5">
      <c r="A697" s="72" t="s">
        <v>192</v>
      </c>
      <c r="B697" s="72" t="s">
        <v>405</v>
      </c>
      <c r="C697" s="122" t="s">
        <v>372</v>
      </c>
      <c r="D697" s="123">
        <v>34020</v>
      </c>
      <c r="E697" s="76">
        <v>20412</v>
      </c>
    </row>
    <row r="698" spans="1:5">
      <c r="A698" s="72" t="s">
        <v>192</v>
      </c>
      <c r="B698" s="72" t="s">
        <v>405</v>
      </c>
      <c r="C698" s="122" t="s">
        <v>366</v>
      </c>
      <c r="D698" s="123">
        <v>25620</v>
      </c>
      <c r="E698" s="76">
        <v>15372</v>
      </c>
    </row>
    <row r="699" spans="1:5">
      <c r="A699" s="72" t="s">
        <v>192</v>
      </c>
      <c r="B699" s="72" t="s">
        <v>405</v>
      </c>
      <c r="C699" s="122" t="s">
        <v>80</v>
      </c>
      <c r="D699" s="123">
        <v>12880</v>
      </c>
      <c r="E699" s="76">
        <v>7728</v>
      </c>
    </row>
    <row r="700" spans="1:5">
      <c r="A700" s="72" t="s">
        <v>192</v>
      </c>
      <c r="B700" s="72" t="s">
        <v>405</v>
      </c>
      <c r="C700" s="122" t="s">
        <v>55</v>
      </c>
      <c r="D700" s="123">
        <v>6720</v>
      </c>
      <c r="E700" s="76">
        <v>4032</v>
      </c>
    </row>
    <row r="701" spans="1:5">
      <c r="A701" s="72" t="s">
        <v>192</v>
      </c>
      <c r="B701" s="72" t="s">
        <v>405</v>
      </c>
      <c r="C701" s="122" t="s">
        <v>88</v>
      </c>
      <c r="D701" s="123">
        <v>6720</v>
      </c>
      <c r="E701" s="76">
        <v>4032</v>
      </c>
    </row>
    <row r="702" spans="1:5">
      <c r="A702" s="72" t="s">
        <v>192</v>
      </c>
      <c r="B702" s="72" t="s">
        <v>405</v>
      </c>
      <c r="C702" s="122" t="s">
        <v>64</v>
      </c>
      <c r="D702" s="123">
        <v>5880</v>
      </c>
      <c r="E702" s="76">
        <v>3528</v>
      </c>
    </row>
    <row r="703" spans="1:5">
      <c r="A703" s="72" t="s">
        <v>192</v>
      </c>
      <c r="B703" s="72" t="s">
        <v>405</v>
      </c>
      <c r="C703" s="122" t="s">
        <v>24</v>
      </c>
      <c r="D703" s="123">
        <v>2240</v>
      </c>
      <c r="E703" s="76">
        <v>1344</v>
      </c>
    </row>
    <row r="704" spans="1:5">
      <c r="A704" s="72" t="s">
        <v>192</v>
      </c>
      <c r="B704" s="72" t="s">
        <v>405</v>
      </c>
      <c r="C704" s="122" t="s">
        <v>195</v>
      </c>
      <c r="D704" s="123">
        <v>1120</v>
      </c>
      <c r="E704" s="76">
        <v>672</v>
      </c>
    </row>
    <row r="705" spans="1:5">
      <c r="A705" s="72" t="s">
        <v>192</v>
      </c>
      <c r="B705" s="72" t="s">
        <v>405</v>
      </c>
      <c r="C705" s="122" t="s">
        <v>56</v>
      </c>
      <c r="D705" s="123">
        <v>1120</v>
      </c>
      <c r="E705" s="76">
        <v>672</v>
      </c>
    </row>
    <row r="706" spans="1:5">
      <c r="A706" s="72" t="s">
        <v>192</v>
      </c>
      <c r="B706" s="72" t="s">
        <v>405</v>
      </c>
      <c r="C706" s="122" t="s">
        <v>34</v>
      </c>
      <c r="D706" s="123">
        <v>840</v>
      </c>
      <c r="E706" s="76">
        <v>504</v>
      </c>
    </row>
    <row r="707" spans="1:5">
      <c r="A707" s="72" t="s">
        <v>192</v>
      </c>
      <c r="B707" s="72" t="s">
        <v>405</v>
      </c>
      <c r="C707" s="122" t="s">
        <v>26</v>
      </c>
      <c r="D707" s="123">
        <v>420</v>
      </c>
      <c r="E707" s="76">
        <v>252</v>
      </c>
    </row>
    <row r="708" spans="1:5">
      <c r="A708" s="72"/>
      <c r="B708" s="72"/>
      <c r="C708" s="122"/>
      <c r="D708" s="123"/>
      <c r="E708" s="76"/>
    </row>
    <row r="709" spans="1:5">
      <c r="A709" s="72"/>
      <c r="B709" s="72"/>
      <c r="C709" s="124"/>
      <c r="D709" s="74"/>
      <c r="E709" s="76"/>
    </row>
    <row r="710" spans="1:5">
      <c r="A710" s="72" t="s">
        <v>196</v>
      </c>
      <c r="B710" s="72" t="s">
        <v>405</v>
      </c>
      <c r="C710" s="72" t="s">
        <v>22</v>
      </c>
      <c r="D710" s="74">
        <v>395892</v>
      </c>
      <c r="E710" s="76">
        <v>395892</v>
      </c>
    </row>
    <row r="711" spans="1:5">
      <c r="A711" s="72" t="s">
        <v>196</v>
      </c>
      <c r="B711" s="72" t="s">
        <v>405</v>
      </c>
      <c r="C711" s="72" t="s">
        <v>21</v>
      </c>
      <c r="D711" s="74">
        <v>50022</v>
      </c>
      <c r="E711" s="76">
        <v>50022</v>
      </c>
    </row>
    <row r="712" spans="1:5">
      <c r="A712" s="72" t="s">
        <v>196</v>
      </c>
      <c r="B712" s="72" t="s">
        <v>405</v>
      </c>
      <c r="C712" s="72" t="s">
        <v>59</v>
      </c>
      <c r="D712" s="74">
        <v>3150</v>
      </c>
      <c r="E712" s="76">
        <v>3150</v>
      </c>
    </row>
    <row r="713" spans="1:5">
      <c r="A713" s="72" t="s">
        <v>196</v>
      </c>
      <c r="B713" s="72" t="s">
        <v>405</v>
      </c>
      <c r="C713" s="72" t="s">
        <v>197</v>
      </c>
      <c r="D713" s="74">
        <v>33390</v>
      </c>
      <c r="E713" s="76">
        <v>33390</v>
      </c>
    </row>
    <row r="714" spans="1:5">
      <c r="A714" s="72" t="s">
        <v>196</v>
      </c>
      <c r="B714" s="72" t="s">
        <v>405</v>
      </c>
      <c r="C714" s="72" t="s">
        <v>88</v>
      </c>
      <c r="D714" s="74">
        <v>756</v>
      </c>
      <c r="E714" s="76">
        <v>756</v>
      </c>
    </row>
    <row r="715" spans="1:5">
      <c r="A715" s="72" t="s">
        <v>196</v>
      </c>
      <c r="B715" s="72" t="s">
        <v>405</v>
      </c>
      <c r="C715" s="72" t="s">
        <v>55</v>
      </c>
      <c r="D715" s="74">
        <v>8820</v>
      </c>
      <c r="E715" s="76">
        <v>8820</v>
      </c>
    </row>
    <row r="716" spans="1:5">
      <c r="A716" s="72" t="s">
        <v>196</v>
      </c>
      <c r="B716" s="72" t="s">
        <v>405</v>
      </c>
      <c r="C716" s="72" t="s">
        <v>100</v>
      </c>
      <c r="D716" s="74">
        <v>2263</v>
      </c>
      <c r="E716" s="76">
        <v>2263</v>
      </c>
    </row>
    <row r="717" spans="1:5">
      <c r="A717" s="72" t="s">
        <v>196</v>
      </c>
      <c r="B717" s="72" t="s">
        <v>405</v>
      </c>
      <c r="C717" s="72" t="s">
        <v>58</v>
      </c>
      <c r="D717" s="74">
        <v>27846</v>
      </c>
      <c r="E717" s="76">
        <v>27846</v>
      </c>
    </row>
    <row r="718" spans="1:5">
      <c r="A718" s="72" t="s">
        <v>196</v>
      </c>
      <c r="B718" s="72" t="s">
        <v>405</v>
      </c>
      <c r="C718" s="72" t="s">
        <v>101</v>
      </c>
      <c r="D718" s="74">
        <v>1764</v>
      </c>
      <c r="E718" s="76">
        <v>1764</v>
      </c>
    </row>
    <row r="719" spans="1:5">
      <c r="A719" s="72" t="s">
        <v>196</v>
      </c>
      <c r="B719" s="72" t="s">
        <v>405</v>
      </c>
      <c r="C719" s="72" t="s">
        <v>57</v>
      </c>
      <c r="D719" s="74">
        <v>2268</v>
      </c>
      <c r="E719" s="76">
        <v>2268</v>
      </c>
    </row>
    <row r="720" spans="1:5">
      <c r="A720" s="72" t="s">
        <v>196</v>
      </c>
      <c r="B720" s="72" t="s">
        <v>405</v>
      </c>
      <c r="C720" s="72" t="s">
        <v>95</v>
      </c>
      <c r="D720" s="74">
        <v>6300</v>
      </c>
      <c r="E720" s="76">
        <v>6300</v>
      </c>
    </row>
    <row r="721" spans="1:5">
      <c r="A721" s="72" t="s">
        <v>196</v>
      </c>
      <c r="B721" s="72" t="s">
        <v>405</v>
      </c>
      <c r="C721" s="72" t="s">
        <v>198</v>
      </c>
      <c r="D721" s="74">
        <v>252</v>
      </c>
      <c r="E721" s="76">
        <v>252</v>
      </c>
    </row>
    <row r="722" spans="1:5">
      <c r="A722" s="72" t="s">
        <v>196</v>
      </c>
      <c r="B722" s="72" t="s">
        <v>405</v>
      </c>
      <c r="C722" s="72" t="s">
        <v>199</v>
      </c>
      <c r="D722" s="74">
        <v>3519</v>
      </c>
      <c r="E722" s="76">
        <v>3519</v>
      </c>
    </row>
    <row r="723" spans="1:5">
      <c r="A723" s="72" t="s">
        <v>196</v>
      </c>
      <c r="B723" s="72" t="s">
        <v>405</v>
      </c>
      <c r="C723" s="72" t="s">
        <v>64</v>
      </c>
      <c r="D723" s="74">
        <v>7560</v>
      </c>
      <c r="E723" s="76">
        <v>7560</v>
      </c>
    </row>
    <row r="724" spans="1:5">
      <c r="A724" s="72" t="s">
        <v>196</v>
      </c>
      <c r="B724" s="72" t="s">
        <v>405</v>
      </c>
      <c r="C724" s="72" t="s">
        <v>200</v>
      </c>
      <c r="D724" s="74">
        <v>7308</v>
      </c>
      <c r="E724" s="76">
        <v>7308</v>
      </c>
    </row>
    <row r="725" spans="1:5">
      <c r="A725" s="72" t="s">
        <v>196</v>
      </c>
      <c r="B725" s="72" t="s">
        <v>405</v>
      </c>
      <c r="C725" s="72" t="s">
        <v>201</v>
      </c>
      <c r="D725" s="74">
        <v>1005</v>
      </c>
      <c r="E725" s="76">
        <v>1005</v>
      </c>
    </row>
    <row r="726" spans="1:5">
      <c r="A726" s="72" t="s">
        <v>196</v>
      </c>
      <c r="B726" s="72" t="s">
        <v>405</v>
      </c>
      <c r="C726" s="72" t="s">
        <v>409</v>
      </c>
      <c r="D726" s="74">
        <v>726</v>
      </c>
      <c r="E726" s="76">
        <v>726</v>
      </c>
    </row>
    <row r="727" spans="1:5">
      <c r="A727" s="72" t="s">
        <v>196</v>
      </c>
      <c r="B727" s="72" t="s">
        <v>405</v>
      </c>
      <c r="C727" s="72" t="s">
        <v>202</v>
      </c>
      <c r="D727" s="74">
        <v>168</v>
      </c>
      <c r="E727" s="76">
        <v>168</v>
      </c>
    </row>
    <row r="728" spans="1:5">
      <c r="A728" s="72" t="s">
        <v>196</v>
      </c>
      <c r="B728" s="72" t="s">
        <v>405</v>
      </c>
      <c r="C728" s="72" t="s">
        <v>203</v>
      </c>
      <c r="D728" s="74">
        <v>252</v>
      </c>
      <c r="E728" s="76">
        <v>252</v>
      </c>
    </row>
    <row r="729" spans="1:5">
      <c r="A729" s="72" t="s">
        <v>196</v>
      </c>
      <c r="B729" s="72" t="s">
        <v>405</v>
      </c>
      <c r="C729" s="72" t="s">
        <v>410</v>
      </c>
      <c r="D729" s="74">
        <v>3491</v>
      </c>
      <c r="E729" s="76">
        <v>3491</v>
      </c>
    </row>
    <row r="730" spans="1:5">
      <c r="A730" s="72" t="s">
        <v>196</v>
      </c>
      <c r="B730" s="72" t="s">
        <v>405</v>
      </c>
      <c r="C730" s="72" t="s">
        <v>204</v>
      </c>
      <c r="D730" s="74">
        <v>5558</v>
      </c>
      <c r="E730" s="76">
        <v>5558</v>
      </c>
    </row>
    <row r="731" spans="1:5">
      <c r="A731" s="72" t="s">
        <v>196</v>
      </c>
      <c r="B731" s="72" t="s">
        <v>405</v>
      </c>
      <c r="C731" s="72" t="s">
        <v>36</v>
      </c>
      <c r="D731" s="74">
        <v>3156</v>
      </c>
      <c r="E731" s="76">
        <v>3156</v>
      </c>
    </row>
    <row r="732" spans="1:5">
      <c r="A732" s="72" t="s">
        <v>196</v>
      </c>
      <c r="B732" s="72" t="s">
        <v>405</v>
      </c>
      <c r="C732" s="72" t="s">
        <v>90</v>
      </c>
      <c r="D732" s="74">
        <v>209412</v>
      </c>
      <c r="E732" s="76">
        <v>209412</v>
      </c>
    </row>
    <row r="733" spans="1:5">
      <c r="A733" s="72" t="s">
        <v>196</v>
      </c>
      <c r="B733" s="72" t="s">
        <v>405</v>
      </c>
      <c r="C733" s="72" t="s">
        <v>12</v>
      </c>
      <c r="D733" s="74">
        <v>155988</v>
      </c>
      <c r="E733" s="76">
        <v>155988</v>
      </c>
    </row>
    <row r="734" spans="1:5">
      <c r="A734" s="72" t="s">
        <v>196</v>
      </c>
      <c r="B734" s="72" t="s">
        <v>405</v>
      </c>
      <c r="C734" s="72" t="s">
        <v>190</v>
      </c>
      <c r="D734" s="74">
        <v>9450</v>
      </c>
      <c r="E734" s="76">
        <v>9450</v>
      </c>
    </row>
    <row r="735" spans="1:5">
      <c r="A735" s="72" t="s">
        <v>196</v>
      </c>
      <c r="B735" s="72" t="s">
        <v>405</v>
      </c>
      <c r="C735" s="72" t="s">
        <v>368</v>
      </c>
      <c r="D735" s="74">
        <v>168</v>
      </c>
      <c r="E735" s="76">
        <v>168</v>
      </c>
    </row>
    <row r="736" spans="1:5">
      <c r="A736" s="72" t="s">
        <v>196</v>
      </c>
      <c r="B736" s="72" t="s">
        <v>405</v>
      </c>
      <c r="C736" s="72" t="s">
        <v>402</v>
      </c>
      <c r="D736" s="74">
        <v>223</v>
      </c>
      <c r="E736" s="76">
        <v>223</v>
      </c>
    </row>
    <row r="737" spans="1:5">
      <c r="A737" s="72" t="s">
        <v>196</v>
      </c>
      <c r="B737" s="72" t="s">
        <v>405</v>
      </c>
      <c r="C737" s="72" t="s">
        <v>29</v>
      </c>
      <c r="D737" s="74">
        <v>49644</v>
      </c>
      <c r="E737" s="76">
        <v>49644</v>
      </c>
    </row>
    <row r="738" spans="1:5">
      <c r="A738" s="72" t="s">
        <v>196</v>
      </c>
      <c r="B738" s="72" t="s">
        <v>405</v>
      </c>
      <c r="C738" s="72" t="s">
        <v>18</v>
      </c>
      <c r="D738" s="74">
        <v>252</v>
      </c>
      <c r="E738" s="76">
        <v>252</v>
      </c>
    </row>
    <row r="739" spans="1:5">
      <c r="A739" s="72" t="s">
        <v>196</v>
      </c>
      <c r="B739" s="72" t="s">
        <v>405</v>
      </c>
      <c r="C739" s="72" t="s">
        <v>66</v>
      </c>
      <c r="D739" s="74">
        <v>24444</v>
      </c>
      <c r="E739" s="76">
        <v>24444</v>
      </c>
    </row>
    <row r="740" spans="1:5">
      <c r="A740" s="72" t="s">
        <v>196</v>
      </c>
      <c r="B740" s="72" t="s">
        <v>405</v>
      </c>
      <c r="C740" s="72" t="s">
        <v>191</v>
      </c>
      <c r="D740" s="74">
        <v>4536</v>
      </c>
      <c r="E740" s="76">
        <v>4536</v>
      </c>
    </row>
    <row r="741" spans="1:5">
      <c r="A741" s="72" t="s">
        <v>196</v>
      </c>
      <c r="B741" s="72" t="s">
        <v>405</v>
      </c>
      <c r="C741" s="72" t="s">
        <v>9</v>
      </c>
      <c r="D741" s="74">
        <v>6930</v>
      </c>
      <c r="E741" s="76">
        <v>6930</v>
      </c>
    </row>
    <row r="742" spans="1:5">
      <c r="A742" s="72" t="s">
        <v>196</v>
      </c>
      <c r="B742" s="72" t="s">
        <v>405</v>
      </c>
      <c r="C742" s="72" t="s">
        <v>13</v>
      </c>
      <c r="D742" s="74">
        <v>64764</v>
      </c>
      <c r="E742" s="76">
        <v>64764</v>
      </c>
    </row>
    <row r="743" spans="1:5">
      <c r="A743" s="72" t="s">
        <v>196</v>
      </c>
      <c r="B743" s="72" t="s">
        <v>405</v>
      </c>
      <c r="C743" s="72" t="s">
        <v>34</v>
      </c>
      <c r="D743" s="74">
        <v>2268</v>
      </c>
      <c r="E743" s="76">
        <v>2268</v>
      </c>
    </row>
    <row r="744" spans="1:5">
      <c r="A744" s="72" t="s">
        <v>196</v>
      </c>
      <c r="B744" s="72" t="s">
        <v>405</v>
      </c>
      <c r="C744" s="72" t="s">
        <v>205</v>
      </c>
      <c r="D744" s="74">
        <v>55314</v>
      </c>
      <c r="E744" s="76">
        <v>55314</v>
      </c>
    </row>
    <row r="745" spans="1:5">
      <c r="A745" s="72" t="s">
        <v>196</v>
      </c>
      <c r="B745" s="72" t="s">
        <v>405</v>
      </c>
      <c r="C745" s="72" t="s">
        <v>383</v>
      </c>
      <c r="D745" s="74">
        <v>11088</v>
      </c>
      <c r="E745" s="76">
        <v>11088</v>
      </c>
    </row>
    <row r="746" spans="1:5">
      <c r="A746" s="72" t="s">
        <v>196</v>
      </c>
      <c r="B746" s="72" t="s">
        <v>405</v>
      </c>
      <c r="C746" s="72" t="s">
        <v>14</v>
      </c>
      <c r="D746" s="74">
        <v>579600</v>
      </c>
      <c r="E746" s="76">
        <v>579600</v>
      </c>
    </row>
    <row r="747" spans="1:5">
      <c r="A747" s="72" t="s">
        <v>196</v>
      </c>
      <c r="B747" s="72" t="s">
        <v>405</v>
      </c>
      <c r="C747" s="72" t="s">
        <v>11</v>
      </c>
      <c r="D747" s="74">
        <v>10836</v>
      </c>
      <c r="E747" s="76">
        <v>10836</v>
      </c>
    </row>
    <row r="748" spans="1:5">
      <c r="A748" s="72" t="s">
        <v>196</v>
      </c>
      <c r="B748" s="72" t="s">
        <v>405</v>
      </c>
      <c r="C748" s="72" t="s">
        <v>32</v>
      </c>
      <c r="D748" s="74">
        <v>212184</v>
      </c>
      <c r="E748" s="76">
        <v>212184</v>
      </c>
    </row>
    <row r="749" spans="1:5">
      <c r="A749" s="72" t="s">
        <v>196</v>
      </c>
      <c r="B749" s="72" t="s">
        <v>405</v>
      </c>
      <c r="C749" s="72" t="s">
        <v>30</v>
      </c>
      <c r="D749" s="74">
        <v>32004</v>
      </c>
      <c r="E749" s="76">
        <v>32004</v>
      </c>
    </row>
    <row r="750" spans="1:5">
      <c r="A750" s="72" t="s">
        <v>196</v>
      </c>
      <c r="B750" s="72" t="s">
        <v>405</v>
      </c>
      <c r="C750" s="72" t="s">
        <v>10</v>
      </c>
      <c r="D750" s="74">
        <v>2268</v>
      </c>
      <c r="E750" s="76">
        <v>2268</v>
      </c>
    </row>
    <row r="751" spans="1:5">
      <c r="A751" s="72" t="s">
        <v>196</v>
      </c>
      <c r="B751" s="72" t="s">
        <v>405</v>
      </c>
      <c r="C751" s="72" t="s">
        <v>53</v>
      </c>
      <c r="D751" s="74">
        <v>114282</v>
      </c>
      <c r="E751" s="76">
        <v>114282</v>
      </c>
    </row>
    <row r="752" spans="1:5">
      <c r="A752" s="72" t="s">
        <v>196</v>
      </c>
      <c r="B752" s="72" t="s">
        <v>405</v>
      </c>
      <c r="C752" s="72" t="s">
        <v>367</v>
      </c>
      <c r="D752" s="74">
        <v>6930</v>
      </c>
      <c r="E752" s="76">
        <v>6930</v>
      </c>
    </row>
    <row r="753" spans="1:5">
      <c r="A753" s="72" t="s">
        <v>196</v>
      </c>
      <c r="B753" s="72" t="s">
        <v>405</v>
      </c>
      <c r="C753" s="72" t="s">
        <v>112</v>
      </c>
      <c r="D753" s="74">
        <v>257544</v>
      </c>
      <c r="E753" s="76">
        <v>257544</v>
      </c>
    </row>
    <row r="754" spans="1:5">
      <c r="A754" s="72" t="s">
        <v>196</v>
      </c>
      <c r="B754" s="72" t="s">
        <v>405</v>
      </c>
      <c r="C754" s="72" t="s">
        <v>373</v>
      </c>
      <c r="D754" s="74">
        <v>251496</v>
      </c>
      <c r="E754" s="76">
        <v>251496</v>
      </c>
    </row>
    <row r="755" spans="1:5">
      <c r="A755" s="72" t="s">
        <v>196</v>
      </c>
      <c r="B755" s="72" t="s">
        <v>405</v>
      </c>
      <c r="C755" s="72" t="s">
        <v>390</v>
      </c>
      <c r="D755" s="74">
        <v>5292</v>
      </c>
      <c r="E755" s="76">
        <v>5292</v>
      </c>
    </row>
    <row r="756" spans="1:5">
      <c r="A756" s="72" t="s">
        <v>196</v>
      </c>
      <c r="B756" s="72" t="s">
        <v>405</v>
      </c>
      <c r="C756" s="72" t="s">
        <v>389</v>
      </c>
      <c r="D756" s="74">
        <v>76608</v>
      </c>
      <c r="E756" s="76">
        <v>76608</v>
      </c>
    </row>
    <row r="757" spans="1:5">
      <c r="A757" s="72" t="s">
        <v>196</v>
      </c>
      <c r="B757" s="72" t="s">
        <v>405</v>
      </c>
      <c r="C757" s="72" t="s">
        <v>382</v>
      </c>
      <c r="D757" s="74">
        <v>428526</v>
      </c>
      <c r="E757" s="76">
        <v>428526</v>
      </c>
    </row>
    <row r="758" spans="1:5">
      <c r="A758" s="72"/>
      <c r="B758" s="72"/>
      <c r="C758" s="72"/>
      <c r="D758" s="74"/>
      <c r="E758" s="76"/>
    </row>
    <row r="759" spans="1:5">
      <c r="A759" s="72" t="s">
        <v>206</v>
      </c>
      <c r="B759" s="72" t="s">
        <v>507</v>
      </c>
      <c r="C759" s="72" t="s">
        <v>62</v>
      </c>
      <c r="D759" s="74">
        <v>9540</v>
      </c>
      <c r="E759" s="76">
        <v>5724</v>
      </c>
    </row>
    <row r="760" spans="1:5">
      <c r="A760" s="72" t="s">
        <v>206</v>
      </c>
      <c r="B760" s="72" t="s">
        <v>507</v>
      </c>
      <c r="C760" s="72" t="s">
        <v>96</v>
      </c>
      <c r="D760" s="74">
        <v>14040</v>
      </c>
      <c r="E760" s="76">
        <v>8424</v>
      </c>
    </row>
    <row r="761" spans="1:5">
      <c r="A761" s="72" t="s">
        <v>206</v>
      </c>
      <c r="B761" s="72" t="s">
        <v>507</v>
      </c>
      <c r="C761" s="72" t="s">
        <v>207</v>
      </c>
      <c r="D761" s="74">
        <v>3510</v>
      </c>
      <c r="E761" s="76">
        <v>2106</v>
      </c>
    </row>
    <row r="762" spans="1:5">
      <c r="A762" s="72" t="s">
        <v>206</v>
      </c>
      <c r="B762" s="72" t="s">
        <v>507</v>
      </c>
      <c r="C762" s="72" t="s">
        <v>208</v>
      </c>
      <c r="D762" s="74">
        <v>9720</v>
      </c>
      <c r="E762" s="76">
        <v>5832</v>
      </c>
    </row>
    <row r="763" spans="1:5">
      <c r="A763" s="72" t="s">
        <v>206</v>
      </c>
      <c r="B763" s="72" t="s">
        <v>507</v>
      </c>
      <c r="C763" s="72" t="s">
        <v>61</v>
      </c>
      <c r="D763" s="74">
        <v>19620</v>
      </c>
      <c r="E763" s="76">
        <v>11772</v>
      </c>
    </row>
    <row r="764" spans="1:5">
      <c r="A764" s="72" t="s">
        <v>206</v>
      </c>
      <c r="B764" s="72" t="s">
        <v>507</v>
      </c>
      <c r="C764" s="72" t="s">
        <v>209</v>
      </c>
      <c r="D764" s="74">
        <v>22140</v>
      </c>
      <c r="E764" s="76">
        <v>13284</v>
      </c>
    </row>
    <row r="765" spans="1:5">
      <c r="A765" s="72" t="s">
        <v>206</v>
      </c>
      <c r="B765" s="72" t="s">
        <v>507</v>
      </c>
      <c r="C765" s="72" t="s">
        <v>210</v>
      </c>
      <c r="D765" s="74">
        <v>540</v>
      </c>
      <c r="E765" s="76">
        <v>324</v>
      </c>
    </row>
    <row r="766" spans="1:5">
      <c r="A766" s="72" t="s">
        <v>206</v>
      </c>
      <c r="B766" s="72" t="s">
        <v>507</v>
      </c>
      <c r="C766" s="72" t="s">
        <v>21</v>
      </c>
      <c r="D766" s="74">
        <v>16380</v>
      </c>
      <c r="E766" s="76">
        <v>9828</v>
      </c>
    </row>
    <row r="767" spans="1:5">
      <c r="A767" s="72" t="s">
        <v>206</v>
      </c>
      <c r="B767" s="72" t="s">
        <v>507</v>
      </c>
      <c r="C767" s="72" t="s">
        <v>22</v>
      </c>
      <c r="D767" s="74">
        <v>349020</v>
      </c>
      <c r="E767" s="76">
        <v>209412</v>
      </c>
    </row>
    <row r="768" spans="1:5">
      <c r="A768" s="72" t="s">
        <v>206</v>
      </c>
      <c r="B768" s="72" t="s">
        <v>507</v>
      </c>
      <c r="C768" s="72" t="s">
        <v>12</v>
      </c>
      <c r="D768" s="74">
        <v>30240</v>
      </c>
      <c r="E768" s="76">
        <v>18144</v>
      </c>
    </row>
    <row r="769" spans="1:5">
      <c r="A769" s="72" t="s">
        <v>206</v>
      </c>
      <c r="B769" s="72" t="s">
        <v>507</v>
      </c>
      <c r="C769" s="72" t="s">
        <v>90</v>
      </c>
      <c r="D769" s="74">
        <v>194490</v>
      </c>
      <c r="E769" s="76">
        <v>116694</v>
      </c>
    </row>
    <row r="770" spans="1:5">
      <c r="A770" s="72" t="s">
        <v>206</v>
      </c>
      <c r="B770" s="72" t="s">
        <v>507</v>
      </c>
      <c r="C770" s="72" t="s">
        <v>29</v>
      </c>
      <c r="D770" s="74">
        <v>53280</v>
      </c>
      <c r="E770" s="76">
        <v>31968</v>
      </c>
    </row>
    <row r="771" spans="1:5">
      <c r="A771" s="72" t="s">
        <v>206</v>
      </c>
      <c r="B771" s="72" t="s">
        <v>507</v>
      </c>
      <c r="C771" s="72" t="s">
        <v>211</v>
      </c>
      <c r="D771" s="74">
        <v>19080</v>
      </c>
      <c r="E771" s="76">
        <v>11448</v>
      </c>
    </row>
    <row r="772" spans="1:5">
      <c r="A772" s="72" t="s">
        <v>206</v>
      </c>
      <c r="B772" s="72" t="s">
        <v>507</v>
      </c>
      <c r="C772" s="72" t="s">
        <v>23</v>
      </c>
      <c r="D772" s="74">
        <v>180</v>
      </c>
      <c r="E772" s="76">
        <v>108</v>
      </c>
    </row>
    <row r="773" spans="1:5">
      <c r="A773" s="72" t="s">
        <v>206</v>
      </c>
      <c r="B773" s="72" t="s">
        <v>507</v>
      </c>
      <c r="C773" s="72" t="s">
        <v>10</v>
      </c>
      <c r="D773" s="74">
        <v>1800</v>
      </c>
      <c r="E773" s="76">
        <v>1080</v>
      </c>
    </row>
    <row r="774" spans="1:5">
      <c r="A774" s="72" t="s">
        <v>206</v>
      </c>
      <c r="B774" s="72" t="s">
        <v>507</v>
      </c>
      <c r="C774" s="72" t="s">
        <v>114</v>
      </c>
      <c r="D774" s="74">
        <v>30330</v>
      </c>
      <c r="E774" s="76">
        <v>18198</v>
      </c>
    </row>
    <row r="775" spans="1:5">
      <c r="A775" s="72" t="s">
        <v>206</v>
      </c>
      <c r="B775" s="72" t="s">
        <v>507</v>
      </c>
      <c r="C775" s="72" t="s">
        <v>9</v>
      </c>
      <c r="D775" s="74">
        <v>55890</v>
      </c>
      <c r="E775" s="76">
        <v>33534</v>
      </c>
    </row>
    <row r="776" spans="1:5">
      <c r="A776" s="72" t="s">
        <v>206</v>
      </c>
      <c r="B776" s="72" t="s">
        <v>507</v>
      </c>
      <c r="C776" s="72" t="s">
        <v>212</v>
      </c>
      <c r="D776" s="74">
        <v>18180</v>
      </c>
      <c r="E776" s="76">
        <v>10908</v>
      </c>
    </row>
    <row r="777" spans="1:5">
      <c r="A777" s="72" t="s">
        <v>206</v>
      </c>
      <c r="B777" s="72" t="s">
        <v>507</v>
      </c>
      <c r="C777" s="72" t="s">
        <v>36</v>
      </c>
      <c r="D777" s="74">
        <v>21060</v>
      </c>
      <c r="E777" s="76">
        <v>12636</v>
      </c>
    </row>
    <row r="778" spans="1:5">
      <c r="A778" s="72" t="s">
        <v>206</v>
      </c>
      <c r="B778" s="72" t="s">
        <v>507</v>
      </c>
      <c r="C778" s="72" t="s">
        <v>70</v>
      </c>
      <c r="D778" s="74">
        <v>3060</v>
      </c>
      <c r="E778" s="76">
        <v>1836</v>
      </c>
    </row>
    <row r="779" spans="1:5">
      <c r="A779" s="72" t="s">
        <v>206</v>
      </c>
      <c r="B779" s="72" t="s">
        <v>507</v>
      </c>
      <c r="C779" s="72" t="s">
        <v>8</v>
      </c>
      <c r="D779" s="74">
        <v>46080</v>
      </c>
      <c r="E779" s="76">
        <v>27648</v>
      </c>
    </row>
    <row r="780" spans="1:5">
      <c r="A780" s="72" t="s">
        <v>206</v>
      </c>
      <c r="B780" s="72" t="s">
        <v>507</v>
      </c>
      <c r="C780" s="72" t="s">
        <v>30</v>
      </c>
      <c r="D780" s="74">
        <v>44100</v>
      </c>
      <c r="E780" s="76">
        <v>26460</v>
      </c>
    </row>
    <row r="781" spans="1:5">
      <c r="A781" s="72" t="s">
        <v>206</v>
      </c>
      <c r="B781" s="72" t="s">
        <v>507</v>
      </c>
      <c r="C781" s="72" t="s">
        <v>11</v>
      </c>
      <c r="D781" s="74">
        <v>20520</v>
      </c>
      <c r="E781" s="76">
        <v>12312</v>
      </c>
    </row>
    <row r="782" spans="1:5">
      <c r="A782" s="72" t="s">
        <v>206</v>
      </c>
      <c r="B782" s="72" t="s">
        <v>507</v>
      </c>
      <c r="C782" s="72" t="s">
        <v>13</v>
      </c>
      <c r="D782" s="74">
        <v>117900</v>
      </c>
      <c r="E782" s="76">
        <v>70740</v>
      </c>
    </row>
    <row r="783" spans="1:5">
      <c r="A783" s="72" t="s">
        <v>206</v>
      </c>
      <c r="B783" s="72" t="s">
        <v>507</v>
      </c>
      <c r="C783" s="72" t="s">
        <v>53</v>
      </c>
      <c r="D783" s="74">
        <v>13230</v>
      </c>
      <c r="E783" s="76">
        <v>7938</v>
      </c>
    </row>
    <row r="784" spans="1:5">
      <c r="A784" s="72" t="s">
        <v>206</v>
      </c>
      <c r="B784" s="72" t="s">
        <v>507</v>
      </c>
      <c r="C784" s="72" t="s">
        <v>362</v>
      </c>
      <c r="D784" s="74">
        <v>9990</v>
      </c>
      <c r="E784" s="76">
        <v>5994</v>
      </c>
    </row>
    <row r="785" spans="1:14">
      <c r="A785" s="72" t="s">
        <v>206</v>
      </c>
      <c r="B785" s="72" t="s">
        <v>507</v>
      </c>
      <c r="C785" s="72" t="s">
        <v>356</v>
      </c>
      <c r="D785" s="74">
        <v>810</v>
      </c>
      <c r="E785" s="76">
        <v>486</v>
      </c>
    </row>
    <row r="786" spans="1:14">
      <c r="A786" s="72" t="s">
        <v>206</v>
      </c>
      <c r="B786" s="72" t="s">
        <v>507</v>
      </c>
      <c r="C786" s="72" t="s">
        <v>360</v>
      </c>
      <c r="D786" s="74">
        <v>45900</v>
      </c>
      <c r="E786" s="76">
        <v>27540</v>
      </c>
    </row>
    <row r="787" spans="1:14">
      <c r="A787" s="72" t="s">
        <v>206</v>
      </c>
      <c r="B787" s="72" t="s">
        <v>507</v>
      </c>
      <c r="C787" s="72" t="s">
        <v>382</v>
      </c>
      <c r="D787" s="74">
        <v>1620</v>
      </c>
      <c r="E787" s="76">
        <v>972</v>
      </c>
    </row>
    <row r="788" spans="1:14">
      <c r="A788" s="72" t="s">
        <v>206</v>
      </c>
      <c r="B788" s="72" t="s">
        <v>507</v>
      </c>
      <c r="C788" s="72" t="s">
        <v>401</v>
      </c>
      <c r="D788" s="74">
        <v>630</v>
      </c>
      <c r="E788" s="76">
        <v>378</v>
      </c>
    </row>
    <row r="789" spans="1:14">
      <c r="A789" s="72" t="s">
        <v>206</v>
      </c>
      <c r="B789" s="72" t="s">
        <v>507</v>
      </c>
      <c r="C789" s="72" t="s">
        <v>419</v>
      </c>
      <c r="D789" s="74">
        <v>180</v>
      </c>
      <c r="E789" s="76">
        <v>108</v>
      </c>
    </row>
    <row r="790" spans="1:14">
      <c r="A790" s="100" t="s">
        <v>206</v>
      </c>
      <c r="B790" s="72" t="s">
        <v>507</v>
      </c>
      <c r="C790" s="100" t="s">
        <v>219</v>
      </c>
      <c r="D790" s="102">
        <v>14850</v>
      </c>
      <c r="E790" s="104">
        <v>8910</v>
      </c>
      <c r="F790"/>
      <c r="G790"/>
      <c r="H790"/>
      <c r="I790"/>
      <c r="J790"/>
      <c r="K790"/>
      <c r="L790"/>
      <c r="M790"/>
      <c r="N790"/>
    </row>
    <row r="791" spans="1:14">
      <c r="A791" s="100" t="s">
        <v>206</v>
      </c>
      <c r="B791" s="72" t="s">
        <v>507</v>
      </c>
      <c r="C791" s="100" t="s">
        <v>43</v>
      </c>
      <c r="D791" s="102">
        <v>1080</v>
      </c>
      <c r="E791" s="104">
        <v>648</v>
      </c>
      <c r="F791"/>
      <c r="G791"/>
      <c r="H791"/>
      <c r="I791"/>
      <c r="J791"/>
      <c r="K791"/>
      <c r="L791"/>
      <c r="M791"/>
      <c r="N791"/>
    </row>
    <row r="792" spans="1:14">
      <c r="A792" s="72"/>
      <c r="B792" s="72"/>
      <c r="C792" s="72"/>
      <c r="D792" s="74"/>
      <c r="E792" s="76"/>
    </row>
    <row r="793" spans="1:14">
      <c r="A793" s="72"/>
      <c r="B793" s="72"/>
      <c r="C793" s="72"/>
      <c r="D793" s="74"/>
      <c r="E793" s="76"/>
    </row>
    <row r="794" spans="1:14">
      <c r="A794" s="72" t="s">
        <v>214</v>
      </c>
      <c r="B794" s="72" t="s">
        <v>507</v>
      </c>
      <c r="C794" s="72" t="s">
        <v>22</v>
      </c>
      <c r="D794" s="74">
        <v>38340</v>
      </c>
      <c r="E794" s="76">
        <v>23004</v>
      </c>
    </row>
    <row r="795" spans="1:14">
      <c r="A795" s="72" t="s">
        <v>214</v>
      </c>
      <c r="B795" s="72" t="s">
        <v>507</v>
      </c>
      <c r="C795" s="72" t="s">
        <v>101</v>
      </c>
      <c r="D795" s="74">
        <v>2340</v>
      </c>
      <c r="E795" s="76">
        <v>1404</v>
      </c>
    </row>
    <row r="796" spans="1:14">
      <c r="A796" s="72" t="s">
        <v>214</v>
      </c>
      <c r="B796" s="72" t="s">
        <v>507</v>
      </c>
      <c r="C796" s="72" t="s">
        <v>210</v>
      </c>
      <c r="D796" s="74">
        <v>3780</v>
      </c>
      <c r="E796" s="76">
        <v>2268</v>
      </c>
    </row>
    <row r="797" spans="1:14">
      <c r="A797" s="72" t="s">
        <v>214</v>
      </c>
      <c r="B797" s="72" t="s">
        <v>507</v>
      </c>
      <c r="C797" s="72" t="s">
        <v>538</v>
      </c>
      <c r="D797" s="74">
        <v>270</v>
      </c>
      <c r="E797" s="76">
        <v>162</v>
      </c>
    </row>
    <row r="798" spans="1:14">
      <c r="A798" s="72" t="s">
        <v>214</v>
      </c>
      <c r="B798" s="72" t="s">
        <v>507</v>
      </c>
      <c r="C798" s="72" t="s">
        <v>539</v>
      </c>
      <c r="D798" s="74">
        <v>3780</v>
      </c>
      <c r="E798" s="76">
        <v>2268</v>
      </c>
    </row>
    <row r="799" spans="1:14">
      <c r="A799" s="72" t="s">
        <v>214</v>
      </c>
      <c r="B799" s="72" t="s">
        <v>507</v>
      </c>
      <c r="C799" s="72" t="s">
        <v>62</v>
      </c>
      <c r="D799" s="74">
        <v>900</v>
      </c>
      <c r="E799" s="76">
        <v>540</v>
      </c>
    </row>
    <row r="800" spans="1:14">
      <c r="A800" s="72" t="s">
        <v>214</v>
      </c>
      <c r="B800" s="72" t="s">
        <v>507</v>
      </c>
      <c r="C800" s="72" t="s">
        <v>95</v>
      </c>
      <c r="D800" s="74">
        <v>7920</v>
      </c>
      <c r="E800" s="76">
        <v>4752</v>
      </c>
    </row>
    <row r="801" spans="1:5">
      <c r="A801" s="72" t="s">
        <v>214</v>
      </c>
      <c r="B801" s="72" t="s">
        <v>507</v>
      </c>
      <c r="C801" s="72" t="s">
        <v>33</v>
      </c>
      <c r="D801" s="74">
        <v>2340</v>
      </c>
      <c r="E801" s="76">
        <v>1404</v>
      </c>
    </row>
    <row r="802" spans="1:5">
      <c r="A802" s="72" t="s">
        <v>214</v>
      </c>
      <c r="B802" s="72" t="s">
        <v>507</v>
      </c>
      <c r="C802" s="72" t="s">
        <v>90</v>
      </c>
      <c r="D802" s="74">
        <v>18810</v>
      </c>
      <c r="E802" s="76">
        <v>11286</v>
      </c>
    </row>
    <row r="803" spans="1:5">
      <c r="A803" s="72" t="s">
        <v>214</v>
      </c>
      <c r="B803" s="72" t="s">
        <v>507</v>
      </c>
      <c r="C803" s="72" t="s">
        <v>16</v>
      </c>
      <c r="D803" s="74">
        <v>21600</v>
      </c>
      <c r="E803" s="76">
        <v>12960</v>
      </c>
    </row>
    <row r="804" spans="1:5">
      <c r="A804" s="72" t="s">
        <v>214</v>
      </c>
      <c r="B804" s="72" t="s">
        <v>507</v>
      </c>
      <c r="C804" s="72" t="s">
        <v>10</v>
      </c>
      <c r="D804" s="74">
        <v>720</v>
      </c>
      <c r="E804" s="76">
        <v>432</v>
      </c>
    </row>
    <row r="805" spans="1:5">
      <c r="A805" s="72" t="s">
        <v>214</v>
      </c>
      <c r="B805" s="72" t="s">
        <v>507</v>
      </c>
      <c r="C805" s="72" t="s">
        <v>9</v>
      </c>
      <c r="D805" s="74">
        <v>90</v>
      </c>
      <c r="E805" s="76">
        <v>54</v>
      </c>
    </row>
    <row r="806" spans="1:5">
      <c r="A806" s="72" t="s">
        <v>214</v>
      </c>
      <c r="B806" s="72" t="s">
        <v>507</v>
      </c>
      <c r="C806" s="72" t="s">
        <v>212</v>
      </c>
      <c r="D806" s="74">
        <v>720</v>
      </c>
      <c r="E806" s="76">
        <v>432</v>
      </c>
    </row>
    <row r="807" spans="1:5">
      <c r="A807" s="72" t="s">
        <v>214</v>
      </c>
      <c r="B807" s="72" t="s">
        <v>507</v>
      </c>
      <c r="C807" s="72" t="s">
        <v>8</v>
      </c>
      <c r="D807" s="74">
        <v>8820</v>
      </c>
      <c r="E807" s="76">
        <v>5292</v>
      </c>
    </row>
    <row r="808" spans="1:5">
      <c r="A808" s="72" t="s">
        <v>214</v>
      </c>
      <c r="B808" s="72" t="s">
        <v>507</v>
      </c>
      <c r="C808" s="72" t="s">
        <v>14</v>
      </c>
      <c r="D808" s="74">
        <v>567000</v>
      </c>
      <c r="E808" s="76">
        <v>340200</v>
      </c>
    </row>
    <row r="809" spans="1:5">
      <c r="A809" s="72" t="s">
        <v>214</v>
      </c>
      <c r="B809" s="72" t="s">
        <v>507</v>
      </c>
      <c r="C809" s="72" t="s">
        <v>30</v>
      </c>
      <c r="D809" s="74">
        <v>12420</v>
      </c>
      <c r="E809" s="76">
        <v>7452</v>
      </c>
    </row>
    <row r="810" spans="1:5">
      <c r="A810" s="72" t="s">
        <v>214</v>
      </c>
      <c r="B810" s="72" t="s">
        <v>507</v>
      </c>
      <c r="C810" s="72" t="s">
        <v>32</v>
      </c>
      <c r="D810" s="74">
        <v>369360</v>
      </c>
      <c r="E810" s="76">
        <v>221616</v>
      </c>
    </row>
    <row r="811" spans="1:5">
      <c r="A811" s="72" t="s">
        <v>214</v>
      </c>
      <c r="B811" s="72" t="s">
        <v>507</v>
      </c>
      <c r="C811" s="72" t="s">
        <v>213</v>
      </c>
      <c r="D811" s="74">
        <v>2160</v>
      </c>
      <c r="E811" s="76">
        <v>1296</v>
      </c>
    </row>
    <row r="812" spans="1:5">
      <c r="A812" s="72" t="s">
        <v>214</v>
      </c>
      <c r="B812" s="72" t="s">
        <v>507</v>
      </c>
      <c r="C812" s="72" t="s">
        <v>13</v>
      </c>
      <c r="D812" s="74">
        <v>7380</v>
      </c>
      <c r="E812" s="76">
        <v>4428</v>
      </c>
    </row>
    <row r="813" spans="1:5">
      <c r="A813" s="72" t="s">
        <v>214</v>
      </c>
      <c r="B813" s="72" t="s">
        <v>507</v>
      </c>
      <c r="C813" s="72" t="s">
        <v>53</v>
      </c>
      <c r="D813" s="74">
        <v>8640</v>
      </c>
      <c r="E813" s="76">
        <v>5184</v>
      </c>
    </row>
    <row r="814" spans="1:5">
      <c r="A814" s="72" t="s">
        <v>214</v>
      </c>
      <c r="B814" s="72" t="s">
        <v>507</v>
      </c>
      <c r="C814" s="72" t="s">
        <v>111</v>
      </c>
      <c r="D814" s="74">
        <v>12240</v>
      </c>
      <c r="E814" s="76">
        <v>7344</v>
      </c>
    </row>
    <row r="815" spans="1:5">
      <c r="A815" s="72" t="s">
        <v>214</v>
      </c>
      <c r="B815" s="72" t="s">
        <v>507</v>
      </c>
      <c r="C815" s="72" t="s">
        <v>40</v>
      </c>
      <c r="D815" s="74">
        <v>1620</v>
      </c>
      <c r="E815" s="76">
        <v>972</v>
      </c>
    </row>
    <row r="816" spans="1:5">
      <c r="A816" s="72" t="s">
        <v>214</v>
      </c>
      <c r="B816" s="72" t="s">
        <v>507</v>
      </c>
      <c r="C816" s="72" t="s">
        <v>356</v>
      </c>
      <c r="D816" s="74">
        <v>8100</v>
      </c>
      <c r="E816" s="76">
        <v>4860</v>
      </c>
    </row>
    <row r="817" spans="1:14">
      <c r="A817" s="72" t="s">
        <v>214</v>
      </c>
      <c r="B817" s="72" t="s">
        <v>507</v>
      </c>
      <c r="C817" s="72" t="s">
        <v>360</v>
      </c>
      <c r="D817" s="74">
        <v>2790</v>
      </c>
      <c r="E817" s="76">
        <v>1674</v>
      </c>
    </row>
    <row r="818" spans="1:14">
      <c r="A818" s="72" t="s">
        <v>214</v>
      </c>
      <c r="B818" s="72" t="s">
        <v>507</v>
      </c>
      <c r="C818" s="72" t="s">
        <v>112</v>
      </c>
      <c r="D818" s="74">
        <v>1555740</v>
      </c>
      <c r="E818" s="76">
        <v>933444</v>
      </c>
    </row>
    <row r="819" spans="1:14">
      <c r="A819" s="72" t="s">
        <v>214</v>
      </c>
      <c r="B819" s="72" t="s">
        <v>507</v>
      </c>
      <c r="C819" s="72" t="s">
        <v>373</v>
      </c>
      <c r="D819" s="74">
        <v>153360</v>
      </c>
      <c r="E819" s="76">
        <v>92016</v>
      </c>
    </row>
    <row r="820" spans="1:14">
      <c r="A820" s="72" t="s">
        <v>214</v>
      </c>
      <c r="B820" s="72" t="s">
        <v>507</v>
      </c>
      <c r="C820" s="72" t="s">
        <v>390</v>
      </c>
      <c r="D820" s="74">
        <v>2520</v>
      </c>
      <c r="E820" s="76">
        <v>1512</v>
      </c>
    </row>
    <row r="821" spans="1:14">
      <c r="A821" s="72" t="s">
        <v>214</v>
      </c>
      <c r="B821" s="72" t="s">
        <v>507</v>
      </c>
      <c r="C821" s="72" t="s">
        <v>389</v>
      </c>
      <c r="D821" s="74">
        <v>1080</v>
      </c>
      <c r="E821" s="76">
        <v>648</v>
      </c>
    </row>
    <row r="822" spans="1:14">
      <c r="A822" s="72" t="s">
        <v>214</v>
      </c>
      <c r="B822" s="72" t="s">
        <v>507</v>
      </c>
      <c r="C822" s="72" t="s">
        <v>382</v>
      </c>
      <c r="D822" s="74">
        <v>574380</v>
      </c>
      <c r="E822" s="76">
        <v>344628</v>
      </c>
    </row>
    <row r="823" spans="1:14">
      <c r="A823" s="72" t="s">
        <v>214</v>
      </c>
      <c r="B823" s="72" t="s">
        <v>507</v>
      </c>
      <c r="C823" s="72" t="s">
        <v>401</v>
      </c>
      <c r="D823" s="74">
        <v>2610</v>
      </c>
      <c r="E823" s="76">
        <v>1566</v>
      </c>
    </row>
    <row r="824" spans="1:14">
      <c r="A824" s="72" t="s">
        <v>214</v>
      </c>
      <c r="B824" s="72" t="s">
        <v>507</v>
      </c>
      <c r="C824" s="72" t="s">
        <v>413</v>
      </c>
      <c r="D824" s="74">
        <v>129960</v>
      </c>
      <c r="E824" s="76">
        <v>77976</v>
      </c>
    </row>
    <row r="825" spans="1:14">
      <c r="A825" s="72" t="s">
        <v>214</v>
      </c>
      <c r="B825" s="72" t="s">
        <v>507</v>
      </c>
      <c r="C825" s="72" t="s">
        <v>419</v>
      </c>
      <c r="D825" s="74">
        <v>190980</v>
      </c>
      <c r="E825" s="76">
        <v>114588</v>
      </c>
    </row>
    <row r="826" spans="1:14">
      <c r="A826" s="100" t="s">
        <v>214</v>
      </c>
      <c r="B826" s="72" t="s">
        <v>507</v>
      </c>
      <c r="C826" s="100" t="s">
        <v>219</v>
      </c>
      <c r="D826" s="102">
        <v>12150</v>
      </c>
      <c r="E826" s="104">
        <v>7290</v>
      </c>
      <c r="F826"/>
      <c r="G826"/>
      <c r="H826"/>
      <c r="I826"/>
      <c r="J826"/>
      <c r="K826"/>
      <c r="L826"/>
      <c r="M826"/>
      <c r="N826"/>
    </row>
    <row r="827" spans="1:14">
      <c r="A827" s="72" t="s">
        <v>214</v>
      </c>
      <c r="B827" s="72" t="s">
        <v>507</v>
      </c>
      <c r="C827" s="72" t="s">
        <v>43</v>
      </c>
      <c r="D827" s="74">
        <v>1260</v>
      </c>
      <c r="E827" s="76">
        <v>756</v>
      </c>
    </row>
    <row r="828" spans="1:14">
      <c r="A828" s="72" t="s">
        <v>214</v>
      </c>
      <c r="B828" s="72" t="s">
        <v>507</v>
      </c>
      <c r="C828" s="72" t="s">
        <v>540</v>
      </c>
      <c r="D828" s="74">
        <v>6840</v>
      </c>
      <c r="E828" s="76">
        <v>4104</v>
      </c>
    </row>
    <row r="829" spans="1:14">
      <c r="A829" s="72" t="s">
        <v>214</v>
      </c>
      <c r="B829" s="72" t="s">
        <v>507</v>
      </c>
      <c r="C829" s="72" t="s">
        <v>527</v>
      </c>
      <c r="D829" s="74">
        <v>7920</v>
      </c>
      <c r="E829" s="76">
        <v>4752</v>
      </c>
    </row>
    <row r="830" spans="1:14">
      <c r="A830" s="72"/>
      <c r="B830" s="72"/>
      <c r="C830" s="72"/>
      <c r="D830" s="74"/>
      <c r="E830" s="76"/>
    </row>
    <row r="831" spans="1:14">
      <c r="A831" s="72"/>
      <c r="B831" s="72"/>
      <c r="C831" s="72"/>
      <c r="D831" s="74"/>
      <c r="E831" s="76"/>
    </row>
    <row r="832" spans="1:14">
      <c r="A832" s="72" t="s">
        <v>215</v>
      </c>
      <c r="B832" s="72" t="s">
        <v>405</v>
      </c>
      <c r="C832" s="72" t="s">
        <v>216</v>
      </c>
      <c r="D832" s="74">
        <v>3662.0545161290324</v>
      </c>
      <c r="E832" s="76">
        <v>3662.0545161290324</v>
      </c>
    </row>
    <row r="833" spans="1:11">
      <c r="A833" s="72" t="s">
        <v>215</v>
      </c>
      <c r="B833" s="72" t="s">
        <v>405</v>
      </c>
      <c r="C833" s="72" t="s">
        <v>130</v>
      </c>
      <c r="D833" s="74">
        <v>168</v>
      </c>
      <c r="E833" s="76">
        <v>168</v>
      </c>
    </row>
    <row r="834" spans="1:11">
      <c r="A834" s="72" t="s">
        <v>215</v>
      </c>
      <c r="B834" s="72" t="s">
        <v>405</v>
      </c>
      <c r="C834" s="72" t="s">
        <v>217</v>
      </c>
      <c r="D834" s="74">
        <v>1683.7032258064514</v>
      </c>
      <c r="E834" s="76">
        <v>1683.7032258064514</v>
      </c>
    </row>
    <row r="835" spans="1:11">
      <c r="A835" s="72" t="s">
        <v>215</v>
      </c>
      <c r="B835" s="72" t="s">
        <v>405</v>
      </c>
      <c r="C835" s="72" t="s">
        <v>91</v>
      </c>
      <c r="D835" s="74">
        <v>168.37032258064517</v>
      </c>
      <c r="E835" s="76">
        <v>168.37032258064517</v>
      </c>
    </row>
    <row r="836" spans="1:11">
      <c r="A836" s="72" t="s">
        <v>215</v>
      </c>
      <c r="B836" s="72" t="s">
        <v>405</v>
      </c>
      <c r="C836" s="72" t="s">
        <v>58</v>
      </c>
      <c r="D836" s="74">
        <v>1768</v>
      </c>
      <c r="E836" s="76">
        <v>1768</v>
      </c>
    </row>
    <row r="837" spans="1:11">
      <c r="A837" s="72" t="s">
        <v>215</v>
      </c>
      <c r="B837" s="72" t="s">
        <v>405</v>
      </c>
      <c r="C837" s="72" t="s">
        <v>64</v>
      </c>
      <c r="D837" s="74">
        <v>126.27774193548386</v>
      </c>
      <c r="E837" s="76">
        <v>126.27774193548386</v>
      </c>
    </row>
    <row r="838" spans="1:11">
      <c r="A838" s="72" t="s">
        <v>215</v>
      </c>
      <c r="B838" s="72" t="s">
        <v>405</v>
      </c>
      <c r="C838" s="72" t="s">
        <v>26</v>
      </c>
      <c r="D838" s="74">
        <v>926.03677419354835</v>
      </c>
      <c r="E838" s="76">
        <v>926.03677419354835</v>
      </c>
    </row>
    <row r="839" spans="1:11">
      <c r="A839" s="72" t="s">
        <v>215</v>
      </c>
      <c r="B839" s="72" t="s">
        <v>405</v>
      </c>
      <c r="C839" s="72" t="s">
        <v>55</v>
      </c>
      <c r="D839" s="74">
        <v>1178.592258064516</v>
      </c>
      <c r="E839" s="76">
        <v>1178.592258064516</v>
      </c>
    </row>
    <row r="840" spans="1:11">
      <c r="A840" s="72" t="s">
        <v>215</v>
      </c>
      <c r="B840" s="72" t="s">
        <v>405</v>
      </c>
      <c r="C840" s="72" t="s">
        <v>522</v>
      </c>
      <c r="D840" s="74">
        <v>2525.5548387096774</v>
      </c>
      <c r="E840" s="76">
        <v>2525.5548387096774</v>
      </c>
    </row>
    <row r="841" spans="1:11">
      <c r="A841" s="72" t="s">
        <v>215</v>
      </c>
      <c r="B841" s="72" t="s">
        <v>405</v>
      </c>
      <c r="C841" s="72" t="s">
        <v>80</v>
      </c>
      <c r="D841" s="74">
        <v>42.092580645161291</v>
      </c>
      <c r="E841" s="76">
        <v>42.092580645161291</v>
      </c>
    </row>
    <row r="842" spans="1:11">
      <c r="A842" s="72" t="s">
        <v>215</v>
      </c>
      <c r="B842" s="72" t="s">
        <v>405</v>
      </c>
      <c r="C842" s="72" t="s">
        <v>46</v>
      </c>
      <c r="D842" s="74">
        <v>3367.4064516129029</v>
      </c>
      <c r="E842" s="76">
        <v>3367.4064516129029</v>
      </c>
    </row>
    <row r="843" spans="1:11" ht="17.25" customHeight="1">
      <c r="A843" s="72"/>
      <c r="B843" s="72"/>
      <c r="C843" s="72"/>
      <c r="D843" s="74"/>
      <c r="E843" s="76"/>
    </row>
    <row r="844" spans="1:11">
      <c r="A844" s="72" t="s">
        <v>218</v>
      </c>
      <c r="B844" s="72" t="s">
        <v>405</v>
      </c>
      <c r="C844" s="72" t="s">
        <v>61</v>
      </c>
      <c r="D844" s="74">
        <v>601689</v>
      </c>
      <c r="E844" s="76">
        <v>300845</v>
      </c>
    </row>
    <row r="845" spans="1:11">
      <c r="A845" s="72" t="s">
        <v>218</v>
      </c>
      <c r="B845" s="72" t="s">
        <v>405</v>
      </c>
      <c r="C845" s="72" t="s">
        <v>492</v>
      </c>
      <c r="D845" s="74">
        <v>16207</v>
      </c>
      <c r="E845" s="76">
        <v>8104</v>
      </c>
    </row>
    <row r="846" spans="1:11">
      <c r="A846" s="72" t="s">
        <v>218</v>
      </c>
      <c r="B846" s="72" t="s">
        <v>405</v>
      </c>
      <c r="C846" s="72" t="s">
        <v>494</v>
      </c>
      <c r="D846" s="74">
        <v>716455</v>
      </c>
      <c r="E846" s="76">
        <v>358228</v>
      </c>
    </row>
    <row r="847" spans="1:11">
      <c r="A847" s="72" t="s">
        <v>218</v>
      </c>
      <c r="B847" s="72" t="s">
        <v>405</v>
      </c>
      <c r="C847" s="72" t="s">
        <v>495</v>
      </c>
      <c r="D847" s="74">
        <v>34649</v>
      </c>
      <c r="E847" s="76">
        <v>17325</v>
      </c>
    </row>
    <row r="848" spans="1:11">
      <c r="A848" s="72" t="s">
        <v>218</v>
      </c>
      <c r="B848" s="72" t="s">
        <v>405</v>
      </c>
      <c r="C848" s="72" t="s">
        <v>496</v>
      </c>
      <c r="D848" s="74">
        <v>20487</v>
      </c>
      <c r="E848" s="76">
        <v>10244</v>
      </c>
      <c r="K848" s="32" t="s">
        <v>221</v>
      </c>
    </row>
    <row r="849" spans="1:5">
      <c r="A849" s="72" t="s">
        <v>218</v>
      </c>
      <c r="B849" s="72" t="s">
        <v>405</v>
      </c>
      <c r="C849" s="72" t="s">
        <v>85</v>
      </c>
      <c r="D849" s="74">
        <v>1309</v>
      </c>
      <c r="E849" s="76">
        <v>655</v>
      </c>
    </row>
    <row r="850" spans="1:5">
      <c r="A850" s="72" t="s">
        <v>218</v>
      </c>
      <c r="B850" s="72" t="s">
        <v>405</v>
      </c>
      <c r="C850" s="72" t="s">
        <v>80</v>
      </c>
      <c r="D850" s="74">
        <v>38206</v>
      </c>
      <c r="E850" s="76">
        <v>19103</v>
      </c>
    </row>
    <row r="851" spans="1:5">
      <c r="A851" s="72" t="s">
        <v>218</v>
      </c>
      <c r="B851" s="72" t="s">
        <v>405</v>
      </c>
      <c r="C851" s="72" t="s">
        <v>57</v>
      </c>
      <c r="D851" s="74">
        <v>30253</v>
      </c>
      <c r="E851" s="76">
        <v>15127</v>
      </c>
    </row>
    <row r="852" spans="1:5">
      <c r="A852" s="72" t="s">
        <v>218</v>
      </c>
      <c r="B852" s="72" t="s">
        <v>405</v>
      </c>
      <c r="C852" s="72" t="s">
        <v>26</v>
      </c>
      <c r="D852" s="74">
        <v>137963</v>
      </c>
      <c r="E852" s="76">
        <v>68982</v>
      </c>
    </row>
    <row r="853" spans="1:5">
      <c r="A853" s="72" t="s">
        <v>218</v>
      </c>
      <c r="B853" s="72" t="s">
        <v>405</v>
      </c>
      <c r="C853" s="72" t="s">
        <v>55</v>
      </c>
      <c r="D853" s="74">
        <v>19816</v>
      </c>
      <c r="E853" s="76">
        <v>11890</v>
      </c>
    </row>
    <row r="854" spans="1:5">
      <c r="A854" s="72" t="s">
        <v>218</v>
      </c>
      <c r="B854" s="72" t="s">
        <v>405</v>
      </c>
      <c r="C854" s="72" t="s">
        <v>114</v>
      </c>
      <c r="D854" s="74">
        <v>1957</v>
      </c>
      <c r="E854" s="76">
        <v>1174</v>
      </c>
    </row>
    <row r="855" spans="1:5">
      <c r="A855" s="72" t="s">
        <v>218</v>
      </c>
      <c r="B855" s="72" t="s">
        <v>405</v>
      </c>
      <c r="C855" s="72" t="s">
        <v>64</v>
      </c>
      <c r="D855" s="74">
        <v>7724</v>
      </c>
      <c r="E855" s="76">
        <v>4634</v>
      </c>
    </row>
    <row r="856" spans="1:5">
      <c r="A856" s="72"/>
      <c r="B856" s="72"/>
      <c r="C856" s="72"/>
      <c r="D856" s="74"/>
      <c r="E856" s="76"/>
    </row>
    <row r="857" spans="1:5">
      <c r="A857" s="72"/>
      <c r="B857" s="72"/>
      <c r="C857" s="72"/>
      <c r="D857" s="74"/>
      <c r="E857" s="76"/>
    </row>
    <row r="858" spans="1:5">
      <c r="A858" s="72" t="s">
        <v>222</v>
      </c>
      <c r="B858" s="72" t="s">
        <v>405</v>
      </c>
      <c r="C858" s="72" t="s">
        <v>22</v>
      </c>
      <c r="D858" s="74">
        <v>166600</v>
      </c>
      <c r="E858" s="76">
        <v>104958</v>
      </c>
    </row>
    <row r="859" spans="1:5">
      <c r="A859" s="72" t="s">
        <v>222</v>
      </c>
      <c r="B859" s="72" t="s">
        <v>405</v>
      </c>
      <c r="C859" s="72" t="s">
        <v>9</v>
      </c>
      <c r="D859" s="74">
        <v>3100</v>
      </c>
      <c r="E859" s="76">
        <v>1952.9999999999998</v>
      </c>
    </row>
    <row r="860" spans="1:5">
      <c r="A860" s="72" t="s">
        <v>222</v>
      </c>
      <c r="B860" s="72" t="s">
        <v>405</v>
      </c>
      <c r="C860" s="72" t="s">
        <v>90</v>
      </c>
      <c r="D860" s="74">
        <v>143300</v>
      </c>
      <c r="E860" s="76">
        <v>90279</v>
      </c>
    </row>
    <row r="861" spans="1:5">
      <c r="A861" s="72" t="s">
        <v>222</v>
      </c>
      <c r="B861" s="72" t="s">
        <v>405</v>
      </c>
      <c r="C861" s="72" t="s">
        <v>12</v>
      </c>
      <c r="D861" s="74">
        <v>28300</v>
      </c>
      <c r="E861" s="76">
        <v>17829</v>
      </c>
    </row>
    <row r="862" spans="1:5">
      <c r="A862" s="72" t="s">
        <v>222</v>
      </c>
      <c r="B862" s="72" t="s">
        <v>405</v>
      </c>
      <c r="C862" s="72" t="s">
        <v>166</v>
      </c>
      <c r="D862" s="74">
        <v>102480</v>
      </c>
      <c r="E862" s="76">
        <v>64562.399999999994</v>
      </c>
    </row>
    <row r="863" spans="1:5">
      <c r="A863" s="72" t="s">
        <v>222</v>
      </c>
      <c r="B863" s="72" t="s">
        <v>405</v>
      </c>
      <c r="C863" s="72" t="s">
        <v>223</v>
      </c>
      <c r="D863" s="74">
        <v>20600</v>
      </c>
      <c r="E863" s="76">
        <v>12978</v>
      </c>
    </row>
    <row r="864" spans="1:5">
      <c r="A864" s="72" t="s">
        <v>222</v>
      </c>
      <c r="B864" s="72" t="s">
        <v>405</v>
      </c>
      <c r="C864" s="72" t="s">
        <v>167</v>
      </c>
      <c r="D864" s="74">
        <v>18600</v>
      </c>
      <c r="E864" s="76">
        <v>11718</v>
      </c>
    </row>
    <row r="865" spans="1:14">
      <c r="A865" s="72" t="s">
        <v>222</v>
      </c>
      <c r="B865" s="72" t="s">
        <v>405</v>
      </c>
      <c r="C865" s="72" t="s">
        <v>224</v>
      </c>
      <c r="D865" s="74">
        <v>3600</v>
      </c>
      <c r="E865" s="76">
        <v>2268</v>
      </c>
    </row>
    <row r="866" spans="1:14">
      <c r="A866" s="72" t="s">
        <v>222</v>
      </c>
      <c r="B866" s="72" t="s">
        <v>405</v>
      </c>
      <c r="C866" s="72" t="s">
        <v>13</v>
      </c>
      <c r="D866" s="74">
        <v>56600</v>
      </c>
      <c r="E866" s="76">
        <v>35658</v>
      </c>
    </row>
    <row r="867" spans="1:14">
      <c r="A867" s="100" t="s">
        <v>222</v>
      </c>
      <c r="B867" s="100" t="s">
        <v>405</v>
      </c>
      <c r="C867" s="100" t="s">
        <v>463</v>
      </c>
      <c r="D867" s="102">
        <v>17680</v>
      </c>
      <c r="E867" s="104">
        <v>11138.4</v>
      </c>
      <c r="F867"/>
      <c r="G867"/>
      <c r="H867"/>
      <c r="I867"/>
      <c r="J867"/>
      <c r="K867"/>
      <c r="L867"/>
      <c r="M867"/>
      <c r="N867"/>
    </row>
    <row r="868" spans="1:14">
      <c r="A868" s="100" t="s">
        <v>222</v>
      </c>
      <c r="B868" s="100" t="s">
        <v>405</v>
      </c>
      <c r="C868" s="100" t="s">
        <v>376</v>
      </c>
      <c r="D868" s="102">
        <v>20580</v>
      </c>
      <c r="E868" s="104">
        <v>12965.4</v>
      </c>
      <c r="F868"/>
      <c r="G868"/>
      <c r="H868"/>
      <c r="I868"/>
      <c r="J868"/>
      <c r="K868"/>
      <c r="L868"/>
      <c r="M868"/>
      <c r="N868"/>
    </row>
    <row r="869" spans="1:14">
      <c r="A869" s="100" t="s">
        <v>222</v>
      </c>
      <c r="B869" s="100" t="s">
        <v>405</v>
      </c>
      <c r="C869" s="100" t="s">
        <v>464</v>
      </c>
      <c r="D869" s="102">
        <v>1000</v>
      </c>
      <c r="E869" s="104">
        <v>630</v>
      </c>
      <c r="F869"/>
      <c r="G869"/>
      <c r="H869"/>
      <c r="I869"/>
      <c r="J869"/>
      <c r="K869"/>
      <c r="L869"/>
      <c r="M869"/>
      <c r="N869"/>
    </row>
    <row r="870" spans="1:14">
      <c r="A870" s="100" t="s">
        <v>222</v>
      </c>
      <c r="B870" s="100" t="s">
        <v>405</v>
      </c>
      <c r="C870" s="100" t="s">
        <v>62</v>
      </c>
      <c r="D870" s="102">
        <v>7000</v>
      </c>
      <c r="E870" s="104">
        <v>4410</v>
      </c>
      <c r="F870"/>
      <c r="G870"/>
      <c r="H870"/>
      <c r="I870"/>
      <c r="J870"/>
      <c r="K870"/>
      <c r="L870"/>
      <c r="M870"/>
      <c r="N870"/>
    </row>
    <row r="871" spans="1:14">
      <c r="A871" s="100" t="s">
        <v>222</v>
      </c>
      <c r="B871" s="100" t="s">
        <v>405</v>
      </c>
      <c r="C871" s="100" t="s">
        <v>101</v>
      </c>
      <c r="D871" s="102">
        <v>8560</v>
      </c>
      <c r="E871" s="104">
        <v>5392.7999999999993</v>
      </c>
      <c r="F871"/>
      <c r="G871"/>
      <c r="H871"/>
      <c r="I871"/>
      <c r="J871"/>
      <c r="K871"/>
      <c r="L871"/>
      <c r="M871"/>
      <c r="N871"/>
    </row>
    <row r="872" spans="1:14">
      <c r="A872" s="100" t="s">
        <v>222</v>
      </c>
      <c r="B872" s="100" t="s">
        <v>405</v>
      </c>
      <c r="C872" s="100" t="s">
        <v>95</v>
      </c>
      <c r="D872" s="102">
        <v>12000</v>
      </c>
      <c r="E872" s="104">
        <v>7559.9999999999991</v>
      </c>
      <c r="F872"/>
      <c r="G872"/>
      <c r="H872"/>
      <c r="I872"/>
      <c r="J872"/>
      <c r="K872"/>
      <c r="L872"/>
      <c r="M872"/>
      <c r="N872"/>
    </row>
    <row r="873" spans="1:14">
      <c r="A873" s="100" t="s">
        <v>222</v>
      </c>
      <c r="B873" s="100" t="s">
        <v>405</v>
      </c>
      <c r="C873" s="100" t="s">
        <v>112</v>
      </c>
      <c r="D873" s="102">
        <v>33400</v>
      </c>
      <c r="E873" s="104">
        <v>21042</v>
      </c>
      <c r="F873"/>
      <c r="G873"/>
      <c r="H873"/>
      <c r="I873"/>
      <c r="J873"/>
      <c r="K873"/>
      <c r="L873"/>
      <c r="M873"/>
      <c r="N873"/>
    </row>
    <row r="874" spans="1:14">
      <c r="A874" s="100" t="s">
        <v>222</v>
      </c>
      <c r="B874" s="100" t="s">
        <v>405</v>
      </c>
      <c r="C874" s="100" t="s">
        <v>29</v>
      </c>
      <c r="D874" s="102">
        <v>15200</v>
      </c>
      <c r="E874" s="104">
        <v>9576</v>
      </c>
      <c r="F874"/>
      <c r="G874"/>
      <c r="H874"/>
      <c r="I874"/>
      <c r="J874"/>
      <c r="K874"/>
      <c r="L874"/>
      <c r="M874"/>
      <c r="N874"/>
    </row>
    <row r="875" spans="1:14">
      <c r="A875" s="100" t="s">
        <v>222</v>
      </c>
      <c r="B875" s="100" t="s">
        <v>405</v>
      </c>
      <c r="C875" s="100" t="s">
        <v>70</v>
      </c>
      <c r="D875" s="102">
        <v>200</v>
      </c>
      <c r="E875" s="104">
        <v>125.99999999999999</v>
      </c>
      <c r="F875"/>
      <c r="G875"/>
      <c r="H875"/>
      <c r="I875"/>
      <c r="J875"/>
      <c r="K875"/>
      <c r="L875"/>
      <c r="M875"/>
      <c r="N875"/>
    </row>
    <row r="876" spans="1:14">
      <c r="A876" s="100" t="s">
        <v>222</v>
      </c>
      <c r="B876" s="100" t="s">
        <v>405</v>
      </c>
      <c r="C876" s="100" t="s">
        <v>32</v>
      </c>
      <c r="D876" s="102">
        <v>600</v>
      </c>
      <c r="E876" s="104">
        <v>378</v>
      </c>
      <c r="F876"/>
      <c r="G876"/>
      <c r="H876"/>
      <c r="I876"/>
      <c r="J876"/>
      <c r="K876"/>
      <c r="L876"/>
      <c r="M876"/>
      <c r="N876"/>
    </row>
    <row r="877" spans="1:14">
      <c r="A877" s="100" t="s">
        <v>222</v>
      </c>
      <c r="B877" s="100" t="s">
        <v>405</v>
      </c>
      <c r="C877" s="100" t="s">
        <v>205</v>
      </c>
      <c r="D877" s="102">
        <v>13740</v>
      </c>
      <c r="E877" s="104">
        <v>8656.1999999999989</v>
      </c>
      <c r="F877"/>
      <c r="G877"/>
      <c r="H877"/>
      <c r="I877"/>
      <c r="J877"/>
      <c r="K877"/>
      <c r="L877"/>
      <c r="M877"/>
      <c r="N877"/>
    </row>
    <row r="878" spans="1:14">
      <c r="A878" s="100" t="s">
        <v>222</v>
      </c>
      <c r="B878" s="100" t="s">
        <v>405</v>
      </c>
      <c r="C878" s="100" t="s">
        <v>383</v>
      </c>
      <c r="D878" s="102">
        <v>27900</v>
      </c>
      <c r="E878" s="104">
        <v>17577</v>
      </c>
      <c r="F878"/>
      <c r="G878"/>
      <c r="H878"/>
      <c r="I878"/>
      <c r="J878"/>
      <c r="K878"/>
      <c r="L878"/>
      <c r="M878"/>
      <c r="N878"/>
    </row>
    <row r="879" spans="1:14">
      <c r="A879" s="100" t="s">
        <v>222</v>
      </c>
      <c r="B879" s="100" t="s">
        <v>405</v>
      </c>
      <c r="C879" s="100" t="s">
        <v>360</v>
      </c>
      <c r="D879" s="102">
        <v>68730</v>
      </c>
      <c r="E879" s="104">
        <v>43299.899999999994</v>
      </c>
      <c r="F879"/>
      <c r="G879"/>
      <c r="H879"/>
      <c r="I879"/>
      <c r="J879"/>
      <c r="K879"/>
      <c r="L879"/>
      <c r="M879"/>
      <c r="N879"/>
    </row>
    <row r="880" spans="1:14">
      <c r="A880" s="72"/>
      <c r="B880" s="72"/>
      <c r="C880" s="72"/>
      <c r="D880" s="74"/>
      <c r="E880" s="76"/>
    </row>
    <row r="881" spans="1:14">
      <c r="A881" s="72" t="s">
        <v>225</v>
      </c>
      <c r="B881" s="72" t="s">
        <v>405</v>
      </c>
      <c r="C881" s="72" t="s">
        <v>101</v>
      </c>
      <c r="D881" s="74">
        <v>3400</v>
      </c>
      <c r="E881" s="76">
        <v>2142</v>
      </c>
    </row>
    <row r="882" spans="1:14">
      <c r="A882" s="72" t="s">
        <v>225</v>
      </c>
      <c r="B882" s="72" t="s">
        <v>405</v>
      </c>
      <c r="C882" s="72" t="s">
        <v>55</v>
      </c>
      <c r="D882" s="74">
        <v>8640</v>
      </c>
      <c r="E882" s="76">
        <v>5443.2</v>
      </c>
    </row>
    <row r="883" spans="1:14">
      <c r="A883" s="72" t="s">
        <v>225</v>
      </c>
      <c r="B883" s="72" t="s">
        <v>405</v>
      </c>
      <c r="C883" s="72" t="s">
        <v>90</v>
      </c>
      <c r="D883" s="74">
        <v>8900</v>
      </c>
      <c r="E883" s="76">
        <v>5607</v>
      </c>
    </row>
    <row r="884" spans="1:14">
      <c r="A884" s="72" t="s">
        <v>225</v>
      </c>
      <c r="B884" s="72" t="s">
        <v>405</v>
      </c>
      <c r="C884" s="72" t="s">
        <v>463</v>
      </c>
      <c r="D884" s="74">
        <v>2600</v>
      </c>
      <c r="E884" s="76">
        <v>1638</v>
      </c>
    </row>
    <row r="885" spans="1:14">
      <c r="A885" s="72" t="s">
        <v>225</v>
      </c>
      <c r="B885" s="72" t="s">
        <v>405</v>
      </c>
      <c r="C885" s="72" t="s">
        <v>464</v>
      </c>
      <c r="D885" s="74">
        <v>3200</v>
      </c>
      <c r="E885" s="76">
        <v>2015.9999999999998</v>
      </c>
    </row>
    <row r="886" spans="1:14">
      <c r="A886" s="72" t="s">
        <v>225</v>
      </c>
      <c r="B886" s="72" t="s">
        <v>405</v>
      </c>
      <c r="C886" s="72" t="s">
        <v>13</v>
      </c>
      <c r="D886" s="74">
        <v>6400</v>
      </c>
      <c r="E886" s="76">
        <v>4031.9999999999995</v>
      </c>
    </row>
    <row r="887" spans="1:14">
      <c r="A887" s="72" t="s">
        <v>225</v>
      </c>
      <c r="B887" s="72" t="s">
        <v>405</v>
      </c>
      <c r="C887" s="72" t="s">
        <v>29</v>
      </c>
      <c r="D887" s="74">
        <v>800</v>
      </c>
      <c r="E887" s="76">
        <v>503.99999999999994</v>
      </c>
    </row>
    <row r="888" spans="1:14">
      <c r="A888" s="100" t="s">
        <v>225</v>
      </c>
      <c r="B888" s="100" t="s">
        <v>405</v>
      </c>
      <c r="C888" s="100" t="s">
        <v>22</v>
      </c>
      <c r="D888" s="102">
        <v>4400</v>
      </c>
      <c r="E888" s="104">
        <v>2772</v>
      </c>
      <c r="F888"/>
      <c r="G888"/>
      <c r="H888"/>
      <c r="I888"/>
      <c r="J888"/>
      <c r="K888"/>
      <c r="L888"/>
      <c r="M888"/>
      <c r="N888"/>
    </row>
    <row r="889" spans="1:14">
      <c r="A889" s="100" t="s">
        <v>225</v>
      </c>
      <c r="B889" s="100" t="s">
        <v>405</v>
      </c>
      <c r="C889" s="100" t="s">
        <v>9</v>
      </c>
      <c r="D889" s="102">
        <v>1300</v>
      </c>
      <c r="E889" s="104">
        <v>819</v>
      </c>
      <c r="F889"/>
      <c r="G889"/>
      <c r="H889"/>
      <c r="I889"/>
      <c r="J889"/>
      <c r="K889"/>
      <c r="L889"/>
      <c r="M889"/>
      <c r="N889"/>
    </row>
    <row r="890" spans="1:14">
      <c r="A890" s="100" t="s">
        <v>225</v>
      </c>
      <c r="B890" s="100" t="s">
        <v>405</v>
      </c>
      <c r="C890" s="100" t="s">
        <v>166</v>
      </c>
      <c r="D890" s="102">
        <v>24280</v>
      </c>
      <c r="E890" s="104">
        <v>15296.4</v>
      </c>
      <c r="F890"/>
      <c r="G890"/>
      <c r="H890"/>
      <c r="I890"/>
      <c r="J890"/>
      <c r="K890"/>
      <c r="L890"/>
      <c r="M890"/>
      <c r="N890"/>
    </row>
    <row r="891" spans="1:14">
      <c r="A891" s="100" t="s">
        <v>225</v>
      </c>
      <c r="B891" s="100" t="s">
        <v>405</v>
      </c>
      <c r="C891" s="100" t="s">
        <v>62</v>
      </c>
      <c r="D891" s="102">
        <v>10600</v>
      </c>
      <c r="E891" s="104">
        <v>6678</v>
      </c>
      <c r="F891"/>
      <c r="G891"/>
      <c r="H891"/>
      <c r="I891"/>
      <c r="J891"/>
      <c r="K891"/>
      <c r="L891"/>
      <c r="M891"/>
      <c r="N891"/>
    </row>
    <row r="892" spans="1:14">
      <c r="A892" s="100" t="s">
        <v>225</v>
      </c>
      <c r="B892" s="100" t="s">
        <v>405</v>
      </c>
      <c r="C892" s="100" t="s">
        <v>376</v>
      </c>
      <c r="D892" s="102">
        <v>1200</v>
      </c>
      <c r="E892" s="104">
        <v>756</v>
      </c>
      <c r="F892"/>
      <c r="G892"/>
      <c r="H892"/>
      <c r="I892"/>
      <c r="J892"/>
      <c r="K892"/>
      <c r="L892"/>
      <c r="M892"/>
      <c r="N892"/>
    </row>
    <row r="893" spans="1:14">
      <c r="A893" s="100" t="s">
        <v>225</v>
      </c>
      <c r="B893" s="100" t="s">
        <v>405</v>
      </c>
      <c r="C893" s="100" t="s">
        <v>167</v>
      </c>
      <c r="D893" s="102">
        <v>600</v>
      </c>
      <c r="E893" s="104">
        <v>378</v>
      </c>
      <c r="F893"/>
      <c r="G893"/>
      <c r="H893"/>
      <c r="I893"/>
      <c r="J893"/>
      <c r="K893"/>
      <c r="L893"/>
      <c r="M893"/>
      <c r="N893"/>
    </row>
    <row r="894" spans="1:14">
      <c r="A894" s="100" t="s">
        <v>225</v>
      </c>
      <c r="B894" s="100" t="s">
        <v>405</v>
      </c>
      <c r="C894" s="100" t="s">
        <v>224</v>
      </c>
      <c r="D894" s="102">
        <v>7800</v>
      </c>
      <c r="E894" s="104">
        <v>4914</v>
      </c>
      <c r="F894"/>
      <c r="G894"/>
      <c r="H894"/>
      <c r="I894"/>
      <c r="J894"/>
      <c r="K894"/>
      <c r="L894"/>
      <c r="M894"/>
      <c r="N894"/>
    </row>
    <row r="895" spans="1:14">
      <c r="A895" s="100" t="s">
        <v>225</v>
      </c>
      <c r="B895" s="100" t="s">
        <v>405</v>
      </c>
      <c r="C895" s="100" t="s">
        <v>360</v>
      </c>
      <c r="D895" s="102">
        <v>20210</v>
      </c>
      <c r="E895" s="104">
        <v>12732.3</v>
      </c>
      <c r="F895"/>
      <c r="G895"/>
      <c r="H895"/>
      <c r="I895"/>
      <c r="J895"/>
      <c r="K895"/>
      <c r="L895"/>
      <c r="M895"/>
      <c r="N895"/>
    </row>
    <row r="896" spans="1:14">
      <c r="A896" s="100" t="s">
        <v>225</v>
      </c>
      <c r="B896" s="100" t="s">
        <v>405</v>
      </c>
      <c r="C896" s="100" t="s">
        <v>95</v>
      </c>
      <c r="D896" s="102">
        <v>25920</v>
      </c>
      <c r="E896" s="104">
        <v>16329.599999999999</v>
      </c>
      <c r="F896"/>
      <c r="G896"/>
      <c r="H896"/>
      <c r="I896"/>
      <c r="J896"/>
      <c r="K896"/>
      <c r="L896"/>
      <c r="M896"/>
      <c r="N896"/>
    </row>
    <row r="897" spans="1:14">
      <c r="A897" s="100" t="s">
        <v>225</v>
      </c>
      <c r="B897" s="100" t="s">
        <v>405</v>
      </c>
      <c r="C897" s="100" t="s">
        <v>223</v>
      </c>
      <c r="D897" s="102">
        <v>4800</v>
      </c>
      <c r="E897" s="104">
        <v>3024</v>
      </c>
      <c r="F897"/>
      <c r="G897"/>
      <c r="H897"/>
      <c r="I897"/>
      <c r="J897"/>
      <c r="K897"/>
      <c r="L897"/>
      <c r="M897"/>
      <c r="N897"/>
    </row>
    <row r="898" spans="1:14" ht="12.75" customHeight="1">
      <c r="A898" s="100" t="s">
        <v>225</v>
      </c>
      <c r="B898" s="100" t="s">
        <v>405</v>
      </c>
      <c r="C898" s="100" t="s">
        <v>205</v>
      </c>
      <c r="D898" s="102">
        <v>11340</v>
      </c>
      <c r="E898" s="104">
        <v>7144.2</v>
      </c>
      <c r="F898"/>
      <c r="G898"/>
      <c r="H898"/>
      <c r="I898"/>
      <c r="J898"/>
      <c r="K898"/>
      <c r="L898"/>
      <c r="M898"/>
      <c r="N898"/>
    </row>
    <row r="899" spans="1:14">
      <c r="A899" s="72"/>
      <c r="B899" s="72"/>
      <c r="C899" s="72"/>
      <c r="D899" s="74"/>
      <c r="E899" s="76"/>
    </row>
    <row r="900" spans="1:14">
      <c r="A900" s="72" t="s">
        <v>226</v>
      </c>
      <c r="B900" s="72" t="s">
        <v>507</v>
      </c>
      <c r="C900" s="72" t="s">
        <v>66</v>
      </c>
      <c r="D900" s="74">
        <v>7600</v>
      </c>
      <c r="E900" s="76">
        <v>5320</v>
      </c>
    </row>
    <row r="901" spans="1:14">
      <c r="A901" s="72" t="s">
        <v>226</v>
      </c>
      <c r="B901" s="72" t="s">
        <v>507</v>
      </c>
      <c r="C901" s="72" t="s">
        <v>9</v>
      </c>
      <c r="D901" s="74">
        <v>700</v>
      </c>
      <c r="E901" s="76">
        <v>490</v>
      </c>
    </row>
    <row r="902" spans="1:14">
      <c r="A902" s="72" t="s">
        <v>226</v>
      </c>
      <c r="B902" s="72" t="s">
        <v>507</v>
      </c>
      <c r="C902" s="72" t="s">
        <v>21</v>
      </c>
      <c r="D902" s="74">
        <v>20800</v>
      </c>
      <c r="E902" s="76">
        <v>14560</v>
      </c>
    </row>
    <row r="903" spans="1:14">
      <c r="A903" s="72" t="s">
        <v>226</v>
      </c>
      <c r="B903" s="72" t="s">
        <v>507</v>
      </c>
      <c r="C903" s="72" t="s">
        <v>22</v>
      </c>
      <c r="D903" s="74">
        <v>8400</v>
      </c>
      <c r="E903" s="76">
        <v>5880</v>
      </c>
    </row>
    <row r="904" spans="1:14">
      <c r="A904" s="72"/>
      <c r="B904" s="72"/>
      <c r="C904" s="72"/>
      <c r="D904" s="74"/>
      <c r="E904" s="76"/>
    </row>
    <row r="905" spans="1:14">
      <c r="A905" s="72" t="s">
        <v>227</v>
      </c>
      <c r="B905" s="72" t="s">
        <v>507</v>
      </c>
      <c r="C905" s="72" t="s">
        <v>66</v>
      </c>
      <c r="D905" s="74">
        <v>1495700</v>
      </c>
      <c r="E905" s="76">
        <v>1046990</v>
      </c>
    </row>
    <row r="906" spans="1:14">
      <c r="A906" s="72" t="s">
        <v>227</v>
      </c>
      <c r="B906" s="72" t="s">
        <v>507</v>
      </c>
      <c r="C906" s="72" t="s">
        <v>9</v>
      </c>
      <c r="D906" s="74">
        <v>141000</v>
      </c>
      <c r="E906" s="76">
        <v>98700</v>
      </c>
    </row>
    <row r="907" spans="1:14">
      <c r="A907" s="72" t="s">
        <v>227</v>
      </c>
      <c r="B907" s="72" t="s">
        <v>507</v>
      </c>
      <c r="C907" s="72" t="s">
        <v>21</v>
      </c>
      <c r="D907" s="74">
        <v>1595100</v>
      </c>
      <c r="E907" s="76">
        <v>1116570</v>
      </c>
    </row>
    <row r="908" spans="1:14">
      <c r="A908" s="72" t="s">
        <v>227</v>
      </c>
      <c r="B908" s="72" t="s">
        <v>507</v>
      </c>
      <c r="C908" s="72" t="s">
        <v>22</v>
      </c>
      <c r="D908" s="74">
        <v>5089400</v>
      </c>
      <c r="E908" s="76">
        <v>3550620</v>
      </c>
    </row>
    <row r="909" spans="1:14">
      <c r="A909" s="72" t="s">
        <v>227</v>
      </c>
      <c r="B909" s="72" t="s">
        <v>507</v>
      </c>
      <c r="C909" s="72" t="s">
        <v>29</v>
      </c>
      <c r="D909" s="74">
        <v>57400</v>
      </c>
      <c r="E909" s="76">
        <v>40180</v>
      </c>
    </row>
    <row r="910" spans="1:14">
      <c r="A910" s="72"/>
      <c r="B910" s="72"/>
      <c r="C910" s="72"/>
      <c r="D910" s="74"/>
      <c r="E910" s="76"/>
    </row>
    <row r="911" spans="1:14">
      <c r="A911" s="72" t="s">
        <v>415</v>
      </c>
      <c r="B911" s="72" t="s">
        <v>405</v>
      </c>
      <c r="C911" s="72" t="s">
        <v>416</v>
      </c>
      <c r="D911" s="74">
        <v>85.769599999999997</v>
      </c>
      <c r="E911" s="76">
        <v>85.769599999999997</v>
      </c>
    </row>
    <row r="912" spans="1:14">
      <c r="A912" s="72" t="s">
        <v>415</v>
      </c>
      <c r="B912" s="72" t="s">
        <v>405</v>
      </c>
      <c r="C912" s="72" t="s">
        <v>46</v>
      </c>
      <c r="D912" s="74">
        <v>85.769599999999997</v>
      </c>
      <c r="E912" s="76">
        <v>85.769599999999997</v>
      </c>
    </row>
    <row r="913" spans="1:5">
      <c r="A913" s="72" t="s">
        <v>415</v>
      </c>
      <c r="B913" s="72" t="s">
        <v>405</v>
      </c>
      <c r="C913" s="72" t="s">
        <v>42</v>
      </c>
      <c r="D913" s="74">
        <v>85</v>
      </c>
      <c r="E913" s="76">
        <v>85</v>
      </c>
    </row>
    <row r="914" spans="1:5">
      <c r="A914" s="72" t="s">
        <v>415</v>
      </c>
      <c r="B914" s="72" t="s">
        <v>507</v>
      </c>
      <c r="C914" s="72" t="s">
        <v>535</v>
      </c>
      <c r="D914" s="74">
        <v>66</v>
      </c>
      <c r="E914" s="76">
        <v>66</v>
      </c>
    </row>
    <row r="915" spans="1:5">
      <c r="A915" s="72" t="s">
        <v>415</v>
      </c>
      <c r="B915" s="72" t="s">
        <v>507</v>
      </c>
      <c r="C915" s="72" t="s">
        <v>533</v>
      </c>
      <c r="D915" s="74">
        <v>199</v>
      </c>
      <c r="E915" s="76">
        <v>199</v>
      </c>
    </row>
    <row r="916" spans="1:5">
      <c r="A916" s="72" t="s">
        <v>415</v>
      </c>
      <c r="B916" s="72" t="s">
        <v>507</v>
      </c>
      <c r="C916" s="72" t="s">
        <v>531</v>
      </c>
      <c r="D916" s="74">
        <v>132</v>
      </c>
      <c r="E916" s="76">
        <v>132</v>
      </c>
    </row>
    <row r="917" spans="1:5">
      <c r="A917" s="72"/>
      <c r="B917" s="72"/>
      <c r="C917" s="72"/>
      <c r="D917" s="74"/>
      <c r="E917" s="76"/>
    </row>
    <row r="918" spans="1:5">
      <c r="A918" s="72" t="s">
        <v>228</v>
      </c>
      <c r="B918" s="72" t="s">
        <v>405</v>
      </c>
      <c r="C918" s="72" t="s">
        <v>230</v>
      </c>
      <c r="D918" s="74">
        <v>36800</v>
      </c>
      <c r="E918" s="76">
        <v>19872</v>
      </c>
    </row>
    <row r="919" spans="1:5">
      <c r="A919" s="72" t="s">
        <v>228</v>
      </c>
      <c r="B919" s="72" t="s">
        <v>405</v>
      </c>
      <c r="C919" s="72" t="s">
        <v>95</v>
      </c>
      <c r="D919" s="74">
        <v>34400</v>
      </c>
      <c r="E919" s="76">
        <v>18576</v>
      </c>
    </row>
    <row r="920" spans="1:5">
      <c r="A920" s="72" t="s">
        <v>228</v>
      </c>
      <c r="B920" s="72" t="s">
        <v>405</v>
      </c>
      <c r="C920" s="72" t="s">
        <v>229</v>
      </c>
      <c r="D920" s="74">
        <v>20600</v>
      </c>
      <c r="E920" s="76">
        <v>11124</v>
      </c>
    </row>
    <row r="921" spans="1:5">
      <c r="A921" s="72" t="s">
        <v>228</v>
      </c>
      <c r="B921" s="72" t="s">
        <v>405</v>
      </c>
      <c r="C921" s="72" t="s">
        <v>62</v>
      </c>
      <c r="D921" s="74">
        <v>9200</v>
      </c>
      <c r="E921" s="76">
        <v>4968</v>
      </c>
    </row>
    <row r="922" spans="1:5">
      <c r="A922" s="72" t="s">
        <v>228</v>
      </c>
      <c r="B922" s="72" t="s">
        <v>405</v>
      </c>
      <c r="C922" s="72" t="s">
        <v>406</v>
      </c>
      <c r="D922" s="74">
        <v>9600</v>
      </c>
      <c r="E922" s="76">
        <v>5184</v>
      </c>
    </row>
    <row r="923" spans="1:5">
      <c r="A923" s="72" t="s">
        <v>228</v>
      </c>
      <c r="B923" s="72" t="s">
        <v>405</v>
      </c>
      <c r="C923" s="72" t="s">
        <v>407</v>
      </c>
      <c r="D923" s="74">
        <v>4800</v>
      </c>
      <c r="E923" s="76">
        <v>2592</v>
      </c>
    </row>
    <row r="924" spans="1:5">
      <c r="A924" s="72" t="s">
        <v>228</v>
      </c>
      <c r="B924" s="72" t="s">
        <v>405</v>
      </c>
      <c r="C924" s="72" t="s">
        <v>12</v>
      </c>
      <c r="D924" s="74">
        <v>4400</v>
      </c>
      <c r="E924" s="76">
        <v>2376</v>
      </c>
    </row>
    <row r="925" spans="1:5">
      <c r="A925" s="72" t="s">
        <v>228</v>
      </c>
      <c r="B925" s="72" t="s">
        <v>405</v>
      </c>
      <c r="C925" s="72" t="s">
        <v>29</v>
      </c>
      <c r="D925" s="74">
        <v>2800</v>
      </c>
      <c r="E925" s="76">
        <v>1512</v>
      </c>
    </row>
    <row r="926" spans="1:5">
      <c r="A926" s="72" t="s">
        <v>228</v>
      </c>
      <c r="B926" s="72" t="s">
        <v>405</v>
      </c>
      <c r="C926" s="72" t="s">
        <v>231</v>
      </c>
      <c r="D926" s="74">
        <v>600</v>
      </c>
      <c r="E926" s="76">
        <v>324</v>
      </c>
    </row>
    <row r="927" spans="1:5">
      <c r="A927" s="72"/>
      <c r="B927" s="72"/>
      <c r="C927" s="72"/>
      <c r="D927" s="74"/>
      <c r="E927" s="76"/>
    </row>
    <row r="928" spans="1:5">
      <c r="A928" s="72" t="s">
        <v>232</v>
      </c>
      <c r="B928" s="72" t="s">
        <v>405</v>
      </c>
      <c r="C928" s="72" t="s">
        <v>14</v>
      </c>
      <c r="D928" s="74">
        <v>127500</v>
      </c>
      <c r="E928" s="76">
        <v>49514</v>
      </c>
    </row>
    <row r="929" spans="1:7">
      <c r="A929" s="72" t="s">
        <v>232</v>
      </c>
      <c r="B929" s="72" t="s">
        <v>405</v>
      </c>
      <c r="C929" s="72" t="s">
        <v>21</v>
      </c>
      <c r="D929" s="74">
        <v>6800</v>
      </c>
      <c r="E929" s="76">
        <v>1360</v>
      </c>
    </row>
    <row r="930" spans="1:7">
      <c r="A930" s="72" t="s">
        <v>232</v>
      </c>
      <c r="B930" s="72" t="s">
        <v>405</v>
      </c>
      <c r="C930" s="72" t="s">
        <v>32</v>
      </c>
      <c r="D930" s="74">
        <v>75408</v>
      </c>
      <c r="E930" s="76">
        <v>26178</v>
      </c>
    </row>
    <row r="931" spans="1:7">
      <c r="A931" s="72"/>
      <c r="B931" s="72"/>
      <c r="C931" s="72"/>
      <c r="D931" s="74"/>
      <c r="E931" s="76"/>
    </row>
    <row r="932" spans="1:7">
      <c r="A932" s="72" t="s">
        <v>233</v>
      </c>
      <c r="B932" s="72" t="s">
        <v>470</v>
      </c>
      <c r="C932" s="72" t="s">
        <v>234</v>
      </c>
      <c r="D932" s="125">
        <v>1278.9899999999998</v>
      </c>
      <c r="E932" s="126">
        <f t="shared" ref="E932:E938" si="0">D932*F932</f>
        <v>239900.15429999994</v>
      </c>
      <c r="F932" s="44">
        <v>187.57</v>
      </c>
      <c r="G932" s="127"/>
    </row>
    <row r="933" spans="1:7">
      <c r="A933" s="72" t="s">
        <v>233</v>
      </c>
      <c r="B933" s="72" t="s">
        <v>470</v>
      </c>
      <c r="C933" s="72" t="s">
        <v>471</v>
      </c>
      <c r="D933" s="125">
        <v>101.05</v>
      </c>
      <c r="E933" s="126">
        <f t="shared" si="0"/>
        <v>18953.948499999999</v>
      </c>
      <c r="F933" s="44">
        <v>187.57</v>
      </c>
      <c r="G933" s="127"/>
    </row>
    <row r="934" spans="1:7">
      <c r="A934" s="72" t="s">
        <v>233</v>
      </c>
      <c r="B934" s="72" t="s">
        <v>470</v>
      </c>
      <c r="C934" s="72" t="s">
        <v>235</v>
      </c>
      <c r="D934" s="125">
        <v>923.97</v>
      </c>
      <c r="E934" s="126">
        <f t="shared" si="0"/>
        <v>173309.05290000001</v>
      </c>
      <c r="F934" s="44">
        <v>187.57</v>
      </c>
      <c r="G934" s="127"/>
    </row>
    <row r="935" spans="1:7" ht="15.75" customHeight="1">
      <c r="A935" s="72" t="s">
        <v>233</v>
      </c>
      <c r="B935" s="72" t="s">
        <v>470</v>
      </c>
      <c r="C935" s="72" t="s">
        <v>125</v>
      </c>
      <c r="D935" s="125">
        <v>543.38</v>
      </c>
      <c r="E935" s="126">
        <f t="shared" si="0"/>
        <v>101921.78659999999</v>
      </c>
      <c r="F935" s="44">
        <v>187.57</v>
      </c>
      <c r="G935" s="127"/>
    </row>
    <row r="936" spans="1:7" customFormat="1">
      <c r="A936" s="100" t="s">
        <v>233</v>
      </c>
      <c r="B936" s="100" t="s">
        <v>470</v>
      </c>
      <c r="C936" s="100" t="s">
        <v>472</v>
      </c>
      <c r="D936" s="131">
        <v>130.84</v>
      </c>
      <c r="E936" s="132">
        <f t="shared" si="0"/>
        <v>24541.658800000001</v>
      </c>
      <c r="F936" s="44">
        <v>187.57</v>
      </c>
      <c r="G936" s="57"/>
    </row>
    <row r="937" spans="1:7" customFormat="1">
      <c r="A937" s="100" t="s">
        <v>233</v>
      </c>
      <c r="B937" s="100" t="s">
        <v>470</v>
      </c>
      <c r="C937" s="100" t="s">
        <v>473</v>
      </c>
      <c r="D937" s="131">
        <v>0.9</v>
      </c>
      <c r="E937" s="132">
        <f t="shared" si="0"/>
        <v>168.81299999999999</v>
      </c>
      <c r="F937" s="44">
        <v>187.57</v>
      </c>
      <c r="G937" s="57"/>
    </row>
    <row r="938" spans="1:7" customFormat="1" ht="15.75" customHeight="1">
      <c r="A938" s="100" t="s">
        <v>233</v>
      </c>
      <c r="B938" s="100" t="s">
        <v>470</v>
      </c>
      <c r="C938" s="100" t="s">
        <v>474</v>
      </c>
      <c r="D938" s="131">
        <v>42.07</v>
      </c>
      <c r="E938" s="132">
        <f t="shared" si="0"/>
        <v>7891.0698999999995</v>
      </c>
      <c r="F938" s="44">
        <v>187.57</v>
      </c>
      <c r="G938" s="57"/>
    </row>
    <row r="939" spans="1:7" ht="15.75" customHeight="1">
      <c r="A939" s="72"/>
      <c r="B939" s="72"/>
      <c r="C939" s="72"/>
      <c r="D939" s="125"/>
      <c r="E939" s="126"/>
      <c r="F939" s="44"/>
      <c r="G939" s="127"/>
    </row>
    <row r="940" spans="1:7">
      <c r="A940" s="72" t="s">
        <v>236</v>
      </c>
      <c r="B940" s="72" t="s">
        <v>405</v>
      </c>
      <c r="C940" s="72" t="s">
        <v>237</v>
      </c>
      <c r="D940" s="125">
        <v>3.16</v>
      </c>
      <c r="E940" s="126">
        <f t="shared" ref="E940:E948" si="1">D940*F940</f>
        <v>4323.8280000000004</v>
      </c>
      <c r="F940" s="44">
        <v>1368.3</v>
      </c>
      <c r="G940" s="128"/>
    </row>
    <row r="941" spans="1:7">
      <c r="A941" s="72" t="s">
        <v>236</v>
      </c>
      <c r="B941" s="72" t="s">
        <v>405</v>
      </c>
      <c r="C941" s="72" t="s">
        <v>238</v>
      </c>
      <c r="D941" s="125">
        <v>2.5</v>
      </c>
      <c r="E941" s="126">
        <f t="shared" si="1"/>
        <v>3420.75</v>
      </c>
      <c r="F941" s="44">
        <v>1368.3</v>
      </c>
      <c r="G941" s="127"/>
    </row>
    <row r="942" spans="1:7">
      <c r="A942" s="72" t="s">
        <v>236</v>
      </c>
      <c r="B942" s="72" t="s">
        <v>405</v>
      </c>
      <c r="C942" s="72" t="s">
        <v>239</v>
      </c>
      <c r="D942" s="125">
        <v>10.86</v>
      </c>
      <c r="E942" s="126">
        <f t="shared" si="1"/>
        <v>14859.737999999999</v>
      </c>
      <c r="F942" s="44">
        <v>1368.3</v>
      </c>
      <c r="G942" s="127"/>
    </row>
    <row r="943" spans="1:7">
      <c r="A943" s="72" t="s">
        <v>236</v>
      </c>
      <c r="B943" s="72" t="s">
        <v>405</v>
      </c>
      <c r="C943" s="72" t="s">
        <v>240</v>
      </c>
      <c r="D943" s="125">
        <v>6.52</v>
      </c>
      <c r="E943" s="126">
        <f t="shared" si="1"/>
        <v>8921.3159999999989</v>
      </c>
      <c r="F943" s="44">
        <v>1368.3</v>
      </c>
      <c r="G943" s="127"/>
    </row>
    <row r="944" spans="1:7">
      <c r="A944" s="72" t="s">
        <v>236</v>
      </c>
      <c r="B944" s="72" t="s">
        <v>405</v>
      </c>
      <c r="C944" s="72" t="s">
        <v>241</v>
      </c>
      <c r="D944" s="125">
        <v>1.92</v>
      </c>
      <c r="E944" s="126">
        <f t="shared" si="1"/>
        <v>2627.136</v>
      </c>
      <c r="F944" s="44">
        <v>1368.3</v>
      </c>
      <c r="G944" s="127"/>
    </row>
    <row r="945" spans="1:7">
      <c r="A945" s="72" t="s">
        <v>236</v>
      </c>
      <c r="B945" s="72" t="s">
        <v>405</v>
      </c>
      <c r="C945" s="72" t="s">
        <v>242</v>
      </c>
      <c r="D945" s="125">
        <v>12.32</v>
      </c>
      <c r="E945" s="126">
        <f t="shared" si="1"/>
        <v>16857.455999999998</v>
      </c>
      <c r="F945" s="44">
        <v>1368.3</v>
      </c>
      <c r="G945" s="127"/>
    </row>
    <row r="946" spans="1:7">
      <c r="A946" s="72" t="s">
        <v>236</v>
      </c>
      <c r="B946" s="72" t="s">
        <v>405</v>
      </c>
      <c r="C946" s="72" t="s">
        <v>243</v>
      </c>
      <c r="D946" s="125">
        <v>2.29</v>
      </c>
      <c r="E946" s="126">
        <f t="shared" si="1"/>
        <v>3133.4070000000002</v>
      </c>
      <c r="F946" s="44">
        <v>1368.3</v>
      </c>
      <c r="G946" s="127"/>
    </row>
    <row r="947" spans="1:7">
      <c r="A947" s="72" t="s">
        <v>236</v>
      </c>
      <c r="B947" s="72" t="s">
        <v>405</v>
      </c>
      <c r="C947" s="72" t="s">
        <v>244</v>
      </c>
      <c r="D947" s="125">
        <v>2.14</v>
      </c>
      <c r="E947" s="126">
        <f t="shared" si="1"/>
        <v>2928.1620000000003</v>
      </c>
      <c r="F947" s="44">
        <v>1368.3</v>
      </c>
      <c r="G947" s="127"/>
    </row>
    <row r="948" spans="1:7">
      <c r="A948" s="72" t="s">
        <v>236</v>
      </c>
      <c r="B948" s="72" t="s">
        <v>405</v>
      </c>
      <c r="C948" s="72" t="s">
        <v>245</v>
      </c>
      <c r="D948" s="125">
        <v>0.08</v>
      </c>
      <c r="E948" s="126">
        <f t="shared" si="1"/>
        <v>109.464</v>
      </c>
      <c r="F948" s="44">
        <v>1368.3</v>
      </c>
      <c r="G948" s="127"/>
    </row>
    <row r="949" spans="1:7">
      <c r="A949" s="72"/>
      <c r="B949" s="72"/>
      <c r="C949" s="72"/>
      <c r="D949" s="125"/>
      <c r="E949" s="129"/>
      <c r="F949" s="44"/>
      <c r="G949" s="127"/>
    </row>
    <row r="950" spans="1:7">
      <c r="A950" s="72"/>
      <c r="B950" s="72"/>
      <c r="C950" s="72"/>
      <c r="D950" s="125"/>
      <c r="E950" s="129"/>
      <c r="F950" s="60"/>
      <c r="G950" s="127"/>
    </row>
    <row r="951" spans="1:7">
      <c r="A951" s="72"/>
      <c r="B951" s="72"/>
      <c r="C951" s="72"/>
      <c r="D951" s="125"/>
      <c r="E951" s="129"/>
      <c r="F951" s="60"/>
      <c r="G951" s="127"/>
    </row>
    <row r="952" spans="1:7">
      <c r="A952" s="72" t="s">
        <v>246</v>
      </c>
      <c r="B952" s="72" t="s">
        <v>405</v>
      </c>
      <c r="C952" s="72" t="s">
        <v>247</v>
      </c>
      <c r="D952" s="125">
        <v>268.27049999999997</v>
      </c>
      <c r="E952" s="126">
        <f>D952*F952</f>
        <v>10095.018914999999</v>
      </c>
      <c r="F952" s="44">
        <v>37.630000000000003</v>
      </c>
      <c r="G952" s="127"/>
    </row>
    <row r="953" spans="1:7">
      <c r="A953" s="72" t="s">
        <v>246</v>
      </c>
      <c r="B953" s="72" t="s">
        <v>405</v>
      </c>
      <c r="C953" s="72" t="s">
        <v>114</v>
      </c>
      <c r="D953" s="125">
        <v>1550.0865000000001</v>
      </c>
      <c r="E953" s="126">
        <f t="shared" ref="E953:E961" si="2">D953*F953</f>
        <v>58329.75499500001</v>
      </c>
      <c r="F953" s="44">
        <v>37.630000000000003</v>
      </c>
      <c r="G953" s="127"/>
    </row>
    <row r="954" spans="1:7">
      <c r="A954" s="72" t="s">
        <v>246</v>
      </c>
      <c r="B954" s="72" t="s">
        <v>405</v>
      </c>
      <c r="C954" s="72" t="s">
        <v>248</v>
      </c>
      <c r="D954" s="125">
        <v>108.72750000000001</v>
      </c>
      <c r="E954" s="126">
        <f t="shared" si="2"/>
        <v>4091.4158250000005</v>
      </c>
      <c r="F954" s="44">
        <v>37.630000000000003</v>
      </c>
      <c r="G954" s="127"/>
    </row>
    <row r="955" spans="1:7">
      <c r="A955" s="72" t="s">
        <v>246</v>
      </c>
      <c r="B955" s="72" t="s">
        <v>405</v>
      </c>
      <c r="C955" s="72" t="s">
        <v>151</v>
      </c>
      <c r="D955" s="125">
        <v>1371.3344999999999</v>
      </c>
      <c r="E955" s="126">
        <f t="shared" si="2"/>
        <v>51603.317235000002</v>
      </c>
      <c r="F955" s="44">
        <v>37.630000000000003</v>
      </c>
      <c r="G955" s="127"/>
    </row>
    <row r="956" spans="1:7">
      <c r="A956" s="72" t="s">
        <v>246</v>
      </c>
      <c r="B956" s="72" t="s">
        <v>405</v>
      </c>
      <c r="C956" s="72" t="s">
        <v>46</v>
      </c>
      <c r="D956" s="125">
        <v>7635.4634999999998</v>
      </c>
      <c r="E956" s="126">
        <f t="shared" si="2"/>
        <v>287322.49150500004</v>
      </c>
      <c r="F956" s="44">
        <v>37.630000000000003</v>
      </c>
      <c r="G956" s="127"/>
    </row>
    <row r="957" spans="1:7">
      <c r="A957" s="72" t="s">
        <v>246</v>
      </c>
      <c r="B957" s="72" t="s">
        <v>405</v>
      </c>
      <c r="C957" s="72" t="s">
        <v>249</v>
      </c>
      <c r="D957" s="125">
        <v>710.25800000000004</v>
      </c>
      <c r="E957" s="126">
        <f t="shared" si="2"/>
        <v>26727.008540000003</v>
      </c>
      <c r="F957" s="44">
        <v>37.630000000000003</v>
      </c>
      <c r="G957" s="127"/>
    </row>
    <row r="958" spans="1:7">
      <c r="A958" s="72" t="s">
        <v>246</v>
      </c>
      <c r="B958" s="72" t="s">
        <v>405</v>
      </c>
      <c r="C958" s="72" t="s">
        <v>250</v>
      </c>
      <c r="D958" s="125">
        <v>192.7835</v>
      </c>
      <c r="E958" s="126">
        <f t="shared" si="2"/>
        <v>7254.4431050000003</v>
      </c>
      <c r="F958" s="44">
        <v>37.630000000000003</v>
      </c>
      <c r="G958" s="127"/>
    </row>
    <row r="959" spans="1:7">
      <c r="A959" s="72" t="s">
        <v>246</v>
      </c>
      <c r="B959" s="72" t="s">
        <v>405</v>
      </c>
      <c r="C959" s="72" t="s">
        <v>140</v>
      </c>
      <c r="D959" s="125">
        <v>914.90699999999993</v>
      </c>
      <c r="E959" s="126">
        <f t="shared" si="2"/>
        <v>34427.950409999998</v>
      </c>
      <c r="F959" s="44">
        <v>37.630000000000003</v>
      </c>
      <c r="G959" s="127"/>
    </row>
    <row r="960" spans="1:7">
      <c r="A960" s="72" t="s">
        <v>246</v>
      </c>
      <c r="B960" s="72" t="s">
        <v>405</v>
      </c>
      <c r="C960" s="72" t="s">
        <v>59</v>
      </c>
      <c r="D960" s="125">
        <v>625.89800000000002</v>
      </c>
      <c r="E960" s="126">
        <f t="shared" si="2"/>
        <v>23552.541740000004</v>
      </c>
      <c r="F960" s="44">
        <v>37.630000000000003</v>
      </c>
      <c r="G960" s="127"/>
    </row>
    <row r="961" spans="1:14">
      <c r="A961" s="72" t="s">
        <v>246</v>
      </c>
      <c r="B961" s="72" t="s">
        <v>405</v>
      </c>
      <c r="C961" s="72" t="s">
        <v>42</v>
      </c>
      <c r="D961" s="125">
        <v>716.35699999999997</v>
      </c>
      <c r="E961" s="126">
        <f t="shared" si="2"/>
        <v>26956.513910000001</v>
      </c>
      <c r="F961" s="44">
        <v>37.630000000000003</v>
      </c>
      <c r="G961" s="127"/>
    </row>
    <row r="962" spans="1:14">
      <c r="A962" s="72"/>
      <c r="B962" s="72"/>
      <c r="C962" s="72"/>
      <c r="D962" s="125"/>
      <c r="E962" s="126"/>
      <c r="F962" s="44"/>
      <c r="G962" s="127"/>
    </row>
    <row r="963" spans="1:14">
      <c r="A963" s="72"/>
      <c r="B963" s="72"/>
      <c r="C963" s="72"/>
      <c r="D963" s="125"/>
      <c r="E963" s="129"/>
      <c r="F963" s="44"/>
      <c r="G963" s="127"/>
    </row>
    <row r="964" spans="1:14">
      <c r="A964" s="72"/>
      <c r="B964" s="72"/>
      <c r="C964" s="72"/>
      <c r="D964" s="125"/>
      <c r="E964" s="129"/>
      <c r="F964" s="44"/>
      <c r="G964" s="127"/>
    </row>
    <row r="965" spans="1:14">
      <c r="A965" s="72" t="s">
        <v>251</v>
      </c>
      <c r="B965" s="72" t="s">
        <v>405</v>
      </c>
      <c r="C965" s="72" t="s">
        <v>114</v>
      </c>
      <c r="D965" s="114">
        <v>2051.1</v>
      </c>
      <c r="E965" s="126">
        <f>D965*F965</f>
        <v>19608.516</v>
      </c>
      <c r="F965" s="44">
        <v>9.56</v>
      </c>
      <c r="G965" s="127"/>
    </row>
    <row r="966" spans="1:14">
      <c r="A966" s="72"/>
      <c r="B966" s="72"/>
      <c r="C966" s="72"/>
      <c r="D966" s="114"/>
      <c r="E966" s="126"/>
      <c r="F966" s="44"/>
      <c r="G966" s="127"/>
    </row>
    <row r="967" spans="1:14">
      <c r="A967" s="72" t="s">
        <v>252</v>
      </c>
      <c r="B967" s="72" t="s">
        <v>405</v>
      </c>
      <c r="C967" s="72" t="s">
        <v>499</v>
      </c>
      <c r="D967" s="125">
        <v>41.414999999999999</v>
      </c>
      <c r="E967" s="126">
        <f>D967*F967</f>
        <v>7587.2279999999992</v>
      </c>
      <c r="F967" s="44">
        <v>183.2</v>
      </c>
      <c r="G967" s="127"/>
    </row>
    <row r="968" spans="1:14">
      <c r="A968" s="72" t="s">
        <v>252</v>
      </c>
      <c r="B968" s="72" t="s">
        <v>405</v>
      </c>
      <c r="C968" s="72" t="s">
        <v>500</v>
      </c>
      <c r="D968" s="125">
        <v>21.603749999999998</v>
      </c>
      <c r="E968" s="126">
        <f t="shared" ref="E968:E974" si="3">D968*F968</f>
        <v>3957.8069999999993</v>
      </c>
      <c r="F968" s="44">
        <v>183.2</v>
      </c>
      <c r="G968" s="127"/>
    </row>
    <row r="969" spans="1:14">
      <c r="A969" s="72" t="s">
        <v>252</v>
      </c>
      <c r="B969" s="72" t="s">
        <v>405</v>
      </c>
      <c r="C969" s="72" t="s">
        <v>501</v>
      </c>
      <c r="D969" s="125">
        <v>261.26287500000001</v>
      </c>
      <c r="E969" s="126">
        <f t="shared" si="3"/>
        <v>47863.358699999997</v>
      </c>
      <c r="F969" s="44">
        <v>183.2</v>
      </c>
      <c r="G969" s="127"/>
    </row>
    <row r="970" spans="1:14">
      <c r="A970" s="72" t="s">
        <v>252</v>
      </c>
      <c r="B970" s="72" t="s">
        <v>405</v>
      </c>
      <c r="C970" s="72" t="s">
        <v>502</v>
      </c>
      <c r="D970" s="125">
        <v>154.92449999999999</v>
      </c>
      <c r="E970" s="126">
        <f t="shared" si="3"/>
        <v>28382.168399999999</v>
      </c>
      <c r="F970" s="44">
        <v>183.2</v>
      </c>
      <c r="G970" s="127"/>
    </row>
    <row r="971" spans="1:14">
      <c r="A971" s="72" t="s">
        <v>252</v>
      </c>
      <c r="B971" s="72" t="s">
        <v>405</v>
      </c>
      <c r="C971" s="72" t="s">
        <v>503</v>
      </c>
      <c r="D971" s="125">
        <v>376.068375</v>
      </c>
      <c r="E971" s="126">
        <f t="shared" si="3"/>
        <v>68895.726299999995</v>
      </c>
      <c r="F971" s="44">
        <v>183.2</v>
      </c>
      <c r="G971" s="127"/>
    </row>
    <row r="972" spans="1:14">
      <c r="A972" s="72" t="s">
        <v>252</v>
      </c>
      <c r="B972" s="72" t="s">
        <v>405</v>
      </c>
      <c r="C972" s="72" t="s">
        <v>504</v>
      </c>
      <c r="D972" s="125">
        <v>74.614125000000001</v>
      </c>
      <c r="E972" s="126">
        <f t="shared" si="3"/>
        <v>13669.307699999999</v>
      </c>
      <c r="F972" s="44">
        <v>183.2</v>
      </c>
      <c r="G972" s="127"/>
    </row>
    <row r="973" spans="1:14">
      <c r="A973" s="72" t="s">
        <v>252</v>
      </c>
      <c r="B973" s="72" t="s">
        <v>405</v>
      </c>
      <c r="C973" s="72" t="s">
        <v>505</v>
      </c>
      <c r="D973" s="125">
        <v>151.479375</v>
      </c>
      <c r="E973" s="126">
        <f t="shared" si="3"/>
        <v>27751.021499999999</v>
      </c>
      <c r="F973" s="44">
        <v>183.2</v>
      </c>
      <c r="G973" s="127"/>
    </row>
    <row r="974" spans="1:14">
      <c r="A974" s="72" t="s">
        <v>252</v>
      </c>
      <c r="B974" s="72" t="s">
        <v>405</v>
      </c>
      <c r="C974" s="72" t="s">
        <v>506</v>
      </c>
      <c r="D974" s="125">
        <v>21.156375000000001</v>
      </c>
      <c r="E974" s="126">
        <f t="shared" si="3"/>
        <v>3875.8478999999998</v>
      </c>
      <c r="F974" s="44">
        <v>183.2</v>
      </c>
      <c r="G974" s="127"/>
    </row>
    <row r="975" spans="1:14">
      <c r="A975" s="112"/>
      <c r="B975" s="112"/>
      <c r="C975" s="112"/>
      <c r="D975" s="112"/>
      <c r="E975" s="112"/>
      <c r="F975" s="44"/>
    </row>
    <row r="976" spans="1:14">
      <c r="A976" s="100" t="s">
        <v>253</v>
      </c>
      <c r="B976" s="72" t="s">
        <v>397</v>
      </c>
      <c r="C976" s="100" t="s">
        <v>91</v>
      </c>
      <c r="D976" s="131">
        <v>1.4529152288154226E-2</v>
      </c>
      <c r="E976" s="132">
        <f t="shared" ref="E976:E993" si="4">D976*F976</f>
        <v>18.629279063871351</v>
      </c>
      <c r="F976" s="44">
        <v>1282.2</v>
      </c>
      <c r="G976" s="57"/>
      <c r="H976"/>
      <c r="I976"/>
      <c r="J976"/>
      <c r="K976"/>
      <c r="L976"/>
      <c r="M976"/>
      <c r="N976"/>
    </row>
    <row r="977" spans="1:14">
      <c r="A977" s="100" t="s">
        <v>253</v>
      </c>
      <c r="B977" s="72" t="s">
        <v>397</v>
      </c>
      <c r="C977" s="100" t="s">
        <v>64</v>
      </c>
      <c r="D977" s="131">
        <v>5.8556188370921269</v>
      </c>
      <c r="E977" s="132">
        <f t="shared" si="4"/>
        <v>7508.0744729195258</v>
      </c>
      <c r="F977" s="44">
        <v>1282.2</v>
      </c>
      <c r="G977" s="57"/>
      <c r="H977"/>
      <c r="I977"/>
      <c r="J977"/>
      <c r="K977"/>
      <c r="L977"/>
      <c r="M977"/>
      <c r="N977"/>
    </row>
    <row r="978" spans="1:14">
      <c r="A978" s="100" t="s">
        <v>253</v>
      </c>
      <c r="B978" s="72" t="s">
        <v>397</v>
      </c>
      <c r="C978" s="100" t="s">
        <v>53</v>
      </c>
      <c r="D978" s="131">
        <v>8.4747502298450303</v>
      </c>
      <c r="E978" s="132">
        <f t="shared" si="4"/>
        <v>10866.324744707299</v>
      </c>
      <c r="F978" s="44">
        <v>1282.2</v>
      </c>
      <c r="G978" s="57"/>
      <c r="H978"/>
      <c r="I978"/>
      <c r="J978"/>
      <c r="K978"/>
      <c r="L978"/>
      <c r="M978"/>
      <c r="N978"/>
    </row>
    <row r="979" spans="1:14">
      <c r="A979" s="100" t="s">
        <v>253</v>
      </c>
      <c r="B979" s="72" t="s">
        <v>397</v>
      </c>
      <c r="C979" s="100" t="s">
        <v>469</v>
      </c>
      <c r="D979" s="131">
        <v>55.004110957308804</v>
      </c>
      <c r="E979" s="132">
        <f t="shared" si="4"/>
        <v>70526.271069461349</v>
      </c>
      <c r="F979" s="44">
        <v>1282.2</v>
      </c>
      <c r="G979" s="57"/>
      <c r="H979"/>
      <c r="I979"/>
      <c r="J979"/>
      <c r="K979"/>
      <c r="L979"/>
      <c r="M979"/>
      <c r="N979"/>
    </row>
    <row r="980" spans="1:14">
      <c r="A980" s="100" t="s">
        <v>253</v>
      </c>
      <c r="B980" s="72" t="s">
        <v>397</v>
      </c>
      <c r="C980" s="100" t="s">
        <v>124</v>
      </c>
      <c r="D980" s="131">
        <v>4.0090055071511357E-3</v>
      </c>
      <c r="E980" s="132">
        <f t="shared" si="4"/>
        <v>5.1403468612691867</v>
      </c>
      <c r="F980" s="44">
        <v>1282.2</v>
      </c>
      <c r="G980" s="57"/>
      <c r="H980"/>
      <c r="I980"/>
      <c r="J980"/>
      <c r="K980"/>
      <c r="L980"/>
      <c r="M980"/>
      <c r="N980"/>
    </row>
    <row r="981" spans="1:14">
      <c r="A981" s="100" t="s">
        <v>253</v>
      </c>
      <c r="B981" s="72" t="s">
        <v>397</v>
      </c>
      <c r="C981" s="100" t="s">
        <v>101</v>
      </c>
      <c r="D981" s="131">
        <v>2.4039889051932297</v>
      </c>
      <c r="E981" s="132">
        <f t="shared" si="4"/>
        <v>3082.3945742387591</v>
      </c>
      <c r="F981" s="44">
        <v>1282.2</v>
      </c>
      <c r="G981" s="57"/>
      <c r="H981"/>
      <c r="I981"/>
      <c r="J981"/>
      <c r="K981"/>
      <c r="L981"/>
      <c r="M981"/>
      <c r="N981"/>
    </row>
    <row r="982" spans="1:14">
      <c r="A982" s="100" t="s">
        <v>253</v>
      </c>
      <c r="B982" s="72" t="s">
        <v>397</v>
      </c>
      <c r="C982" s="100" t="s">
        <v>79</v>
      </c>
      <c r="D982" s="131">
        <v>1.742506811154936</v>
      </c>
      <c r="E982" s="132">
        <f t="shared" si="4"/>
        <v>2234.2422332628589</v>
      </c>
      <c r="F982" s="44">
        <v>1282.2</v>
      </c>
      <c r="G982" s="57"/>
      <c r="H982"/>
      <c r="I982"/>
      <c r="J982"/>
      <c r="K982"/>
      <c r="L982"/>
      <c r="M982"/>
      <c r="N982"/>
    </row>
    <row r="983" spans="1:14">
      <c r="A983" s="100" t="s">
        <v>253</v>
      </c>
      <c r="B983" s="72" t="s">
        <v>397</v>
      </c>
      <c r="C983" s="100" t="s">
        <v>254</v>
      </c>
      <c r="D983" s="131">
        <v>2.1403974026450268</v>
      </c>
      <c r="E983" s="132">
        <f t="shared" si="4"/>
        <v>2744.4175496714533</v>
      </c>
      <c r="F983" s="44">
        <v>1282.2</v>
      </c>
      <c r="G983" s="57"/>
      <c r="H983"/>
      <c r="I983"/>
      <c r="J983"/>
      <c r="K983"/>
      <c r="L983"/>
      <c r="M983"/>
      <c r="N983"/>
    </row>
    <row r="984" spans="1:14">
      <c r="A984" s="100" t="s">
        <v>253</v>
      </c>
      <c r="B984" s="72" t="s">
        <v>397</v>
      </c>
      <c r="C984" s="100" t="s">
        <v>255</v>
      </c>
      <c r="D984" s="131">
        <v>19.315480455639168</v>
      </c>
      <c r="E984" s="132">
        <f t="shared" si="4"/>
        <v>24766.309040220542</v>
      </c>
      <c r="F984" s="44">
        <v>1282.2</v>
      </c>
      <c r="G984" s="57"/>
      <c r="H984"/>
      <c r="I984"/>
      <c r="J984"/>
      <c r="K984"/>
      <c r="L984"/>
      <c r="M984"/>
      <c r="N984"/>
    </row>
    <row r="985" spans="1:14">
      <c r="A985" s="100" t="s">
        <v>253</v>
      </c>
      <c r="B985" s="72" t="s">
        <v>397</v>
      </c>
      <c r="C985" s="100" t="s">
        <v>483</v>
      </c>
      <c r="D985" s="131">
        <v>15.811740134904751</v>
      </c>
      <c r="E985" s="132">
        <f t="shared" si="4"/>
        <v>20273.813200974873</v>
      </c>
      <c r="F985" s="44">
        <v>1282.2</v>
      </c>
      <c r="G985" s="57"/>
      <c r="H985"/>
      <c r="I985"/>
      <c r="J985"/>
      <c r="K985"/>
      <c r="L985"/>
      <c r="M985"/>
      <c r="N985"/>
    </row>
    <row r="986" spans="1:14">
      <c r="A986" s="100" t="s">
        <v>253</v>
      </c>
      <c r="B986" s="72" t="s">
        <v>397</v>
      </c>
      <c r="C986" s="100" t="s">
        <v>95</v>
      </c>
      <c r="D986" s="131">
        <v>13.04950463695141</v>
      </c>
      <c r="E986" s="132">
        <f t="shared" si="4"/>
        <v>16732.074845499097</v>
      </c>
      <c r="F986" s="44">
        <v>1282.2</v>
      </c>
      <c r="G986" s="57"/>
      <c r="H986"/>
      <c r="I986"/>
      <c r="J986"/>
      <c r="K986"/>
      <c r="L986"/>
      <c r="M986"/>
      <c r="N986"/>
    </row>
    <row r="987" spans="1:14">
      <c r="A987" s="100" t="s">
        <v>253</v>
      </c>
      <c r="B987" s="72" t="s">
        <v>397</v>
      </c>
      <c r="C987" s="100" t="s">
        <v>36</v>
      </c>
      <c r="D987" s="131">
        <v>3.4559913357579664</v>
      </c>
      <c r="E987" s="132">
        <f t="shared" si="4"/>
        <v>4431.2720907088642</v>
      </c>
      <c r="F987" s="44">
        <v>1282.2</v>
      </c>
      <c r="G987" s="57"/>
      <c r="H987"/>
      <c r="I987"/>
      <c r="J987"/>
      <c r="K987"/>
      <c r="L987"/>
      <c r="M987"/>
      <c r="N987"/>
    </row>
    <row r="988" spans="1:14">
      <c r="A988" s="100" t="s">
        <v>253</v>
      </c>
      <c r="B988" s="72" t="s">
        <v>397</v>
      </c>
      <c r="C988" s="100" t="s">
        <v>23</v>
      </c>
      <c r="D988" s="131">
        <v>6.2205021160274079</v>
      </c>
      <c r="E988" s="132">
        <f t="shared" si="4"/>
        <v>7975.9278131703422</v>
      </c>
      <c r="F988" s="44">
        <v>1282.2</v>
      </c>
      <c r="G988" s="57"/>
      <c r="H988"/>
      <c r="I988"/>
      <c r="J988"/>
      <c r="K988"/>
      <c r="L988"/>
      <c r="M988"/>
      <c r="N988"/>
    </row>
    <row r="989" spans="1:14">
      <c r="A989" s="100" t="s">
        <v>253</v>
      </c>
      <c r="B989" s="100" t="s">
        <v>397</v>
      </c>
      <c r="C989" s="100" t="s">
        <v>125</v>
      </c>
      <c r="D989" s="131">
        <v>3.1942172550556354</v>
      </c>
      <c r="E989" s="132">
        <f t="shared" si="4"/>
        <v>4095.625364432336</v>
      </c>
      <c r="F989" s="44">
        <v>1282.2</v>
      </c>
      <c r="G989" s="57"/>
      <c r="H989"/>
      <c r="I989"/>
      <c r="J989"/>
      <c r="K989"/>
      <c r="L989"/>
      <c r="M989"/>
      <c r="N989"/>
    </row>
    <row r="990" spans="1:14">
      <c r="A990" s="100" t="s">
        <v>253</v>
      </c>
      <c r="B990" s="100" t="s">
        <v>397</v>
      </c>
      <c r="C990" s="100" t="s">
        <v>256</v>
      </c>
      <c r="D990" s="131">
        <v>16.049195126025339</v>
      </c>
      <c r="E990" s="132">
        <f t="shared" si="4"/>
        <v>20578.27799058969</v>
      </c>
      <c r="F990" s="44">
        <v>1282.2</v>
      </c>
      <c r="G990" s="57"/>
      <c r="H990"/>
      <c r="I990"/>
      <c r="J990"/>
      <c r="K990"/>
      <c r="L990"/>
      <c r="M990"/>
      <c r="N990"/>
    </row>
    <row r="991" spans="1:14">
      <c r="A991" s="100" t="s">
        <v>253</v>
      </c>
      <c r="B991" s="100" t="s">
        <v>397</v>
      </c>
      <c r="C991" s="100" t="s">
        <v>58</v>
      </c>
      <c r="D991" s="131">
        <v>8.6295099399448159</v>
      </c>
      <c r="E991" s="132">
        <f t="shared" si="4"/>
        <v>11064.757644997244</v>
      </c>
      <c r="F991" s="44">
        <v>1282.2</v>
      </c>
      <c r="G991" s="57"/>
      <c r="H991"/>
      <c r="I991"/>
      <c r="J991"/>
      <c r="K991"/>
      <c r="L991"/>
      <c r="M991"/>
      <c r="N991"/>
    </row>
    <row r="992" spans="1:14">
      <c r="A992" s="100" t="s">
        <v>253</v>
      </c>
      <c r="B992" s="100" t="s">
        <v>397</v>
      </c>
      <c r="C992" s="100" t="s">
        <v>195</v>
      </c>
      <c r="D992" s="131">
        <v>70.581514903563132</v>
      </c>
      <c r="E992" s="132">
        <f t="shared" si="4"/>
        <v>90499.618409348652</v>
      </c>
      <c r="F992" s="44">
        <v>1282.2</v>
      </c>
      <c r="G992" s="57"/>
      <c r="H992"/>
      <c r="I992"/>
      <c r="J992"/>
      <c r="K992"/>
      <c r="L992"/>
      <c r="M992"/>
      <c r="N992"/>
    </row>
    <row r="993" spans="1:14">
      <c r="A993" s="100" t="s">
        <v>253</v>
      </c>
      <c r="B993" s="100" t="s">
        <v>397</v>
      </c>
      <c r="C993" s="100" t="s">
        <v>257</v>
      </c>
      <c r="D993" s="131">
        <v>10.61764465084789</v>
      </c>
      <c r="E993" s="132">
        <f t="shared" si="4"/>
        <v>13613.943971317165</v>
      </c>
      <c r="F993" s="44">
        <v>1282.2</v>
      </c>
      <c r="G993" s="57"/>
      <c r="H993"/>
      <c r="I993"/>
      <c r="J993"/>
      <c r="K993"/>
      <c r="L993"/>
      <c r="M993"/>
      <c r="N993"/>
    </row>
    <row r="994" spans="1:14">
      <c r="A994" s="100"/>
      <c r="B994" s="100"/>
      <c r="C994" s="100"/>
      <c r="D994" s="131"/>
      <c r="E994" s="132"/>
      <c r="F994" s="44"/>
      <c r="G994" s="57"/>
      <c r="H994"/>
      <c r="I994"/>
      <c r="J994"/>
      <c r="K994"/>
      <c r="N994"/>
    </row>
    <row r="995" spans="1:14">
      <c r="A995" s="100"/>
      <c r="B995" s="100"/>
      <c r="C995" s="100"/>
      <c r="D995" s="131"/>
      <c r="E995" s="132"/>
      <c r="F995" s="44"/>
      <c r="G995" s="57"/>
      <c r="H995"/>
      <c r="I995"/>
      <c r="J995"/>
      <c r="K995"/>
      <c r="L995"/>
      <c r="M995"/>
      <c r="N995"/>
    </row>
    <row r="996" spans="1:14">
      <c r="A996" s="72" t="s">
        <v>258</v>
      </c>
      <c r="B996" s="72" t="s">
        <v>404</v>
      </c>
      <c r="C996" s="72"/>
      <c r="D996" s="125"/>
      <c r="E996" s="126"/>
      <c r="F996" s="44">
        <v>1230.0999999999999</v>
      </c>
      <c r="G996" s="127"/>
      <c r="L996"/>
      <c r="M996"/>
    </row>
    <row r="997" spans="1:14">
      <c r="A997" s="72" t="s">
        <v>258</v>
      </c>
      <c r="B997" s="72" t="s">
        <v>404</v>
      </c>
      <c r="C997" s="72"/>
      <c r="D997" s="125"/>
      <c r="E997" s="126"/>
      <c r="F997" s="44">
        <v>1230.0999999999999</v>
      </c>
      <c r="G997" s="127"/>
    </row>
    <row r="998" spans="1:14">
      <c r="A998" s="72" t="s">
        <v>258</v>
      </c>
      <c r="B998" s="72" t="s">
        <v>404</v>
      </c>
      <c r="C998" s="72"/>
      <c r="D998" s="125"/>
      <c r="E998" s="126"/>
      <c r="F998" s="44">
        <v>1230.0999999999999</v>
      </c>
      <c r="G998" s="127"/>
    </row>
    <row r="999" spans="1:14">
      <c r="A999" s="72"/>
      <c r="B999" s="72"/>
      <c r="C999" s="72"/>
      <c r="D999" s="125"/>
      <c r="E999" s="129"/>
      <c r="F999" s="44"/>
      <c r="G999" s="127"/>
    </row>
    <row r="1000" spans="1:14">
      <c r="A1000" s="72" t="s">
        <v>262</v>
      </c>
      <c r="B1000" s="72" t="s">
        <v>263</v>
      </c>
      <c r="C1000" s="72"/>
      <c r="D1000" s="125"/>
      <c r="E1000" s="126"/>
      <c r="F1000" s="44">
        <v>1317.8</v>
      </c>
      <c r="G1000" s="127"/>
    </row>
    <row r="1001" spans="1:14">
      <c r="A1001" s="72" t="s">
        <v>262</v>
      </c>
      <c r="B1001" s="72" t="s">
        <v>263</v>
      </c>
      <c r="C1001" s="72"/>
      <c r="D1001" s="125"/>
      <c r="E1001" s="126"/>
      <c r="F1001" s="44">
        <v>1317.8</v>
      </c>
      <c r="G1001" s="127"/>
    </row>
    <row r="1002" spans="1:14">
      <c r="A1002" s="72"/>
      <c r="B1002" s="72"/>
      <c r="C1002" s="72"/>
      <c r="D1002" s="125"/>
      <c r="E1002" s="129"/>
      <c r="F1002" s="44"/>
      <c r="G1002" s="127"/>
    </row>
    <row r="1003" spans="1:14">
      <c r="A1003" s="72"/>
      <c r="B1003" s="72"/>
      <c r="C1003" s="72"/>
      <c r="D1003" s="125"/>
      <c r="E1003" s="129"/>
      <c r="F1003" s="44"/>
      <c r="G1003" s="127"/>
    </row>
    <row r="1004" spans="1:14">
      <c r="A1004" s="72" t="s">
        <v>264</v>
      </c>
      <c r="B1004" s="72" t="s">
        <v>468</v>
      </c>
      <c r="C1004" s="72" t="s">
        <v>205</v>
      </c>
      <c r="D1004" s="125">
        <v>7.4299999999999988</v>
      </c>
      <c r="E1004" s="126">
        <f t="shared" ref="E1004:E1011" si="5">D1004*F1004</f>
        <v>9734.0429999999978</v>
      </c>
      <c r="F1004" s="44">
        <v>1310.0999999999999</v>
      </c>
      <c r="G1004" s="127"/>
    </row>
    <row r="1005" spans="1:14">
      <c r="A1005" s="72" t="s">
        <v>264</v>
      </c>
      <c r="B1005" s="72" t="s">
        <v>468</v>
      </c>
      <c r="C1005" s="72" t="s">
        <v>265</v>
      </c>
      <c r="D1005" s="125">
        <v>2.33</v>
      </c>
      <c r="E1005" s="126">
        <f t="shared" si="5"/>
        <v>3052.5329999999999</v>
      </c>
      <c r="F1005" s="44">
        <v>1310.0999999999999</v>
      </c>
      <c r="G1005" s="127"/>
    </row>
    <row r="1006" spans="1:14">
      <c r="A1006" s="72" t="s">
        <v>264</v>
      </c>
      <c r="B1006" s="72" t="s">
        <v>468</v>
      </c>
      <c r="C1006" s="72" t="s">
        <v>23</v>
      </c>
      <c r="D1006" s="125">
        <v>3.7</v>
      </c>
      <c r="E1006" s="126">
        <f t="shared" si="5"/>
        <v>4847.37</v>
      </c>
      <c r="F1006" s="44">
        <v>1310.0999999999999</v>
      </c>
      <c r="G1006" s="127"/>
    </row>
    <row r="1007" spans="1:14">
      <c r="A1007" s="72" t="s">
        <v>264</v>
      </c>
      <c r="B1007" s="72" t="s">
        <v>468</v>
      </c>
      <c r="C1007" s="72" t="s">
        <v>58</v>
      </c>
      <c r="D1007" s="125">
        <v>172.65999999999994</v>
      </c>
      <c r="E1007" s="126">
        <f t="shared" si="5"/>
        <v>226201.86599999989</v>
      </c>
      <c r="F1007" s="44">
        <v>1310.0999999999999</v>
      </c>
      <c r="G1007" s="127"/>
    </row>
    <row r="1008" spans="1:14">
      <c r="A1008" s="72" t="s">
        <v>264</v>
      </c>
      <c r="B1008" s="72" t="s">
        <v>468</v>
      </c>
      <c r="C1008" s="72" t="s">
        <v>469</v>
      </c>
      <c r="D1008" s="125">
        <v>17.840000000000007</v>
      </c>
      <c r="E1008" s="126">
        <f t="shared" si="5"/>
        <v>23372.184000000008</v>
      </c>
      <c r="F1008" s="44">
        <v>1310.0999999999999</v>
      </c>
      <c r="G1008" s="127"/>
    </row>
    <row r="1009" spans="1:14">
      <c r="A1009" s="100" t="s">
        <v>264</v>
      </c>
      <c r="B1009" s="100" t="s">
        <v>468</v>
      </c>
      <c r="C1009" s="100" t="s">
        <v>151</v>
      </c>
      <c r="D1009" s="131">
        <v>85.33000000000014</v>
      </c>
      <c r="E1009" s="132">
        <f t="shared" si="5"/>
        <v>111790.83300000017</v>
      </c>
      <c r="F1009" s="44">
        <v>1310.0999999999999</v>
      </c>
      <c r="G1009" s="57"/>
      <c r="H1009"/>
      <c r="I1009"/>
      <c r="J1009"/>
      <c r="K1009"/>
      <c r="L1009"/>
      <c r="M1009"/>
      <c r="N1009"/>
    </row>
    <row r="1010" spans="1:14">
      <c r="A1010" s="100" t="s">
        <v>264</v>
      </c>
      <c r="B1010" s="100" t="s">
        <v>468</v>
      </c>
      <c r="C1010" s="100" t="s">
        <v>36</v>
      </c>
      <c r="D1010" s="131">
        <v>39.609999999999992</v>
      </c>
      <c r="E1010" s="132">
        <f t="shared" si="5"/>
        <v>51893.060999999987</v>
      </c>
      <c r="F1010" s="44">
        <v>1310.0999999999999</v>
      </c>
      <c r="G1010" s="57"/>
      <c r="H1010"/>
      <c r="I1010"/>
      <c r="J1010"/>
      <c r="K1010"/>
      <c r="L1010"/>
      <c r="M1010"/>
      <c r="N1010"/>
    </row>
    <row r="1011" spans="1:14">
      <c r="A1011" s="100" t="s">
        <v>264</v>
      </c>
      <c r="B1011" s="100" t="s">
        <v>468</v>
      </c>
      <c r="C1011" s="100" t="s">
        <v>255</v>
      </c>
      <c r="D1011" s="131">
        <v>45.149999999999991</v>
      </c>
      <c r="E1011" s="132">
        <f t="shared" si="5"/>
        <v>59151.014999999985</v>
      </c>
      <c r="F1011" s="44">
        <v>1310.0999999999999</v>
      </c>
      <c r="G1011" s="57"/>
      <c r="H1011"/>
      <c r="I1011"/>
      <c r="J1011"/>
      <c r="K1011"/>
      <c r="L1011"/>
      <c r="M1011"/>
      <c r="N1011"/>
    </row>
    <row r="1012" spans="1:14">
      <c r="F1012" s="44"/>
    </row>
    <row r="1013" spans="1:14">
      <c r="A1013" s="130" t="s">
        <v>266</v>
      </c>
      <c r="F1013" s="44"/>
    </row>
    <row r="1014" spans="1:14">
      <c r="F1014" s="44"/>
    </row>
    <row r="1015" spans="1:14">
      <c r="F1015" s="44"/>
    </row>
  </sheetData>
  <autoFilter ref="A1:G1"/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FF00"/>
    <pageSetUpPr fitToPage="1"/>
  </sheetPr>
  <dimension ref="A1:Q60"/>
  <sheetViews>
    <sheetView tabSelected="1" topLeftCell="A31" zoomScale="85" zoomScaleNormal="85" workbookViewId="0">
      <selection activeCell="G50" sqref="G50"/>
    </sheetView>
  </sheetViews>
  <sheetFormatPr defaultColWidth="8.69921875" defaultRowHeight="17.399999999999999"/>
  <cols>
    <col min="1" max="1" width="3.59765625" style="17" customWidth="1"/>
    <col min="2" max="2" width="4.59765625" style="17" customWidth="1"/>
    <col min="3" max="3" width="19.5" style="17" customWidth="1"/>
    <col min="4" max="5" width="13.19921875" style="17" customWidth="1"/>
    <col min="6" max="6" width="16.09765625" style="17" bestFit="1" customWidth="1"/>
    <col min="7" max="7" width="24.19921875" style="17" bestFit="1" customWidth="1"/>
    <col min="8" max="8" width="24.19921875" bestFit="1" customWidth="1"/>
    <col min="9" max="9" width="19.3984375" style="1" customWidth="1"/>
    <col min="10" max="10" width="7.19921875" style="1" customWidth="1"/>
    <col min="11" max="11" width="14.59765625" customWidth="1"/>
    <col min="12" max="12" width="16" customWidth="1"/>
    <col min="13" max="13" width="2.3984375" customWidth="1"/>
    <col min="14" max="14" width="13.59765625" bestFit="1" customWidth="1"/>
    <col min="15" max="15" width="14" bestFit="1" customWidth="1"/>
  </cols>
  <sheetData>
    <row r="1" spans="1:15" ht="15.9" customHeight="1">
      <c r="A1" s="2"/>
      <c r="B1" s="2"/>
      <c r="C1" s="2"/>
      <c r="D1" s="2"/>
      <c r="E1" s="2"/>
      <c r="F1" s="2"/>
      <c r="G1" s="2"/>
      <c r="H1" s="2"/>
      <c r="I1" s="35"/>
    </row>
    <row r="2" spans="1:15" ht="21">
      <c r="A2" s="2"/>
      <c r="B2" s="2"/>
      <c r="C2" s="3" t="s">
        <v>549</v>
      </c>
      <c r="D2" s="4"/>
      <c r="E2" s="4"/>
      <c r="F2" s="4"/>
      <c r="G2" s="5"/>
      <c r="I2" s="36"/>
    </row>
    <row r="3" spans="1:15">
      <c r="A3" s="2"/>
      <c r="B3" s="2"/>
      <c r="C3" s="6" t="s">
        <v>550</v>
      </c>
      <c r="D3" s="6"/>
      <c r="E3" s="6"/>
      <c r="F3" s="6"/>
      <c r="G3" s="6"/>
      <c r="H3" s="6"/>
    </row>
    <row r="4" spans="1:15">
      <c r="C4" s="19"/>
      <c r="D4" s="20"/>
      <c r="E4" s="21"/>
      <c r="F4"/>
      <c r="G4"/>
    </row>
    <row r="5" spans="1:15" ht="18" thickBot="1">
      <c r="C5" s="34" t="s">
        <v>267</v>
      </c>
      <c r="D5" s="6"/>
      <c r="E5" s="6"/>
      <c r="F5" s="6"/>
      <c r="G5" s="6"/>
      <c r="H5" s="6"/>
      <c r="L5" s="57">
        <v>0.12</v>
      </c>
    </row>
    <row r="6" spans="1:15" ht="18" thickBot="1">
      <c r="C6" s="7" t="s">
        <v>268</v>
      </c>
      <c r="D6" s="8" t="s">
        <v>269</v>
      </c>
      <c r="E6" s="8" t="s">
        <v>270</v>
      </c>
      <c r="F6" s="8" t="s">
        <v>271</v>
      </c>
      <c r="G6" s="8" t="s">
        <v>272</v>
      </c>
      <c r="H6" s="8" t="s">
        <v>273</v>
      </c>
      <c r="I6" s="9" t="s">
        <v>274</v>
      </c>
      <c r="K6" s="10" t="s">
        <v>275</v>
      </c>
      <c r="L6" s="11">
        <v>500000000</v>
      </c>
    </row>
    <row r="7" spans="1:15" ht="18" thickBot="1">
      <c r="B7" s="51">
        <f t="shared" ref="B7:B49" ca="1" si="0">COUNTA(INDIRECT(C7&amp;"!B:B"))</f>
        <v>67</v>
      </c>
      <c r="C7" s="140" t="s">
        <v>276</v>
      </c>
      <c r="D7" s="45">
        <f ca="1">INDIRECT(C7 &amp; "!E" &amp; B7+3)</f>
        <v>62185102.100000016</v>
      </c>
      <c r="E7" s="48">
        <f ca="1">INDIRECT(C7 &amp; "!F" &amp; B7+3)</f>
        <v>19540170.099999998</v>
      </c>
      <c r="F7" s="49">
        <f ca="1">INDIRECT(C7 &amp; "!G" &amp; B7+3)</f>
        <v>42644932</v>
      </c>
      <c r="G7" s="53">
        <f ca="1">INDIRECT(C7 &amp; "!H" &amp; B7+3)</f>
        <v>2132246.5999999996</v>
      </c>
      <c r="H7" s="49">
        <f ca="1">INDIRECT(C7 &amp; "!I" &amp; B7+3)</f>
        <v>40512685.400000006</v>
      </c>
      <c r="I7" s="50"/>
      <c r="K7" s="12" t="s">
        <v>277</v>
      </c>
      <c r="L7" s="13">
        <v>60000000</v>
      </c>
      <c r="N7" s="81">
        <f>L7/L6</f>
        <v>0.12</v>
      </c>
    </row>
    <row r="8" spans="1:15">
      <c r="B8" s="51">
        <f t="shared" ca="1" si="0"/>
        <v>5</v>
      </c>
      <c r="C8" s="140" t="s">
        <v>278</v>
      </c>
      <c r="D8" s="45">
        <f t="shared" ref="D8:D9" ca="1" si="1">INDIRECT(C8 &amp; "!E" &amp; B8+3)</f>
        <v>868220</v>
      </c>
      <c r="E8" s="48">
        <f t="shared" ref="E8" ca="1" si="2">INDIRECT(C8 &amp; "!F" &amp; B8+3)</f>
        <v>0</v>
      </c>
      <c r="F8" s="49">
        <f t="shared" ref="F8" ca="1" si="3">INDIRECT(C8 &amp; "!G" &amp; B8+3)</f>
        <v>868220</v>
      </c>
      <c r="G8" s="53">
        <f t="shared" ref="G8" ca="1" si="4">INDIRECT(C8 &amp; "!H" &amp; B8+3)</f>
        <v>43411.000000000007</v>
      </c>
      <c r="H8" s="49">
        <f t="shared" ref="H8" ca="1" si="5">INDIRECT(C8 &amp; "!I" &amp; B8+3)</f>
        <v>824809</v>
      </c>
      <c r="I8" s="46" t="s">
        <v>279</v>
      </c>
      <c r="J8" s="18"/>
      <c r="K8" s="14"/>
      <c r="L8" s="15"/>
    </row>
    <row r="9" spans="1:15" ht="18" thickBot="1">
      <c r="B9" s="51">
        <f t="shared" ca="1" si="0"/>
        <v>80</v>
      </c>
      <c r="C9" s="141" t="s">
        <v>164</v>
      </c>
      <c r="D9" s="45">
        <f t="shared" ca="1" si="1"/>
        <v>122431555.69999999</v>
      </c>
      <c r="E9" s="48">
        <f t="shared" ref="E9:E21" ca="1" si="6">INDIRECT(C9 &amp; "!F" &amp; B9+3)</f>
        <v>28445742.079999998</v>
      </c>
      <c r="F9" s="49">
        <f t="shared" ref="F9:F21" ca="1" si="7">INDIRECT(C9 &amp; "!G" &amp; B9+3)</f>
        <v>93985813.61999999</v>
      </c>
      <c r="G9" s="53">
        <f t="shared" ref="G9:G21" ca="1" si="8">INDIRECT(C9 &amp; "!H" &amp; B9+3)</f>
        <v>4699290.6810000008</v>
      </c>
      <c r="H9" s="49">
        <f t="shared" ref="H9:H21" ca="1" si="9">INDIRECT(C9 &amp; "!I" &amp; B9+3)</f>
        <v>89286522.938999981</v>
      </c>
      <c r="I9" s="46"/>
      <c r="K9" s="14"/>
      <c r="L9" s="15"/>
    </row>
    <row r="10" spans="1:15" ht="18" thickBot="1">
      <c r="B10" s="51">
        <f t="shared" ca="1" si="0"/>
        <v>10</v>
      </c>
      <c r="C10" s="140" t="s">
        <v>280</v>
      </c>
      <c r="D10" s="45">
        <f ca="1">F10</f>
        <v>566686.48399999994</v>
      </c>
      <c r="E10" s="48">
        <f t="shared" ca="1" si="6"/>
        <v>0</v>
      </c>
      <c r="F10" s="49">
        <f t="shared" ca="1" si="7"/>
        <v>566686.48399999994</v>
      </c>
      <c r="G10" s="53">
        <f t="shared" ca="1" si="8"/>
        <v>28334.324199999999</v>
      </c>
      <c r="H10" s="49">
        <f t="shared" ca="1" si="9"/>
        <v>538352.15979999991</v>
      </c>
      <c r="I10" s="46" t="s">
        <v>281</v>
      </c>
      <c r="K10" s="162" t="s">
        <v>282</v>
      </c>
      <c r="L10" s="163"/>
    </row>
    <row r="11" spans="1:15">
      <c r="B11" s="51">
        <f t="shared" ca="1" si="0"/>
        <v>1</v>
      </c>
      <c r="C11" s="140" t="s">
        <v>283</v>
      </c>
      <c r="D11" s="45"/>
      <c r="E11" s="48"/>
      <c r="F11" s="49"/>
      <c r="G11" s="53"/>
      <c r="H11" s="49"/>
      <c r="I11" s="46" t="s">
        <v>547</v>
      </c>
      <c r="K11" s="14">
        <v>2021.05</v>
      </c>
      <c r="L11" s="86">
        <v>38491275</v>
      </c>
      <c r="N11" s="32" t="s">
        <v>284</v>
      </c>
    </row>
    <row r="12" spans="1:15">
      <c r="B12" s="51">
        <f t="shared" ca="1" si="0"/>
        <v>52</v>
      </c>
      <c r="C12" s="140" t="s">
        <v>285</v>
      </c>
      <c r="D12" s="45">
        <f ca="1">INDIRECT(C12 &amp; "!E" &amp; B12+3)</f>
        <v>10858028</v>
      </c>
      <c r="E12" s="48">
        <f t="shared" ca="1" si="6"/>
        <v>0</v>
      </c>
      <c r="F12" s="49">
        <f t="shared" ca="1" si="7"/>
        <v>10858028</v>
      </c>
      <c r="G12" s="53">
        <f t="shared" ca="1" si="8"/>
        <v>542901.40000000014</v>
      </c>
      <c r="H12" s="49">
        <f t="shared" ca="1" si="9"/>
        <v>10315126.6</v>
      </c>
      <c r="I12" s="46"/>
      <c r="K12" s="14">
        <v>2021.06</v>
      </c>
      <c r="L12" s="47">
        <v>40614670.601243101</v>
      </c>
      <c r="N12" s="32" t="s">
        <v>286</v>
      </c>
    </row>
    <row r="13" spans="1:15" ht="17.399999999999999" customHeight="1">
      <c r="B13" s="51">
        <f t="shared" ca="1" si="0"/>
        <v>14</v>
      </c>
      <c r="C13" s="140" t="s">
        <v>78</v>
      </c>
      <c r="D13" s="45">
        <f t="shared" ref="D13:D19" ca="1" si="10">INDIRECT(C13 &amp; "!E" &amp; B13+3)</f>
        <v>591900</v>
      </c>
      <c r="E13" s="48">
        <f t="shared" ca="1" si="6"/>
        <v>177570</v>
      </c>
      <c r="F13" s="49">
        <f t="shared" ca="1" si="7"/>
        <v>414330</v>
      </c>
      <c r="G13" s="53">
        <f t="shared" ca="1" si="8"/>
        <v>20716.5</v>
      </c>
      <c r="H13" s="49">
        <f t="shared" ca="1" si="9"/>
        <v>393613.5</v>
      </c>
      <c r="I13" s="46"/>
      <c r="K13" s="14">
        <v>2021.07</v>
      </c>
      <c r="L13" s="47">
        <v>38906565</v>
      </c>
      <c r="N13" s="32" t="s">
        <v>287</v>
      </c>
    </row>
    <row r="14" spans="1:15">
      <c r="B14" s="51">
        <f t="shared" ca="1" si="0"/>
        <v>21</v>
      </c>
      <c r="C14" s="140" t="s">
        <v>189</v>
      </c>
      <c r="D14" s="45">
        <f t="shared" ca="1" si="10"/>
        <v>3906249</v>
      </c>
      <c r="E14" s="48">
        <f t="shared" ca="1" si="6"/>
        <v>0</v>
      </c>
      <c r="F14" s="49">
        <f t="shared" ca="1" si="7"/>
        <v>3906249</v>
      </c>
      <c r="G14" s="53">
        <f t="shared" ca="1" si="8"/>
        <v>195312.44999999998</v>
      </c>
      <c r="H14" s="49">
        <f t="shared" ca="1" si="9"/>
        <v>3710936.5500000003</v>
      </c>
      <c r="I14" s="46"/>
      <c r="J14" s="16"/>
      <c r="K14" s="14">
        <v>2021.08</v>
      </c>
      <c r="L14" s="47">
        <v>40116328</v>
      </c>
      <c r="N14" s="32" t="s">
        <v>288</v>
      </c>
    </row>
    <row r="15" spans="1:15">
      <c r="B15" s="51">
        <f t="shared" ca="1" si="0"/>
        <v>45</v>
      </c>
      <c r="C15" s="140" t="s">
        <v>289</v>
      </c>
      <c r="D15" s="45">
        <f t="shared" ca="1" si="10"/>
        <v>3324770</v>
      </c>
      <c r="E15" s="48">
        <f t="shared" ca="1" si="6"/>
        <v>0</v>
      </c>
      <c r="F15" s="49">
        <f t="shared" ca="1" si="7"/>
        <v>3324770</v>
      </c>
      <c r="G15" s="53">
        <f t="shared" ca="1" si="8"/>
        <v>166238.5</v>
      </c>
      <c r="H15" s="49">
        <f t="shared" ca="1" si="9"/>
        <v>3158531.5</v>
      </c>
      <c r="I15" s="46"/>
      <c r="K15" s="14">
        <v>2021.09</v>
      </c>
      <c r="L15" s="47">
        <v>34882157</v>
      </c>
      <c r="N15" s="32" t="s">
        <v>290</v>
      </c>
    </row>
    <row r="16" spans="1:15">
      <c r="B16" s="51">
        <f t="shared" ca="1" si="0"/>
        <v>89</v>
      </c>
      <c r="C16" s="140" t="s">
        <v>92</v>
      </c>
      <c r="D16" s="45">
        <f ca="1">INDIRECT(C16 &amp; "!E" &amp; B16+3)</f>
        <v>4468128.625</v>
      </c>
      <c r="E16" s="48">
        <f t="shared" ca="1" si="6"/>
        <v>0</v>
      </c>
      <c r="F16" s="49">
        <f t="shared" ca="1" si="7"/>
        <v>4468128.625</v>
      </c>
      <c r="G16" s="53">
        <f t="shared" ca="1" si="8"/>
        <v>223406.43124999994</v>
      </c>
      <c r="H16" s="49">
        <f t="shared" ca="1" si="9"/>
        <v>4244722.1937499996</v>
      </c>
      <c r="I16" s="46"/>
      <c r="K16" s="95">
        <v>2021.1</v>
      </c>
      <c r="L16" s="47">
        <v>33253241</v>
      </c>
      <c r="N16" s="32" t="s">
        <v>291</v>
      </c>
      <c r="O16" s="37"/>
    </row>
    <row r="17" spans="2:17">
      <c r="B17" s="51">
        <f t="shared" ca="1" si="0"/>
        <v>40</v>
      </c>
      <c r="C17" s="140" t="s">
        <v>292</v>
      </c>
      <c r="D17" s="45">
        <f ca="1">INDIRECT(C17 &amp; "!E" &amp; B17+3)</f>
        <v>3928418</v>
      </c>
      <c r="E17" s="48">
        <f t="shared" ca="1" si="6"/>
        <v>1809202</v>
      </c>
      <c r="F17" s="49">
        <f t="shared" ca="1" si="7"/>
        <v>2119216</v>
      </c>
      <c r="G17" s="53">
        <f t="shared" ca="1" si="8"/>
        <v>105960.8</v>
      </c>
      <c r="H17" s="49">
        <f t="shared" ca="1" si="9"/>
        <v>2013255.2000000004</v>
      </c>
      <c r="I17" s="46"/>
      <c r="K17" s="14">
        <v>2021.11</v>
      </c>
      <c r="L17" s="47">
        <v>30199565.407282043</v>
      </c>
      <c r="N17" s="32" t="s">
        <v>293</v>
      </c>
      <c r="O17" s="37"/>
    </row>
    <row r="18" spans="2:17" ht="18" thickBot="1">
      <c r="B18" s="51">
        <f t="shared" ca="1" si="0"/>
        <v>9</v>
      </c>
      <c r="C18" s="140" t="s">
        <v>113</v>
      </c>
      <c r="D18" s="45">
        <f ca="1">INDIRECT(C18 &amp; "!E" &amp; B18+3)</f>
        <v>820056</v>
      </c>
      <c r="E18" s="48">
        <f t="shared" ca="1" si="6"/>
        <v>0</v>
      </c>
      <c r="F18" s="49">
        <f t="shared" ca="1" si="7"/>
        <v>820056</v>
      </c>
      <c r="G18" s="53">
        <f t="shared" ca="1" si="8"/>
        <v>41002.799999999996</v>
      </c>
      <c r="H18" s="49">
        <f t="shared" ca="1" si="9"/>
        <v>779053.2</v>
      </c>
      <c r="I18" s="46"/>
      <c r="K18" s="14">
        <v>2021.12</v>
      </c>
      <c r="L18" s="47">
        <v>31091642</v>
      </c>
      <c r="N18" s="32" t="s">
        <v>294</v>
      </c>
      <c r="O18" s="37"/>
    </row>
    <row r="19" spans="2:17" ht="18" thickBot="1">
      <c r="B19" s="51">
        <f t="shared" ca="1" si="0"/>
        <v>54</v>
      </c>
      <c r="C19" s="140" t="s">
        <v>119</v>
      </c>
      <c r="D19" s="45">
        <f t="shared" ca="1" si="10"/>
        <v>6568465.9500000002</v>
      </c>
      <c r="E19" s="48">
        <f t="shared" ca="1" si="6"/>
        <v>0</v>
      </c>
      <c r="F19" s="49">
        <f t="shared" ca="1" si="7"/>
        <v>6568465.9500000002</v>
      </c>
      <c r="G19" s="53">
        <f t="shared" ca="1" si="8"/>
        <v>328423.29749999993</v>
      </c>
      <c r="H19" s="49">
        <f t="shared" ca="1" si="9"/>
        <v>6240042.6524999971</v>
      </c>
      <c r="I19" s="46"/>
      <c r="K19" s="142" t="s">
        <v>295</v>
      </c>
      <c r="L19" s="143">
        <f>SUM(L11:L18)</f>
        <v>287555444.00852513</v>
      </c>
      <c r="N19" s="32"/>
      <c r="O19" s="37"/>
    </row>
    <row r="20" spans="2:17">
      <c r="B20" s="51">
        <f t="shared" ca="1" si="0"/>
        <v>14</v>
      </c>
      <c r="C20" s="140" t="s">
        <v>296</v>
      </c>
      <c r="D20" s="45">
        <f t="shared" ref="D20:D49" ca="1" si="11">INDIRECT(C20 &amp; "!E" &amp; B20+3)</f>
        <v>530300</v>
      </c>
      <c r="E20" s="48">
        <f t="shared" ca="1" si="6"/>
        <v>180302</v>
      </c>
      <c r="F20" s="49">
        <f t="shared" ca="1" si="7"/>
        <v>349998</v>
      </c>
      <c r="G20" s="53">
        <f t="shared" ca="1" si="8"/>
        <v>17499.900000000001</v>
      </c>
      <c r="H20" s="49">
        <f t="shared" ca="1" si="9"/>
        <v>332498.09999999998</v>
      </c>
      <c r="I20" s="46"/>
      <c r="K20" s="146">
        <v>2022.01</v>
      </c>
      <c r="L20" s="147">
        <v>13657155.860375067</v>
      </c>
      <c r="N20" s="32" t="s">
        <v>297</v>
      </c>
      <c r="O20" s="37"/>
    </row>
    <row r="21" spans="2:17">
      <c r="B21" s="51">
        <f t="shared" ca="1" si="0"/>
        <v>12</v>
      </c>
      <c r="C21" s="140" t="s">
        <v>298</v>
      </c>
      <c r="D21" s="45">
        <f t="shared" ca="1" si="11"/>
        <v>41.79</v>
      </c>
      <c r="E21" s="48">
        <f t="shared" ca="1" si="6"/>
        <v>0</v>
      </c>
      <c r="F21" s="49">
        <f t="shared" ca="1" si="7"/>
        <v>57181.256999999991</v>
      </c>
      <c r="G21" s="53">
        <f t="shared" ca="1" si="8"/>
        <v>2859.0628499999998</v>
      </c>
      <c r="H21" s="49">
        <f t="shared" ca="1" si="9"/>
        <v>54322.194150000003</v>
      </c>
      <c r="I21" s="46" t="s">
        <v>307</v>
      </c>
      <c r="K21" s="14">
        <v>2022.02</v>
      </c>
      <c r="L21" s="47">
        <v>14815344</v>
      </c>
      <c r="N21" s="32" t="s">
        <v>299</v>
      </c>
      <c r="O21" s="65"/>
    </row>
    <row r="22" spans="2:17">
      <c r="B22" s="51">
        <f t="shared" ca="1" si="0"/>
        <v>20</v>
      </c>
      <c r="C22" s="140" t="s">
        <v>300</v>
      </c>
      <c r="D22" s="45">
        <f t="shared" ca="1" si="11"/>
        <v>10846800</v>
      </c>
      <c r="E22" s="48">
        <f t="shared" ref="E22:E49" ca="1" si="12">INDIRECT(C22 &amp; "!F" &amp; B22+3)</f>
        <v>0</v>
      </c>
      <c r="F22" s="49">
        <f t="shared" ref="F22:F49" ca="1" si="13">INDIRECT(C22 &amp; "!G" &amp; B22+3)</f>
        <v>10846800</v>
      </c>
      <c r="G22" s="53">
        <f t="shared" ref="G22:G49" ca="1" si="14">INDIRECT(C22 &amp; "!H" &amp; B22+3)</f>
        <v>542340</v>
      </c>
      <c r="H22" s="49">
        <f t="shared" ref="H22:H49" ca="1" si="15">INDIRECT(C22 &amp; "!I" &amp; B22+3)</f>
        <v>10304460</v>
      </c>
      <c r="I22" s="46"/>
      <c r="K22" s="14">
        <v>2022.03</v>
      </c>
      <c r="L22" s="47">
        <v>13280075</v>
      </c>
      <c r="N22" s="32" t="s">
        <v>301</v>
      </c>
    </row>
    <row r="23" spans="2:17">
      <c r="B23" s="51">
        <f t="shared" ca="1" si="0"/>
        <v>22</v>
      </c>
      <c r="C23" s="140" t="s">
        <v>302</v>
      </c>
      <c r="D23" s="45">
        <f t="shared" ca="1" si="11"/>
        <v>1951265</v>
      </c>
      <c r="E23" s="48">
        <f t="shared" ca="1" si="12"/>
        <v>0</v>
      </c>
      <c r="F23" s="49">
        <f t="shared" ca="1" si="13"/>
        <v>1951265</v>
      </c>
      <c r="G23" s="53">
        <f t="shared" ca="1" si="14"/>
        <v>97563.25</v>
      </c>
      <c r="H23" s="49">
        <f t="shared" ca="1" si="15"/>
        <v>1853701.7500000002</v>
      </c>
      <c r="I23" s="46"/>
      <c r="K23" s="14">
        <v>2022.04</v>
      </c>
      <c r="L23" s="47">
        <v>14485384.974598944</v>
      </c>
      <c r="N23" s="32" t="s">
        <v>303</v>
      </c>
      <c r="Q23" s="32"/>
    </row>
    <row r="24" spans="2:17">
      <c r="B24" s="51">
        <f t="shared" ca="1" si="0"/>
        <v>21</v>
      </c>
      <c r="C24" s="140" t="s">
        <v>142</v>
      </c>
      <c r="D24" s="45">
        <f t="shared" ca="1" si="11"/>
        <v>12060379</v>
      </c>
      <c r="E24" s="48">
        <f t="shared" ca="1" si="12"/>
        <v>0</v>
      </c>
      <c r="F24" s="49">
        <f t="shared" ca="1" si="13"/>
        <v>12060379</v>
      </c>
      <c r="G24" s="53">
        <f t="shared" ca="1" si="14"/>
        <v>603018.95000000007</v>
      </c>
      <c r="H24" s="49">
        <f t="shared" ca="1" si="15"/>
        <v>11457360.049999999</v>
      </c>
      <c r="I24" s="46"/>
      <c r="K24" s="14">
        <v>2022.05</v>
      </c>
      <c r="L24" s="47">
        <v>12780778</v>
      </c>
      <c r="N24" t="s">
        <v>365</v>
      </c>
    </row>
    <row r="25" spans="2:17">
      <c r="B25" s="51">
        <f t="shared" ca="1" si="0"/>
        <v>13</v>
      </c>
      <c r="C25" s="140" t="s">
        <v>147</v>
      </c>
      <c r="D25" s="45">
        <f t="shared" ca="1" si="11"/>
        <v>135279</v>
      </c>
      <c r="E25" s="48">
        <f t="shared" ca="1" si="12"/>
        <v>0</v>
      </c>
      <c r="F25" s="49">
        <f t="shared" ca="1" si="13"/>
        <v>135279</v>
      </c>
      <c r="G25" s="53">
        <f t="shared" ca="1" si="14"/>
        <v>6763.9500000000007</v>
      </c>
      <c r="H25" s="49">
        <f t="shared" ca="1" si="15"/>
        <v>128515.05</v>
      </c>
      <c r="I25" s="46"/>
      <c r="K25" s="14">
        <v>2022.06</v>
      </c>
      <c r="L25" s="47">
        <v>13025700</v>
      </c>
      <c r="N25" s="32" t="s">
        <v>286</v>
      </c>
    </row>
    <row r="26" spans="2:17">
      <c r="B26" s="51">
        <f t="shared" ca="1" si="0"/>
        <v>13</v>
      </c>
      <c r="C26" s="140" t="s">
        <v>304</v>
      </c>
      <c r="D26" s="45">
        <f t="shared" ca="1" si="11"/>
        <v>14094.085999999998</v>
      </c>
      <c r="E26" s="48">
        <f t="shared" ca="1" si="12"/>
        <v>0</v>
      </c>
      <c r="F26" s="49">
        <f t="shared" ca="1" si="13"/>
        <v>530360.4561800001</v>
      </c>
      <c r="G26" s="53">
        <f t="shared" ca="1" si="14"/>
        <v>26518.022809000006</v>
      </c>
      <c r="H26" s="49">
        <f t="shared" ca="1" si="15"/>
        <v>503842.43337099999</v>
      </c>
      <c r="I26" s="46" t="s">
        <v>281</v>
      </c>
      <c r="K26" s="14">
        <v>2022.07</v>
      </c>
      <c r="L26" s="47">
        <v>12633543</v>
      </c>
      <c r="N26" s="136" t="s">
        <v>392</v>
      </c>
    </row>
    <row r="27" spans="2:17">
      <c r="B27" s="51">
        <f t="shared" ca="1" si="0"/>
        <v>4</v>
      </c>
      <c r="C27" s="140" t="s">
        <v>305</v>
      </c>
      <c r="D27" s="45">
        <f t="shared" ca="1" si="11"/>
        <v>2051.1</v>
      </c>
      <c r="E27" s="48">
        <f t="shared" ca="1" si="12"/>
        <v>0</v>
      </c>
      <c r="F27" s="49">
        <f t="shared" ca="1" si="13"/>
        <v>19608.516</v>
      </c>
      <c r="G27" s="53">
        <f t="shared" ca="1" si="14"/>
        <v>980.42579999999998</v>
      </c>
      <c r="H27" s="49">
        <f t="shared" ca="1" si="15"/>
        <v>18628.090199999999</v>
      </c>
      <c r="I27" s="46" t="s">
        <v>381</v>
      </c>
      <c r="K27" s="14">
        <v>2022.08</v>
      </c>
      <c r="L27" s="47">
        <v>13997325</v>
      </c>
      <c r="N27" t="s">
        <v>403</v>
      </c>
    </row>
    <row r="28" spans="2:17">
      <c r="B28" s="51">
        <f t="shared" ca="1" si="0"/>
        <v>55</v>
      </c>
      <c r="C28" s="156" t="s">
        <v>306</v>
      </c>
      <c r="D28" s="45">
        <f t="shared" ca="1" si="11"/>
        <v>15320968</v>
      </c>
      <c r="E28" s="45">
        <f t="shared" ca="1" si="12"/>
        <v>6114604.96</v>
      </c>
      <c r="F28" s="154">
        <f t="shared" ca="1" si="13"/>
        <v>9206363.040000001</v>
      </c>
      <c r="G28" s="155">
        <f t="shared" ca="1" si="14"/>
        <v>460318.15200000012</v>
      </c>
      <c r="H28" s="154">
        <f t="shared" ca="1" si="15"/>
        <v>8746044.8880000003</v>
      </c>
      <c r="I28" s="157"/>
      <c r="K28" s="14">
        <v>2022.09</v>
      </c>
      <c r="L28" s="15">
        <v>14147654</v>
      </c>
      <c r="N28" t="s">
        <v>482</v>
      </c>
    </row>
    <row r="29" spans="2:17">
      <c r="B29" s="51">
        <f t="shared" ca="1" si="0"/>
        <v>40</v>
      </c>
      <c r="C29" s="156" t="s">
        <v>192</v>
      </c>
      <c r="D29" s="45">
        <f t="shared" ca="1" si="11"/>
        <v>43467060</v>
      </c>
      <c r="E29" s="45">
        <f t="shared" ca="1" si="12"/>
        <v>17386824</v>
      </c>
      <c r="F29" s="154">
        <f t="shared" ca="1" si="13"/>
        <v>26080236</v>
      </c>
      <c r="G29" s="155">
        <f t="shared" ca="1" si="14"/>
        <v>1304011.8000000005</v>
      </c>
      <c r="H29" s="154">
        <f t="shared" ca="1" si="15"/>
        <v>24776224.199999999</v>
      </c>
      <c r="I29" s="157"/>
      <c r="K29" s="14">
        <v>2022.1</v>
      </c>
      <c r="L29" s="15">
        <v>13936551</v>
      </c>
      <c r="N29" s="32" t="s">
        <v>546</v>
      </c>
    </row>
    <row r="30" spans="2:17">
      <c r="B30" s="51">
        <f t="shared" ca="1" si="0"/>
        <v>46</v>
      </c>
      <c r="C30" s="156" t="s">
        <v>102</v>
      </c>
      <c r="D30" s="45">
        <f t="shared" ca="1" si="11"/>
        <v>2636663.4120000005</v>
      </c>
      <c r="E30" s="45">
        <f t="shared" ca="1" si="12"/>
        <v>0</v>
      </c>
      <c r="F30" s="154">
        <f t="shared" ca="1" si="13"/>
        <v>2636663.4120000005</v>
      </c>
      <c r="G30" s="155">
        <f t="shared" ca="1" si="14"/>
        <v>131833.17059999998</v>
      </c>
      <c r="H30" s="154">
        <f t="shared" ca="1" si="15"/>
        <v>2504830.2414000002</v>
      </c>
      <c r="I30" s="157"/>
      <c r="K30" s="22">
        <v>2022.11</v>
      </c>
      <c r="L30" s="15">
        <v>15531682.701703496</v>
      </c>
      <c r="N30" s="32" t="s">
        <v>293</v>
      </c>
    </row>
    <row r="31" spans="2:17">
      <c r="B31" s="51">
        <f t="shared" ca="1" si="0"/>
        <v>51</v>
      </c>
      <c r="C31" s="156" t="s">
        <v>196</v>
      </c>
      <c r="D31" s="45">
        <f t="shared" ca="1" si="11"/>
        <v>3137517</v>
      </c>
      <c r="E31" s="45">
        <f t="shared" ca="1" si="12"/>
        <v>0</v>
      </c>
      <c r="F31" s="154">
        <f t="shared" ca="1" si="13"/>
        <v>3137517</v>
      </c>
      <c r="G31" s="155">
        <f t="shared" ca="1" si="14"/>
        <v>156875.84999999998</v>
      </c>
      <c r="H31" s="154">
        <f t="shared" ca="1" si="15"/>
        <v>2980641.1500000004</v>
      </c>
      <c r="I31" s="157"/>
      <c r="J31" s="18"/>
      <c r="K31" s="22">
        <v>2022.12</v>
      </c>
      <c r="L31" s="15">
        <f ca="1">G50</f>
        <v>12460718.91366156</v>
      </c>
    </row>
    <row r="32" spans="2:17">
      <c r="B32" s="51">
        <f t="shared" ca="1" si="0"/>
        <v>11</v>
      </c>
      <c r="C32" s="156" t="s">
        <v>252</v>
      </c>
      <c r="D32" s="45">
        <f t="shared" ca="1" si="11"/>
        <v>1102.524375</v>
      </c>
      <c r="E32" s="45">
        <f t="shared" ca="1" si="12"/>
        <v>0</v>
      </c>
      <c r="F32" s="154">
        <f t="shared" ca="1" si="13"/>
        <v>201982.46549999999</v>
      </c>
      <c r="G32" s="155">
        <f t="shared" ca="1" si="14"/>
        <v>10099.123274999998</v>
      </c>
      <c r="H32" s="154">
        <f t="shared" ca="1" si="15"/>
        <v>191883.342225</v>
      </c>
      <c r="I32" s="157" t="s">
        <v>281</v>
      </c>
      <c r="J32" s="18"/>
      <c r="K32" s="14"/>
      <c r="L32" s="15"/>
    </row>
    <row r="33" spans="2:12">
      <c r="B33" s="51">
        <f t="shared" ca="1" si="0"/>
        <v>21</v>
      </c>
      <c r="C33" s="156" t="s">
        <v>253</v>
      </c>
      <c r="D33" s="45">
        <f t="shared" ca="1" si="11"/>
        <v>242.56521185575204</v>
      </c>
      <c r="E33" s="45">
        <f t="shared" ca="1" si="12"/>
        <v>0</v>
      </c>
      <c r="F33" s="154">
        <f t="shared" ca="1" si="13"/>
        <v>311017.11464144522</v>
      </c>
      <c r="G33" s="155">
        <f t="shared" ca="1" si="14"/>
        <v>15550.855732072261</v>
      </c>
      <c r="H33" s="154">
        <f t="shared" ca="1" si="15"/>
        <v>295466.25890937296</v>
      </c>
      <c r="I33" s="157" t="s">
        <v>307</v>
      </c>
      <c r="J33" s="18"/>
      <c r="K33" s="14"/>
      <c r="L33" s="148"/>
    </row>
    <row r="34" spans="2:12">
      <c r="B34" s="51">
        <f t="shared" ca="1" si="0"/>
        <v>6</v>
      </c>
      <c r="C34" s="156" t="s">
        <v>258</v>
      </c>
      <c r="D34" s="45">
        <f t="shared" ca="1" si="11"/>
        <v>0</v>
      </c>
      <c r="E34" s="45">
        <f t="shared" ca="1" si="12"/>
        <v>0</v>
      </c>
      <c r="F34" s="154">
        <f t="shared" ca="1" si="13"/>
        <v>0</v>
      </c>
      <c r="G34" s="155">
        <f t="shared" ca="1" si="14"/>
        <v>0</v>
      </c>
      <c r="H34" s="154">
        <f t="shared" ca="1" si="15"/>
        <v>0</v>
      </c>
      <c r="I34" s="157" t="s">
        <v>553</v>
      </c>
      <c r="J34" s="18"/>
      <c r="K34" s="14"/>
      <c r="L34" s="15"/>
    </row>
    <row r="35" spans="2:12">
      <c r="B35" s="51">
        <f t="shared" ca="1" si="0"/>
        <v>14</v>
      </c>
      <c r="C35" s="156" t="s">
        <v>215</v>
      </c>
      <c r="D35" s="45">
        <f t="shared" ca="1" si="11"/>
        <v>15616.08870967742</v>
      </c>
      <c r="E35" s="45">
        <f t="shared" ca="1" si="12"/>
        <v>0</v>
      </c>
      <c r="F35" s="154">
        <f t="shared" ca="1" si="13"/>
        <v>15616.08870967742</v>
      </c>
      <c r="G35" s="155">
        <f t="shared" ca="1" si="14"/>
        <v>780.80443548387109</v>
      </c>
      <c r="H35" s="154">
        <f t="shared" ca="1" si="15"/>
        <v>14835.284274193549</v>
      </c>
      <c r="I35" s="157"/>
      <c r="J35" s="18"/>
      <c r="K35" s="14"/>
      <c r="L35" s="15"/>
    </row>
    <row r="36" spans="2:12">
      <c r="B36" s="51">
        <f t="shared" ca="1" si="0"/>
        <v>15</v>
      </c>
      <c r="C36" s="156" t="s">
        <v>218</v>
      </c>
      <c r="D36" s="45">
        <f t="shared" ca="1" si="11"/>
        <v>1626715</v>
      </c>
      <c r="E36" s="45">
        <f t="shared" ca="1" si="12"/>
        <v>810404</v>
      </c>
      <c r="F36" s="154">
        <f t="shared" ca="1" si="13"/>
        <v>816311</v>
      </c>
      <c r="G36" s="155">
        <f t="shared" ca="1" si="14"/>
        <v>40815.549999999996</v>
      </c>
      <c r="H36" s="154">
        <f t="shared" ca="1" si="15"/>
        <v>775495.45000000007</v>
      </c>
      <c r="I36" s="157"/>
      <c r="J36" s="18"/>
      <c r="K36" s="14"/>
      <c r="L36" s="15"/>
    </row>
    <row r="37" spans="2:12">
      <c r="B37" s="51">
        <f t="shared" ca="1" si="0"/>
        <v>15</v>
      </c>
      <c r="C37" s="156" t="s">
        <v>117</v>
      </c>
      <c r="D37" s="45">
        <f t="shared" ca="1" si="11"/>
        <v>65300</v>
      </c>
      <c r="E37" s="45">
        <f t="shared" ca="1" si="12"/>
        <v>19590</v>
      </c>
      <c r="F37" s="154">
        <f t="shared" ca="1" si="13"/>
        <v>45710</v>
      </c>
      <c r="G37" s="155">
        <f t="shared" ca="1" si="14"/>
        <v>2285.5</v>
      </c>
      <c r="H37" s="154">
        <f t="shared" ca="1" si="15"/>
        <v>43424.5</v>
      </c>
      <c r="I37" s="157"/>
      <c r="J37" s="18"/>
      <c r="K37" s="14"/>
      <c r="L37" s="15"/>
    </row>
    <row r="38" spans="2:12">
      <c r="B38" s="51">
        <f t="shared" ca="1" si="0"/>
        <v>36</v>
      </c>
      <c r="C38" s="156" t="s">
        <v>206</v>
      </c>
      <c r="D38" s="45">
        <f t="shared" ca="1" si="11"/>
        <v>1188990</v>
      </c>
      <c r="E38" s="45">
        <f t="shared" ca="1" si="12"/>
        <v>475596</v>
      </c>
      <c r="F38" s="154">
        <f t="shared" ca="1" si="13"/>
        <v>713394</v>
      </c>
      <c r="G38" s="155">
        <f t="shared" ca="1" si="14"/>
        <v>35669.700000000019</v>
      </c>
      <c r="H38" s="154">
        <f t="shared" ca="1" si="15"/>
        <v>677724.29999999981</v>
      </c>
      <c r="I38" s="157"/>
      <c r="J38" s="18"/>
      <c r="K38" s="14"/>
      <c r="L38" s="15"/>
    </row>
    <row r="39" spans="2:12">
      <c r="B39" s="51">
        <f t="shared" ca="1" si="0"/>
        <v>39</v>
      </c>
      <c r="C39" s="156" t="s">
        <v>214</v>
      </c>
      <c r="D39" s="45">
        <f t="shared" ca="1" si="11"/>
        <v>3740940</v>
      </c>
      <c r="E39" s="45">
        <f t="shared" ca="1" si="12"/>
        <v>1496376</v>
      </c>
      <c r="F39" s="154">
        <f t="shared" ca="1" si="13"/>
        <v>2244564</v>
      </c>
      <c r="G39" s="155">
        <f t="shared" ca="1" si="14"/>
        <v>112228.20000000001</v>
      </c>
      <c r="H39" s="154">
        <f t="shared" ca="1" si="15"/>
        <v>2132335.7999999998</v>
      </c>
      <c r="I39" s="157"/>
      <c r="J39" s="18"/>
      <c r="K39" s="14"/>
      <c r="L39" s="15"/>
    </row>
    <row r="40" spans="2:12">
      <c r="B40" s="51">
        <f t="shared" ca="1" si="0"/>
        <v>16</v>
      </c>
      <c r="C40" s="156" t="s">
        <v>99</v>
      </c>
      <c r="D40" s="45">
        <f t="shared" ca="1" si="11"/>
        <v>312100</v>
      </c>
      <c r="E40" s="45">
        <f t="shared" ca="1" si="12"/>
        <v>93630</v>
      </c>
      <c r="F40" s="154">
        <f t="shared" ca="1" si="13"/>
        <v>218470</v>
      </c>
      <c r="G40" s="155">
        <f t="shared" ca="1" si="14"/>
        <v>10923.5</v>
      </c>
      <c r="H40" s="154">
        <f t="shared" ca="1" si="15"/>
        <v>207546.5</v>
      </c>
      <c r="I40" s="157"/>
      <c r="J40" s="18"/>
      <c r="K40" s="14"/>
      <c r="L40" s="15"/>
    </row>
    <row r="41" spans="2:12">
      <c r="B41" s="51">
        <f t="shared" ca="1" si="0"/>
        <v>25</v>
      </c>
      <c r="C41" s="156" t="s">
        <v>222</v>
      </c>
      <c r="D41" s="45">
        <f t="shared" ca="1" si="11"/>
        <v>769770</v>
      </c>
      <c r="E41" s="45">
        <f t="shared" ca="1" si="12"/>
        <v>284814.90000000002</v>
      </c>
      <c r="F41" s="154">
        <f t="shared" ca="1" si="13"/>
        <v>484955.10000000009</v>
      </c>
      <c r="G41" s="155">
        <f t="shared" ca="1" si="14"/>
        <v>24247.754999999994</v>
      </c>
      <c r="H41" s="154">
        <f t="shared" ca="1" si="15"/>
        <v>460707.34499999986</v>
      </c>
      <c r="I41" s="157"/>
      <c r="J41" s="18"/>
      <c r="K41" s="14"/>
      <c r="L41" s="15"/>
    </row>
    <row r="42" spans="2:12">
      <c r="B42" s="51">
        <f t="shared" ca="1" si="0"/>
        <v>9</v>
      </c>
      <c r="C42" s="156" t="s">
        <v>548</v>
      </c>
      <c r="D42" s="45">
        <f t="shared" ca="1" si="11"/>
        <v>653.53919999999994</v>
      </c>
      <c r="E42" s="45">
        <f t="shared" ca="1" si="12"/>
        <v>0</v>
      </c>
      <c r="F42" s="154">
        <f t="shared" ca="1" si="13"/>
        <v>653.53919999999994</v>
      </c>
      <c r="G42" s="155">
        <f t="shared" ca="1" si="14"/>
        <v>32.676960000000001</v>
      </c>
      <c r="H42" s="154">
        <f t="shared" ca="1" si="15"/>
        <v>620.86224000000004</v>
      </c>
      <c r="I42" s="157"/>
      <c r="J42" s="18"/>
      <c r="K42" s="14"/>
      <c r="L42" s="15"/>
    </row>
    <row r="43" spans="2:12">
      <c r="B43" s="51">
        <f t="shared" ca="1" si="0"/>
        <v>21</v>
      </c>
      <c r="C43" s="156" t="s">
        <v>225</v>
      </c>
      <c r="D43" s="45">
        <f t="shared" ca="1" si="11"/>
        <v>146390</v>
      </c>
      <c r="E43" s="45">
        <f t="shared" ca="1" si="12"/>
        <v>54164.30000000001</v>
      </c>
      <c r="F43" s="154">
        <f t="shared" ca="1" si="13"/>
        <v>92225.7</v>
      </c>
      <c r="G43" s="155">
        <f t="shared" ca="1" si="14"/>
        <v>4611.2849999999999</v>
      </c>
      <c r="H43" s="154">
        <f t="shared" ca="1" si="15"/>
        <v>87614.415000000008</v>
      </c>
      <c r="I43" s="157"/>
      <c r="J43" s="18"/>
      <c r="K43" s="14"/>
      <c r="L43" s="15"/>
    </row>
    <row r="44" spans="2:12">
      <c r="B44" s="51">
        <f t="shared" ca="1" si="0"/>
        <v>5</v>
      </c>
      <c r="C44" s="156" t="s">
        <v>262</v>
      </c>
      <c r="D44" s="45">
        <f t="shared" ca="1" si="11"/>
        <v>0</v>
      </c>
      <c r="E44" s="45">
        <f t="shared" ca="1" si="12"/>
        <v>0</v>
      </c>
      <c r="F44" s="154">
        <f t="shared" ca="1" si="13"/>
        <v>0</v>
      </c>
      <c r="G44" s="155">
        <f t="shared" ca="1" si="14"/>
        <v>0</v>
      </c>
      <c r="H44" s="154">
        <f t="shared" ca="1" si="15"/>
        <v>0</v>
      </c>
      <c r="I44" s="157" t="s">
        <v>553</v>
      </c>
      <c r="J44" s="18"/>
      <c r="K44" s="14"/>
      <c r="L44" s="15"/>
    </row>
    <row r="45" spans="2:12">
      <c r="B45" s="51">
        <f t="shared" ca="1" si="0"/>
        <v>11</v>
      </c>
      <c r="C45" s="158" t="s">
        <v>264</v>
      </c>
      <c r="D45" s="45">
        <f t="shared" ca="1" si="11"/>
        <v>374.05000000000007</v>
      </c>
      <c r="E45" s="45">
        <f t="shared" ca="1" si="12"/>
        <v>0</v>
      </c>
      <c r="F45" s="154">
        <f t="shared" ca="1" si="13"/>
        <v>490042.90500000003</v>
      </c>
      <c r="G45" s="155">
        <f t="shared" ca="1" si="14"/>
        <v>24502.145250000005</v>
      </c>
      <c r="H45" s="154">
        <f t="shared" ca="1" si="15"/>
        <v>465540.75974999997</v>
      </c>
      <c r="I45" s="157" t="s">
        <v>308</v>
      </c>
      <c r="J45" s="18"/>
      <c r="K45" s="14"/>
      <c r="L45" s="15"/>
    </row>
    <row r="46" spans="2:12">
      <c r="B46" s="51">
        <f t="shared" ca="1" si="0"/>
        <v>7</v>
      </c>
      <c r="C46" s="158" t="s">
        <v>226</v>
      </c>
      <c r="D46" s="45">
        <f t="shared" ca="1" si="11"/>
        <v>37500</v>
      </c>
      <c r="E46" s="45">
        <f t="shared" ca="1" si="12"/>
        <v>0</v>
      </c>
      <c r="F46" s="154">
        <f t="shared" ca="1" si="13"/>
        <v>26250</v>
      </c>
      <c r="G46" s="155">
        <f t="shared" ca="1" si="14"/>
        <v>1312.5</v>
      </c>
      <c r="H46" s="154">
        <f t="shared" ca="1" si="15"/>
        <v>24937.5</v>
      </c>
      <c r="I46" s="157"/>
      <c r="J46" s="18"/>
      <c r="K46" s="14"/>
      <c r="L46" s="15"/>
    </row>
    <row r="47" spans="2:12">
      <c r="B47" s="51">
        <f t="shared" ca="1" si="0"/>
        <v>8</v>
      </c>
      <c r="C47" s="158" t="s">
        <v>227</v>
      </c>
      <c r="D47" s="45">
        <f t="shared" ca="1" si="11"/>
        <v>8378600</v>
      </c>
      <c r="E47" s="45">
        <f t="shared" ca="1" si="12"/>
        <v>0</v>
      </c>
      <c r="F47" s="154">
        <f t="shared" ca="1" si="13"/>
        <v>5853060</v>
      </c>
      <c r="G47" s="155">
        <f t="shared" ca="1" si="14"/>
        <v>292653</v>
      </c>
      <c r="H47" s="154">
        <f t="shared" ca="1" si="15"/>
        <v>5560407</v>
      </c>
      <c r="I47" s="157"/>
      <c r="J47" s="18"/>
      <c r="K47" s="14"/>
      <c r="L47" s="15"/>
    </row>
    <row r="48" spans="2:12">
      <c r="B48" s="51">
        <f t="shared" ca="1" si="0"/>
        <v>12</v>
      </c>
      <c r="C48" s="158" t="s">
        <v>228</v>
      </c>
      <c r="D48" s="45">
        <f t="shared" ca="1" si="11"/>
        <v>123200</v>
      </c>
      <c r="E48" s="45">
        <f t="shared" ca="1" si="12"/>
        <v>0</v>
      </c>
      <c r="F48" s="154">
        <f t="shared" ca="1" si="13"/>
        <v>66528</v>
      </c>
      <c r="G48" s="155">
        <f t="shared" ca="1" si="14"/>
        <v>3326.4</v>
      </c>
      <c r="H48" s="154">
        <f t="shared" ca="1" si="15"/>
        <v>63201.600000000013</v>
      </c>
      <c r="I48" s="157"/>
      <c r="J48" s="18"/>
      <c r="K48" s="14"/>
      <c r="L48" s="15"/>
    </row>
    <row r="49" spans="2:14" ht="18" thickBot="1">
      <c r="B49" s="51">
        <f t="shared" ca="1" si="0"/>
        <v>6</v>
      </c>
      <c r="C49" s="158" t="s">
        <v>232</v>
      </c>
      <c r="D49" s="45">
        <f t="shared" ca="1" si="11"/>
        <v>209708</v>
      </c>
      <c r="E49" s="45">
        <f t="shared" ca="1" si="12"/>
        <v>0</v>
      </c>
      <c r="F49" s="154">
        <f t="shared" ca="1" si="13"/>
        <v>77052</v>
      </c>
      <c r="G49" s="155">
        <f t="shared" ca="1" si="14"/>
        <v>3852.6000000000004</v>
      </c>
      <c r="H49" s="154">
        <f t="shared" ca="1" si="15"/>
        <v>73199.399999999994</v>
      </c>
      <c r="I49" s="157"/>
      <c r="J49" s="18"/>
      <c r="K49" s="14"/>
      <c r="L49" s="15"/>
    </row>
    <row r="50" spans="2:14" ht="18" thickBot="1">
      <c r="B50" s="51">
        <f ca="1">COUNTA(INDIRECT(#REF!&amp;"!B:B"))</f>
        <v>1</v>
      </c>
      <c r="C50" s="159" t="s">
        <v>309</v>
      </c>
      <c r="D50" s="160">
        <f ca="1">SUM(D7:D49)</f>
        <v>327237200.01449651</v>
      </c>
      <c r="E50" s="161">
        <f ca="1">SUM(E7:E49)</f>
        <v>76888990.339999989</v>
      </c>
      <c r="F50" s="161">
        <f ca="1">SUM(F7:F49)</f>
        <v>249214378.27323112</v>
      </c>
      <c r="G50" s="161">
        <f ca="1">SUM(G7:G49)</f>
        <v>12460718.91366156</v>
      </c>
      <c r="H50" s="161">
        <f ca="1">SUM(H7:H49)</f>
        <v>236753659.35956955</v>
      </c>
      <c r="I50" s="161">
        <f>SUM(I7:I41)</f>
        <v>0</v>
      </c>
      <c r="J50" s="18"/>
      <c r="K50" s="14"/>
      <c r="L50" s="15"/>
    </row>
    <row r="51" spans="2:14">
      <c r="B51" s="51">
        <f ca="1">COUNTA(INDIRECT(C49&amp;"!B:B"))</f>
        <v>6</v>
      </c>
      <c r="F51" s="62"/>
      <c r="G51" s="64" t="s">
        <v>310</v>
      </c>
      <c r="J51" s="18"/>
      <c r="K51" s="14"/>
      <c r="L51" s="15"/>
    </row>
    <row r="52" spans="2:14">
      <c r="B52" s="51">
        <f ca="1">COUNTA(INDIRECT(C41&amp;"!B:B"))</f>
        <v>25</v>
      </c>
      <c r="G52" s="32" t="s">
        <v>312</v>
      </c>
      <c r="H52" s="63"/>
      <c r="J52" s="18"/>
      <c r="K52" s="14"/>
      <c r="L52" s="15"/>
    </row>
    <row r="53" spans="2:14" ht="18" thickBot="1">
      <c r="B53" s="52"/>
      <c r="J53" s="18"/>
      <c r="K53" s="149" t="s">
        <v>311</v>
      </c>
      <c r="L53" s="150">
        <f ca="1">SUM(L20:L52)</f>
        <v>164751912.45033908</v>
      </c>
    </row>
    <row r="54" spans="2:14" ht="18" thickBot="1">
      <c r="E54" s="38"/>
      <c r="F54" s="38"/>
      <c r="G54" s="39"/>
      <c r="H54" s="39"/>
      <c r="J54" s="18"/>
      <c r="K54" s="144" t="s">
        <v>313</v>
      </c>
      <c r="L54" s="145">
        <f ca="1">L6+L7-L19-L53</f>
        <v>107692643.54113579</v>
      </c>
    </row>
    <row r="55" spans="2:14">
      <c r="E55" s="40"/>
      <c r="F55" s="40"/>
      <c r="G55" s="40"/>
      <c r="H55" s="40"/>
      <c r="J55" s="18"/>
    </row>
    <row r="58" spans="2:14">
      <c r="J58"/>
    </row>
    <row r="59" spans="2:14">
      <c r="J59"/>
      <c r="N59" s="32"/>
    </row>
    <row r="60" spans="2:14">
      <c r="J60"/>
    </row>
  </sheetData>
  <mergeCells count="1">
    <mergeCell ref="K10:L10"/>
  </mergeCells>
  <phoneticPr fontId="11" type="noConversion"/>
  <pageMargins left="0.7" right="0.7" top="0.75" bottom="0.75" header="0.3" footer="0.3"/>
  <pageSetup paperSize="9" scale="56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J70"/>
  <sheetViews>
    <sheetView topLeftCell="A46" zoomScale="80" zoomScaleNormal="80" workbookViewId="0">
      <selection activeCell="G75" sqref="G75"/>
    </sheetView>
  </sheetViews>
  <sheetFormatPr defaultColWidth="9" defaultRowHeight="20.25" customHeight="1"/>
  <cols>
    <col min="1" max="1" width="9" style="32"/>
    <col min="2" max="2" width="15.59765625" style="32" customWidth="1"/>
    <col min="3" max="3" width="11.3984375" style="32" customWidth="1"/>
    <col min="4" max="4" width="35.19921875" style="32" bestFit="1" customWidth="1"/>
    <col min="5" max="5" width="20.59765625" style="32" customWidth="1"/>
    <col min="6" max="7" width="17.59765625" style="32" customWidth="1"/>
    <col min="8" max="9" width="16.19921875" style="32" customWidth="1"/>
    <col min="10" max="10" width="12" style="32" customWidth="1"/>
    <col min="11" max="16384" width="9" style="32"/>
  </cols>
  <sheetData>
    <row r="4" spans="2:10" ht="20.25" customHeight="1">
      <c r="B4" s="32" t="s">
        <v>314</v>
      </c>
    </row>
    <row r="5" spans="2:10" ht="20.25" customHeight="1">
      <c r="B5" s="71" t="s">
        <v>0</v>
      </c>
      <c r="C5" s="71" t="s">
        <v>315</v>
      </c>
      <c r="D5" s="71" t="s">
        <v>316</v>
      </c>
      <c r="E5" s="71" t="s">
        <v>317</v>
      </c>
      <c r="F5" s="71" t="s">
        <v>318</v>
      </c>
      <c r="G5" s="71" t="s">
        <v>319</v>
      </c>
      <c r="H5" s="71" t="s">
        <v>320</v>
      </c>
      <c r="I5" s="71" t="s">
        <v>273</v>
      </c>
      <c r="J5" s="71" t="s">
        <v>321</v>
      </c>
    </row>
    <row r="6" spans="2:10" ht="20.25" customHeight="1">
      <c r="B6" s="72" t="s">
        <v>6</v>
      </c>
      <c r="C6" s="73" t="str">
        <f>VLOOKUP(B6,raw_a,2,0)</f>
        <v>12월분</v>
      </c>
      <c r="D6" s="72" t="s">
        <v>7</v>
      </c>
      <c r="E6" s="74">
        <f>SUMIFS(전체리스트!D:D,전체리스트!A:A,B6,전체리스트!C:C,D6)</f>
        <v>634996.80000000005</v>
      </c>
      <c r="F6" s="75">
        <f>E6-G6</f>
        <v>190498.80000000005</v>
      </c>
      <c r="G6" s="76">
        <f>SUMIFS(전체리스트!E:E,전체리스트!A:A,B6,전체리스트!C:C,D6)</f>
        <v>444498</v>
      </c>
      <c r="H6" s="74">
        <f>G6*0.05</f>
        <v>22224.9</v>
      </c>
      <c r="I6" s="77">
        <f>G6-H6</f>
        <v>422273.1</v>
      </c>
      <c r="J6" s="72"/>
    </row>
    <row r="7" spans="2:10" ht="20.25" customHeight="1">
      <c r="B7" s="72" t="s">
        <v>6</v>
      </c>
      <c r="C7" s="73" t="str">
        <f t="shared" ref="C7:C68" si="0">VLOOKUP(B7,raw_a,2,0)</f>
        <v>12월분</v>
      </c>
      <c r="D7" s="72" t="s">
        <v>382</v>
      </c>
      <c r="E7" s="74">
        <f>SUMIFS(전체리스트!D:D,전체리스트!A:A,B7,전체리스트!C:C,D7)</f>
        <v>4835187</v>
      </c>
      <c r="F7" s="75">
        <f t="shared" ref="F7:F68" si="1">E7-G7</f>
        <v>1450554</v>
      </c>
      <c r="G7" s="76">
        <f>SUMIFS(전체리스트!E:E,전체리스트!A:A,B7,전체리스트!C:C,D7)</f>
        <v>3384633</v>
      </c>
      <c r="H7" s="74">
        <f t="shared" ref="H7:H68" si="2">G7*0.05</f>
        <v>169231.65000000002</v>
      </c>
      <c r="I7" s="77">
        <f t="shared" ref="I7:I68" si="3">G7-H7</f>
        <v>3215401.35</v>
      </c>
      <c r="J7" s="72"/>
    </row>
    <row r="8" spans="2:10" ht="20.25" customHeight="1">
      <c r="B8" s="72" t="s">
        <v>6</v>
      </c>
      <c r="C8" s="73" t="str">
        <f t="shared" si="0"/>
        <v>12월분</v>
      </c>
      <c r="D8" s="72" t="s">
        <v>389</v>
      </c>
      <c r="E8" s="74">
        <f>SUMIFS(전체리스트!D:D,전체리스트!A:A,B8,전체리스트!C:C,D8)</f>
        <v>429033.8</v>
      </c>
      <c r="F8" s="75">
        <f t="shared" si="1"/>
        <v>128710.79999999999</v>
      </c>
      <c r="G8" s="76">
        <f>SUMIFS(전체리스트!E:E,전체리스트!A:A,B8,전체리스트!C:C,D8)</f>
        <v>300323</v>
      </c>
      <c r="H8" s="74">
        <f t="shared" si="2"/>
        <v>15016.150000000001</v>
      </c>
      <c r="I8" s="77">
        <f t="shared" si="3"/>
        <v>285306.84999999998</v>
      </c>
      <c r="J8" s="72"/>
    </row>
    <row r="9" spans="2:10" ht="20.25" customHeight="1">
      <c r="B9" s="72" t="s">
        <v>6</v>
      </c>
      <c r="C9" s="73" t="str">
        <f t="shared" si="0"/>
        <v>12월분</v>
      </c>
      <c r="D9" s="72" t="s">
        <v>8</v>
      </c>
      <c r="E9" s="74">
        <f>SUMIFS(전체리스트!D:D,전체리스트!A:A,B9,전체리스트!C:C,D9)</f>
        <v>324635.40000000002</v>
      </c>
      <c r="F9" s="75">
        <f t="shared" si="1"/>
        <v>97392.400000000023</v>
      </c>
      <c r="G9" s="76">
        <f>SUMIFS(전체리스트!E:E,전체리스트!A:A,B9,전체리스트!C:C,D9)</f>
        <v>227243</v>
      </c>
      <c r="H9" s="74">
        <f t="shared" si="2"/>
        <v>11362.150000000001</v>
      </c>
      <c r="I9" s="77">
        <f t="shared" si="3"/>
        <v>215880.85</v>
      </c>
      <c r="J9" s="72"/>
    </row>
    <row r="10" spans="2:10" ht="20.25" customHeight="1">
      <c r="B10" s="72" t="s">
        <v>6</v>
      </c>
      <c r="C10" s="73" t="str">
        <f t="shared" si="0"/>
        <v>12월분</v>
      </c>
      <c r="D10" s="72" t="s">
        <v>9</v>
      </c>
      <c r="E10" s="74">
        <f>SUMIFS(전체리스트!D:D,전체리스트!A:A,B10,전체리스트!C:C,D10)</f>
        <v>165445</v>
      </c>
      <c r="F10" s="75">
        <f t="shared" si="1"/>
        <v>49634</v>
      </c>
      <c r="G10" s="76">
        <f>SUMIFS(전체리스트!E:E,전체리스트!A:A,B10,전체리스트!C:C,D10)</f>
        <v>115811</v>
      </c>
      <c r="H10" s="74">
        <f t="shared" si="2"/>
        <v>5790.55</v>
      </c>
      <c r="I10" s="77">
        <f t="shared" si="3"/>
        <v>110020.45</v>
      </c>
      <c r="J10" s="72"/>
    </row>
    <row r="11" spans="2:10" ht="20.25" customHeight="1">
      <c r="B11" s="72" t="s">
        <v>6</v>
      </c>
      <c r="C11" s="73" t="str">
        <f t="shared" si="0"/>
        <v>12월분</v>
      </c>
      <c r="D11" s="72" t="s">
        <v>114</v>
      </c>
      <c r="E11" s="74">
        <f>SUMIFS(전체리스트!D:D,전체리스트!A:A,B11,전체리스트!C:C,D11)</f>
        <v>531387.9</v>
      </c>
      <c r="F11" s="75">
        <f t="shared" si="1"/>
        <v>159416.90000000002</v>
      </c>
      <c r="G11" s="76">
        <f>SUMIFS(전체리스트!E:E,전체리스트!A:A,B11,전체리스트!C:C,D11)</f>
        <v>371971</v>
      </c>
      <c r="H11" s="74">
        <f t="shared" si="2"/>
        <v>18598.55</v>
      </c>
      <c r="I11" s="77">
        <f t="shared" si="3"/>
        <v>353372.45</v>
      </c>
      <c r="J11" s="72"/>
    </row>
    <row r="12" spans="2:10" ht="20.25" customHeight="1">
      <c r="B12" s="72" t="s">
        <v>6</v>
      </c>
      <c r="C12" s="73" t="str">
        <f t="shared" si="0"/>
        <v>12월분</v>
      </c>
      <c r="D12" s="72" t="s">
        <v>10</v>
      </c>
      <c r="E12" s="74">
        <f>SUMIFS(전체리스트!D:D,전체리스트!A:A,B12,전체리스트!C:C,D12)</f>
        <v>701039.3</v>
      </c>
      <c r="F12" s="75">
        <f t="shared" ref="F12:F13" si="4">E12-G12</f>
        <v>210310.30000000005</v>
      </c>
      <c r="G12" s="76">
        <f>SUMIFS(전체리스트!E:E,전체리스트!A:A,B12,전체리스트!C:C,D12)</f>
        <v>490729</v>
      </c>
      <c r="H12" s="74">
        <f t="shared" si="2"/>
        <v>24536.45</v>
      </c>
      <c r="I12" s="77">
        <f t="shared" ref="I12:I13" si="5">G12-H12</f>
        <v>466192.55</v>
      </c>
      <c r="J12" s="72"/>
    </row>
    <row r="13" spans="2:10" ht="20.25" customHeight="1">
      <c r="B13" s="72" t="s">
        <v>6</v>
      </c>
      <c r="C13" s="73" t="str">
        <f t="shared" si="0"/>
        <v>12월분</v>
      </c>
      <c r="D13" s="72" t="s">
        <v>11</v>
      </c>
      <c r="E13" s="74">
        <f>SUMIFS(전체리스트!D:D,전체리스트!A:A,B13,전체리스트!C:C,D13)</f>
        <v>668745.89999999991</v>
      </c>
      <c r="F13" s="75">
        <f t="shared" si="4"/>
        <v>200621.89999999991</v>
      </c>
      <c r="G13" s="76">
        <f>SUMIFS(전체리스트!E:E,전체리스트!A:A,B13,전체리스트!C:C,D13)</f>
        <v>468124</v>
      </c>
      <c r="H13" s="74">
        <f t="shared" si="2"/>
        <v>23406.2</v>
      </c>
      <c r="I13" s="77">
        <f t="shared" si="5"/>
        <v>444717.8</v>
      </c>
      <c r="J13" s="72"/>
    </row>
    <row r="14" spans="2:10" ht="20.25" customHeight="1">
      <c r="B14" s="72" t="s">
        <v>6</v>
      </c>
      <c r="C14" s="73" t="str">
        <f t="shared" si="0"/>
        <v>12월분</v>
      </c>
      <c r="D14" s="72" t="s">
        <v>12</v>
      </c>
      <c r="E14" s="74">
        <f>SUMIFS(전체리스트!D:D,전체리스트!A:A,B14,전체리스트!C:C,D14)</f>
        <v>214639.2</v>
      </c>
      <c r="F14" s="75">
        <f t="shared" si="1"/>
        <v>64391.200000000012</v>
      </c>
      <c r="G14" s="76">
        <f>SUMIFS(전체리스트!E:E,전체리스트!A:A,B14,전체리스트!C:C,D14)</f>
        <v>150248</v>
      </c>
      <c r="H14" s="74">
        <f t="shared" si="2"/>
        <v>7512.4000000000005</v>
      </c>
      <c r="I14" s="77">
        <f t="shared" si="3"/>
        <v>142735.6</v>
      </c>
      <c r="J14" s="72"/>
    </row>
    <row r="15" spans="2:10" ht="20.25" customHeight="1">
      <c r="B15" s="72" t="s">
        <v>6</v>
      </c>
      <c r="C15" s="73" t="str">
        <f t="shared" si="0"/>
        <v>12월분</v>
      </c>
      <c r="D15" s="72" t="s">
        <v>13</v>
      </c>
      <c r="E15" s="74">
        <f>SUMIFS(전체리스트!D:D,전체리스트!A:A,B15,전체리스트!C:C,D15)</f>
        <v>416774.2</v>
      </c>
      <c r="F15" s="75">
        <f t="shared" si="1"/>
        <v>125032.20000000001</v>
      </c>
      <c r="G15" s="76">
        <f>SUMIFS(전체리스트!E:E,전체리스트!A:A,B15,전체리스트!C:C,D15)</f>
        <v>291742</v>
      </c>
      <c r="H15" s="74">
        <f t="shared" si="2"/>
        <v>14587.1</v>
      </c>
      <c r="I15" s="77">
        <f t="shared" si="3"/>
        <v>277154.90000000002</v>
      </c>
      <c r="J15" s="72"/>
    </row>
    <row r="16" spans="2:10" ht="20.25" customHeight="1">
      <c r="B16" s="72" t="s">
        <v>6</v>
      </c>
      <c r="C16" s="73" t="str">
        <f t="shared" ref="C16:C28" si="6">VLOOKUP(B16,raw_a,2,0)</f>
        <v>12월분</v>
      </c>
      <c r="D16" s="72" t="s">
        <v>419</v>
      </c>
      <c r="E16" s="74">
        <f>SUMIFS(전체리스트!D:D,전체리스트!A:A,B16,전체리스트!C:C,D16)</f>
        <v>291315.7</v>
      </c>
      <c r="F16" s="75">
        <f t="shared" ref="F16:F28" si="7">E16-G16</f>
        <v>87394.700000000012</v>
      </c>
      <c r="G16" s="76">
        <f>SUMIFS(전체리스트!E:E,전체리스트!A:A,B16,전체리스트!C:C,D16)</f>
        <v>203921</v>
      </c>
      <c r="H16" s="74">
        <f t="shared" ref="H16:H28" si="8">G16*0.05</f>
        <v>10196.050000000001</v>
      </c>
      <c r="I16" s="77">
        <f t="shared" ref="I16:I28" si="9">G16-H16</f>
        <v>193724.95</v>
      </c>
      <c r="J16" s="72"/>
    </row>
    <row r="17" spans="2:10" ht="20.25" customHeight="1">
      <c r="B17" s="72" t="s">
        <v>6</v>
      </c>
      <c r="C17" s="73" t="str">
        <f t="shared" si="6"/>
        <v>12월분</v>
      </c>
      <c r="D17" s="72" t="s">
        <v>14</v>
      </c>
      <c r="E17" s="74">
        <f>SUMIFS(전체리스트!D:D,전체리스트!A:A,B17,전체리스트!C:C,D17)</f>
        <v>12824654.699999999</v>
      </c>
      <c r="F17" s="75">
        <f t="shared" si="7"/>
        <v>3847397.6999999993</v>
      </c>
      <c r="G17" s="76">
        <f>SUMIFS(전체리스트!E:E,전체리스트!A:A,B17,전체리스트!C:C,D17)</f>
        <v>8977257</v>
      </c>
      <c r="H17" s="74">
        <f t="shared" si="8"/>
        <v>448862.85000000003</v>
      </c>
      <c r="I17" s="77">
        <f t="shared" si="9"/>
        <v>8528394.1500000004</v>
      </c>
      <c r="J17" s="72"/>
    </row>
    <row r="18" spans="2:10" ht="20.25" customHeight="1">
      <c r="B18" s="72" t="s">
        <v>6</v>
      </c>
      <c r="C18" s="73" t="str">
        <f t="shared" si="6"/>
        <v>12월분</v>
      </c>
      <c r="D18" s="72" t="s">
        <v>15</v>
      </c>
      <c r="E18" s="74">
        <f>SUMIFS(전체리스트!D:D,전체리스트!A:A,B18,전체리스트!C:C,D18)</f>
        <v>160287.4</v>
      </c>
      <c r="F18" s="75">
        <f t="shared" si="7"/>
        <v>48085.399999999994</v>
      </c>
      <c r="G18" s="76">
        <f>SUMIFS(전체리스트!E:E,전체리스트!A:A,B18,전체리스트!C:C,D18)</f>
        <v>112202</v>
      </c>
      <c r="H18" s="74">
        <f t="shared" si="8"/>
        <v>5610.1</v>
      </c>
      <c r="I18" s="77">
        <f t="shared" si="9"/>
        <v>106591.9</v>
      </c>
      <c r="J18" s="72"/>
    </row>
    <row r="19" spans="2:10" ht="20.25" customHeight="1">
      <c r="B19" s="72" t="s">
        <v>6</v>
      </c>
      <c r="C19" s="73" t="str">
        <f t="shared" si="6"/>
        <v>12월분</v>
      </c>
      <c r="D19" s="72" t="s">
        <v>16</v>
      </c>
      <c r="E19" s="74">
        <f>SUMIFS(전체리스트!D:D,전체리스트!A:A,B19,전체리스트!C:C,D19)</f>
        <v>123755</v>
      </c>
      <c r="F19" s="75">
        <f t="shared" si="7"/>
        <v>37128</v>
      </c>
      <c r="G19" s="76">
        <f>SUMIFS(전체리스트!E:E,전체리스트!A:A,B19,전체리스트!C:C,D19)</f>
        <v>86627</v>
      </c>
      <c r="H19" s="74">
        <f t="shared" si="8"/>
        <v>4331.3500000000004</v>
      </c>
      <c r="I19" s="77">
        <f t="shared" si="9"/>
        <v>82295.649999999994</v>
      </c>
      <c r="J19" s="72"/>
    </row>
    <row r="20" spans="2:10" ht="20.25" customHeight="1">
      <c r="B20" s="72" t="s">
        <v>6</v>
      </c>
      <c r="C20" s="73" t="str">
        <f t="shared" si="6"/>
        <v>12월분</v>
      </c>
      <c r="D20" s="72" t="s">
        <v>17</v>
      </c>
      <c r="E20" s="74">
        <f>SUMIFS(전체리스트!D:D,전체리스트!A:A,B20,전체리스트!C:C,D20)</f>
        <v>51241.8</v>
      </c>
      <c r="F20" s="75">
        <f t="shared" si="7"/>
        <v>15371.800000000003</v>
      </c>
      <c r="G20" s="76">
        <f>SUMIFS(전체리스트!E:E,전체리스트!A:A,B20,전체리스트!C:C,D20)</f>
        <v>35870</v>
      </c>
      <c r="H20" s="74">
        <f t="shared" si="8"/>
        <v>1793.5</v>
      </c>
      <c r="I20" s="77">
        <f t="shared" si="9"/>
        <v>34076.5</v>
      </c>
      <c r="J20" s="72"/>
    </row>
    <row r="21" spans="2:10" ht="20.25" customHeight="1">
      <c r="B21" s="72" t="s">
        <v>6</v>
      </c>
      <c r="C21" s="73" t="str">
        <f t="shared" si="6"/>
        <v>12월분</v>
      </c>
      <c r="D21" s="72" t="s">
        <v>18</v>
      </c>
      <c r="E21" s="74">
        <f>SUMIFS(전체리스트!D:D,전체리스트!A:A,B21,전체리스트!C:C,D21)</f>
        <v>7470</v>
      </c>
      <c r="F21" s="75">
        <f t="shared" si="7"/>
        <v>2241</v>
      </c>
      <c r="G21" s="76">
        <f>SUMIFS(전체리스트!E:E,전체리스트!A:A,B21,전체리스트!C:C,D21)</f>
        <v>5229</v>
      </c>
      <c r="H21" s="74">
        <f t="shared" si="8"/>
        <v>261.45</v>
      </c>
      <c r="I21" s="77">
        <f t="shared" si="9"/>
        <v>4967.55</v>
      </c>
      <c r="J21" s="72"/>
    </row>
    <row r="22" spans="2:10" ht="20.25" customHeight="1">
      <c r="B22" s="72" t="s">
        <v>6</v>
      </c>
      <c r="C22" s="73" t="str">
        <f t="shared" si="6"/>
        <v>12월분</v>
      </c>
      <c r="D22" s="72" t="s">
        <v>19</v>
      </c>
      <c r="E22" s="74">
        <f>SUMIFS(전체리스트!D:D,전체리스트!A:A,B22,전체리스트!C:C,D22)</f>
        <v>79185</v>
      </c>
      <c r="F22" s="75">
        <f t="shared" si="7"/>
        <v>23756</v>
      </c>
      <c r="G22" s="76">
        <f>SUMIFS(전체리스트!E:E,전체리스트!A:A,B22,전체리스트!C:C,D22)</f>
        <v>55429</v>
      </c>
      <c r="H22" s="74">
        <f t="shared" si="8"/>
        <v>2771.4500000000003</v>
      </c>
      <c r="I22" s="77">
        <f t="shared" si="9"/>
        <v>52657.55</v>
      </c>
      <c r="J22" s="72"/>
    </row>
    <row r="23" spans="2:10" ht="20.25" customHeight="1">
      <c r="B23" s="72" t="s">
        <v>6</v>
      </c>
      <c r="C23" s="73" t="str">
        <f t="shared" si="6"/>
        <v>12월분</v>
      </c>
      <c r="D23" s="72" t="s">
        <v>20</v>
      </c>
      <c r="E23" s="74">
        <f>SUMIFS(전체리스트!D:D,전체리스트!A:A,B23,전체리스트!C:C,D23)</f>
        <v>42681.8</v>
      </c>
      <c r="F23" s="75">
        <f t="shared" si="7"/>
        <v>12803.800000000003</v>
      </c>
      <c r="G23" s="76">
        <f>SUMIFS(전체리스트!E:E,전체리스트!A:A,B23,전체리스트!C:C,D23)</f>
        <v>29878</v>
      </c>
      <c r="H23" s="74">
        <f t="shared" si="8"/>
        <v>1493.9</v>
      </c>
      <c r="I23" s="77">
        <f t="shared" si="9"/>
        <v>28384.1</v>
      </c>
      <c r="J23" s="72"/>
    </row>
    <row r="24" spans="2:10" ht="20.25" customHeight="1">
      <c r="B24" s="72" t="s">
        <v>6</v>
      </c>
      <c r="C24" s="73" t="str">
        <f t="shared" si="6"/>
        <v>12월분</v>
      </c>
      <c r="D24" s="72" t="s">
        <v>21</v>
      </c>
      <c r="E24" s="74">
        <f>SUMIFS(전체리스트!D:D,전체리스트!A:A,B24,전체리스트!C:C,D24)</f>
        <v>416079.8</v>
      </c>
      <c r="F24" s="75">
        <f t="shared" si="7"/>
        <v>124824.79999999999</v>
      </c>
      <c r="G24" s="76">
        <f>SUMIFS(전체리스트!E:E,전체리스트!A:A,B24,전체리스트!C:C,D24)</f>
        <v>291255</v>
      </c>
      <c r="H24" s="74">
        <f t="shared" si="8"/>
        <v>14562.75</v>
      </c>
      <c r="I24" s="77">
        <f t="shared" si="9"/>
        <v>276692.25</v>
      </c>
      <c r="J24" s="72"/>
    </row>
    <row r="25" spans="2:10" ht="20.25" customHeight="1">
      <c r="B25" s="72" t="s">
        <v>6</v>
      </c>
      <c r="C25" s="73" t="str">
        <f t="shared" si="6"/>
        <v>12월분</v>
      </c>
      <c r="D25" s="72" t="s">
        <v>527</v>
      </c>
      <c r="E25" s="74">
        <f>SUMIFS(전체리스트!D:D,전체리스트!A:A,B25,전체리스트!C:C,D25)</f>
        <v>2580</v>
      </c>
      <c r="F25" s="75">
        <f t="shared" si="7"/>
        <v>774</v>
      </c>
      <c r="G25" s="76">
        <f>SUMIFS(전체리스트!E:E,전체리스트!A:A,B25,전체리스트!C:C,D25)</f>
        <v>1806</v>
      </c>
      <c r="H25" s="74">
        <f t="shared" si="8"/>
        <v>90.300000000000011</v>
      </c>
      <c r="I25" s="77">
        <f t="shared" si="9"/>
        <v>1715.7</v>
      </c>
      <c r="J25" s="72"/>
    </row>
    <row r="26" spans="2:10" ht="20.25" customHeight="1">
      <c r="B26" s="72" t="s">
        <v>6</v>
      </c>
      <c r="C26" s="73" t="str">
        <f t="shared" si="6"/>
        <v>12월분</v>
      </c>
      <c r="D26" s="72" t="s">
        <v>401</v>
      </c>
      <c r="E26" s="74">
        <f>SUMIFS(전체리스트!D:D,전체리스트!A:A,B26,전체리스트!C:C,D26)</f>
        <v>137165</v>
      </c>
      <c r="F26" s="75">
        <f t="shared" si="7"/>
        <v>41150</v>
      </c>
      <c r="G26" s="76">
        <f>SUMIFS(전체리스트!E:E,전체리스트!A:A,B26,전체리스트!C:C,D26)</f>
        <v>96015</v>
      </c>
      <c r="H26" s="74">
        <f t="shared" si="8"/>
        <v>4800.75</v>
      </c>
      <c r="I26" s="77">
        <f t="shared" si="9"/>
        <v>91214.25</v>
      </c>
      <c r="J26" s="72"/>
    </row>
    <row r="27" spans="2:10" ht="20.25" customHeight="1">
      <c r="B27" s="72" t="s">
        <v>6</v>
      </c>
      <c r="C27" s="73" t="str">
        <f t="shared" si="6"/>
        <v>12월분</v>
      </c>
      <c r="D27" s="72" t="s">
        <v>22</v>
      </c>
      <c r="E27" s="74">
        <f>SUMIFS(전체리스트!D:D,전체리스트!A:A,B27,전체리스트!C:C,D27)</f>
        <v>3603150.0999999996</v>
      </c>
      <c r="F27" s="75">
        <f t="shared" si="7"/>
        <v>1080945.0999999996</v>
      </c>
      <c r="G27" s="76">
        <f>SUMIFS(전체리스트!E:E,전체리스트!A:A,B27,전체리스트!C:C,D27)</f>
        <v>2522205</v>
      </c>
      <c r="H27" s="74">
        <f t="shared" si="8"/>
        <v>126110.25</v>
      </c>
      <c r="I27" s="77">
        <f t="shared" si="9"/>
        <v>2396094.75</v>
      </c>
      <c r="J27" s="72"/>
    </row>
    <row r="28" spans="2:10" ht="20.25" customHeight="1">
      <c r="B28" s="72" t="s">
        <v>6</v>
      </c>
      <c r="C28" s="73" t="str">
        <f t="shared" si="6"/>
        <v>12월분</v>
      </c>
      <c r="D28" s="72" t="s">
        <v>23</v>
      </c>
      <c r="E28" s="74">
        <f>SUMIFS(전체리스트!D:D,전체리스트!A:A,B28,전체리스트!C:C,D28)</f>
        <v>4078</v>
      </c>
      <c r="F28" s="75">
        <f t="shared" si="7"/>
        <v>1224</v>
      </c>
      <c r="G28" s="76">
        <f>SUMIFS(전체리스트!E:E,전체리스트!A:A,B28,전체리스트!C:C,D28)</f>
        <v>2854</v>
      </c>
      <c r="H28" s="74">
        <f t="shared" si="8"/>
        <v>142.70000000000002</v>
      </c>
      <c r="I28" s="77">
        <f t="shared" si="9"/>
        <v>2711.3</v>
      </c>
      <c r="J28" s="72"/>
    </row>
    <row r="29" spans="2:10" ht="20.25" customHeight="1">
      <c r="B29" s="72" t="s">
        <v>6</v>
      </c>
      <c r="C29" s="73" t="str">
        <f t="shared" ref="C29:C32" si="10">VLOOKUP(B29,raw_a,2,0)</f>
        <v>12월분</v>
      </c>
      <c r="D29" s="72" t="s">
        <v>24</v>
      </c>
      <c r="E29" s="74">
        <f>SUMIFS(전체리스트!D:D,전체리스트!A:A,B29,전체리스트!C:C,D29)</f>
        <v>2430</v>
      </c>
      <c r="F29" s="75">
        <f t="shared" ref="F29:F32" si="11">E29-G29</f>
        <v>729</v>
      </c>
      <c r="G29" s="76">
        <f>SUMIFS(전체리스트!E:E,전체리스트!A:A,B29,전체리스트!C:C,D29)</f>
        <v>1701</v>
      </c>
      <c r="H29" s="74">
        <f t="shared" ref="H29:H32" si="12">G29*0.05</f>
        <v>85.050000000000011</v>
      </c>
      <c r="I29" s="77">
        <f t="shared" ref="I29:I32" si="13">G29-H29</f>
        <v>1615.95</v>
      </c>
      <c r="J29" s="72"/>
    </row>
    <row r="30" spans="2:10" ht="20.25" customHeight="1">
      <c r="B30" s="72" t="s">
        <v>6</v>
      </c>
      <c r="C30" s="73" t="str">
        <f t="shared" si="10"/>
        <v>12월분</v>
      </c>
      <c r="D30" s="72" t="s">
        <v>25</v>
      </c>
      <c r="E30" s="74">
        <f>SUMIFS(전체리스트!D:D,전체리스트!A:A,B30,전체리스트!C:C,D30)</f>
        <v>4042</v>
      </c>
      <c r="F30" s="75">
        <f t="shared" si="11"/>
        <v>1214</v>
      </c>
      <c r="G30" s="76">
        <f>SUMIFS(전체리스트!E:E,전체리스트!A:A,B30,전체리스트!C:C,D30)</f>
        <v>2828</v>
      </c>
      <c r="H30" s="74">
        <f t="shared" si="12"/>
        <v>141.4</v>
      </c>
      <c r="I30" s="77">
        <f t="shared" si="13"/>
        <v>2686.6</v>
      </c>
      <c r="J30" s="72"/>
    </row>
    <row r="31" spans="2:10" ht="20.25" customHeight="1">
      <c r="B31" s="72" t="s">
        <v>6</v>
      </c>
      <c r="C31" s="73" t="str">
        <f t="shared" si="10"/>
        <v>12월분</v>
      </c>
      <c r="D31" s="72" t="s">
        <v>26</v>
      </c>
      <c r="E31" s="74">
        <f>SUMIFS(전체리스트!D:D,전체리스트!A:A,B31,전체리스트!C:C,D31)</f>
        <v>6040</v>
      </c>
      <c r="F31" s="75">
        <f t="shared" si="11"/>
        <v>1812</v>
      </c>
      <c r="G31" s="76">
        <f>SUMIFS(전체리스트!E:E,전체리스트!A:A,B31,전체리스트!C:C,D31)</f>
        <v>4228</v>
      </c>
      <c r="H31" s="74">
        <f t="shared" si="12"/>
        <v>211.4</v>
      </c>
      <c r="I31" s="77">
        <f t="shared" si="13"/>
        <v>4016.6</v>
      </c>
      <c r="J31" s="72"/>
    </row>
    <row r="32" spans="2:10" ht="20.25" customHeight="1">
      <c r="B32" s="72" t="s">
        <v>6</v>
      </c>
      <c r="C32" s="73" t="str">
        <f t="shared" si="10"/>
        <v>12월분</v>
      </c>
      <c r="D32" s="72" t="s">
        <v>528</v>
      </c>
      <c r="E32" s="74">
        <f>SUMIFS(전체리스트!D:D,전체리스트!A:A,B32,전체리스트!C:C,D32)</f>
        <v>23217</v>
      </c>
      <c r="F32" s="75">
        <f t="shared" si="11"/>
        <v>6965</v>
      </c>
      <c r="G32" s="76">
        <f>SUMIFS(전체리스트!E:E,전체리스트!A:A,B32,전체리스트!C:C,D32)</f>
        <v>16252</v>
      </c>
      <c r="H32" s="74">
        <f t="shared" si="12"/>
        <v>812.6</v>
      </c>
      <c r="I32" s="77">
        <f t="shared" si="13"/>
        <v>15439.4</v>
      </c>
      <c r="J32" s="72"/>
    </row>
    <row r="33" spans="1:10" ht="20.25" customHeight="1">
      <c r="B33" s="72" t="s">
        <v>6</v>
      </c>
      <c r="C33" s="73" t="str">
        <f t="shared" si="0"/>
        <v>12월분</v>
      </c>
      <c r="D33" s="72" t="s">
        <v>27</v>
      </c>
      <c r="E33" s="74">
        <f>SUMIFS(전체리스트!D:D,전체리스트!A:A,B33,전체리스트!C:C,D33)</f>
        <v>5973</v>
      </c>
      <c r="F33" s="75">
        <f t="shared" ref="F33" si="14">E33-G33</f>
        <v>1792</v>
      </c>
      <c r="G33" s="76">
        <f>SUMIFS(전체리스트!E:E,전체리스트!A:A,B33,전체리스트!C:C,D33)</f>
        <v>4181</v>
      </c>
      <c r="H33" s="74">
        <f t="shared" si="2"/>
        <v>209.05</v>
      </c>
      <c r="I33" s="77">
        <f t="shared" ref="I33" si="15">G33-H33</f>
        <v>3971.95</v>
      </c>
      <c r="J33" s="72"/>
    </row>
    <row r="34" spans="1:10" ht="20.25" customHeight="1">
      <c r="B34" s="72" t="s">
        <v>6</v>
      </c>
      <c r="C34" s="73" t="str">
        <f t="shared" ref="C34:C35" si="16">VLOOKUP(B34,raw_a,2,0)</f>
        <v>12월분</v>
      </c>
      <c r="D34" s="72" t="s">
        <v>390</v>
      </c>
      <c r="E34" s="74">
        <f>SUMIFS(전체리스트!D:D,전체리스트!A:A,B34,전체리스트!C:C,D34)</f>
        <v>80549</v>
      </c>
      <c r="F34" s="75">
        <f t="shared" ref="F34:F35" si="17">E34-G34</f>
        <v>24164</v>
      </c>
      <c r="G34" s="76">
        <f>SUMIFS(전체리스트!E:E,전체리스트!A:A,B34,전체리스트!C:C,D34)</f>
        <v>56385</v>
      </c>
      <c r="H34" s="74">
        <f t="shared" ref="H34:H35" si="18">G34*0.05</f>
        <v>2819.25</v>
      </c>
      <c r="I34" s="77">
        <f t="shared" ref="I34:I35" si="19">G34-H34</f>
        <v>53565.75</v>
      </c>
      <c r="J34" s="72"/>
    </row>
    <row r="35" spans="1:10" ht="20.25" customHeight="1">
      <c r="B35" s="72" t="s">
        <v>6</v>
      </c>
      <c r="C35" s="73" t="str">
        <f t="shared" si="16"/>
        <v>12월분</v>
      </c>
      <c r="D35" s="72" t="s">
        <v>28</v>
      </c>
      <c r="E35" s="74">
        <f>SUMIFS(전체리스트!D:D,전체리스트!A:A,B35,전체리스트!C:C,D35)</f>
        <v>20064.599999999999</v>
      </c>
      <c r="F35" s="75">
        <f t="shared" si="17"/>
        <v>6019.5999999999985</v>
      </c>
      <c r="G35" s="76">
        <f>SUMIFS(전체리스트!E:E,전체리스트!A:A,B35,전체리스트!C:C,D35)</f>
        <v>14045</v>
      </c>
      <c r="H35" s="74">
        <f t="shared" si="18"/>
        <v>702.25</v>
      </c>
      <c r="I35" s="77">
        <f t="shared" si="19"/>
        <v>13342.75</v>
      </c>
      <c r="J35" s="72"/>
    </row>
    <row r="36" spans="1:10" ht="20.25" customHeight="1">
      <c r="B36" s="72" t="s">
        <v>6</v>
      </c>
      <c r="C36" s="73" t="str">
        <f t="shared" ref="C36:C44" si="20">VLOOKUP(B36,raw_a,2,0)</f>
        <v>12월분</v>
      </c>
      <c r="D36" s="72" t="s">
        <v>29</v>
      </c>
      <c r="E36" s="74">
        <f>SUMIFS(전체리스트!D:D,전체리스트!A:A,B36,전체리스트!C:C,D36)</f>
        <v>89692</v>
      </c>
      <c r="F36" s="75">
        <f t="shared" ref="F36:F44" si="21">E36-G36</f>
        <v>26908</v>
      </c>
      <c r="G36" s="76">
        <f>SUMIFS(전체리스트!E:E,전체리스트!A:A,B36,전체리스트!C:C,D36)</f>
        <v>62784</v>
      </c>
      <c r="H36" s="74">
        <f t="shared" ref="H36:H44" si="22">G36*0.05</f>
        <v>3139.2000000000003</v>
      </c>
      <c r="I36" s="77">
        <f t="shared" ref="I36:I44" si="23">G36-H36</f>
        <v>59644.800000000003</v>
      </c>
      <c r="J36" s="72"/>
    </row>
    <row r="37" spans="1:10" ht="20.25" customHeight="1">
      <c r="B37" s="72" t="s">
        <v>6</v>
      </c>
      <c r="C37" s="73" t="str">
        <f t="shared" si="20"/>
        <v>12월분</v>
      </c>
      <c r="D37" s="72" t="s">
        <v>427</v>
      </c>
      <c r="E37" s="74">
        <f>SUMIFS(전체리스트!D:D,전체리스트!A:A,B37,전체리스트!C:C,D37)</f>
        <v>19110</v>
      </c>
      <c r="F37" s="75">
        <f t="shared" si="21"/>
        <v>5733</v>
      </c>
      <c r="G37" s="76">
        <f>SUMIFS(전체리스트!E:E,전체리스트!A:A,B37,전체리스트!C:C,D37)</f>
        <v>13377</v>
      </c>
      <c r="H37" s="74">
        <f t="shared" si="22"/>
        <v>668.85</v>
      </c>
      <c r="I37" s="77">
        <f t="shared" si="23"/>
        <v>12708.15</v>
      </c>
      <c r="J37" s="72"/>
    </row>
    <row r="38" spans="1:10" ht="20.25" customHeight="1">
      <c r="B38" s="72" t="s">
        <v>6</v>
      </c>
      <c r="C38" s="73" t="str">
        <f t="shared" si="20"/>
        <v>12월분</v>
      </c>
      <c r="D38" s="72" t="s">
        <v>30</v>
      </c>
      <c r="E38" s="74">
        <f>SUMIFS(전체리스트!D:D,전체리스트!A:A,B38,전체리스트!C:C,D38)</f>
        <v>1280122.8</v>
      </c>
      <c r="F38" s="75">
        <f t="shared" si="21"/>
        <v>384037.80000000005</v>
      </c>
      <c r="G38" s="76">
        <f>SUMIFS(전체리스트!E:E,전체리스트!A:A,B38,전체리스트!C:C,D38)</f>
        <v>896085</v>
      </c>
      <c r="H38" s="74">
        <f t="shared" si="22"/>
        <v>44804.25</v>
      </c>
      <c r="I38" s="77">
        <f t="shared" si="23"/>
        <v>851280.75</v>
      </c>
      <c r="J38" s="72"/>
    </row>
    <row r="39" spans="1:10" ht="20.25" customHeight="1">
      <c r="B39" s="72" t="s">
        <v>6</v>
      </c>
      <c r="C39" s="73" t="str">
        <f t="shared" si="20"/>
        <v>12월분</v>
      </c>
      <c r="D39" s="72" t="s">
        <v>31</v>
      </c>
      <c r="E39" s="74">
        <f>SUMIFS(전체리스트!D:D,전체리스트!A:A,B39,전체리스트!C:C,D39)</f>
        <v>-825</v>
      </c>
      <c r="F39" s="75">
        <f t="shared" si="21"/>
        <v>-247</v>
      </c>
      <c r="G39" s="76">
        <f>SUMIFS(전체리스트!E:E,전체리스트!A:A,B39,전체리스트!C:C,D39)</f>
        <v>-578</v>
      </c>
      <c r="H39" s="74">
        <f t="shared" si="22"/>
        <v>-28.900000000000002</v>
      </c>
      <c r="I39" s="77">
        <f t="shared" si="23"/>
        <v>-549.1</v>
      </c>
      <c r="J39" s="72"/>
    </row>
    <row r="40" spans="1:10" ht="20.25" customHeight="1">
      <c r="B40" s="72" t="s">
        <v>6</v>
      </c>
      <c r="C40" s="73" t="str">
        <f t="shared" si="20"/>
        <v>12월분</v>
      </c>
      <c r="D40" s="72" t="s">
        <v>32</v>
      </c>
      <c r="E40" s="74">
        <f>SUMIFS(전체리스트!D:D,전체리스트!A:A,B40,전체리스트!C:C,D40)</f>
        <v>7549144</v>
      </c>
      <c r="F40" s="75">
        <f t="shared" si="21"/>
        <v>2264742</v>
      </c>
      <c r="G40" s="76">
        <f>SUMIFS(전체리스트!E:E,전체리스트!A:A,B40,전체리스트!C:C,D40)</f>
        <v>5284402</v>
      </c>
      <c r="H40" s="74">
        <f t="shared" si="22"/>
        <v>264220.10000000003</v>
      </c>
      <c r="I40" s="77">
        <f t="shared" si="23"/>
        <v>5020181.9000000004</v>
      </c>
      <c r="J40" s="72"/>
    </row>
    <row r="41" spans="1:10" ht="20.25" customHeight="1">
      <c r="B41" s="72" t="s">
        <v>6</v>
      </c>
      <c r="C41" s="73" t="str">
        <f t="shared" si="20"/>
        <v>12월분</v>
      </c>
      <c r="D41" s="72" t="s">
        <v>413</v>
      </c>
      <c r="E41" s="74">
        <f>SUMIFS(전체리스트!D:D,전체리스트!A:A,B41,전체리스트!C:C,D41)</f>
        <v>5233084</v>
      </c>
      <c r="F41" s="75">
        <f t="shared" si="21"/>
        <v>1569925</v>
      </c>
      <c r="G41" s="76">
        <f>SUMIFS(전체리스트!E:E,전체리스트!A:A,B41,전체리스트!C:C,D41)</f>
        <v>3663159</v>
      </c>
      <c r="H41" s="74">
        <f t="shared" si="22"/>
        <v>183157.95</v>
      </c>
      <c r="I41" s="77">
        <f t="shared" si="23"/>
        <v>3480001.05</v>
      </c>
      <c r="J41" s="72"/>
    </row>
    <row r="42" spans="1:10" ht="20.25" customHeight="1">
      <c r="B42" s="72" t="s">
        <v>6</v>
      </c>
      <c r="C42" s="73" t="str">
        <f t="shared" si="20"/>
        <v>12월분</v>
      </c>
      <c r="D42" s="72" t="s">
        <v>33</v>
      </c>
      <c r="E42" s="74">
        <f>SUMIFS(전체리스트!D:D,전체리스트!A:A,B42,전체리스트!C:C,D42)</f>
        <v>2255</v>
      </c>
      <c r="F42" s="75">
        <f t="shared" si="21"/>
        <v>676</v>
      </c>
      <c r="G42" s="76">
        <f>SUMIFS(전체리스트!E:E,전체리스트!A:A,B42,전체리스트!C:C,D42)</f>
        <v>1579</v>
      </c>
      <c r="H42" s="74">
        <f t="shared" si="22"/>
        <v>78.95</v>
      </c>
      <c r="I42" s="77">
        <f t="shared" si="23"/>
        <v>1500.05</v>
      </c>
      <c r="J42" s="72"/>
    </row>
    <row r="43" spans="1:10" ht="20.25" customHeight="1">
      <c r="B43" s="72" t="s">
        <v>6</v>
      </c>
      <c r="C43" s="73" t="str">
        <f t="shared" si="20"/>
        <v>12월분</v>
      </c>
      <c r="D43" s="72" t="s">
        <v>360</v>
      </c>
      <c r="E43" s="74">
        <f>SUMIFS(전체리스트!D:D,전체리스트!A:A,B43,전체리스트!C:C,D43)</f>
        <v>780464.4</v>
      </c>
      <c r="F43" s="75">
        <f t="shared" si="21"/>
        <v>234137.40000000002</v>
      </c>
      <c r="G43" s="76">
        <f>SUMIFS(전체리스트!E:E,전체리스트!A:A,B43,전체리스트!C:C,D43)</f>
        <v>546327</v>
      </c>
      <c r="H43" s="74">
        <f t="shared" si="22"/>
        <v>27316.350000000002</v>
      </c>
      <c r="I43" s="77">
        <f t="shared" si="23"/>
        <v>519010.65</v>
      </c>
      <c r="J43" s="72"/>
    </row>
    <row r="44" spans="1:10" ht="20.25" customHeight="1">
      <c r="B44" s="72" t="s">
        <v>6</v>
      </c>
      <c r="C44" s="73" t="str">
        <f t="shared" si="20"/>
        <v>12월분</v>
      </c>
      <c r="D44" s="72" t="s">
        <v>373</v>
      </c>
      <c r="E44" s="74">
        <f>SUMIFS(전체리스트!D:D,전체리스트!A:A,B44,전체리스트!C:C,D44)</f>
        <v>5044372.2</v>
      </c>
      <c r="F44" s="75">
        <f t="shared" si="21"/>
        <v>1513310.2000000002</v>
      </c>
      <c r="G44" s="76">
        <f>SUMIFS(전체리스트!E:E,전체리스트!A:A,B44,전체리스트!C:C,D44)</f>
        <v>3531062</v>
      </c>
      <c r="H44" s="74">
        <f t="shared" si="22"/>
        <v>176553.1</v>
      </c>
      <c r="I44" s="77">
        <f t="shared" si="23"/>
        <v>3354508.9</v>
      </c>
      <c r="J44" s="72"/>
    </row>
    <row r="45" spans="1:10" ht="20.25" customHeight="1">
      <c r="B45" s="72" t="s">
        <v>6</v>
      </c>
      <c r="C45" s="73" t="str">
        <f t="shared" ref="C45:C46" si="24">VLOOKUP(B45,raw_a,2,0)</f>
        <v>12월분</v>
      </c>
      <c r="D45" s="72" t="s">
        <v>34</v>
      </c>
      <c r="E45" s="74">
        <f>SUMIFS(전체리스트!D:D,전체리스트!A:A,B45,전체리스트!C:C,D45)</f>
        <v>180</v>
      </c>
      <c r="F45" s="75">
        <f t="shared" ref="F45:F46" si="25">E45-G45</f>
        <v>54</v>
      </c>
      <c r="G45" s="76">
        <f>SUMIFS(전체리스트!E:E,전체리스트!A:A,B45,전체리스트!C:C,D45)</f>
        <v>126</v>
      </c>
      <c r="H45" s="74">
        <f t="shared" ref="H45:H46" si="26">G45*0.05</f>
        <v>6.3000000000000007</v>
      </c>
      <c r="I45" s="77">
        <f t="shared" ref="I45:I46" si="27">G45-H45</f>
        <v>119.7</v>
      </c>
      <c r="J45" s="72"/>
    </row>
    <row r="46" spans="1:10" ht="20.25" customHeight="1">
      <c r="B46" s="72" t="s">
        <v>6</v>
      </c>
      <c r="C46" s="73" t="str">
        <f t="shared" si="24"/>
        <v>12월분</v>
      </c>
      <c r="D46" s="72" t="s">
        <v>35</v>
      </c>
      <c r="E46" s="74">
        <f>SUMIFS(전체리스트!D:D,전체리스트!A:A,B46,전체리스트!C:C,D46)</f>
        <v>18526</v>
      </c>
      <c r="F46" s="75">
        <f t="shared" si="25"/>
        <v>5558</v>
      </c>
      <c r="G46" s="76">
        <f>SUMIFS(전체리스트!E:E,전체리스트!A:A,B46,전체리스트!C:C,D46)</f>
        <v>12968</v>
      </c>
      <c r="H46" s="74">
        <f t="shared" si="26"/>
        <v>648.40000000000009</v>
      </c>
      <c r="I46" s="77">
        <f t="shared" si="27"/>
        <v>12319.6</v>
      </c>
      <c r="J46" s="72"/>
    </row>
    <row r="47" spans="1:10" ht="20.25" customHeight="1">
      <c r="A47"/>
      <c r="B47" s="100" t="s">
        <v>6</v>
      </c>
      <c r="C47" s="101" t="str">
        <f t="shared" ref="C47:C51" si="28">VLOOKUP(B47,raw_a,2,0)</f>
        <v>12월분</v>
      </c>
      <c r="D47" s="100" t="s">
        <v>36</v>
      </c>
      <c r="E47" s="102">
        <f>SUMIFS(전체리스트!D:D,전체리스트!A:A,B47,전체리스트!C:C,D47)</f>
        <v>208476</v>
      </c>
      <c r="F47" s="103">
        <f t="shared" ref="F47:F51" si="29">E47-G47</f>
        <v>62542</v>
      </c>
      <c r="G47" s="104">
        <f>SUMIFS(전체리스트!E:E,전체리스트!A:A,B47,전체리스트!C:C,D47)</f>
        <v>145934</v>
      </c>
      <c r="H47" s="102">
        <f t="shared" ref="H47:H51" si="30">G47*0.05</f>
        <v>7296.7000000000007</v>
      </c>
      <c r="I47" s="105">
        <f t="shared" ref="I47:I51" si="31">G47-H47</f>
        <v>138637.29999999999</v>
      </c>
      <c r="J47" s="100"/>
    </row>
    <row r="48" spans="1:10" ht="20.25" customHeight="1">
      <c r="A48"/>
      <c r="B48" s="100" t="s">
        <v>6</v>
      </c>
      <c r="C48" s="101" t="str">
        <f t="shared" si="28"/>
        <v>12월분</v>
      </c>
      <c r="D48" s="100" t="s">
        <v>112</v>
      </c>
      <c r="E48" s="102">
        <f>SUMIFS(전체리스트!D:D,전체리스트!A:A,B48,전체리스트!C:C,D48)</f>
        <v>5567933.4000000004</v>
      </c>
      <c r="F48" s="103">
        <f t="shared" si="29"/>
        <v>1670380.4000000004</v>
      </c>
      <c r="G48" s="104">
        <f>SUMIFS(전체리스트!E:E,전체리스트!A:A,B48,전체리스트!C:C,D48)</f>
        <v>3897553</v>
      </c>
      <c r="H48" s="102">
        <f t="shared" si="30"/>
        <v>194877.65000000002</v>
      </c>
      <c r="I48" s="105">
        <f t="shared" si="31"/>
        <v>3702675.35</v>
      </c>
      <c r="J48" s="100"/>
    </row>
    <row r="49" spans="1:10" ht="20.25" customHeight="1">
      <c r="A49"/>
      <c r="B49" s="100" t="s">
        <v>6</v>
      </c>
      <c r="C49" s="101" t="str">
        <f t="shared" si="28"/>
        <v>12월분</v>
      </c>
      <c r="D49" s="100" t="s">
        <v>37</v>
      </c>
      <c r="E49" s="102">
        <f>SUMIFS(전체리스트!D:D,전체리스트!A:A,B49,전체리스트!C:C,D49)</f>
        <v>149033.4</v>
      </c>
      <c r="F49" s="103">
        <f t="shared" si="29"/>
        <v>44710.399999999994</v>
      </c>
      <c r="G49" s="104">
        <f>SUMIFS(전체리스트!E:E,전체리스트!A:A,B49,전체리스트!C:C,D49)</f>
        <v>104323</v>
      </c>
      <c r="H49" s="102">
        <f t="shared" si="30"/>
        <v>5216.1500000000005</v>
      </c>
      <c r="I49" s="105">
        <f t="shared" si="31"/>
        <v>99106.85</v>
      </c>
      <c r="J49" s="100"/>
    </row>
    <row r="50" spans="1:10" ht="20.25" customHeight="1">
      <c r="A50"/>
      <c r="B50" s="100" t="s">
        <v>6</v>
      </c>
      <c r="C50" s="101" t="str">
        <f t="shared" si="28"/>
        <v>12월분</v>
      </c>
      <c r="D50" s="100" t="s">
        <v>38</v>
      </c>
      <c r="E50" s="102">
        <f>SUMIFS(전체리스트!D:D,전체리스트!A:A,B50,전체리스트!C:C,D50)</f>
        <v>196763</v>
      </c>
      <c r="F50" s="103">
        <f t="shared" si="29"/>
        <v>59030</v>
      </c>
      <c r="G50" s="104">
        <f>SUMIFS(전체리스트!E:E,전체리스트!A:A,B50,전체리스트!C:C,D50)</f>
        <v>137733</v>
      </c>
      <c r="H50" s="102">
        <f t="shared" si="30"/>
        <v>6886.6500000000005</v>
      </c>
      <c r="I50" s="105">
        <f t="shared" si="31"/>
        <v>130846.35</v>
      </c>
      <c r="J50" s="100"/>
    </row>
    <row r="51" spans="1:10" ht="20.25" customHeight="1">
      <c r="A51"/>
      <c r="B51" s="100" t="s">
        <v>6</v>
      </c>
      <c r="C51" s="101" t="str">
        <f t="shared" si="28"/>
        <v>12월분</v>
      </c>
      <c r="D51" s="100" t="s">
        <v>39</v>
      </c>
      <c r="E51" s="102">
        <f>SUMIFS(전체리스트!D:D,전체리스트!A:A,B51,전체리스트!C:C,D51)</f>
        <v>45772</v>
      </c>
      <c r="F51" s="103">
        <f t="shared" si="29"/>
        <v>13731</v>
      </c>
      <c r="G51" s="104">
        <f>SUMIFS(전체리스트!E:E,전체리스트!A:A,B51,전체리스트!C:C,D51)</f>
        <v>32041</v>
      </c>
      <c r="H51" s="102">
        <f t="shared" si="30"/>
        <v>1602.0500000000002</v>
      </c>
      <c r="I51" s="105">
        <f t="shared" si="31"/>
        <v>30438.95</v>
      </c>
      <c r="J51" s="100"/>
    </row>
    <row r="52" spans="1:10" ht="20.25" customHeight="1">
      <c r="A52"/>
      <c r="B52" s="100" t="s">
        <v>6</v>
      </c>
      <c r="C52" s="101" t="str">
        <f t="shared" ref="C52:C59" si="32">VLOOKUP(B52,raw_a,2,0)</f>
        <v>12월분</v>
      </c>
      <c r="D52" s="100" t="s">
        <v>40</v>
      </c>
      <c r="E52" s="102">
        <f>SUMIFS(전체리스트!D:D,전체리스트!A:A,B52,전체리스트!C:C,D52)</f>
        <v>145734.20000000001</v>
      </c>
      <c r="F52" s="103">
        <f t="shared" ref="F52:F59" si="33">E52-G52</f>
        <v>43720.200000000012</v>
      </c>
      <c r="G52" s="104">
        <f>SUMIFS(전체리스트!E:E,전체리스트!A:A,B52,전체리스트!C:C,D52)</f>
        <v>102014</v>
      </c>
      <c r="H52" s="102">
        <f t="shared" ref="H52:H59" si="34">G52*0.05</f>
        <v>5100.7000000000007</v>
      </c>
      <c r="I52" s="105">
        <f t="shared" ref="I52:I59" si="35">G52-H52</f>
        <v>96913.3</v>
      </c>
      <c r="J52" s="100"/>
    </row>
    <row r="53" spans="1:10" ht="20.25" customHeight="1">
      <c r="A53"/>
      <c r="B53" s="100" t="s">
        <v>6</v>
      </c>
      <c r="C53" s="101" t="str">
        <f t="shared" si="32"/>
        <v>12월분</v>
      </c>
      <c r="D53" s="100" t="s">
        <v>41</v>
      </c>
      <c r="E53" s="102">
        <f>SUMIFS(전체리스트!D:D,전체리스트!A:A,B53,전체리스트!C:C,D53)</f>
        <v>52735</v>
      </c>
      <c r="F53" s="103">
        <f t="shared" si="33"/>
        <v>15820</v>
      </c>
      <c r="G53" s="104">
        <f>SUMIFS(전체리스트!E:E,전체리스트!A:A,B53,전체리스트!C:C,D53)</f>
        <v>36915</v>
      </c>
      <c r="H53" s="102">
        <f t="shared" si="34"/>
        <v>1845.75</v>
      </c>
      <c r="I53" s="105">
        <f t="shared" si="35"/>
        <v>35069.25</v>
      </c>
      <c r="J53" s="100"/>
    </row>
    <row r="54" spans="1:10" ht="20.25" customHeight="1">
      <c r="B54" s="72" t="s">
        <v>6</v>
      </c>
      <c r="C54" s="73" t="str">
        <f t="shared" si="32"/>
        <v>12월분</v>
      </c>
      <c r="D54" s="72" t="s">
        <v>42</v>
      </c>
      <c r="E54" s="74">
        <f>SUMIFS(전체리스트!D:D,전체리스트!A:A,B54,전체리스트!C:C,D54)</f>
        <v>2762241.6999999997</v>
      </c>
      <c r="F54" s="75">
        <f t="shared" si="33"/>
        <v>1104897.6999999997</v>
      </c>
      <c r="G54" s="76">
        <f>SUMIFS(전체리스트!E:E,전체리스트!A:A,B54,전체리스트!C:C,D54)</f>
        <v>1657344</v>
      </c>
      <c r="H54" s="74">
        <f t="shared" si="34"/>
        <v>82867.200000000012</v>
      </c>
      <c r="I54" s="77">
        <f t="shared" si="35"/>
        <v>1574476.8</v>
      </c>
      <c r="J54" s="72"/>
    </row>
    <row r="55" spans="1:10" ht="20.25" customHeight="1">
      <c r="A55"/>
      <c r="B55" s="100" t="s">
        <v>6</v>
      </c>
      <c r="C55" s="101" t="str">
        <f t="shared" si="32"/>
        <v>12월분</v>
      </c>
      <c r="D55" s="100" t="s">
        <v>43</v>
      </c>
      <c r="E55" s="102">
        <f>SUMIFS(전체리스트!D:D,전체리스트!A:A,B55,전체리스트!C:C,D55)</f>
        <v>122947.2</v>
      </c>
      <c r="F55" s="103">
        <f t="shared" si="33"/>
        <v>41781.199999999997</v>
      </c>
      <c r="G55" s="104">
        <f>SUMIFS(전체리스트!E:E,전체리스트!A:A,B55,전체리스트!C:C,D55)</f>
        <v>81166</v>
      </c>
      <c r="H55" s="102">
        <f t="shared" si="34"/>
        <v>4058.3</v>
      </c>
      <c r="I55" s="105">
        <f t="shared" si="35"/>
        <v>77107.7</v>
      </c>
      <c r="J55" s="100"/>
    </row>
    <row r="56" spans="1:10" ht="20.25" customHeight="1">
      <c r="A56"/>
      <c r="B56" s="100" t="s">
        <v>6</v>
      </c>
      <c r="C56" s="101" t="str">
        <f t="shared" si="32"/>
        <v>12월분</v>
      </c>
      <c r="D56" s="100" t="s">
        <v>551</v>
      </c>
      <c r="E56" s="102">
        <f>SUMIFS(전체리스트!D:D,전체리스트!A:A,B56,전체리스트!C:C,D56)</f>
        <v>74442</v>
      </c>
      <c r="F56" s="103">
        <f t="shared" si="33"/>
        <v>29777</v>
      </c>
      <c r="G56" s="104">
        <f>SUMIFS(전체리스트!E:E,전체리스트!A:A,B56,전체리스트!C:C,D56)</f>
        <v>44665</v>
      </c>
      <c r="H56" s="102">
        <f t="shared" si="34"/>
        <v>2233.25</v>
      </c>
      <c r="I56" s="105">
        <f t="shared" si="35"/>
        <v>42431.75</v>
      </c>
      <c r="J56" s="100"/>
    </row>
    <row r="57" spans="1:10" ht="20.25" customHeight="1">
      <c r="A57"/>
      <c r="B57" s="100" t="s">
        <v>6</v>
      </c>
      <c r="C57" s="101" t="str">
        <f t="shared" si="32"/>
        <v>12월분</v>
      </c>
      <c r="D57" s="100" t="s">
        <v>44</v>
      </c>
      <c r="E57" s="102">
        <f>SUMIFS(전체리스트!D:D,전체리스트!A:A,B57,전체리스트!C:C,D57)</f>
        <v>327896</v>
      </c>
      <c r="F57" s="103">
        <f t="shared" si="33"/>
        <v>131160</v>
      </c>
      <c r="G57" s="104">
        <f>SUMIFS(전체리스트!E:E,전체리스트!A:A,B57,전체리스트!C:C,D57)</f>
        <v>196736</v>
      </c>
      <c r="H57" s="102">
        <f t="shared" si="34"/>
        <v>9836.8000000000011</v>
      </c>
      <c r="I57" s="105">
        <f t="shared" si="35"/>
        <v>186899.20000000001</v>
      </c>
      <c r="J57" s="100"/>
    </row>
    <row r="58" spans="1:10" ht="20.25" customHeight="1">
      <c r="A58"/>
      <c r="B58" s="100" t="s">
        <v>6</v>
      </c>
      <c r="C58" s="101" t="str">
        <f t="shared" si="32"/>
        <v>12월분</v>
      </c>
      <c r="D58" s="100" t="s">
        <v>45</v>
      </c>
      <c r="E58" s="102">
        <f>SUMIFS(전체리스트!D:D,전체리스트!A:A,B58,전체리스트!C:C,D58)</f>
        <v>579755.69999999995</v>
      </c>
      <c r="F58" s="103">
        <f t="shared" si="33"/>
        <v>231903.69999999995</v>
      </c>
      <c r="G58" s="104">
        <f>SUMIFS(전체리스트!E:E,전체리스트!A:A,B58,전체리스트!C:C,D58)</f>
        <v>347852</v>
      </c>
      <c r="H58" s="102">
        <f t="shared" si="34"/>
        <v>17392.600000000002</v>
      </c>
      <c r="I58" s="105">
        <f t="shared" si="35"/>
        <v>330459.40000000002</v>
      </c>
      <c r="J58" s="100"/>
    </row>
    <row r="59" spans="1:10" ht="20.25" customHeight="1">
      <c r="A59"/>
      <c r="B59" s="100" t="s">
        <v>6</v>
      </c>
      <c r="C59" s="101" t="str">
        <f t="shared" si="32"/>
        <v>12월분</v>
      </c>
      <c r="D59" s="100" t="s">
        <v>361</v>
      </c>
      <c r="E59" s="102">
        <f>SUMIFS(전체리스트!D:D,전체리스트!A:A,B59,전체리스트!C:C,D59)</f>
        <v>325329.2</v>
      </c>
      <c r="F59" s="103">
        <f t="shared" si="33"/>
        <v>130132.20000000001</v>
      </c>
      <c r="G59" s="104">
        <f>SUMIFS(전체리스트!E:E,전체리스트!A:A,B59,전체리스트!C:C,D59)</f>
        <v>195197</v>
      </c>
      <c r="H59" s="102">
        <f t="shared" si="34"/>
        <v>9759.85</v>
      </c>
      <c r="I59" s="105">
        <f t="shared" si="35"/>
        <v>185437.15</v>
      </c>
      <c r="J59" s="100"/>
    </row>
    <row r="60" spans="1:10" ht="20.25" customHeight="1">
      <c r="A60"/>
      <c r="B60" s="100" t="s">
        <v>6</v>
      </c>
      <c r="C60" s="101" t="str">
        <f t="shared" ref="C60" si="36">VLOOKUP(B60,raw_a,2,0)</f>
        <v>12월분</v>
      </c>
      <c r="D60" s="100" t="s">
        <v>46</v>
      </c>
      <c r="E60" s="102">
        <f>SUMIFS(전체리스트!D:D,전체리스트!A:A,B60,전체리스트!C:C,D60)</f>
        <v>3492073.5</v>
      </c>
      <c r="F60" s="103">
        <f t="shared" ref="F60" si="37">E60-G60</f>
        <v>1396829.5</v>
      </c>
      <c r="G60" s="104">
        <f>SUMIFS(전체리스트!E:E,전체리스트!A:A,B60,전체리스트!C:C,D60)</f>
        <v>2095244</v>
      </c>
      <c r="H60" s="102">
        <f t="shared" ref="H60" si="38">G60*0.05</f>
        <v>104762.20000000001</v>
      </c>
      <c r="I60" s="105">
        <f t="shared" ref="I60" si="39">G60-H60</f>
        <v>1990481.8</v>
      </c>
      <c r="J60" s="100"/>
    </row>
    <row r="61" spans="1:10" ht="20.25" customHeight="1">
      <c r="B61" s="24" t="s">
        <v>47</v>
      </c>
      <c r="C61" s="73" t="str">
        <f t="shared" si="0"/>
        <v>12월분</v>
      </c>
      <c r="D61" s="135" t="s">
        <v>42</v>
      </c>
      <c r="E61" s="74">
        <f>SUMIFS(전체리스트!D:D,전체리스트!A:A,B61,전체리스트!C:C,D61)</f>
        <v>695373</v>
      </c>
      <c r="F61" s="75">
        <f t="shared" si="1"/>
        <v>316449</v>
      </c>
      <c r="G61" s="76">
        <f>SUMIFS(전체리스트!E:E,전체리스트!A:A,B61,전체리스트!C:C,D61)</f>
        <v>378924</v>
      </c>
      <c r="H61" s="74">
        <f t="shared" si="2"/>
        <v>18946.2</v>
      </c>
      <c r="I61" s="77">
        <f t="shared" si="3"/>
        <v>359977.8</v>
      </c>
      <c r="J61" s="72"/>
    </row>
    <row r="62" spans="1:10" ht="20.25" customHeight="1">
      <c r="B62" s="24" t="s">
        <v>47</v>
      </c>
      <c r="C62" s="73" t="str">
        <f t="shared" si="0"/>
        <v>12월분</v>
      </c>
      <c r="D62" s="135" t="s">
        <v>44</v>
      </c>
      <c r="E62" s="74">
        <f>SUMIFS(전체리스트!D:D,전체리스트!A:A,B62,전체리스트!C:C,D62)</f>
        <v>173243</v>
      </c>
      <c r="F62" s="75">
        <f t="shared" si="1"/>
        <v>85590</v>
      </c>
      <c r="G62" s="76">
        <f>SUMIFS(전체리스트!E:E,전체리스트!A:A,B62,전체리스트!C:C,D62)</f>
        <v>87653</v>
      </c>
      <c r="H62" s="74">
        <f t="shared" si="2"/>
        <v>4382.6500000000005</v>
      </c>
      <c r="I62" s="77">
        <f t="shared" si="3"/>
        <v>83270.350000000006</v>
      </c>
      <c r="J62" s="72"/>
    </row>
    <row r="63" spans="1:10" ht="20.25" customHeight="1">
      <c r="B63" s="24" t="s">
        <v>47</v>
      </c>
      <c r="C63" s="73" t="str">
        <f t="shared" ref="C63" si="40">VLOOKUP(B63,raw_a,2,0)</f>
        <v>12월분</v>
      </c>
      <c r="D63" s="135" t="s">
        <v>45</v>
      </c>
      <c r="E63" s="74">
        <f>SUMIFS(전체리스트!D:D,전체리스트!A:A,B63,전체리스트!C:C,D63)</f>
        <v>243572</v>
      </c>
      <c r="F63" s="75">
        <f t="shared" ref="F63" si="41">E63-G63</f>
        <v>114527</v>
      </c>
      <c r="G63" s="76">
        <f>SUMIFS(전체리스트!E:E,전체리스트!A:A,B63,전체리스트!C:C,D63)</f>
        <v>129045</v>
      </c>
      <c r="H63" s="74">
        <f t="shared" ref="H63" si="42">G63*0.05</f>
        <v>6452.25</v>
      </c>
      <c r="I63" s="77">
        <f t="shared" ref="I63" si="43">G63-H63</f>
        <v>122592.75</v>
      </c>
      <c r="J63" s="72"/>
    </row>
    <row r="64" spans="1:10" ht="20.25" customHeight="1">
      <c r="A64"/>
      <c r="B64" s="24" t="s">
        <v>48</v>
      </c>
      <c r="C64" s="101" t="str">
        <f>VLOOKUP(B64,raw_a,2,0)</f>
        <v>11월분</v>
      </c>
      <c r="D64" s="139" t="s">
        <v>42</v>
      </c>
      <c r="E64" s="102">
        <f>SUMIFS(전체리스트!D:D,전체리스트!A:A,B64,전체리스트!C:C,D64)</f>
        <v>26480</v>
      </c>
      <c r="F64" s="103">
        <f>E64-G64</f>
        <v>0</v>
      </c>
      <c r="G64" s="104">
        <f>SUMIFS(전체리스트!E:E,전체리스트!A:A,B64,전체리스트!C:C,D64)</f>
        <v>26480</v>
      </c>
      <c r="H64" s="102">
        <f>G64*0.05</f>
        <v>1324</v>
      </c>
      <c r="I64" s="105">
        <f>G64-H64</f>
        <v>25156</v>
      </c>
      <c r="J64" s="100"/>
    </row>
    <row r="65" spans="1:10" ht="20.25" customHeight="1">
      <c r="A65"/>
      <c r="B65" s="24" t="s">
        <v>48</v>
      </c>
      <c r="C65" s="101" t="str">
        <f>VLOOKUP(B65,raw_a,2,0)</f>
        <v>11월분</v>
      </c>
      <c r="D65" s="139" t="s">
        <v>43</v>
      </c>
      <c r="E65" s="102">
        <f>SUMIFS(전체리스트!D:D,전체리스트!A:A,B65,전체리스트!C:C,D65)</f>
        <v>2816</v>
      </c>
      <c r="F65" s="103">
        <f>E65-G65</f>
        <v>0</v>
      </c>
      <c r="G65" s="104">
        <f>SUMIFS(전체리스트!E:E,전체리스트!A:A,B65,전체리스트!C:C,D65)</f>
        <v>2816</v>
      </c>
      <c r="H65" s="102">
        <f>G65*0.05</f>
        <v>140.80000000000001</v>
      </c>
      <c r="I65" s="105">
        <f>G65-H65</f>
        <v>2675.2</v>
      </c>
      <c r="J65" s="100"/>
    </row>
    <row r="66" spans="1:10" ht="20.25" customHeight="1">
      <c r="A66"/>
      <c r="B66" s="24" t="s">
        <v>48</v>
      </c>
      <c r="C66" s="101" t="str">
        <f>VLOOKUP(B66,raw_a,2,0)</f>
        <v>11월분</v>
      </c>
      <c r="D66" s="139" t="s">
        <v>46</v>
      </c>
      <c r="E66" s="102">
        <f>SUMIFS(전체리스트!D:D,전체리스트!A:A,B66,전체리스트!C:C,D66)</f>
        <v>35618</v>
      </c>
      <c r="F66" s="103">
        <f>E66-G66</f>
        <v>0</v>
      </c>
      <c r="G66" s="104">
        <f>SUMIFS(전체리스트!E:E,전체리스트!A:A,B66,전체리스트!C:C,D66)</f>
        <v>35618</v>
      </c>
      <c r="H66" s="102">
        <f>G66*0.05</f>
        <v>1780.9</v>
      </c>
      <c r="I66" s="105">
        <f>G66-H66</f>
        <v>33837.1</v>
      </c>
      <c r="J66" s="100"/>
    </row>
    <row r="67" spans="1:10" ht="20.25" customHeight="1">
      <c r="A67"/>
      <c r="B67" s="24" t="s">
        <v>48</v>
      </c>
      <c r="C67" s="101" t="str">
        <f>VLOOKUP(B67,raw_a,2,0)</f>
        <v>11월분</v>
      </c>
      <c r="D67" s="139" t="s">
        <v>36</v>
      </c>
      <c r="E67" s="102">
        <f>SUMIFS(전체리스트!D:D,전체리스트!A:A,B67,전체리스트!C:C,D67)</f>
        <v>1245</v>
      </c>
      <c r="F67" s="103">
        <f>E67-G67</f>
        <v>0</v>
      </c>
      <c r="G67" s="104">
        <f>SUMIFS(전체리스트!E:E,전체리스트!A:A,B67,전체리스트!C:C,D67)</f>
        <v>1245</v>
      </c>
      <c r="H67" s="102">
        <f>G67*0.05</f>
        <v>62.25</v>
      </c>
      <c r="I67" s="105">
        <f>G67-H67</f>
        <v>1182.75</v>
      </c>
      <c r="J67" s="100"/>
    </row>
    <row r="68" spans="1:10" ht="20.25" customHeight="1">
      <c r="B68" s="24" t="s">
        <v>48</v>
      </c>
      <c r="C68" s="73" t="str">
        <f t="shared" si="0"/>
        <v>11월분</v>
      </c>
      <c r="D68" s="135" t="s">
        <v>139</v>
      </c>
      <c r="E68" s="102">
        <f>SUMIFS(전체리스트!D:D,전체리스트!A:A,B68,전체리스트!C:C,D68)</f>
        <v>21927</v>
      </c>
      <c r="F68" s="75">
        <f t="shared" si="1"/>
        <v>0</v>
      </c>
      <c r="G68" s="76">
        <f>SUMIFS(전체리스트!E:E,전체리스트!A:A,B68,전체리스트!C:C,D68)</f>
        <v>21927</v>
      </c>
      <c r="H68" s="74">
        <f t="shared" si="2"/>
        <v>1096.3500000000001</v>
      </c>
      <c r="I68" s="77">
        <f t="shared" si="3"/>
        <v>20830.650000000001</v>
      </c>
      <c r="J68" s="72"/>
    </row>
    <row r="69" spans="1:10" ht="20.25" customHeight="1">
      <c r="B69" s="24" t="s">
        <v>462</v>
      </c>
      <c r="C69" s="73" t="str">
        <f>VLOOKUP(B69,raw_a,2,0)</f>
        <v>10월분</v>
      </c>
      <c r="D69" s="135" t="s">
        <v>139</v>
      </c>
      <c r="E69" s="102">
        <f>SUMIFS(전체리스트!D:D,전체리스트!A:A,B69,전체리스트!C:C,D69)</f>
        <v>109726</v>
      </c>
      <c r="F69" s="75"/>
      <c r="G69" s="76">
        <f>SUMIFS(전체리스트!E:E,전체리스트!A:A,B69,전체리스트!C:C,D69)</f>
        <v>109726</v>
      </c>
      <c r="H69" s="74">
        <f>G69*0.05</f>
        <v>5486.3</v>
      </c>
      <c r="I69" s="77">
        <f>G69-H69</f>
        <v>104239.7</v>
      </c>
      <c r="J69" s="72"/>
    </row>
    <row r="70" spans="1:10" ht="20.25" customHeight="1">
      <c r="B70" s="78" t="s">
        <v>322</v>
      </c>
      <c r="C70" s="78"/>
      <c r="D70" s="79"/>
      <c r="E70" s="80">
        <f>SUM(E6:E69)</f>
        <v>62185102.100000016</v>
      </c>
      <c r="F70" s="80">
        <f>SUM(F6:F69)</f>
        <v>19540170.099999998</v>
      </c>
      <c r="G70" s="80">
        <f>SUM(G6:G69)</f>
        <v>42644932</v>
      </c>
      <c r="H70" s="80">
        <f>SUM(H6:H69)</f>
        <v>2132246.5999999996</v>
      </c>
      <c r="I70" s="80">
        <f>SUM(I6:I69)</f>
        <v>40512685.400000006</v>
      </c>
      <c r="J70" s="80">
        <f t="shared" ref="J70" si="44">SUM(J6:J68)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4:J8"/>
  <sheetViews>
    <sheetView zoomScale="80" zoomScaleNormal="80" workbookViewId="0">
      <selection activeCell="F21" sqref="F21"/>
    </sheetView>
  </sheetViews>
  <sheetFormatPr defaultColWidth="9" defaultRowHeight="20.25" customHeight="1"/>
  <cols>
    <col min="1" max="1" width="9" style="32"/>
    <col min="2" max="2" width="15.59765625" style="32" customWidth="1"/>
    <col min="3" max="3" width="11.3984375" style="32" customWidth="1"/>
    <col min="4" max="4" width="35.19921875" style="32" bestFit="1" customWidth="1"/>
    <col min="5" max="5" width="20.59765625" style="32" customWidth="1"/>
    <col min="6" max="7" width="17.59765625" style="32" customWidth="1"/>
    <col min="8" max="9" width="16.19921875" style="32" customWidth="1"/>
    <col min="10" max="10" width="12" style="32" customWidth="1"/>
    <col min="11" max="16384" width="9" style="32"/>
  </cols>
  <sheetData>
    <row r="4" spans="2:10" ht="20.25" customHeight="1">
      <c r="B4" s="32" t="s">
        <v>314</v>
      </c>
    </row>
    <row r="5" spans="2:10" ht="20.25" customHeight="1">
      <c r="B5" s="71" t="s">
        <v>0</v>
      </c>
      <c r="C5" s="71" t="s">
        <v>315</v>
      </c>
      <c r="D5" s="71" t="s">
        <v>316</v>
      </c>
      <c r="E5" s="71" t="s">
        <v>317</v>
      </c>
      <c r="F5" s="71" t="s">
        <v>318</v>
      </c>
      <c r="G5" s="71" t="s">
        <v>319</v>
      </c>
      <c r="H5" s="71" t="s">
        <v>320</v>
      </c>
      <c r="I5" s="71" t="s">
        <v>273</v>
      </c>
      <c r="J5" s="71" t="s">
        <v>321</v>
      </c>
    </row>
    <row r="6" spans="2:10" ht="20.25" customHeight="1">
      <c r="B6" s="72" t="s">
        <v>49</v>
      </c>
      <c r="C6" s="73" t="str">
        <f t="shared" ref="C6:C7" si="0">VLOOKUP(B6,raw_a,2,0)</f>
        <v>11월분</v>
      </c>
      <c r="D6" s="72" t="s">
        <v>64</v>
      </c>
      <c r="E6" s="74">
        <f>SUMIFS(전체리스트!D:D,전체리스트!A:A,B6,전체리스트!C:C,D6)</f>
        <v>62038</v>
      </c>
      <c r="F6" s="75">
        <f>E6-G6</f>
        <v>0</v>
      </c>
      <c r="G6" s="76">
        <f>SUMIFS(전체리스트!E:E,전체리스트!A:A,B6,전체리스트!C:C,D6)</f>
        <v>62038</v>
      </c>
      <c r="H6" s="74">
        <f>G6*0.05</f>
        <v>3101.9</v>
      </c>
      <c r="I6" s="77">
        <f>G6-H6</f>
        <v>58936.1</v>
      </c>
      <c r="J6" s="72"/>
    </row>
    <row r="7" spans="2:10" ht="20.25" customHeight="1">
      <c r="B7" s="72" t="s">
        <v>49</v>
      </c>
      <c r="C7" s="73" t="str">
        <f t="shared" si="0"/>
        <v>11월분</v>
      </c>
      <c r="D7" s="72" t="s">
        <v>255</v>
      </c>
      <c r="E7" s="74">
        <f>SUMIFS(전체리스트!D:D,전체리스트!A:A,B7,전체리스트!C:C,D7)</f>
        <v>806182</v>
      </c>
      <c r="F7" s="75">
        <f t="shared" ref="F7" si="1">E7-G7</f>
        <v>0</v>
      </c>
      <c r="G7" s="76">
        <f>SUMIFS(전체리스트!E:E,전체리스트!A:A,B7,전체리스트!C:C,D7)</f>
        <v>806182</v>
      </c>
      <c r="H7" s="74">
        <f>G7*0.05</f>
        <v>40309.100000000006</v>
      </c>
      <c r="I7" s="77">
        <f t="shared" ref="I7" si="2">G7-H7</f>
        <v>765872.9</v>
      </c>
      <c r="J7" s="72"/>
    </row>
    <row r="8" spans="2:10" ht="20.25" customHeight="1">
      <c r="B8" s="78" t="s">
        <v>322</v>
      </c>
      <c r="C8" s="78"/>
      <c r="D8" s="79"/>
      <c r="E8" s="80">
        <f t="shared" ref="E8:J8" si="3">SUM(E6:E7)</f>
        <v>868220</v>
      </c>
      <c r="F8" s="80">
        <f t="shared" si="3"/>
        <v>0</v>
      </c>
      <c r="G8" s="80">
        <f>SUM(G6:G7)</f>
        <v>868220</v>
      </c>
      <c r="H8" s="80">
        <f>SUM(H6:H7)</f>
        <v>43411.000000000007</v>
      </c>
      <c r="I8" s="80">
        <f t="shared" si="3"/>
        <v>824809</v>
      </c>
      <c r="J8" s="80">
        <f t="shared" si="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4:J83"/>
  <sheetViews>
    <sheetView topLeftCell="A61" workbookViewId="0">
      <selection activeCell="D87" sqref="D87"/>
    </sheetView>
  </sheetViews>
  <sheetFormatPr defaultRowHeight="17.399999999999999"/>
  <cols>
    <col min="2" max="2" width="19.3984375" bestFit="1" customWidth="1"/>
    <col min="3" max="3" width="11.3984375" customWidth="1"/>
    <col min="4" max="4" width="35.19921875" bestFit="1" customWidth="1"/>
    <col min="5" max="5" width="12.6992187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164</v>
      </c>
      <c r="C6" s="55" t="str">
        <f t="shared" ref="C6:C68" si="0">VLOOKUP(B6,raw_a,2,0)</f>
        <v>12월분</v>
      </c>
      <c r="D6" s="138" t="s">
        <v>14</v>
      </c>
      <c r="E6" s="25">
        <f>SUMIFS(전체리스트!D:D,전체리스트!A:A,B6,전체리스트!C:C,D6)</f>
        <v>1896353.6</v>
      </c>
      <c r="F6" s="26">
        <f>E6-G6</f>
        <v>568906.08000000007</v>
      </c>
      <c r="G6" s="27">
        <f>SUMIFS(전체리스트!E:E,전체리스트!A:A,B6,전체리스트!C:C,D6)</f>
        <v>1327447.52</v>
      </c>
      <c r="H6" s="25">
        <f>G6*0.05</f>
        <v>66372.376000000004</v>
      </c>
      <c r="I6" s="28">
        <f>G6-H6</f>
        <v>1261075.1440000001</v>
      </c>
      <c r="J6" s="24"/>
    </row>
    <row r="7" spans="2:10">
      <c r="B7" s="24" t="s">
        <v>164</v>
      </c>
      <c r="C7" s="55" t="str">
        <f t="shared" si="0"/>
        <v>12월분</v>
      </c>
      <c r="D7" s="138" t="s">
        <v>166</v>
      </c>
      <c r="E7" s="25">
        <f>SUMIFS(전체리스트!D:D,전체리스트!A:A,B7,전체리스트!C:C,D7)</f>
        <v>1863997.7</v>
      </c>
      <c r="F7" s="26">
        <f t="shared" ref="F7:F11" si="1">E7-G7</f>
        <v>559199.31000000006</v>
      </c>
      <c r="G7" s="27">
        <f>SUMIFS(전체리스트!E:E,전체리스트!A:A,B7,전체리스트!C:C,D7)</f>
        <v>1304798.3899999999</v>
      </c>
      <c r="H7" s="25">
        <f>G7*0.05</f>
        <v>65239.919499999996</v>
      </c>
      <c r="I7" s="28">
        <f t="shared" ref="I7:I11" si="2">G7-H7</f>
        <v>1239558.4704999998</v>
      </c>
      <c r="J7" s="24"/>
    </row>
    <row r="8" spans="2:10">
      <c r="B8" s="24" t="s">
        <v>164</v>
      </c>
      <c r="C8" s="55" t="str">
        <f t="shared" si="0"/>
        <v>12월분</v>
      </c>
      <c r="D8" s="138" t="s">
        <v>354</v>
      </c>
      <c r="E8" s="25">
        <f>SUMIFS(전체리스트!D:D,전체리스트!A:A,B8,전체리스트!C:C,D8)</f>
        <v>1762382.8</v>
      </c>
      <c r="F8" s="26">
        <f t="shared" si="1"/>
        <v>528714.84000000008</v>
      </c>
      <c r="G8" s="27">
        <f>SUMIFS(전체리스트!E:E,전체리스트!A:A,B8,전체리스트!C:C,D8)</f>
        <v>1233667.96</v>
      </c>
      <c r="H8" s="25">
        <f t="shared" ref="H8:H78" si="3">G8*0.05</f>
        <v>61683.398000000001</v>
      </c>
      <c r="I8" s="28">
        <f t="shared" si="2"/>
        <v>1171984.5619999999</v>
      </c>
      <c r="J8" s="24"/>
    </row>
    <row r="9" spans="2:10">
      <c r="B9" s="24" t="s">
        <v>164</v>
      </c>
      <c r="C9" s="55" t="str">
        <f t="shared" si="0"/>
        <v>12월분</v>
      </c>
      <c r="D9" s="138" t="s">
        <v>90</v>
      </c>
      <c r="E9" s="25">
        <f>SUMIFS(전체리스트!D:D,전체리스트!A:A,B9,전체리스트!C:C,D9)</f>
        <v>1505312.6</v>
      </c>
      <c r="F9" s="26">
        <f t="shared" si="1"/>
        <v>451593.78</v>
      </c>
      <c r="G9" s="27">
        <f>SUMIFS(전체리스트!E:E,전체리스트!A:A,B9,전체리스트!C:C,D9)</f>
        <v>1053718.82</v>
      </c>
      <c r="H9" s="25">
        <f t="shared" si="3"/>
        <v>52685.941000000006</v>
      </c>
      <c r="I9" s="28">
        <f t="shared" si="2"/>
        <v>1001032.8790000001</v>
      </c>
      <c r="J9" s="24"/>
    </row>
    <row r="10" spans="2:10">
      <c r="B10" s="24" t="s">
        <v>164</v>
      </c>
      <c r="C10" s="55" t="str">
        <f t="shared" si="0"/>
        <v>12월분</v>
      </c>
      <c r="D10" s="138" t="s">
        <v>165</v>
      </c>
      <c r="E10" s="25">
        <f>SUMIFS(전체리스트!D:D,전체리스트!A:A,B10,전체리스트!C:C,D10)</f>
        <v>1187740.6000000001</v>
      </c>
      <c r="F10" s="26">
        <f t="shared" si="1"/>
        <v>356322.18000000005</v>
      </c>
      <c r="G10" s="27">
        <f>SUMIFS(전체리스트!E:E,전체리스트!A:A,B10,전체리스트!C:C,D10)</f>
        <v>831418.42</v>
      </c>
      <c r="H10" s="25">
        <f t="shared" si="3"/>
        <v>41570.921000000002</v>
      </c>
      <c r="I10" s="28">
        <f t="shared" si="2"/>
        <v>789847.49900000007</v>
      </c>
      <c r="J10" s="24"/>
    </row>
    <row r="11" spans="2:10">
      <c r="B11" s="24" t="s">
        <v>164</v>
      </c>
      <c r="C11" s="55" t="str">
        <f t="shared" si="0"/>
        <v>12월분</v>
      </c>
      <c r="D11" s="138" t="s">
        <v>112</v>
      </c>
      <c r="E11" s="25">
        <f>SUMIFS(전체리스트!D:D,전체리스트!A:A,B11,전체리스트!C:C,D11)</f>
        <v>1138096</v>
      </c>
      <c r="F11" s="26">
        <f t="shared" si="1"/>
        <v>341428.80000000005</v>
      </c>
      <c r="G11" s="27">
        <f>SUMIFS(전체리스트!E:E,전체리스트!A:A,B11,전체리스트!C:C,D11)</f>
        <v>796667.2</v>
      </c>
      <c r="H11" s="25">
        <f t="shared" si="3"/>
        <v>39833.360000000001</v>
      </c>
      <c r="I11" s="28">
        <f t="shared" si="2"/>
        <v>756833.84</v>
      </c>
      <c r="J11" s="24"/>
    </row>
    <row r="12" spans="2:10">
      <c r="B12" s="24" t="s">
        <v>164</v>
      </c>
      <c r="C12" s="55" t="str">
        <f t="shared" si="0"/>
        <v>12월분</v>
      </c>
      <c r="D12" s="138" t="s">
        <v>167</v>
      </c>
      <c r="E12" s="25">
        <f>SUMIFS(전체리스트!D:D,전체리스트!A:A,B12,전체리스트!C:C,D12)</f>
        <v>1059344</v>
      </c>
      <c r="F12" s="26">
        <f t="shared" ref="F12:F49" si="4">E12-G12</f>
        <v>317803.20000000007</v>
      </c>
      <c r="G12" s="27">
        <f>SUMIFS(전체리스트!E:E,전체리스트!A:A,B12,전체리스트!C:C,D12)</f>
        <v>741540.79999999993</v>
      </c>
      <c r="H12" s="25">
        <f t="shared" si="3"/>
        <v>37077.040000000001</v>
      </c>
      <c r="I12" s="28">
        <f t="shared" ref="I12:I49" si="5">G12-H12</f>
        <v>704463.75999999989</v>
      </c>
      <c r="J12" s="24"/>
    </row>
    <row r="13" spans="2:10">
      <c r="B13" s="24" t="s">
        <v>164</v>
      </c>
      <c r="C13" s="55" t="str">
        <f t="shared" si="0"/>
        <v>12월분</v>
      </c>
      <c r="D13" s="138" t="s">
        <v>43</v>
      </c>
      <c r="E13" s="25">
        <f>SUMIFS(전체리스트!D:D,전체리스트!A:A,B13,전체리스트!C:C,D13)</f>
        <v>846255.6</v>
      </c>
      <c r="F13" s="26">
        <f t="shared" si="4"/>
        <v>253876.68000000005</v>
      </c>
      <c r="G13" s="27">
        <f>SUMIFS(전체리스트!E:E,전체리스트!A:A,B13,전체리스트!C:C,D13)</f>
        <v>592378.91999999993</v>
      </c>
      <c r="H13" s="25">
        <f t="shared" si="3"/>
        <v>29618.945999999996</v>
      </c>
      <c r="I13" s="28">
        <f t="shared" si="5"/>
        <v>562759.97399999993</v>
      </c>
      <c r="J13" s="24"/>
    </row>
    <row r="14" spans="2:10">
      <c r="B14" s="24" t="s">
        <v>164</v>
      </c>
      <c r="C14" s="55" t="str">
        <f t="shared" si="0"/>
        <v>12월분</v>
      </c>
      <c r="D14" s="138" t="s">
        <v>382</v>
      </c>
      <c r="E14" s="25">
        <f>SUMIFS(전체리스트!D:D,전체리스트!A:A,B14,전체리스트!C:C,D14)</f>
        <v>687850.2</v>
      </c>
      <c r="F14" s="26">
        <f t="shared" si="4"/>
        <v>206355.06</v>
      </c>
      <c r="G14" s="27">
        <f>SUMIFS(전체리스트!E:E,전체리스트!A:A,B14,전체리스트!C:C,D14)</f>
        <v>481495.13999999996</v>
      </c>
      <c r="H14" s="25">
        <f t="shared" si="3"/>
        <v>24074.756999999998</v>
      </c>
      <c r="I14" s="28">
        <f t="shared" si="5"/>
        <v>457420.38299999997</v>
      </c>
      <c r="J14" s="24"/>
    </row>
    <row r="15" spans="2:10">
      <c r="B15" s="24" t="s">
        <v>164</v>
      </c>
      <c r="C15" s="55" t="str">
        <f t="shared" si="0"/>
        <v>12월분</v>
      </c>
      <c r="D15" s="138" t="s">
        <v>21</v>
      </c>
      <c r="E15" s="25">
        <f>SUMIFS(전체리스트!D:D,전체리스트!A:A,B15,전체리스트!C:C,D15)</f>
        <v>626292.4</v>
      </c>
      <c r="F15" s="26">
        <f t="shared" si="4"/>
        <v>187887.72000000003</v>
      </c>
      <c r="G15" s="27">
        <f>SUMIFS(전체리스트!E:E,전체리스트!A:A,B15,전체리스트!C:C,D15)</f>
        <v>438404.68</v>
      </c>
      <c r="H15" s="25">
        <f t="shared" si="3"/>
        <v>21920.234</v>
      </c>
      <c r="I15" s="28">
        <f t="shared" si="5"/>
        <v>416484.446</v>
      </c>
      <c r="J15" s="24"/>
    </row>
    <row r="16" spans="2:10">
      <c r="B16" s="24" t="s">
        <v>164</v>
      </c>
      <c r="C16" s="55" t="str">
        <f t="shared" si="0"/>
        <v>12월분</v>
      </c>
      <c r="D16" s="138" t="s">
        <v>413</v>
      </c>
      <c r="E16" s="25">
        <f>SUMIFS(전체리스트!D:D,전체리스트!A:A,B16,전체리스트!C:C,D16)</f>
        <v>544349.19999999995</v>
      </c>
      <c r="F16" s="26">
        <f t="shared" si="4"/>
        <v>163304.76</v>
      </c>
      <c r="G16" s="27">
        <f>SUMIFS(전체리스트!E:E,전체리스트!A:A,B16,전체리스트!C:C,D16)</f>
        <v>381044.43999999994</v>
      </c>
      <c r="H16" s="25">
        <f t="shared" si="3"/>
        <v>19052.221999999998</v>
      </c>
      <c r="I16" s="28">
        <f t="shared" si="5"/>
        <v>361992.21799999994</v>
      </c>
      <c r="J16" s="24"/>
    </row>
    <row r="17" spans="2:10">
      <c r="B17" s="24" t="s">
        <v>164</v>
      </c>
      <c r="C17" s="55" t="str">
        <f t="shared" ref="C17:C42" si="6">VLOOKUP(B17,raw_a,2,0)</f>
        <v>12월분</v>
      </c>
      <c r="D17" s="138" t="s">
        <v>13</v>
      </c>
      <c r="E17" s="25">
        <f>SUMIFS(전체리스트!D:D,전체리스트!A:A,B17,전체리스트!C:C,D17)</f>
        <v>525328</v>
      </c>
      <c r="F17" s="26">
        <f t="shared" ref="F17:F42" si="7">E17-G17</f>
        <v>157598.40000000002</v>
      </c>
      <c r="G17" s="27">
        <f>SUMIFS(전체리스트!E:E,전체리스트!A:A,B17,전체리스트!C:C,D17)</f>
        <v>367729.6</v>
      </c>
      <c r="H17" s="25">
        <f t="shared" ref="H17:H42" si="8">G17*0.05</f>
        <v>18386.48</v>
      </c>
      <c r="I17" s="28">
        <f t="shared" ref="I17:I42" si="9">G17-H17</f>
        <v>349343.12</v>
      </c>
      <c r="J17" s="24"/>
    </row>
    <row r="18" spans="2:10">
      <c r="B18" s="24" t="s">
        <v>164</v>
      </c>
      <c r="C18" s="55" t="str">
        <f t="shared" ref="C18:C37" si="10">VLOOKUP(B18,raw_a,2,0)</f>
        <v>12월분</v>
      </c>
      <c r="D18" s="138" t="s">
        <v>401</v>
      </c>
      <c r="E18" s="25">
        <f>SUMIFS(전체리스트!D:D,전체리스트!A:A,B18,전체리스트!C:C,D18)</f>
        <v>512703.2</v>
      </c>
      <c r="F18" s="26">
        <f t="shared" ref="F18:F37" si="11">E18-G18</f>
        <v>153810.96000000002</v>
      </c>
      <c r="G18" s="27">
        <f>SUMIFS(전체리스트!E:E,전체리스트!A:A,B18,전체리스트!C:C,D18)</f>
        <v>358892.24</v>
      </c>
      <c r="H18" s="25">
        <f t="shared" ref="H18:H37" si="12">G18*0.05</f>
        <v>17944.612000000001</v>
      </c>
      <c r="I18" s="28">
        <f t="shared" ref="I18:I37" si="13">G18-H18</f>
        <v>340947.62799999997</v>
      </c>
      <c r="J18" s="24"/>
    </row>
    <row r="19" spans="2:10">
      <c r="B19" s="24" t="s">
        <v>164</v>
      </c>
      <c r="C19" s="55" t="str">
        <f t="shared" si="10"/>
        <v>12월분</v>
      </c>
      <c r="D19" s="138" t="s">
        <v>10</v>
      </c>
      <c r="E19" s="25">
        <f>SUMIFS(전체리스트!D:D,전체리스트!A:A,B19,전체리스트!C:C,D19)</f>
        <v>406467.2</v>
      </c>
      <c r="F19" s="26">
        <f t="shared" si="11"/>
        <v>121940.16000000003</v>
      </c>
      <c r="G19" s="27">
        <f>SUMIFS(전체리스트!E:E,전체리스트!A:A,B19,전체리스트!C:C,D19)</f>
        <v>284527.03999999998</v>
      </c>
      <c r="H19" s="25">
        <f t="shared" si="12"/>
        <v>14226.351999999999</v>
      </c>
      <c r="I19" s="28">
        <f t="shared" si="13"/>
        <v>270300.68799999997</v>
      </c>
      <c r="J19" s="24"/>
    </row>
    <row r="20" spans="2:10">
      <c r="B20" s="24" t="s">
        <v>164</v>
      </c>
      <c r="C20" s="55" t="str">
        <f t="shared" si="10"/>
        <v>12월분</v>
      </c>
      <c r="D20" s="138" t="s">
        <v>114</v>
      </c>
      <c r="E20" s="25">
        <f>SUMIFS(전체리스트!D:D,전체리스트!A:A,B20,전체리스트!C:C,D20)</f>
        <v>401044.4</v>
      </c>
      <c r="F20" s="26">
        <f t="shared" si="11"/>
        <v>120313.32</v>
      </c>
      <c r="G20" s="27">
        <f>SUMIFS(전체리스트!E:E,전체리스트!A:A,B20,전체리스트!C:C,D20)</f>
        <v>280731.08</v>
      </c>
      <c r="H20" s="25">
        <f t="shared" si="12"/>
        <v>14036.554000000002</v>
      </c>
      <c r="I20" s="28">
        <f t="shared" si="13"/>
        <v>266694.52600000001</v>
      </c>
      <c r="J20" s="24"/>
    </row>
    <row r="21" spans="2:10">
      <c r="B21" s="24" t="s">
        <v>164</v>
      </c>
      <c r="C21" s="55" t="str">
        <f t="shared" si="10"/>
        <v>12월분</v>
      </c>
      <c r="D21" s="138" t="s">
        <v>51</v>
      </c>
      <c r="E21" s="25">
        <f>SUMIFS(전체리스트!D:D,전체리스트!A:A,B21,전체리스트!C:C,D21)</f>
        <v>406433.6</v>
      </c>
      <c r="F21" s="26">
        <f t="shared" si="11"/>
        <v>121930.08000000002</v>
      </c>
      <c r="G21" s="27">
        <f>SUMIFS(전체리스트!E:E,전체리스트!A:A,B21,전체리스트!C:C,D21)</f>
        <v>284503.51999999996</v>
      </c>
      <c r="H21" s="25">
        <f t="shared" si="12"/>
        <v>14225.175999999999</v>
      </c>
      <c r="I21" s="28">
        <f t="shared" si="13"/>
        <v>270278.34399999998</v>
      </c>
      <c r="J21" s="24"/>
    </row>
    <row r="22" spans="2:10">
      <c r="B22" s="24" t="s">
        <v>164</v>
      </c>
      <c r="C22" s="55" t="str">
        <f t="shared" si="10"/>
        <v>12월분</v>
      </c>
      <c r="D22" s="138" t="s">
        <v>32</v>
      </c>
      <c r="E22" s="25">
        <f>SUMIFS(전체리스트!D:D,전체리스트!A:A,B22,전체리스트!C:C,D22)</f>
        <v>368333.6</v>
      </c>
      <c r="F22" s="26">
        <f t="shared" si="11"/>
        <v>110500.08000000002</v>
      </c>
      <c r="G22" s="27">
        <f>SUMIFS(전체리스트!E:E,전체리스트!A:A,B22,전체리스트!C:C,D22)</f>
        <v>257833.51999999996</v>
      </c>
      <c r="H22" s="25">
        <f t="shared" si="12"/>
        <v>12891.675999999999</v>
      </c>
      <c r="I22" s="28">
        <f t="shared" si="13"/>
        <v>244941.84399999995</v>
      </c>
      <c r="J22" s="24"/>
    </row>
    <row r="23" spans="2:10">
      <c r="B23" s="24" t="s">
        <v>164</v>
      </c>
      <c r="C23" s="55" t="str">
        <f t="shared" si="10"/>
        <v>12월분</v>
      </c>
      <c r="D23" s="138" t="s">
        <v>373</v>
      </c>
      <c r="E23" s="25">
        <f>SUMIFS(전체리스트!D:D,전체리스트!A:A,B23,전체리스트!C:C,D23)</f>
        <v>283432</v>
      </c>
      <c r="F23" s="26">
        <f t="shared" si="11"/>
        <v>85029.6</v>
      </c>
      <c r="G23" s="27">
        <f>SUMIFS(전체리스트!E:E,전체리스트!A:A,B23,전체리스트!C:C,D23)</f>
        <v>198402.4</v>
      </c>
      <c r="H23" s="25">
        <f t="shared" si="12"/>
        <v>9920.1200000000008</v>
      </c>
      <c r="I23" s="28">
        <f t="shared" si="13"/>
        <v>188482.28</v>
      </c>
      <c r="J23" s="24"/>
    </row>
    <row r="24" spans="2:10">
      <c r="B24" s="24" t="s">
        <v>164</v>
      </c>
      <c r="C24" s="55" t="str">
        <f t="shared" si="10"/>
        <v>12월분</v>
      </c>
      <c r="D24" s="138" t="s">
        <v>355</v>
      </c>
      <c r="E24" s="25">
        <f>SUMIFS(전체리스트!D:D,전체리스트!A:A,B24,전체리스트!C:C,D24)</f>
        <v>284649.90000000002</v>
      </c>
      <c r="F24" s="26">
        <f t="shared" si="11"/>
        <v>85394.97000000003</v>
      </c>
      <c r="G24" s="27">
        <f>SUMIFS(전체리스트!E:E,전체리스트!A:A,B24,전체리스트!C:C,D24)</f>
        <v>199254.93</v>
      </c>
      <c r="H24" s="25">
        <f t="shared" si="12"/>
        <v>9962.7465000000011</v>
      </c>
      <c r="I24" s="28">
        <f t="shared" si="13"/>
        <v>189292.18349999998</v>
      </c>
      <c r="J24" s="24"/>
    </row>
    <row r="25" spans="2:10">
      <c r="B25" s="24" t="s">
        <v>164</v>
      </c>
      <c r="C25" s="55" t="str">
        <f t="shared" si="10"/>
        <v>12월분</v>
      </c>
      <c r="D25" s="138" t="s">
        <v>29</v>
      </c>
      <c r="E25" s="25">
        <f>SUMIFS(전체리스트!D:D,전체리스트!A:A,B25,전체리스트!C:C,D25)</f>
        <v>284835.20000000001</v>
      </c>
      <c r="F25" s="26">
        <f t="shared" si="11"/>
        <v>85450.560000000027</v>
      </c>
      <c r="G25" s="27">
        <f>SUMIFS(전체리스트!E:E,전체리스트!A:A,B25,전체리스트!C:C,D25)</f>
        <v>199384.63999999998</v>
      </c>
      <c r="H25" s="25">
        <f t="shared" si="12"/>
        <v>9969.232</v>
      </c>
      <c r="I25" s="28">
        <f t="shared" si="13"/>
        <v>189415.408</v>
      </c>
      <c r="J25" s="24"/>
    </row>
    <row r="26" spans="2:10">
      <c r="B26" s="24" t="s">
        <v>164</v>
      </c>
      <c r="C26" s="55" t="str">
        <f t="shared" si="10"/>
        <v>12월분</v>
      </c>
      <c r="D26" s="138" t="s">
        <v>376</v>
      </c>
      <c r="E26" s="25">
        <f>SUMIFS(전체리스트!D:D,전체리스트!A:A,B26,전체리스트!C:C,D26)</f>
        <v>227979.6</v>
      </c>
      <c r="F26" s="26">
        <f t="shared" si="11"/>
        <v>68393.88</v>
      </c>
      <c r="G26" s="27">
        <f>SUMIFS(전체리스트!E:E,전체리스트!A:A,B26,전체리스트!C:C,D26)</f>
        <v>159585.72</v>
      </c>
      <c r="H26" s="25">
        <f t="shared" si="12"/>
        <v>7979.2860000000001</v>
      </c>
      <c r="I26" s="28">
        <f t="shared" si="13"/>
        <v>151606.43400000001</v>
      </c>
      <c r="J26" s="24"/>
    </row>
    <row r="27" spans="2:10">
      <c r="B27" s="24" t="s">
        <v>164</v>
      </c>
      <c r="C27" s="55" t="str">
        <f t="shared" si="10"/>
        <v>12월분</v>
      </c>
      <c r="D27" s="138" t="s">
        <v>516</v>
      </c>
      <c r="E27" s="25">
        <f>SUMIFS(전체리스트!D:D,전체리스트!A:A,B27,전체리스트!C:C,D27)</f>
        <v>207036</v>
      </c>
      <c r="F27" s="26">
        <f t="shared" si="11"/>
        <v>62110.800000000017</v>
      </c>
      <c r="G27" s="27">
        <f>SUMIFS(전체리스트!E:E,전체리스트!A:A,B27,전체리스트!C:C,D27)</f>
        <v>144925.19999999998</v>
      </c>
      <c r="H27" s="25">
        <f t="shared" si="12"/>
        <v>7246.2599999999993</v>
      </c>
      <c r="I27" s="28">
        <f t="shared" si="13"/>
        <v>137678.93999999997</v>
      </c>
      <c r="J27" s="24"/>
    </row>
    <row r="28" spans="2:10">
      <c r="B28" s="24" t="s">
        <v>164</v>
      </c>
      <c r="C28" s="55" t="str">
        <f t="shared" si="10"/>
        <v>12월분</v>
      </c>
      <c r="D28" s="138" t="s">
        <v>12</v>
      </c>
      <c r="E28" s="25">
        <f>SUMIFS(전체리스트!D:D,전체리스트!A:A,B28,전체리스트!C:C,D28)</f>
        <v>202459.2</v>
      </c>
      <c r="F28" s="26">
        <f t="shared" si="11"/>
        <v>60737.760000000009</v>
      </c>
      <c r="G28" s="27">
        <f>SUMIFS(전체리스트!E:E,전체리스트!A:A,B28,전체리스트!C:C,D28)</f>
        <v>141721.44</v>
      </c>
      <c r="H28" s="25">
        <f t="shared" si="12"/>
        <v>7086.0720000000001</v>
      </c>
      <c r="I28" s="28">
        <f t="shared" si="13"/>
        <v>134635.36800000002</v>
      </c>
      <c r="J28" s="24"/>
    </row>
    <row r="29" spans="2:10">
      <c r="B29" s="24" t="s">
        <v>164</v>
      </c>
      <c r="C29" s="55" t="str">
        <f t="shared" ref="C29:C30" si="14">VLOOKUP(B29,raw_a,2,0)</f>
        <v>12월분</v>
      </c>
      <c r="D29" s="138" t="s">
        <v>73</v>
      </c>
      <c r="E29" s="25">
        <f>SUMIFS(전체리스트!D:D,전체리스트!A:A,B29,전체리스트!C:C,D29)</f>
        <v>180201.60000000001</v>
      </c>
      <c r="F29" s="26">
        <f t="shared" ref="F29:F30" si="15">E29-G29</f>
        <v>54060.48000000001</v>
      </c>
      <c r="G29" s="27">
        <f>SUMIFS(전체리스트!E:E,전체리스트!A:A,B29,전체리스트!C:C,D29)</f>
        <v>126141.12</v>
      </c>
      <c r="H29" s="25">
        <f t="shared" ref="H29:H30" si="16">G29*0.05</f>
        <v>6307.0560000000005</v>
      </c>
      <c r="I29" s="28">
        <f t="shared" ref="I29:I30" si="17">G29-H29</f>
        <v>119834.064</v>
      </c>
      <c r="J29" s="24"/>
    </row>
    <row r="30" spans="2:10">
      <c r="B30" s="24" t="s">
        <v>164</v>
      </c>
      <c r="C30" s="55" t="str">
        <f t="shared" si="14"/>
        <v>12월분</v>
      </c>
      <c r="D30" s="138" t="s">
        <v>170</v>
      </c>
      <c r="E30" s="25">
        <f>SUMIFS(전체리스트!D:D,전체리스트!A:A,B30,전체리스트!C:C,D30)</f>
        <v>183738.4</v>
      </c>
      <c r="F30" s="26">
        <f t="shared" si="15"/>
        <v>55121.520000000004</v>
      </c>
      <c r="G30" s="27">
        <f>SUMIFS(전체리스트!E:E,전체리스트!A:A,B30,전체리스트!C:C,D30)</f>
        <v>128616.87999999999</v>
      </c>
      <c r="H30" s="25">
        <f t="shared" si="16"/>
        <v>6430.8440000000001</v>
      </c>
      <c r="I30" s="28">
        <f t="shared" si="17"/>
        <v>122186.03599999999</v>
      </c>
      <c r="J30" s="24"/>
    </row>
    <row r="31" spans="2:10">
      <c r="B31" s="24" t="s">
        <v>164</v>
      </c>
      <c r="C31" s="55" t="str">
        <f t="shared" si="10"/>
        <v>12월분</v>
      </c>
      <c r="D31" s="138" t="s">
        <v>168</v>
      </c>
      <c r="E31" s="25">
        <f>SUMIFS(전체리스트!D:D,전체리스트!A:A,B31,전체리스트!C:C,D31)</f>
        <v>170820</v>
      </c>
      <c r="F31" s="26">
        <f t="shared" si="11"/>
        <v>51246.000000000015</v>
      </c>
      <c r="G31" s="27">
        <f>SUMIFS(전체리스트!E:E,전체리스트!A:A,B31,전체리스트!C:C,D31)</f>
        <v>119573.99999999999</v>
      </c>
      <c r="H31" s="25">
        <f t="shared" si="12"/>
        <v>5978.7</v>
      </c>
      <c r="I31" s="28">
        <f t="shared" si="13"/>
        <v>113595.29999999999</v>
      </c>
      <c r="J31" s="24"/>
    </row>
    <row r="32" spans="2:10">
      <c r="B32" s="24" t="s">
        <v>164</v>
      </c>
      <c r="C32" s="55" t="str">
        <f t="shared" si="10"/>
        <v>12월분</v>
      </c>
      <c r="D32" s="138" t="s">
        <v>55</v>
      </c>
      <c r="E32" s="25">
        <f>SUMIFS(전체리스트!D:D,전체리스트!A:A,B32,전체리스트!C:C,D32)</f>
        <v>143470.39999999999</v>
      </c>
      <c r="F32" s="26">
        <f t="shared" si="11"/>
        <v>43041.12000000001</v>
      </c>
      <c r="G32" s="27">
        <f>SUMIFS(전체리스트!E:E,전체리스트!A:A,B32,전체리스트!C:C,D32)</f>
        <v>100429.27999999998</v>
      </c>
      <c r="H32" s="25">
        <f t="shared" si="12"/>
        <v>5021.4639999999999</v>
      </c>
      <c r="I32" s="28">
        <f t="shared" si="13"/>
        <v>95407.815999999992</v>
      </c>
      <c r="J32" s="24"/>
    </row>
    <row r="33" spans="2:10">
      <c r="B33" s="24" t="s">
        <v>164</v>
      </c>
      <c r="C33" s="55" t="str">
        <f t="shared" si="10"/>
        <v>12월분</v>
      </c>
      <c r="D33" s="138" t="s">
        <v>391</v>
      </c>
      <c r="E33" s="25">
        <f>SUMIFS(전체리스트!D:D,전체리스트!A:A,B33,전체리스트!C:C,D33)</f>
        <v>121462.39999999999</v>
      </c>
      <c r="F33" s="26">
        <f t="shared" si="11"/>
        <v>36438.720000000001</v>
      </c>
      <c r="G33" s="27">
        <f>SUMIFS(전체리스트!E:E,전체리스트!A:A,B33,전체리스트!C:C,D33)</f>
        <v>85023.679999999993</v>
      </c>
      <c r="H33" s="25">
        <f t="shared" si="12"/>
        <v>4251.1840000000002</v>
      </c>
      <c r="I33" s="28">
        <f t="shared" si="13"/>
        <v>80772.495999999999</v>
      </c>
      <c r="J33" s="24"/>
    </row>
    <row r="34" spans="2:10">
      <c r="B34" s="24" t="s">
        <v>164</v>
      </c>
      <c r="C34" s="55" t="str">
        <f t="shared" si="10"/>
        <v>12월분</v>
      </c>
      <c r="D34" s="138" t="s">
        <v>173</v>
      </c>
      <c r="E34" s="25">
        <f>SUMIFS(전체리스트!D:D,전체리스트!A:A,B34,전체리스트!C:C,D34)</f>
        <v>111608</v>
      </c>
      <c r="F34" s="26">
        <f t="shared" si="11"/>
        <v>33482.400000000009</v>
      </c>
      <c r="G34" s="27">
        <f>SUMIFS(전체리스트!E:E,전체리스트!A:A,B34,전체리스트!C:C,D34)</f>
        <v>78125.599999999991</v>
      </c>
      <c r="H34" s="25">
        <f t="shared" si="12"/>
        <v>3906.2799999999997</v>
      </c>
      <c r="I34" s="28">
        <f t="shared" si="13"/>
        <v>74219.319999999992</v>
      </c>
      <c r="J34" s="24"/>
    </row>
    <row r="35" spans="2:10">
      <c r="B35" s="24" t="s">
        <v>164</v>
      </c>
      <c r="C35" s="55" t="str">
        <f t="shared" si="10"/>
        <v>12월분</v>
      </c>
      <c r="D35" s="138" t="s">
        <v>169</v>
      </c>
      <c r="E35" s="25">
        <f>SUMIFS(전체리스트!D:D,전체리스트!A:A,B35,전체리스트!C:C,D35)</f>
        <v>108765.6</v>
      </c>
      <c r="F35" s="26">
        <f t="shared" si="11"/>
        <v>32629.680000000008</v>
      </c>
      <c r="G35" s="27">
        <f>SUMIFS(전체리스트!E:E,전체리스트!A:A,B35,전체리스트!C:C,D35)</f>
        <v>76135.92</v>
      </c>
      <c r="H35" s="25">
        <f t="shared" si="12"/>
        <v>3806.7960000000003</v>
      </c>
      <c r="I35" s="28">
        <f t="shared" si="13"/>
        <v>72329.123999999996</v>
      </c>
      <c r="J35" s="24"/>
    </row>
    <row r="36" spans="2:10">
      <c r="B36" s="24" t="s">
        <v>164</v>
      </c>
      <c r="C36" s="55" t="str">
        <f t="shared" si="10"/>
        <v>12월분</v>
      </c>
      <c r="D36" s="138" t="s">
        <v>419</v>
      </c>
      <c r="E36" s="25">
        <f>SUMIFS(전체리스트!D:D,전체리스트!A:A,B36,전체리스트!C:C,D36)</f>
        <v>90957.6</v>
      </c>
      <c r="F36" s="26">
        <f t="shared" si="11"/>
        <v>27287.280000000006</v>
      </c>
      <c r="G36" s="27">
        <f>SUMIFS(전체리스트!E:E,전체리스트!A:A,B36,전체리스트!C:C,D36)</f>
        <v>63670.32</v>
      </c>
      <c r="H36" s="25">
        <f t="shared" si="12"/>
        <v>3183.5160000000001</v>
      </c>
      <c r="I36" s="28">
        <f t="shared" si="13"/>
        <v>60486.803999999996</v>
      </c>
      <c r="J36" s="24"/>
    </row>
    <row r="37" spans="2:10">
      <c r="B37" s="24" t="s">
        <v>164</v>
      </c>
      <c r="C37" s="55" t="str">
        <f t="shared" si="10"/>
        <v>12월분</v>
      </c>
      <c r="D37" s="138" t="s">
        <v>111</v>
      </c>
      <c r="E37" s="25">
        <f>SUMIFS(전체리스트!D:D,전체리스트!A:A,B37,전체리스트!C:C,D37)</f>
        <v>78942.399999999994</v>
      </c>
      <c r="F37" s="26">
        <f t="shared" si="11"/>
        <v>23682.720000000001</v>
      </c>
      <c r="G37" s="27">
        <f>SUMIFS(전체리스트!E:E,전체리스트!A:A,B37,전체리스트!C:C,D37)</f>
        <v>55259.679999999993</v>
      </c>
      <c r="H37" s="25">
        <f t="shared" si="12"/>
        <v>2762.9839999999999</v>
      </c>
      <c r="I37" s="28">
        <f t="shared" si="13"/>
        <v>52496.695999999996</v>
      </c>
      <c r="J37" s="24"/>
    </row>
    <row r="38" spans="2:10">
      <c r="B38" s="24" t="s">
        <v>164</v>
      </c>
      <c r="C38" s="55" t="str">
        <f t="shared" si="6"/>
        <v>12월분</v>
      </c>
      <c r="D38" s="138" t="s">
        <v>16</v>
      </c>
      <c r="E38" s="25">
        <f>SUMIFS(전체리스트!D:D,전체리스트!A:A,B38,전체리스트!C:C,D38)</f>
        <v>67574</v>
      </c>
      <c r="F38" s="26">
        <f t="shared" si="7"/>
        <v>20272.200000000004</v>
      </c>
      <c r="G38" s="27">
        <f>SUMIFS(전체리스트!E:E,전체리스트!A:A,B38,전체리스트!C:C,D38)</f>
        <v>47301.799999999996</v>
      </c>
      <c r="H38" s="25">
        <f t="shared" si="8"/>
        <v>2365.0899999999997</v>
      </c>
      <c r="I38" s="28">
        <f t="shared" si="9"/>
        <v>44936.71</v>
      </c>
      <c r="J38" s="24"/>
    </row>
    <row r="39" spans="2:10">
      <c r="B39" s="24" t="s">
        <v>164</v>
      </c>
      <c r="C39" s="55" t="str">
        <f t="shared" si="6"/>
        <v>12월분</v>
      </c>
      <c r="D39" s="138" t="s">
        <v>154</v>
      </c>
      <c r="E39" s="25">
        <f>SUMIFS(전체리스트!D:D,전체리스트!A:A,B39,전체리스트!C:C,D39)</f>
        <v>70782.399999999994</v>
      </c>
      <c r="F39" s="26">
        <f t="shared" si="7"/>
        <v>21234.720000000001</v>
      </c>
      <c r="G39" s="27">
        <f>SUMIFS(전체리스트!E:E,전체리스트!A:A,B39,전체리스트!C:C,D39)</f>
        <v>49547.679999999993</v>
      </c>
      <c r="H39" s="25">
        <f t="shared" si="8"/>
        <v>2477.384</v>
      </c>
      <c r="I39" s="28">
        <f t="shared" si="9"/>
        <v>47070.295999999995</v>
      </c>
      <c r="J39" s="24"/>
    </row>
    <row r="40" spans="2:10">
      <c r="B40" s="24" t="s">
        <v>164</v>
      </c>
      <c r="C40" s="55" t="str">
        <f t="shared" si="6"/>
        <v>12월분</v>
      </c>
      <c r="D40" s="138" t="s">
        <v>104</v>
      </c>
      <c r="E40" s="25">
        <f>SUMIFS(전체리스트!D:D,전체리스트!A:A,B40,전체리스트!C:C,D40)</f>
        <v>61416.7</v>
      </c>
      <c r="F40" s="26">
        <f t="shared" si="7"/>
        <v>18425.010000000002</v>
      </c>
      <c r="G40" s="27">
        <f>SUMIFS(전체리스트!E:E,전체리스트!A:A,B40,전체리스트!C:C,D40)</f>
        <v>42991.689999999995</v>
      </c>
      <c r="H40" s="25">
        <f t="shared" si="8"/>
        <v>2149.5844999999999</v>
      </c>
      <c r="I40" s="28">
        <f t="shared" si="9"/>
        <v>40842.105499999998</v>
      </c>
      <c r="J40" s="24"/>
    </row>
    <row r="41" spans="2:10">
      <c r="B41" s="24" t="s">
        <v>164</v>
      </c>
      <c r="C41" s="55" t="str">
        <f t="shared" si="6"/>
        <v>12월분</v>
      </c>
      <c r="D41" s="138" t="s">
        <v>37</v>
      </c>
      <c r="E41" s="25">
        <f>SUMIFS(전체리스트!D:D,전체리스트!A:A,B41,전체리스트!C:C,D41)</f>
        <v>41225.199999999997</v>
      </c>
      <c r="F41" s="26">
        <f t="shared" si="7"/>
        <v>12367.560000000001</v>
      </c>
      <c r="G41" s="27">
        <f>SUMIFS(전체리스트!E:E,전체리스트!A:A,B41,전체리스트!C:C,D41)</f>
        <v>28857.639999999996</v>
      </c>
      <c r="H41" s="25">
        <f t="shared" si="8"/>
        <v>1442.8819999999998</v>
      </c>
      <c r="I41" s="28">
        <f t="shared" si="9"/>
        <v>27414.757999999994</v>
      </c>
      <c r="J41" s="24"/>
    </row>
    <row r="42" spans="2:10">
      <c r="B42" s="24" t="s">
        <v>164</v>
      </c>
      <c r="C42" s="55" t="str">
        <f t="shared" si="6"/>
        <v>12월분</v>
      </c>
      <c r="D42" s="138" t="s">
        <v>58</v>
      </c>
      <c r="E42" s="25">
        <f>SUMIFS(전체리스트!D:D,전체리스트!A:A,B42,전체리스트!C:C,D42)</f>
        <v>41496</v>
      </c>
      <c r="F42" s="26">
        <f t="shared" si="7"/>
        <v>12448.800000000003</v>
      </c>
      <c r="G42" s="27">
        <f>SUMIFS(전체리스트!E:E,전체리스트!A:A,B42,전체리스트!C:C,D42)</f>
        <v>29047.199999999997</v>
      </c>
      <c r="H42" s="25">
        <f t="shared" si="8"/>
        <v>1452.36</v>
      </c>
      <c r="I42" s="28">
        <f t="shared" si="9"/>
        <v>27594.839999999997</v>
      </c>
      <c r="J42" s="24"/>
    </row>
    <row r="43" spans="2:10">
      <c r="B43" s="24" t="s">
        <v>164</v>
      </c>
      <c r="C43" s="55" t="str">
        <f t="shared" si="0"/>
        <v>12월분</v>
      </c>
      <c r="D43" s="138" t="s">
        <v>15</v>
      </c>
      <c r="E43" s="25">
        <f>SUMIFS(전체리스트!D:D,전체리스트!A:A,B43,전체리스트!C:C,D43)</f>
        <v>40876</v>
      </c>
      <c r="F43" s="26">
        <f t="shared" si="4"/>
        <v>12262.800000000003</v>
      </c>
      <c r="G43" s="27">
        <f>SUMIFS(전체리스트!E:E,전체리스트!A:A,B43,전체리스트!C:C,D43)</f>
        <v>28613.199999999997</v>
      </c>
      <c r="H43" s="25">
        <f t="shared" si="3"/>
        <v>1430.6599999999999</v>
      </c>
      <c r="I43" s="28">
        <f t="shared" si="5"/>
        <v>27182.539999999997</v>
      </c>
      <c r="J43" s="24"/>
    </row>
    <row r="44" spans="2:10">
      <c r="B44" s="24" t="s">
        <v>164</v>
      </c>
      <c r="C44" s="55" t="str">
        <f t="shared" si="0"/>
        <v>12월분</v>
      </c>
      <c r="D44" s="138" t="s">
        <v>7</v>
      </c>
      <c r="E44" s="25">
        <f>SUMIFS(전체리스트!D:D,전체리스트!A:A,B44,전체리스트!C:C,D44)</f>
        <v>40282</v>
      </c>
      <c r="F44" s="26">
        <f t="shared" si="4"/>
        <v>12084.600000000002</v>
      </c>
      <c r="G44" s="27">
        <f>SUMIFS(전체리스트!E:E,전체리스트!A:A,B44,전체리스트!C:C,D44)</f>
        <v>28197.399999999998</v>
      </c>
      <c r="H44" s="25">
        <f t="shared" si="3"/>
        <v>1409.87</v>
      </c>
      <c r="I44" s="28">
        <f t="shared" si="5"/>
        <v>26787.53</v>
      </c>
      <c r="J44" s="24"/>
    </row>
    <row r="45" spans="2:10">
      <c r="B45" s="24" t="s">
        <v>164</v>
      </c>
      <c r="C45" s="55" t="str">
        <f t="shared" si="0"/>
        <v>12월분</v>
      </c>
      <c r="D45" s="138" t="s">
        <v>172</v>
      </c>
      <c r="E45" s="25">
        <f>SUMIFS(전체리스트!D:D,전체리스트!A:A,B45,전체리스트!C:C,D45)</f>
        <v>37422</v>
      </c>
      <c r="F45" s="26">
        <f t="shared" si="4"/>
        <v>11226.600000000002</v>
      </c>
      <c r="G45" s="27">
        <f>SUMIFS(전체리스트!E:E,전체리스트!A:A,B45,전체리스트!C:C,D45)</f>
        <v>26195.399999999998</v>
      </c>
      <c r="H45" s="25">
        <f t="shared" si="3"/>
        <v>1309.77</v>
      </c>
      <c r="I45" s="28">
        <f t="shared" si="5"/>
        <v>24885.629999999997</v>
      </c>
      <c r="J45" s="24"/>
    </row>
    <row r="46" spans="2:10">
      <c r="B46" s="24" t="s">
        <v>164</v>
      </c>
      <c r="C46" s="55" t="str">
        <f t="shared" si="0"/>
        <v>12월분</v>
      </c>
      <c r="D46" s="138" t="s">
        <v>389</v>
      </c>
      <c r="E46" s="25">
        <f>SUMIFS(전체리스트!D:D,전체리스트!A:A,B46,전체리스트!C:C,D46)</f>
        <v>33424</v>
      </c>
      <c r="F46" s="26">
        <f t="shared" si="4"/>
        <v>10027.200000000001</v>
      </c>
      <c r="G46" s="27">
        <f>SUMIFS(전체리스트!E:E,전체리스트!A:A,B46,전체리스트!C:C,D46)</f>
        <v>23396.799999999999</v>
      </c>
      <c r="H46" s="25">
        <f t="shared" si="3"/>
        <v>1169.8399999999999</v>
      </c>
      <c r="I46" s="28">
        <f t="shared" si="5"/>
        <v>22226.959999999999</v>
      </c>
      <c r="J46" s="24"/>
    </row>
    <row r="47" spans="2:10">
      <c r="B47" s="24" t="s">
        <v>164</v>
      </c>
      <c r="C47" s="55" t="str">
        <f t="shared" si="0"/>
        <v>12월분</v>
      </c>
      <c r="D47" s="138" t="s">
        <v>517</v>
      </c>
      <c r="E47" s="25">
        <f>SUMIFS(전체리스트!D:D,전체리스트!A:A,B47,전체리스트!C:C,D47)</f>
        <v>30816</v>
      </c>
      <c r="F47" s="26">
        <f t="shared" si="4"/>
        <v>9244.8000000000029</v>
      </c>
      <c r="G47" s="27">
        <f>SUMIFS(전체리스트!E:E,전체리스트!A:A,B47,전체리스트!C:C,D47)</f>
        <v>21571.199999999997</v>
      </c>
      <c r="H47" s="25">
        <f t="shared" si="3"/>
        <v>1078.56</v>
      </c>
      <c r="I47" s="28">
        <f t="shared" si="5"/>
        <v>20492.639999999996</v>
      </c>
      <c r="J47" s="24"/>
    </row>
    <row r="48" spans="2:10">
      <c r="B48" s="24" t="s">
        <v>164</v>
      </c>
      <c r="C48" s="55" t="str">
        <f t="shared" si="0"/>
        <v>12월분</v>
      </c>
      <c r="D48" s="138" t="s">
        <v>36</v>
      </c>
      <c r="E48" s="25">
        <f>SUMIFS(전체리스트!D:D,전체리스트!A:A,B48,전체리스트!C:C,D48)</f>
        <v>24462.400000000001</v>
      </c>
      <c r="F48" s="26">
        <f t="shared" si="4"/>
        <v>7338.7200000000012</v>
      </c>
      <c r="G48" s="27">
        <f>SUMIFS(전체리스트!E:E,전체리스트!A:A,B48,전체리스트!C:C,D48)</f>
        <v>17123.68</v>
      </c>
      <c r="H48" s="25">
        <f t="shared" si="3"/>
        <v>856.18400000000008</v>
      </c>
      <c r="I48" s="28">
        <f t="shared" si="5"/>
        <v>16267.496000000001</v>
      </c>
      <c r="J48" s="24"/>
    </row>
    <row r="49" spans="2:10">
      <c r="B49" s="24" t="s">
        <v>164</v>
      </c>
      <c r="C49" s="55" t="str">
        <f t="shared" si="0"/>
        <v>12월분</v>
      </c>
      <c r="D49" s="138" t="s">
        <v>171</v>
      </c>
      <c r="E49" s="25">
        <f>SUMIFS(전체리스트!D:D,전체리스트!A:A,B49,전체리스트!C:C,D49)</f>
        <v>23356.799999999999</v>
      </c>
      <c r="F49" s="26">
        <f t="shared" si="4"/>
        <v>7007.0400000000009</v>
      </c>
      <c r="G49" s="27">
        <f>SUMIFS(전체리스트!E:E,전체리스트!A:A,B49,전체리스트!C:C,D49)</f>
        <v>16349.759999999998</v>
      </c>
      <c r="H49" s="25">
        <f t="shared" si="3"/>
        <v>817.48799999999994</v>
      </c>
      <c r="I49" s="28">
        <f t="shared" si="5"/>
        <v>15532.271999999999</v>
      </c>
      <c r="J49" s="24"/>
    </row>
    <row r="50" spans="2:10">
      <c r="B50" s="24" t="s">
        <v>164</v>
      </c>
      <c r="C50" s="55" t="str">
        <f t="shared" ref="C50:C55" si="18">VLOOKUP(B50,raw_a,2,0)</f>
        <v>12월분</v>
      </c>
      <c r="D50" s="138" t="s">
        <v>57</v>
      </c>
      <c r="E50" s="25">
        <f>SUMIFS(전체리스트!D:D,전체리스트!A:A,B50,전체리스트!C:C,D50)</f>
        <v>22154.400000000001</v>
      </c>
      <c r="F50" s="26">
        <f t="shared" ref="F50:F55" si="19">E50-G50</f>
        <v>6646.3200000000015</v>
      </c>
      <c r="G50" s="27">
        <f>SUMIFS(전체리스트!E:E,전체리스트!A:A,B50,전체리스트!C:C,D50)</f>
        <v>15508.08</v>
      </c>
      <c r="H50" s="25">
        <f t="shared" si="3"/>
        <v>775.404</v>
      </c>
      <c r="I50" s="28">
        <f t="shared" ref="I50:I55" si="20">G50-H50</f>
        <v>14732.675999999999</v>
      </c>
      <c r="J50" s="24"/>
    </row>
    <row r="51" spans="2:10">
      <c r="B51" s="24" t="s">
        <v>164</v>
      </c>
      <c r="C51" s="55" t="str">
        <f t="shared" si="18"/>
        <v>12월분</v>
      </c>
      <c r="D51" s="138" t="s">
        <v>26</v>
      </c>
      <c r="E51" s="25">
        <f>SUMIFS(전체리스트!D:D,전체리스트!A:A,B51,전체리스트!C:C,D51)</f>
        <v>19917.599999999999</v>
      </c>
      <c r="F51" s="26">
        <f t="shared" si="19"/>
        <v>5975.2800000000007</v>
      </c>
      <c r="G51" s="27">
        <f>SUMIFS(전체리스트!E:E,전체리스트!A:A,B51,전체리스트!C:C,D51)</f>
        <v>13942.319999999998</v>
      </c>
      <c r="H51" s="25">
        <f t="shared" si="3"/>
        <v>697.11599999999999</v>
      </c>
      <c r="I51" s="28">
        <f t="shared" si="20"/>
        <v>13245.203999999998</v>
      </c>
      <c r="J51" s="24"/>
    </row>
    <row r="52" spans="2:10">
      <c r="B52" s="24" t="s">
        <v>164</v>
      </c>
      <c r="C52" s="55" t="str">
        <f t="shared" si="18"/>
        <v>12월분</v>
      </c>
      <c r="D52" s="138" t="s">
        <v>20</v>
      </c>
      <c r="E52" s="25">
        <f>SUMIFS(전체리스트!D:D,전체리스트!A:A,B52,전체리스트!C:C,D52)</f>
        <v>19210.400000000001</v>
      </c>
      <c r="F52" s="26">
        <f t="shared" si="19"/>
        <v>5763.1200000000008</v>
      </c>
      <c r="G52" s="27">
        <f>SUMIFS(전체리스트!E:E,전체리스트!A:A,B52,전체리스트!C:C,D52)</f>
        <v>13447.28</v>
      </c>
      <c r="H52" s="25">
        <f t="shared" si="3"/>
        <v>672.36400000000003</v>
      </c>
      <c r="I52" s="28">
        <f t="shared" si="20"/>
        <v>12774.916000000001</v>
      </c>
      <c r="J52" s="24"/>
    </row>
    <row r="53" spans="2:10">
      <c r="B53" s="24" t="s">
        <v>164</v>
      </c>
      <c r="C53" s="55" t="str">
        <f t="shared" si="18"/>
        <v>12월분</v>
      </c>
      <c r="D53" s="138" t="s">
        <v>88</v>
      </c>
      <c r="E53" s="25">
        <f>SUMIFS(전체리스트!D:D,전체리스트!A:A,B53,전체리스트!C:C,D53)</f>
        <v>17188</v>
      </c>
      <c r="F53" s="26">
        <f t="shared" si="19"/>
        <v>5156.4000000000015</v>
      </c>
      <c r="G53" s="27">
        <f>SUMIFS(전체리스트!E:E,전체리스트!A:A,B53,전체리스트!C:C,D53)</f>
        <v>12031.599999999999</v>
      </c>
      <c r="H53" s="25">
        <f t="shared" si="3"/>
        <v>601.57999999999993</v>
      </c>
      <c r="I53" s="28">
        <f t="shared" si="20"/>
        <v>11430.019999999999</v>
      </c>
      <c r="J53" s="24"/>
    </row>
    <row r="54" spans="2:10">
      <c r="B54" s="24" t="s">
        <v>164</v>
      </c>
      <c r="C54" s="55" t="str">
        <f t="shared" si="18"/>
        <v>12월분</v>
      </c>
      <c r="D54" s="138" t="s">
        <v>40</v>
      </c>
      <c r="E54" s="25">
        <f>SUMIFS(전체리스트!D:D,전체리스트!A:A,B54,전체리스트!C:C,D54)</f>
        <v>10899.3</v>
      </c>
      <c r="F54" s="26">
        <f t="shared" si="19"/>
        <v>3269.79</v>
      </c>
      <c r="G54" s="27">
        <f>SUMIFS(전체리스트!E:E,전체리스트!A:A,B54,전체리스트!C:C,D54)</f>
        <v>7629.5099999999993</v>
      </c>
      <c r="H54" s="25">
        <f t="shared" si="3"/>
        <v>381.47550000000001</v>
      </c>
      <c r="I54" s="28">
        <f t="shared" si="20"/>
        <v>7248.0344999999998</v>
      </c>
      <c r="J54" s="24"/>
    </row>
    <row r="55" spans="2:10">
      <c r="B55" s="24" t="s">
        <v>164</v>
      </c>
      <c r="C55" s="55" t="str">
        <f t="shared" si="18"/>
        <v>12월분</v>
      </c>
      <c r="D55" s="138" t="s">
        <v>174</v>
      </c>
      <c r="E55" s="25">
        <f>SUMIFS(전체리스트!D:D,전체리스트!A:A,B55,전체리스트!C:C,D55)</f>
        <v>8928</v>
      </c>
      <c r="F55" s="26">
        <f t="shared" si="19"/>
        <v>2678.4000000000005</v>
      </c>
      <c r="G55" s="27">
        <f>SUMIFS(전체리스트!E:E,전체리스트!A:A,B55,전체리스트!C:C,D55)</f>
        <v>6249.5999999999995</v>
      </c>
      <c r="H55" s="25">
        <f t="shared" si="3"/>
        <v>312.48</v>
      </c>
      <c r="I55" s="28">
        <f t="shared" si="20"/>
        <v>5937.119999999999</v>
      </c>
      <c r="J55" s="24"/>
    </row>
    <row r="56" spans="2:10">
      <c r="B56" s="24" t="s">
        <v>164</v>
      </c>
      <c r="C56" s="55" t="str">
        <f t="shared" ref="C56:C64" si="21">VLOOKUP(B56,raw_a,2,0)</f>
        <v>12월분</v>
      </c>
      <c r="D56" s="138" t="s">
        <v>152</v>
      </c>
      <c r="E56" s="25">
        <f>SUMIFS(전체리스트!D:D,전체리스트!A:A,B56,전체리스트!C:C,D56)</f>
        <v>6508.8</v>
      </c>
      <c r="F56" s="26">
        <f t="shared" ref="F56:F64" si="22">E56-G56</f>
        <v>1952.6400000000003</v>
      </c>
      <c r="G56" s="27">
        <f>SUMIFS(전체리스트!E:E,전체리스트!A:A,B56,전체리스트!C:C,D56)</f>
        <v>4556.16</v>
      </c>
      <c r="H56" s="25">
        <f t="shared" ref="H56:H64" si="23">G56*0.05</f>
        <v>227.80799999999999</v>
      </c>
      <c r="I56" s="28">
        <f t="shared" ref="I56:I64" si="24">G56-H56</f>
        <v>4328.3519999999999</v>
      </c>
      <c r="J56" s="24"/>
    </row>
    <row r="57" spans="2:10">
      <c r="B57" s="24" t="s">
        <v>164</v>
      </c>
      <c r="C57" s="55" t="str">
        <f t="shared" si="21"/>
        <v>12월분</v>
      </c>
      <c r="D57" s="138" t="s">
        <v>62</v>
      </c>
      <c r="E57" s="25">
        <f>SUMIFS(전체리스트!D:D,전체리스트!A:A,B57,전체리스트!C:C,D57)</f>
        <v>3408</v>
      </c>
      <c r="F57" s="26">
        <f t="shared" si="22"/>
        <v>1022.4000000000001</v>
      </c>
      <c r="G57" s="27">
        <f>SUMIFS(전체리스트!E:E,전체리스트!A:A,B57,전체리스트!C:C,D57)</f>
        <v>2385.6</v>
      </c>
      <c r="H57" s="25">
        <f t="shared" si="23"/>
        <v>119.28</v>
      </c>
      <c r="I57" s="28">
        <f t="shared" si="24"/>
        <v>2266.3199999999997</v>
      </c>
      <c r="J57" s="24"/>
    </row>
    <row r="58" spans="2:10">
      <c r="B58" s="24" t="s">
        <v>164</v>
      </c>
      <c r="C58" s="55" t="str">
        <f t="shared" si="21"/>
        <v>12월분</v>
      </c>
      <c r="D58" s="138" t="s">
        <v>31</v>
      </c>
      <c r="E58" s="25">
        <f>SUMIFS(전체리스트!D:D,전체리스트!A:A,B58,전체리스트!C:C,D58)</f>
        <v>4200</v>
      </c>
      <c r="F58" s="26">
        <f t="shared" si="22"/>
        <v>1260</v>
      </c>
      <c r="G58" s="27">
        <f>SUMIFS(전체리스트!E:E,전체리스트!A:A,B58,전체리스트!C:C,D58)</f>
        <v>2940</v>
      </c>
      <c r="H58" s="25">
        <f t="shared" si="23"/>
        <v>147</v>
      </c>
      <c r="I58" s="28">
        <f t="shared" si="24"/>
        <v>2793</v>
      </c>
      <c r="J58" s="24"/>
    </row>
    <row r="59" spans="2:10">
      <c r="B59" s="24" t="s">
        <v>164</v>
      </c>
      <c r="C59" s="55" t="str">
        <f t="shared" si="21"/>
        <v>12월분</v>
      </c>
      <c r="D59" s="138" t="s">
        <v>23</v>
      </c>
      <c r="E59" s="25">
        <f>SUMIFS(전체리스트!D:D,전체리스트!A:A,B59,전체리스트!C:C,D59)</f>
        <v>1763.2</v>
      </c>
      <c r="F59" s="26">
        <f t="shared" si="22"/>
        <v>528.96</v>
      </c>
      <c r="G59" s="27">
        <f>SUMIFS(전체리스트!E:E,전체리스트!A:A,B59,전체리스트!C:C,D59)</f>
        <v>1234.24</v>
      </c>
      <c r="H59" s="25">
        <f t="shared" si="23"/>
        <v>61.712000000000003</v>
      </c>
      <c r="I59" s="28">
        <f t="shared" si="24"/>
        <v>1172.528</v>
      </c>
      <c r="J59" s="24"/>
    </row>
    <row r="60" spans="2:10">
      <c r="B60" s="24" t="s">
        <v>164</v>
      </c>
      <c r="C60" s="55" t="str">
        <f t="shared" ref="C60:C63" si="25">VLOOKUP(B60,raw_a,2,0)</f>
        <v>12월분</v>
      </c>
      <c r="D60" s="138" t="s">
        <v>95</v>
      </c>
      <c r="E60" s="25">
        <f>SUMIFS(전체리스트!D:D,전체리스트!A:A,B60,전체리스트!C:C,D60)</f>
        <v>1800</v>
      </c>
      <c r="F60" s="26">
        <f t="shared" ref="F60:F63" si="26">E60-G60</f>
        <v>540</v>
      </c>
      <c r="G60" s="27">
        <f>SUMIFS(전체리스트!E:E,전체리스트!A:A,B60,전체리스트!C:C,D60)</f>
        <v>1260</v>
      </c>
      <c r="H60" s="25">
        <f t="shared" ref="H60:H63" si="27">G60*0.05</f>
        <v>63</v>
      </c>
      <c r="I60" s="28">
        <f t="shared" ref="I60:I63" si="28">G60-H60</f>
        <v>1197</v>
      </c>
      <c r="J60" s="24"/>
    </row>
    <row r="61" spans="2:10">
      <c r="B61" s="24" t="s">
        <v>164</v>
      </c>
      <c r="C61" s="55" t="str">
        <f t="shared" si="25"/>
        <v>12월분</v>
      </c>
      <c r="D61" s="138" t="s">
        <v>34</v>
      </c>
      <c r="E61" s="25">
        <f>SUMIFS(전체리스트!D:D,전체리스트!A:A,B61,전체리스트!C:C,D61)</f>
        <v>1473.6</v>
      </c>
      <c r="F61" s="26">
        <f t="shared" si="26"/>
        <v>442.07999999999993</v>
      </c>
      <c r="G61" s="27">
        <f>SUMIFS(전체리스트!E:E,전체리스트!A:A,B61,전체리스트!C:C,D61)</f>
        <v>1031.52</v>
      </c>
      <c r="H61" s="25">
        <f t="shared" si="27"/>
        <v>51.576000000000001</v>
      </c>
      <c r="I61" s="28">
        <f t="shared" si="28"/>
        <v>979.94399999999996</v>
      </c>
      <c r="J61" s="24"/>
    </row>
    <row r="62" spans="2:10">
      <c r="B62" s="24" t="s">
        <v>164</v>
      </c>
      <c r="C62" s="55" t="str">
        <f t="shared" si="25"/>
        <v>12월분</v>
      </c>
      <c r="D62" s="138" t="s">
        <v>372</v>
      </c>
      <c r="E62" s="25">
        <f>SUMIFS(전체리스트!D:D,전체리스트!A:A,B62,전체리스트!C:C,D62)</f>
        <v>1200</v>
      </c>
      <c r="F62" s="26">
        <f t="shared" si="26"/>
        <v>360</v>
      </c>
      <c r="G62" s="27">
        <f>SUMIFS(전체리스트!E:E,전체리스트!A:A,B62,전체리스트!C:C,D62)</f>
        <v>840</v>
      </c>
      <c r="H62" s="25">
        <f t="shared" si="27"/>
        <v>42</v>
      </c>
      <c r="I62" s="28">
        <f t="shared" si="28"/>
        <v>798</v>
      </c>
      <c r="J62" s="24"/>
    </row>
    <row r="63" spans="2:10">
      <c r="B63" s="24" t="s">
        <v>164</v>
      </c>
      <c r="C63" s="55" t="str">
        <f t="shared" si="25"/>
        <v>12월분</v>
      </c>
      <c r="D63" s="138" t="s">
        <v>101</v>
      </c>
      <c r="E63" s="25">
        <f>SUMIFS(전체리스트!D:D,전체리스트!A:A,B63,전체리스트!C:C,D63)</f>
        <v>600</v>
      </c>
      <c r="F63" s="26">
        <f t="shared" si="26"/>
        <v>180</v>
      </c>
      <c r="G63" s="27">
        <f>SUMIFS(전체리스트!E:E,전체리스트!A:A,B63,전체리스트!C:C,D63)</f>
        <v>420</v>
      </c>
      <c r="H63" s="25">
        <f t="shared" si="27"/>
        <v>21</v>
      </c>
      <c r="I63" s="28">
        <f t="shared" si="28"/>
        <v>399</v>
      </c>
      <c r="J63" s="24"/>
    </row>
    <row r="64" spans="2:10">
      <c r="B64" s="24" t="s">
        <v>164</v>
      </c>
      <c r="C64" s="55" t="str">
        <f t="shared" si="21"/>
        <v>12월분</v>
      </c>
      <c r="D64" s="138" t="s">
        <v>24</v>
      </c>
      <c r="E64" s="25">
        <f>SUMIFS(전체리스트!D:D,전체리스트!A:A,B64,전체리스트!C:C,D64)</f>
        <v>200</v>
      </c>
      <c r="F64" s="26">
        <f t="shared" si="22"/>
        <v>60</v>
      </c>
      <c r="G64" s="27">
        <f>SUMIFS(전체리스트!E:E,전체리스트!A:A,B64,전체리스트!C:C,D64)</f>
        <v>140</v>
      </c>
      <c r="H64" s="25">
        <f t="shared" si="23"/>
        <v>7</v>
      </c>
      <c r="I64" s="28">
        <f t="shared" si="24"/>
        <v>133</v>
      </c>
      <c r="J64" s="24"/>
    </row>
    <row r="65" spans="2:10">
      <c r="B65" s="24" t="s">
        <v>325</v>
      </c>
      <c r="C65" s="55" t="str">
        <f t="shared" si="0"/>
        <v>12월분</v>
      </c>
      <c r="D65" s="138" t="s">
        <v>520</v>
      </c>
      <c r="E65" s="25">
        <f>SUMIFS(전체리스트!D:D,전체리스트!A:A,B65,전체리스트!C:C,D65)</f>
        <v>16708370.6</v>
      </c>
      <c r="F65" s="26">
        <f t="shared" ref="F65:F81" si="29">E65-G65</f>
        <v>6683348.2400000002</v>
      </c>
      <c r="G65" s="27">
        <f>SUMIFS(전체리스트!E:E,전체리스트!A:A,B65,전체리스트!C:C,D65)</f>
        <v>10025022.359999999</v>
      </c>
      <c r="H65" s="25">
        <f t="shared" si="3"/>
        <v>501251.11800000002</v>
      </c>
      <c r="I65" s="28">
        <f t="shared" ref="I65:I81" si="30">G65-H65</f>
        <v>9523771.2419999987</v>
      </c>
      <c r="J65" s="24"/>
    </row>
    <row r="66" spans="2:10">
      <c r="B66" s="24" t="s">
        <v>175</v>
      </c>
      <c r="C66" s="55" t="str">
        <f t="shared" si="0"/>
        <v>12월분</v>
      </c>
      <c r="D66" s="138" t="s">
        <v>176</v>
      </c>
      <c r="E66" s="25">
        <f>SUMIFS(전체리스트!D:D,전체리스트!A:A,B66,전체리스트!C:C,D66)</f>
        <v>516509.2</v>
      </c>
      <c r="F66" s="26">
        <f t="shared" si="29"/>
        <v>206603.68</v>
      </c>
      <c r="G66" s="27">
        <f>SUMIFS(전체리스트!E:E,전체리스트!A:A,B66,전체리스트!C:C,D66)</f>
        <v>309905.52</v>
      </c>
      <c r="H66" s="25">
        <f t="shared" si="3"/>
        <v>15495.276000000002</v>
      </c>
      <c r="I66" s="28">
        <f t="shared" si="30"/>
        <v>294410.24400000001</v>
      </c>
      <c r="J66" s="24"/>
    </row>
    <row r="67" spans="2:10">
      <c r="B67" s="24" t="s">
        <v>177</v>
      </c>
      <c r="C67" s="55" t="str">
        <f t="shared" ref="C67" si="31">VLOOKUP(B67,raw_a,2,0)</f>
        <v>12월분</v>
      </c>
      <c r="D67" s="138" t="s">
        <v>178</v>
      </c>
      <c r="E67" s="25">
        <f>SUMIFS(전체리스트!D:D,전체리스트!A:A,B67,전체리스트!C:C,D67)</f>
        <v>8804522.3000000007</v>
      </c>
      <c r="F67" s="26">
        <f t="shared" si="29"/>
        <v>3521808.9200000009</v>
      </c>
      <c r="G67" s="27">
        <f>SUMIFS(전체리스트!E:E,전체리스트!A:A,B67,전체리스트!C:C,D67)</f>
        <v>5282713.38</v>
      </c>
      <c r="H67" s="25">
        <f t="shared" ref="H67" si="32">G67*0.05</f>
        <v>264135.66899999999</v>
      </c>
      <c r="I67" s="28">
        <f t="shared" si="30"/>
        <v>5018577.7110000001</v>
      </c>
      <c r="J67" s="24"/>
    </row>
    <row r="68" spans="2:10">
      <c r="B68" s="24" t="s">
        <v>400</v>
      </c>
      <c r="C68" s="55" t="str">
        <f t="shared" si="0"/>
        <v>12월분</v>
      </c>
      <c r="D68" s="138" t="s">
        <v>399</v>
      </c>
      <c r="E68" s="25">
        <f>SUMIFS(전체리스트!D:D,전체리스트!A:A,B68,전체리스트!C:C,D68)</f>
        <v>9617839.1999999993</v>
      </c>
      <c r="F68" s="26">
        <f t="shared" ref="F68:F70" si="33">E68-G68</f>
        <v>3847135.6799999997</v>
      </c>
      <c r="G68" s="27">
        <f>SUMIFS(전체리스트!E:E,전체리스트!A:A,B68,전체리스트!C:C,D68)</f>
        <v>5770703.5199999996</v>
      </c>
      <c r="H68" s="25">
        <f t="shared" si="3"/>
        <v>288535.17599999998</v>
      </c>
      <c r="I68" s="28">
        <f t="shared" ref="I68:I70" si="34">G68-H68</f>
        <v>5482168.3439999996</v>
      </c>
      <c r="J68" s="24"/>
    </row>
    <row r="69" spans="2:10">
      <c r="B69" s="24" t="s">
        <v>179</v>
      </c>
      <c r="C69" s="55" t="str">
        <f t="shared" ref="C69:C70" si="35">VLOOKUP(B69,raw_a,2,0)</f>
        <v>12월분</v>
      </c>
      <c r="D69" s="138" t="s">
        <v>180</v>
      </c>
      <c r="E69" s="25">
        <f>SUMIFS(전체리스트!D:D,전체리스트!A:A,B69,전체리스트!C:C,D69)</f>
        <v>2779550.2</v>
      </c>
      <c r="F69" s="26">
        <f t="shared" si="33"/>
        <v>833865.06000000029</v>
      </c>
      <c r="G69" s="27">
        <f>SUMIFS(전체리스트!E:E,전체리스트!A:A,B69,전체리스트!C:C,D69)</f>
        <v>1945685.14</v>
      </c>
      <c r="H69" s="25">
        <f t="shared" ref="H69:H70" si="36">G69*0.05</f>
        <v>97284.256999999998</v>
      </c>
      <c r="I69" s="28">
        <f t="shared" si="34"/>
        <v>1848400.8829999999</v>
      </c>
      <c r="J69" s="24"/>
    </row>
    <row r="70" spans="2:10">
      <c r="B70" s="24" t="s">
        <v>182</v>
      </c>
      <c r="C70" s="55" t="str">
        <f t="shared" si="35"/>
        <v>12월분</v>
      </c>
      <c r="D70" s="138" t="s">
        <v>326</v>
      </c>
      <c r="E70" s="25">
        <f>SUMIFS(전체리스트!D:D,전체리스트!A:A,B70,전체리스트!C:C,D70)</f>
        <v>16889596.399999999</v>
      </c>
      <c r="F70" s="26">
        <f t="shared" si="33"/>
        <v>6755838.5600000005</v>
      </c>
      <c r="G70" s="27">
        <f>SUMIFS(전체리스트!E:E,전체리스트!A:A,B70,전체리스트!C:C,D70)</f>
        <v>10133757.839999998</v>
      </c>
      <c r="H70" s="25">
        <f t="shared" si="36"/>
        <v>506687.89199999993</v>
      </c>
      <c r="I70" s="28">
        <f t="shared" si="34"/>
        <v>9627069.9479999989</v>
      </c>
      <c r="J70" s="24"/>
    </row>
    <row r="71" spans="2:10">
      <c r="B71" s="24" t="s">
        <v>184</v>
      </c>
      <c r="C71" s="55" t="str">
        <f>VLOOKUP(B71,raw_a,2,0)</f>
        <v>12월분</v>
      </c>
      <c r="D71" s="138" t="s">
        <v>488</v>
      </c>
      <c r="E71" s="25">
        <f>SUMIFS(전체리스트!D:D,전체리스트!A:A,B71,전체리스트!C:C,D71)</f>
        <v>2204434</v>
      </c>
      <c r="F71" s="26">
        <f>E71-G71</f>
        <v>881773.60000000009</v>
      </c>
      <c r="G71" s="27">
        <f>SUMIFS(전체리스트!E:E,전체리스트!A:A,B71,전체리스트!C:C,D71)</f>
        <v>1322660.3999999999</v>
      </c>
      <c r="H71" s="25">
        <f t="shared" si="3"/>
        <v>66133.02</v>
      </c>
      <c r="I71" s="28">
        <f t="shared" ref="I71:I76" si="37">G71-H71</f>
        <v>1256527.3799999999</v>
      </c>
      <c r="J71" s="24"/>
    </row>
    <row r="72" spans="2:10">
      <c r="B72" s="24" t="s">
        <v>327</v>
      </c>
      <c r="C72" s="55" t="str">
        <f t="shared" ref="C72:C76" si="38">VLOOKUP(B72,raw_a,2,0)</f>
        <v>11월분</v>
      </c>
      <c r="D72" s="138" t="s">
        <v>27</v>
      </c>
      <c r="E72" s="25">
        <f>SUMIFS(전체리스트!D:D,전체리스트!A:A,B72,전체리스트!C:C,D72)</f>
        <v>100</v>
      </c>
      <c r="F72" s="26">
        <f t="shared" ref="F72:F76" si="39">E72-G72</f>
        <v>0</v>
      </c>
      <c r="G72" s="27">
        <f>SUMIFS(전체리스트!E:E,전체리스트!A:A,B72,전체리스트!C:C,D72)</f>
        <v>100</v>
      </c>
      <c r="H72" s="25">
        <f t="shared" si="3"/>
        <v>5</v>
      </c>
      <c r="I72" s="28">
        <f t="shared" si="37"/>
        <v>95</v>
      </c>
      <c r="J72" s="24"/>
    </row>
    <row r="73" spans="2:10">
      <c r="B73" s="24" t="s">
        <v>327</v>
      </c>
      <c r="C73" s="55" t="str">
        <f t="shared" si="38"/>
        <v>11월분</v>
      </c>
      <c r="D73" s="138" t="s">
        <v>188</v>
      </c>
      <c r="E73" s="25">
        <f>SUMIFS(전체리스트!D:D,전체리스트!A:A,B73,전체리스트!C:C,D73)</f>
        <v>2254215</v>
      </c>
      <c r="F73" s="26">
        <f t="shared" si="39"/>
        <v>0</v>
      </c>
      <c r="G73" s="27">
        <f>SUMIFS(전체리스트!E:E,전체리스트!A:A,B73,전체리스트!C:C,D73)</f>
        <v>2254215</v>
      </c>
      <c r="H73" s="25">
        <f t="shared" si="3"/>
        <v>112710.75</v>
      </c>
      <c r="I73" s="28">
        <f t="shared" si="37"/>
        <v>2141504.25</v>
      </c>
      <c r="J73" s="24"/>
    </row>
    <row r="74" spans="2:10">
      <c r="B74" s="24" t="s">
        <v>327</v>
      </c>
      <c r="C74" s="55" t="str">
        <f t="shared" ref="C74" si="40">VLOOKUP(B74,raw_a,2,0)</f>
        <v>11월분</v>
      </c>
      <c r="D74" s="138" t="s">
        <v>186</v>
      </c>
      <c r="E74" s="25">
        <f>SUMIFS(전체리스트!D:D,전체리스트!A:A,B74,전체리스트!C:C,D74)</f>
        <v>10757202</v>
      </c>
      <c r="F74" s="26">
        <f t="shared" ref="F74" si="41">E74-G74</f>
        <v>0</v>
      </c>
      <c r="G74" s="27">
        <f>SUMIFS(전체리스트!E:E,전체리스트!A:A,B74,전체리스트!C:C,D74)</f>
        <v>10757202</v>
      </c>
      <c r="H74" s="25">
        <f>G74*0.05</f>
        <v>537860.1</v>
      </c>
      <c r="I74" s="28">
        <f t="shared" ref="I74" si="42">G74-H74</f>
        <v>10219341.9</v>
      </c>
      <c r="J74" s="24"/>
    </row>
    <row r="75" spans="2:10">
      <c r="B75" s="24" t="s">
        <v>327</v>
      </c>
      <c r="C75" s="55" t="str">
        <f>VLOOKUP(B75,raw_a,2,0)</f>
        <v>11월분</v>
      </c>
      <c r="D75" s="138" t="s">
        <v>423</v>
      </c>
      <c r="E75" s="25">
        <f>SUMIFS(전체리스트!D:D,전체리스트!A:A,B75,전체리스트!C:C,D75)</f>
        <v>95194</v>
      </c>
      <c r="F75" s="26">
        <f>E75-G75</f>
        <v>0</v>
      </c>
      <c r="G75" s="27">
        <f>SUMIFS(전체리스트!E:E,전체리스트!A:A,B75,전체리스트!C:C,D75)</f>
        <v>95194</v>
      </c>
      <c r="H75" s="25">
        <f>G75*0.05</f>
        <v>4759.7</v>
      </c>
      <c r="I75" s="28">
        <f>G75-H75</f>
        <v>90434.3</v>
      </c>
      <c r="J75" s="24"/>
    </row>
    <row r="76" spans="2:10">
      <c r="B76" s="24" t="s">
        <v>327</v>
      </c>
      <c r="C76" s="55" t="str">
        <f t="shared" si="38"/>
        <v>11월분</v>
      </c>
      <c r="D76" s="138" t="s">
        <v>129</v>
      </c>
      <c r="E76" s="25">
        <f>SUMIFS(전체리스트!D:D,전체리스트!A:A,B76,전체리스트!C:C,D76)</f>
        <v>44035</v>
      </c>
      <c r="F76" s="26">
        <f t="shared" si="39"/>
        <v>0</v>
      </c>
      <c r="G76" s="27">
        <f>SUMIFS(전체리스트!E:E,전체리스트!A:A,B76,전체리스트!C:C,D76)</f>
        <v>44035</v>
      </c>
      <c r="H76" s="25">
        <f>G76*0.05</f>
        <v>2201.75</v>
      </c>
      <c r="I76" s="28">
        <f t="shared" si="37"/>
        <v>41833.25</v>
      </c>
      <c r="J76" s="24"/>
    </row>
    <row r="77" spans="2:10">
      <c r="B77" s="24" t="s">
        <v>327</v>
      </c>
      <c r="C77" s="55" t="str">
        <f>VLOOKUP(B77,raw_a,2,0)</f>
        <v>11월분</v>
      </c>
      <c r="D77" s="138" t="s">
        <v>326</v>
      </c>
      <c r="E77" s="25">
        <f>SUMIFS(전체리스트!D:D,전체리스트!A:A,B77,전체리스트!C:C,D77)</f>
        <v>32544906</v>
      </c>
      <c r="F77" s="26">
        <f>E77-G77</f>
        <v>0</v>
      </c>
      <c r="G77" s="27">
        <f>SUMIFS(전체리스트!E:E,전체리스트!A:A,B77,전체리스트!C:C,D77)</f>
        <v>32544906</v>
      </c>
      <c r="H77" s="25">
        <f>G77*0.05</f>
        <v>1627245.3</v>
      </c>
      <c r="I77" s="28">
        <f>G77-H77</f>
        <v>30917660.699999999</v>
      </c>
      <c r="J77" s="24"/>
    </row>
    <row r="78" spans="2:10">
      <c r="B78" s="24" t="s">
        <v>187</v>
      </c>
      <c r="C78" s="55" t="str">
        <f>VLOOKUP(B78,raw_a,2,0)</f>
        <v>11월분</v>
      </c>
      <c r="D78" s="138" t="s">
        <v>186</v>
      </c>
      <c r="E78" s="25">
        <f>SUMIFS(전체리스트!D:D,전체리스트!A:A,B78,전체리스트!C:C,D78)</f>
        <v>67175</v>
      </c>
      <c r="F78" s="26">
        <f t="shared" si="29"/>
        <v>0</v>
      </c>
      <c r="G78" s="27">
        <f>SUMIFS(전체리스트!E:E,전체리스트!A:A,B78,전체리스트!C:C,D78)</f>
        <v>67175</v>
      </c>
      <c r="H78" s="25">
        <f t="shared" si="3"/>
        <v>3358.75</v>
      </c>
      <c r="I78" s="28">
        <f t="shared" si="30"/>
        <v>63816.25</v>
      </c>
      <c r="J78" s="24"/>
    </row>
    <row r="79" spans="2:10">
      <c r="B79" s="24" t="s">
        <v>187</v>
      </c>
      <c r="C79" s="55" t="s">
        <v>470</v>
      </c>
      <c r="D79" s="100" t="s">
        <v>490</v>
      </c>
      <c r="E79" s="25">
        <f>SUMIFS(전체리스트!D:D,전체리스트!A:A,B79,전체리스트!C:C,D79)</f>
        <v>25599</v>
      </c>
      <c r="F79" s="26">
        <f t="shared" ref="F79" si="43">E79-G79</f>
        <v>0</v>
      </c>
      <c r="G79" s="27">
        <f>SUMIFS(전체리스트!E:E,전체리스트!A:A,B79,전체리스트!C:C,D79)</f>
        <v>25599</v>
      </c>
      <c r="H79" s="25">
        <f>G79*0.05</f>
        <v>1279.95</v>
      </c>
      <c r="I79" s="28">
        <f t="shared" ref="I79" si="44">G79-H79</f>
        <v>24319.05</v>
      </c>
      <c r="J79" s="24"/>
    </row>
    <row r="80" spans="2:10">
      <c r="B80" s="24" t="s">
        <v>328</v>
      </c>
      <c r="C80" s="55" t="str">
        <f t="shared" ref="C80:C82" si="45">VLOOKUP(B80,raw_a,2,0)</f>
        <v>11월분</v>
      </c>
      <c r="D80" s="138" t="s">
        <v>487</v>
      </c>
      <c r="E80" s="25">
        <f>SUMIFS(전체리스트!D:D,전체리스트!A:A,B80,전체리스트!C:C,D80)</f>
        <v>32077</v>
      </c>
      <c r="F80" s="26">
        <f t="shared" ref="F80" si="46">E80-G80</f>
        <v>0</v>
      </c>
      <c r="G80" s="27">
        <f>SUMIFS(전체리스트!E:E,전체리스트!A:A,B80,전체리스트!C:C,D80)</f>
        <v>32077</v>
      </c>
      <c r="H80" s="25">
        <f>G80*0.05</f>
        <v>1603.8500000000001</v>
      </c>
      <c r="I80" s="28">
        <f t="shared" ref="I80" si="47">G80-H80</f>
        <v>30473.15</v>
      </c>
      <c r="J80" s="24"/>
    </row>
    <row r="81" spans="2:10">
      <c r="B81" s="24" t="s">
        <v>328</v>
      </c>
      <c r="C81" s="55" t="str">
        <f>VLOOKUP(B81,raw_a,2,0)</f>
        <v>11월분</v>
      </c>
      <c r="D81" s="138" t="s">
        <v>488</v>
      </c>
      <c r="E81" s="25">
        <f>SUMIFS(전체리스트!D:D,전체리스트!A:A,B81,전체리스트!C:C,D81)</f>
        <v>963</v>
      </c>
      <c r="F81" s="26">
        <f t="shared" si="29"/>
        <v>0</v>
      </c>
      <c r="G81" s="27">
        <f>SUMIFS(전체리스트!E:E,전체리스트!A:A,B81,전체리스트!C:C,D81)</f>
        <v>963</v>
      </c>
      <c r="H81" s="25">
        <f>G81*0.05</f>
        <v>48.150000000000006</v>
      </c>
      <c r="I81" s="28">
        <f t="shared" si="30"/>
        <v>914.85</v>
      </c>
      <c r="J81" s="24"/>
    </row>
    <row r="82" spans="2:10">
      <c r="B82" s="24" t="s">
        <v>328</v>
      </c>
      <c r="C82" s="55" t="str">
        <f t="shared" si="45"/>
        <v>11월분</v>
      </c>
      <c r="D82" s="138" t="s">
        <v>326</v>
      </c>
      <c r="E82" s="25">
        <f>SUMIFS(전체리스트!D:D,전체리스트!A:A,B82,전체리스트!C:C,D82)</f>
        <v>38040</v>
      </c>
      <c r="F82" s="26">
        <f t="shared" ref="F82" si="48">E82-G82</f>
        <v>0</v>
      </c>
      <c r="G82" s="27">
        <f>SUMIFS(전체리스트!E:E,전체리스트!A:A,B82,전체리스트!C:C,D82)</f>
        <v>38040</v>
      </c>
      <c r="H82" s="25">
        <f t="shared" ref="H82" si="49">G82*0.05</f>
        <v>1902</v>
      </c>
      <c r="I82" s="28">
        <f t="shared" ref="I82" si="50">G82-H82</f>
        <v>36138</v>
      </c>
      <c r="J82" s="24"/>
    </row>
    <row r="83" spans="2:10">
      <c r="B83" s="29" t="s">
        <v>322</v>
      </c>
      <c r="C83" s="29"/>
      <c r="D83" s="30"/>
      <c r="E83" s="31">
        <f>SUM(E6:E82)</f>
        <v>122431555.69999999</v>
      </c>
      <c r="F83" s="31">
        <f>SUM(F6:F82)</f>
        <v>28445742.079999998</v>
      </c>
      <c r="G83" s="31">
        <f>SUM(G6:G82)</f>
        <v>93985813.61999999</v>
      </c>
      <c r="H83" s="31">
        <f>SUM(H6:H82)</f>
        <v>4699290.6810000008</v>
      </c>
      <c r="I83" s="31">
        <f>SUM(I6:I82)</f>
        <v>89286522.938999981</v>
      </c>
      <c r="J83" s="31">
        <f t="shared" ref="J83" si="51">SUM(J6:J82)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3:J13"/>
  <sheetViews>
    <sheetView workbookViewId="0">
      <selection activeCell="D24" sqref="D24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330</v>
      </c>
      <c r="G4" s="41">
        <f>VLOOKUP(B6,raw_a,6,0)</f>
        <v>187.57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331</v>
      </c>
      <c r="C6" s="55" t="str">
        <f t="shared" ref="C6:C7" si="0">VLOOKUP(B6,raw_a,2,0)</f>
        <v>11월분</v>
      </c>
      <c r="D6" s="24" t="s">
        <v>234</v>
      </c>
      <c r="E6" s="33">
        <f>SUMIFS(전체리스트!D:D,전체리스트!A:A,B6,전체리스트!C:C,D6)</f>
        <v>1278.9899999999998</v>
      </c>
      <c r="F6" s="26"/>
      <c r="G6" s="59">
        <f>SUMIFS(전체리스트!E:E,전체리스트!A:A,B6,전체리스트!C:C,D6)</f>
        <v>239900.15429999994</v>
      </c>
      <c r="H6" s="25">
        <f>G6*0.05</f>
        <v>11995.007714999998</v>
      </c>
      <c r="I6" s="28">
        <f>G6-H6</f>
        <v>227905.14658499995</v>
      </c>
      <c r="J6" s="24"/>
    </row>
    <row r="7" spans="2:10">
      <c r="B7" s="24" t="s">
        <v>331</v>
      </c>
      <c r="C7" s="55" t="str">
        <f t="shared" si="0"/>
        <v>11월분</v>
      </c>
      <c r="D7" s="24" t="s">
        <v>471</v>
      </c>
      <c r="E7" s="33">
        <f>SUMIFS(전체리스트!D:D,전체리스트!A:A,B7,전체리스트!C:C,D7)</f>
        <v>101.05</v>
      </c>
      <c r="F7" s="26"/>
      <c r="G7" s="59">
        <f>SUMIFS(전체리스트!E:E,전체리스트!A:A,B7,전체리스트!C:C,D7)</f>
        <v>18953.948499999999</v>
      </c>
      <c r="H7" s="25">
        <f t="shared" ref="H7" si="1">G7*0.05</f>
        <v>947.69742499999995</v>
      </c>
      <c r="I7" s="28">
        <f t="shared" ref="I7" si="2">G7-H7</f>
        <v>18006.251075</v>
      </c>
      <c r="J7" s="24"/>
    </row>
    <row r="8" spans="2:10">
      <c r="B8" s="24" t="s">
        <v>331</v>
      </c>
      <c r="C8" s="55" t="str">
        <f t="shared" ref="C8:C9" si="3">VLOOKUP(B8,raw_a,2,0)</f>
        <v>11월분</v>
      </c>
      <c r="D8" s="24" t="s">
        <v>235</v>
      </c>
      <c r="E8" s="33">
        <f>SUMIFS(전체리스트!D:D,전체리스트!A:A,B8,전체리스트!C:C,D8)</f>
        <v>923.97</v>
      </c>
      <c r="F8" s="26"/>
      <c r="G8" s="59">
        <f>SUMIFS(전체리스트!E:E,전체리스트!A:A,B8,전체리스트!C:C,D8)</f>
        <v>173309.05290000001</v>
      </c>
      <c r="H8" s="25">
        <f t="shared" ref="H8:H9" si="4">G8*0.05</f>
        <v>8665.4526450000012</v>
      </c>
      <c r="I8" s="28">
        <f t="shared" ref="I8:I9" si="5">G8-H8</f>
        <v>164643.600255</v>
      </c>
      <c r="J8" s="24"/>
    </row>
    <row r="9" spans="2:10">
      <c r="B9" s="24" t="s">
        <v>331</v>
      </c>
      <c r="C9" s="55" t="str">
        <f t="shared" si="3"/>
        <v>11월분</v>
      </c>
      <c r="D9" s="24" t="s">
        <v>125</v>
      </c>
      <c r="E9" s="33">
        <f>SUMIFS(전체리스트!D:D,전체리스트!A:A,B9,전체리스트!C:C,D9)</f>
        <v>543.38</v>
      </c>
      <c r="F9" s="26"/>
      <c r="G9" s="59">
        <f>SUMIFS(전체리스트!E:E,전체리스트!A:A,B9,전체리스트!C:C,D9)</f>
        <v>101921.78659999999</v>
      </c>
      <c r="H9" s="25">
        <f t="shared" si="4"/>
        <v>5096.0893299999998</v>
      </c>
      <c r="I9" s="28">
        <f t="shared" si="5"/>
        <v>96825.69726999999</v>
      </c>
      <c r="J9" s="24"/>
    </row>
    <row r="10" spans="2:10">
      <c r="B10" s="24" t="s">
        <v>331</v>
      </c>
      <c r="C10" s="55" t="str">
        <f>VLOOKUP(B10,raw_a,2,0)</f>
        <v>11월분</v>
      </c>
      <c r="D10" s="24" t="s">
        <v>475</v>
      </c>
      <c r="E10" s="33">
        <f>SUMIFS(전체리스트!D:D,전체리스트!A:A,B10,전체리스트!C:C,D10)</f>
        <v>130.84</v>
      </c>
      <c r="F10" s="26"/>
      <c r="G10" s="59">
        <f>SUMIFS(전체리스트!E:E,전체리스트!A:A,B10,전체리스트!C:C,D10)</f>
        <v>24541.658800000001</v>
      </c>
      <c r="H10" s="25">
        <f>G10*0.05</f>
        <v>1227.08294</v>
      </c>
      <c r="I10" s="28">
        <f>G10-H10</f>
        <v>23314.575860000001</v>
      </c>
      <c r="J10" s="24"/>
    </row>
    <row r="11" spans="2:10">
      <c r="B11" s="24" t="s">
        <v>331</v>
      </c>
      <c r="C11" s="55" t="str">
        <f>VLOOKUP(B11,raw_a,2,0)</f>
        <v>11월분</v>
      </c>
      <c r="D11" s="24" t="s">
        <v>476</v>
      </c>
      <c r="E11" s="33">
        <f>SUMIFS(전체리스트!D:D,전체리스트!A:A,B11,전체리스트!C:C,D11)</f>
        <v>0.9</v>
      </c>
      <c r="F11" s="26"/>
      <c r="G11" s="59">
        <f>SUMIFS(전체리스트!E:E,전체리스트!A:A,B11,전체리스트!C:C,D11)</f>
        <v>168.81299999999999</v>
      </c>
      <c r="H11" s="25">
        <f>G11*0.05</f>
        <v>8.4406499999999998</v>
      </c>
      <c r="I11" s="28">
        <f>G11-H11</f>
        <v>160.37234999999998</v>
      </c>
      <c r="J11" s="24"/>
    </row>
    <row r="12" spans="2:10">
      <c r="B12" s="24" t="s">
        <v>331</v>
      </c>
      <c r="C12" s="55" t="str">
        <f>VLOOKUP(B12,raw_a,2,0)</f>
        <v>11월분</v>
      </c>
      <c r="D12" s="24" t="s">
        <v>477</v>
      </c>
      <c r="E12" s="33">
        <f>SUMIFS(전체리스트!D:D,전체리스트!A:A,B12,전체리스트!C:C,D12)</f>
        <v>42.07</v>
      </c>
      <c r="F12" s="26"/>
      <c r="G12" s="59">
        <f>SUMIFS(전체리스트!E:E,전체리스트!A:A,B12,전체리스트!C:C,D12)</f>
        <v>7891.0698999999995</v>
      </c>
      <c r="H12" s="25">
        <f>G12*0.05</f>
        <v>394.553495</v>
      </c>
      <c r="I12" s="28">
        <f>G12-H12</f>
        <v>7496.5164049999994</v>
      </c>
      <c r="J12" s="24"/>
    </row>
    <row r="13" spans="2:10">
      <c r="B13" s="29" t="s">
        <v>322</v>
      </c>
      <c r="C13" s="29"/>
      <c r="D13" s="30"/>
      <c r="E13" s="31">
        <f>SUM(E6:E12)</f>
        <v>3021.2000000000003</v>
      </c>
      <c r="F13" s="31">
        <f>SUM(F6:F12)</f>
        <v>0</v>
      </c>
      <c r="G13" s="31">
        <f>SUM(G6:G12)</f>
        <v>566686.48399999994</v>
      </c>
      <c r="H13" s="31">
        <f>SUM(H6:H12)</f>
        <v>28334.324199999999</v>
      </c>
      <c r="I13" s="31">
        <f>SUM(I6:I12)</f>
        <v>538352.15979999991</v>
      </c>
      <c r="J13" s="31">
        <f>SUM(J6:J9)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12"/>
  <sheetViews>
    <sheetView workbookViewId="0">
      <selection activeCell="H28" sqref="H28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415</v>
      </c>
      <c r="C6" s="55" t="s">
        <v>470</v>
      </c>
      <c r="D6" s="24" t="s">
        <v>416</v>
      </c>
      <c r="E6" s="25">
        <f>SUMIFS(전체리스트!D:D,전체리스트!A:A,B6,전체리스트!C:C,D6)</f>
        <v>85.769599999999997</v>
      </c>
      <c r="F6" s="26">
        <f t="shared" ref="F6:F8" si="0">E6-G6</f>
        <v>0</v>
      </c>
      <c r="G6" s="27">
        <f>SUMIFS(전체리스트!E:E,전체리스트!A:A,B6,전체리스트!C:C,D6)</f>
        <v>85.769599999999997</v>
      </c>
      <c r="H6" s="25">
        <f t="shared" ref="H6:H8" si="1">G6*0.05</f>
        <v>4.2884799999999998</v>
      </c>
      <c r="I6" s="28">
        <f t="shared" ref="I6:I8" si="2">G6-H6</f>
        <v>81.481120000000004</v>
      </c>
      <c r="J6" s="24"/>
    </row>
    <row r="7" spans="2:10">
      <c r="B7" s="24" t="s">
        <v>415</v>
      </c>
      <c r="C7" s="55" t="s">
        <v>470</v>
      </c>
      <c r="D7" s="24" t="s">
        <v>46</v>
      </c>
      <c r="E7" s="25">
        <f>SUMIFS(전체리스트!D:D,전체리스트!A:A,B7,전체리스트!C:C,D7)</f>
        <v>85.769599999999997</v>
      </c>
      <c r="F7" s="26">
        <f t="shared" ref="F7" si="3">E7-G7</f>
        <v>0</v>
      </c>
      <c r="G7" s="27">
        <f>SUMIFS(전체리스트!E:E,전체리스트!A:A,B7,전체리스트!C:C,D7)</f>
        <v>85.769599999999997</v>
      </c>
      <c r="H7" s="25">
        <f t="shared" ref="H7" si="4">G7*0.05</f>
        <v>4.2884799999999998</v>
      </c>
      <c r="I7" s="28">
        <f t="shared" ref="I7" si="5">G7-H7</f>
        <v>81.481120000000004</v>
      </c>
      <c r="J7" s="24"/>
    </row>
    <row r="8" spans="2:10">
      <c r="B8" s="24" t="s">
        <v>415</v>
      </c>
      <c r="C8" s="55" t="s">
        <v>470</v>
      </c>
      <c r="D8" s="24" t="s">
        <v>42</v>
      </c>
      <c r="E8" s="25">
        <f>SUMIFS(전체리스트!D:D,전체리스트!A:A,B8,전체리스트!C:C,D8)</f>
        <v>85</v>
      </c>
      <c r="F8" s="26">
        <f t="shared" si="0"/>
        <v>0</v>
      </c>
      <c r="G8" s="27">
        <f>SUMIFS(전체리스트!E:E,전체리스트!A:A,B8,전체리스트!C:C,D8)</f>
        <v>85</v>
      </c>
      <c r="H8" s="25">
        <f t="shared" si="1"/>
        <v>4.25</v>
      </c>
      <c r="I8" s="28">
        <f t="shared" si="2"/>
        <v>80.75</v>
      </c>
      <c r="J8" s="24"/>
    </row>
    <row r="9" spans="2:10">
      <c r="B9" s="24" t="s">
        <v>415</v>
      </c>
      <c r="C9" s="55" t="s">
        <v>529</v>
      </c>
      <c r="D9" s="24" t="s">
        <v>534</v>
      </c>
      <c r="E9" s="25">
        <f>SUMIFS(전체리스트!D:D,전체리스트!A:A,B9,전체리스트!C:C,D9)</f>
        <v>66</v>
      </c>
      <c r="F9" s="26">
        <f t="shared" ref="F9:F11" si="6">E9-G9</f>
        <v>0</v>
      </c>
      <c r="G9" s="27">
        <f>SUMIFS(전체리스트!E:E,전체리스트!A:A,B9,전체리스트!C:C,D9)</f>
        <v>66</v>
      </c>
      <c r="H9" s="25">
        <f t="shared" ref="H9:H11" si="7">G9*0.05</f>
        <v>3.3000000000000003</v>
      </c>
      <c r="I9" s="28">
        <f t="shared" ref="I9:I11" si="8">G9-H9</f>
        <v>62.7</v>
      </c>
      <c r="J9" s="24"/>
    </row>
    <row r="10" spans="2:10">
      <c r="B10" s="24" t="s">
        <v>415</v>
      </c>
      <c r="C10" s="55" t="s">
        <v>529</v>
      </c>
      <c r="D10" s="24" t="s">
        <v>532</v>
      </c>
      <c r="E10" s="25">
        <f>SUMIFS(전체리스트!D:D,전체리스트!A:A,B10,전체리스트!C:C,D10)</f>
        <v>199</v>
      </c>
      <c r="F10" s="26">
        <f t="shared" si="6"/>
        <v>0</v>
      </c>
      <c r="G10" s="27">
        <f>SUMIFS(전체리스트!E:E,전체리스트!A:A,B10,전체리스트!C:C,D10)</f>
        <v>199</v>
      </c>
      <c r="H10" s="25">
        <f t="shared" si="7"/>
        <v>9.9500000000000011</v>
      </c>
      <c r="I10" s="28">
        <f t="shared" si="8"/>
        <v>189.05</v>
      </c>
      <c r="J10" s="24"/>
    </row>
    <row r="11" spans="2:10">
      <c r="B11" s="24" t="s">
        <v>415</v>
      </c>
      <c r="C11" s="55" t="s">
        <v>529</v>
      </c>
      <c r="D11" s="24" t="s">
        <v>530</v>
      </c>
      <c r="E11" s="25">
        <f>SUMIFS(전체리스트!D:D,전체리스트!A:A,B11,전체리스트!C:C,D11)</f>
        <v>132</v>
      </c>
      <c r="F11" s="26">
        <f t="shared" si="6"/>
        <v>0</v>
      </c>
      <c r="G11" s="27">
        <f>SUMIFS(전체리스트!E:E,전체리스트!A:A,B11,전체리스트!C:C,D11)</f>
        <v>132</v>
      </c>
      <c r="H11" s="25">
        <f t="shared" si="7"/>
        <v>6.6000000000000005</v>
      </c>
      <c r="I11" s="28">
        <f t="shared" si="8"/>
        <v>125.4</v>
      </c>
      <c r="J11" s="24"/>
    </row>
    <row r="12" spans="2:10">
      <c r="B12" s="29" t="s">
        <v>322</v>
      </c>
      <c r="C12" s="29"/>
      <c r="D12" s="30"/>
      <c r="E12" s="31">
        <f>SUM(E6:E11)</f>
        <v>653.53919999999994</v>
      </c>
      <c r="F12" s="31">
        <f t="shared" ref="F12:I12" si="9">SUM(F6:F11)</f>
        <v>0</v>
      </c>
      <c r="G12" s="31">
        <f>SUM(G6:G11)</f>
        <v>653.53919999999994</v>
      </c>
      <c r="H12" s="31">
        <f t="shared" si="9"/>
        <v>32.676960000000001</v>
      </c>
      <c r="I12" s="31">
        <f t="shared" si="9"/>
        <v>620.86224000000004</v>
      </c>
      <c r="J12" s="31">
        <f t="shared" ref="J12" si="10">SUM(J6:J8)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4:J55"/>
  <sheetViews>
    <sheetView topLeftCell="A28" workbookViewId="0">
      <selection activeCell="G56" sqref="G56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285</v>
      </c>
      <c r="C6" s="55" t="str">
        <f t="shared" ref="C6:C11" si="0">VLOOKUP(B6,raw_a,2,0)</f>
        <v>12월분</v>
      </c>
      <c r="D6" s="24" t="s">
        <v>23</v>
      </c>
      <c r="E6" s="25">
        <f>SUMIFS(전체리스트!D:D,전체리스트!A:A,B6,전체리스트!C:C,D6)</f>
        <v>2100</v>
      </c>
      <c r="F6" s="26">
        <f>E6-G6</f>
        <v>0</v>
      </c>
      <c r="G6" s="27">
        <f>SUMIFS(전체리스트!E:E,전체리스트!A:A,B6,전체리스트!C:C,D6)</f>
        <v>2100</v>
      </c>
      <c r="H6" s="25">
        <f>G6*0.05</f>
        <v>105</v>
      </c>
      <c r="I6" s="28">
        <f>G6-H6</f>
        <v>1995</v>
      </c>
      <c r="J6" s="24"/>
    </row>
    <row r="7" spans="2:10">
      <c r="B7" s="24" t="s">
        <v>285</v>
      </c>
      <c r="C7" s="55" t="str">
        <f t="shared" si="0"/>
        <v>12월분</v>
      </c>
      <c r="D7" s="24" t="s">
        <v>54</v>
      </c>
      <c r="E7" s="25">
        <f>SUMIFS(전체리스트!D:D,전체리스트!A:A,B7,전체리스트!C:C,D7)</f>
        <v>3150</v>
      </c>
      <c r="F7" s="26">
        <f t="shared" ref="F7:F11" si="1">E7-G7</f>
        <v>0</v>
      </c>
      <c r="G7" s="27">
        <f>SUMIFS(전체리스트!E:E,전체리스트!A:A,B7,전체리스트!C:C,D7)</f>
        <v>3150</v>
      </c>
      <c r="H7" s="25">
        <f t="shared" ref="H7:H26" si="2">G7*0.05</f>
        <v>157.5</v>
      </c>
      <c r="I7" s="28">
        <f t="shared" ref="I7:I11" si="3">G7-H7</f>
        <v>2992.5</v>
      </c>
      <c r="J7" s="24"/>
    </row>
    <row r="8" spans="2:10">
      <c r="B8" s="24" t="s">
        <v>285</v>
      </c>
      <c r="C8" s="55" t="str">
        <f t="shared" si="0"/>
        <v>12월분</v>
      </c>
      <c r="D8" s="24" t="s">
        <v>541</v>
      </c>
      <c r="E8" s="25">
        <f>SUMIFS(전체리스트!D:D,전체리스트!A:A,B8,전체리스트!C:C,D8)</f>
        <v>140</v>
      </c>
      <c r="F8" s="26">
        <f t="shared" si="1"/>
        <v>0</v>
      </c>
      <c r="G8" s="27">
        <f>SUMIFS(전체리스트!E:E,전체리스트!A:A,B8,전체리스트!C:C,D8)</f>
        <v>140</v>
      </c>
      <c r="H8" s="25">
        <f t="shared" si="2"/>
        <v>7</v>
      </c>
      <c r="I8" s="28">
        <f t="shared" si="3"/>
        <v>133</v>
      </c>
      <c r="J8" s="24"/>
    </row>
    <row r="9" spans="2:10">
      <c r="B9" s="24" t="s">
        <v>285</v>
      </c>
      <c r="C9" s="55" t="str">
        <f t="shared" si="0"/>
        <v>12월분</v>
      </c>
      <c r="D9" s="24" t="s">
        <v>55</v>
      </c>
      <c r="E9" s="25">
        <f>SUMIFS(전체리스트!D:D,전체리스트!A:A,B9,전체리스트!C:C,D9)</f>
        <v>12040</v>
      </c>
      <c r="F9" s="26">
        <f t="shared" si="1"/>
        <v>0</v>
      </c>
      <c r="G9" s="27">
        <f>SUMIFS(전체리스트!E:E,전체리스트!A:A,B9,전체리스트!C:C,D9)</f>
        <v>12040</v>
      </c>
      <c r="H9" s="25">
        <f t="shared" si="2"/>
        <v>602</v>
      </c>
      <c r="I9" s="28">
        <f t="shared" si="3"/>
        <v>11438</v>
      </c>
      <c r="J9" s="24"/>
    </row>
    <row r="10" spans="2:10">
      <c r="B10" s="24" t="s">
        <v>285</v>
      </c>
      <c r="C10" s="55" t="str">
        <f t="shared" si="0"/>
        <v>12월분</v>
      </c>
      <c r="D10" s="24" t="s">
        <v>56</v>
      </c>
      <c r="E10" s="25">
        <f>SUMIFS(전체리스트!D:D,전체리스트!A:A,B10,전체리스트!C:C,D10)</f>
        <v>12040</v>
      </c>
      <c r="F10" s="26">
        <f t="shared" si="1"/>
        <v>0</v>
      </c>
      <c r="G10" s="27">
        <f>SUMIFS(전체리스트!E:E,전체리스트!A:A,B10,전체리스트!C:C,D10)</f>
        <v>12040</v>
      </c>
      <c r="H10" s="25">
        <f t="shared" si="2"/>
        <v>602</v>
      </c>
      <c r="I10" s="28">
        <f t="shared" si="3"/>
        <v>11438</v>
      </c>
      <c r="J10" s="24"/>
    </row>
    <row r="11" spans="2:10">
      <c r="B11" s="24" t="s">
        <v>285</v>
      </c>
      <c r="C11" s="55" t="str">
        <f t="shared" si="0"/>
        <v>12월분</v>
      </c>
      <c r="D11" s="24" t="s">
        <v>58</v>
      </c>
      <c r="E11" s="25">
        <f>SUMIFS(전체리스트!D:D,전체리스트!A:A,B11,전체리스트!C:C,D11)</f>
        <v>17360</v>
      </c>
      <c r="F11" s="26">
        <f t="shared" si="1"/>
        <v>0</v>
      </c>
      <c r="G11" s="27">
        <f>SUMIFS(전체리스트!E:E,전체리스트!A:A,B11,전체리스트!C:C,D11)</f>
        <v>17360</v>
      </c>
      <c r="H11" s="25">
        <f t="shared" si="2"/>
        <v>868</v>
      </c>
      <c r="I11" s="28">
        <f t="shared" si="3"/>
        <v>16492</v>
      </c>
      <c r="J11" s="24"/>
    </row>
    <row r="12" spans="2:10">
      <c r="B12" s="24" t="s">
        <v>285</v>
      </c>
      <c r="C12" s="55" t="str">
        <f t="shared" ref="C12:C26" si="4">VLOOKUP(B12,raw_a,2,0)</f>
        <v>12월분</v>
      </c>
      <c r="D12" s="24" t="s">
        <v>114</v>
      </c>
      <c r="E12" s="25">
        <f>SUMIFS(전체리스트!D:D,전체리스트!A:A,B12,전체리스트!C:C,D12)</f>
        <v>14000</v>
      </c>
      <c r="F12" s="26">
        <f t="shared" ref="F12:F26" si="5">E12-G12</f>
        <v>0</v>
      </c>
      <c r="G12" s="27">
        <f>SUMIFS(전체리스트!E:E,전체리스트!A:A,B12,전체리스트!C:C,D12)</f>
        <v>14000</v>
      </c>
      <c r="H12" s="25">
        <f t="shared" si="2"/>
        <v>700</v>
      </c>
      <c r="I12" s="28">
        <f t="shared" ref="I12:I26" si="6">G12-H12</f>
        <v>13300</v>
      </c>
      <c r="J12" s="24"/>
    </row>
    <row r="13" spans="2:10">
      <c r="B13" s="24" t="s">
        <v>285</v>
      </c>
      <c r="C13" s="55" t="str">
        <f t="shared" si="4"/>
        <v>12월분</v>
      </c>
      <c r="D13" s="24" t="s">
        <v>59</v>
      </c>
      <c r="E13" s="25">
        <f>SUMIFS(전체리스트!D:D,전체리스트!A:A,B13,전체리스트!C:C,D13)</f>
        <v>64200</v>
      </c>
      <c r="F13" s="26">
        <f t="shared" si="5"/>
        <v>0</v>
      </c>
      <c r="G13" s="27">
        <f>SUMIFS(전체리스트!E:E,전체리스트!A:A,B13,전체리스트!C:C,D13)</f>
        <v>64200</v>
      </c>
      <c r="H13" s="25">
        <f t="shared" si="2"/>
        <v>3210</v>
      </c>
      <c r="I13" s="28">
        <f t="shared" si="6"/>
        <v>60990</v>
      </c>
      <c r="J13" s="24"/>
    </row>
    <row r="14" spans="2:10">
      <c r="B14" s="24" t="s">
        <v>285</v>
      </c>
      <c r="C14" s="55" t="str">
        <f t="shared" si="4"/>
        <v>12월분</v>
      </c>
      <c r="D14" s="24" t="s">
        <v>60</v>
      </c>
      <c r="E14" s="25">
        <f>SUMIFS(전체리스트!D:D,전체리스트!A:A,B14,전체리스트!C:C,D14)</f>
        <v>17200</v>
      </c>
      <c r="F14" s="26">
        <f t="shared" si="5"/>
        <v>0</v>
      </c>
      <c r="G14" s="27">
        <f>SUMIFS(전체리스트!E:E,전체리스트!A:A,B14,전체리스트!C:C,D14)</f>
        <v>17200</v>
      </c>
      <c r="H14" s="25">
        <f t="shared" si="2"/>
        <v>860</v>
      </c>
      <c r="I14" s="28">
        <f t="shared" si="6"/>
        <v>16340</v>
      </c>
      <c r="J14" s="24"/>
    </row>
    <row r="15" spans="2:10">
      <c r="B15" s="24" t="s">
        <v>285</v>
      </c>
      <c r="C15" s="55" t="str">
        <f t="shared" si="4"/>
        <v>12월분</v>
      </c>
      <c r="D15" s="24" t="s">
        <v>61</v>
      </c>
      <c r="E15" s="25">
        <f>SUMIFS(전체리스트!D:D,전체리스트!A:A,B15,전체리스트!C:C,D15)</f>
        <v>9150</v>
      </c>
      <c r="F15" s="26">
        <f t="shared" si="5"/>
        <v>0</v>
      </c>
      <c r="G15" s="27">
        <f>SUMIFS(전체리스트!E:E,전체리스트!A:A,B15,전체리스트!C:C,D15)</f>
        <v>9150</v>
      </c>
      <c r="H15" s="25">
        <f t="shared" si="2"/>
        <v>457.5</v>
      </c>
      <c r="I15" s="28">
        <f t="shared" si="6"/>
        <v>8692.5</v>
      </c>
      <c r="J15" s="24"/>
    </row>
    <row r="16" spans="2:10">
      <c r="B16" s="24" t="s">
        <v>285</v>
      </c>
      <c r="C16" s="55" t="str">
        <f t="shared" si="4"/>
        <v>12월분</v>
      </c>
      <c r="D16" s="24" t="s">
        <v>62</v>
      </c>
      <c r="E16" s="25">
        <f>SUMIFS(전체리스트!D:D,전체리스트!A:A,B16,전체리스트!C:C,D16)</f>
        <v>9750</v>
      </c>
      <c r="F16" s="26">
        <f t="shared" si="5"/>
        <v>0</v>
      </c>
      <c r="G16" s="27">
        <f>SUMIFS(전체리스트!E:E,전체리스트!A:A,B16,전체리스트!C:C,D16)</f>
        <v>9750</v>
      </c>
      <c r="H16" s="25">
        <f t="shared" si="2"/>
        <v>487.5</v>
      </c>
      <c r="I16" s="28">
        <f t="shared" si="6"/>
        <v>9262.5</v>
      </c>
      <c r="J16" s="24"/>
    </row>
    <row r="17" spans="2:10">
      <c r="B17" s="24" t="s">
        <v>285</v>
      </c>
      <c r="C17" s="55" t="str">
        <f t="shared" si="4"/>
        <v>12월분</v>
      </c>
      <c r="D17" s="24" t="s">
        <v>21</v>
      </c>
      <c r="E17" s="25">
        <f>SUMIFS(전체리스트!D:D,전체리스트!A:A,B17,전체리스트!C:C,D17)</f>
        <v>426636</v>
      </c>
      <c r="F17" s="26">
        <f t="shared" si="5"/>
        <v>0</v>
      </c>
      <c r="G17" s="27">
        <f>SUMIFS(전체리스트!E:E,전체리스트!A:A,B17,전체리스트!C:C,D17)</f>
        <v>426636</v>
      </c>
      <c r="H17" s="25">
        <f t="shared" si="2"/>
        <v>21331.800000000003</v>
      </c>
      <c r="I17" s="28">
        <f t="shared" si="6"/>
        <v>405304.2</v>
      </c>
      <c r="J17" s="24"/>
    </row>
    <row r="18" spans="2:10">
      <c r="B18" s="24" t="s">
        <v>285</v>
      </c>
      <c r="C18" s="55" t="str">
        <f t="shared" si="4"/>
        <v>12월분</v>
      </c>
      <c r="D18" s="24" t="s">
        <v>63</v>
      </c>
      <c r="E18" s="25">
        <f>SUMIFS(전체리스트!D:D,전체리스트!A:A,B18,전체리스트!C:C,D18)</f>
        <v>1332156</v>
      </c>
      <c r="F18" s="26">
        <f t="shared" si="5"/>
        <v>0</v>
      </c>
      <c r="G18" s="27">
        <f>SUMIFS(전체리스트!E:E,전체리스트!A:A,B18,전체리스트!C:C,D18)</f>
        <v>1332156</v>
      </c>
      <c r="H18" s="25">
        <f t="shared" si="2"/>
        <v>66607.8</v>
      </c>
      <c r="I18" s="28">
        <f t="shared" si="6"/>
        <v>1265548.2</v>
      </c>
      <c r="J18" s="24"/>
    </row>
    <row r="19" spans="2:10">
      <c r="B19" s="24" t="s">
        <v>285</v>
      </c>
      <c r="C19" s="55" t="str">
        <f t="shared" ref="C19:C24" si="7">VLOOKUP(B19,raw_a,2,0)</f>
        <v>12월분</v>
      </c>
      <c r="D19" s="24" t="s">
        <v>101</v>
      </c>
      <c r="E19" s="25">
        <f>SUMIFS(전체리스트!D:D,전체리스트!A:A,B19,전체리스트!C:C,D19)</f>
        <v>750</v>
      </c>
      <c r="F19" s="26">
        <f t="shared" ref="F19:F24" si="8">E19-G19</f>
        <v>0</v>
      </c>
      <c r="G19" s="27">
        <f>SUMIFS(전체리스트!E:E,전체리스트!A:A,B19,전체리스트!C:C,D19)</f>
        <v>750</v>
      </c>
      <c r="H19" s="25">
        <f t="shared" ref="H19:H24" si="9">G19*0.05</f>
        <v>37.5</v>
      </c>
      <c r="I19" s="28">
        <f t="shared" ref="I19:I24" si="10">G19-H19</f>
        <v>712.5</v>
      </c>
      <c r="J19" s="24"/>
    </row>
    <row r="20" spans="2:10">
      <c r="B20" s="24" t="s">
        <v>285</v>
      </c>
      <c r="C20" s="55" t="str">
        <f t="shared" si="7"/>
        <v>12월분</v>
      </c>
      <c r="D20" s="24" t="s">
        <v>64</v>
      </c>
      <c r="E20" s="25">
        <f>SUMIFS(전체리스트!D:D,전체리스트!A:A,B20,전체리스트!C:C,D20)</f>
        <v>2800</v>
      </c>
      <c r="F20" s="26">
        <f t="shared" si="8"/>
        <v>0</v>
      </c>
      <c r="G20" s="27">
        <f>SUMIFS(전체리스트!E:E,전체리스트!A:A,B20,전체리스트!C:C,D20)</f>
        <v>2800</v>
      </c>
      <c r="H20" s="25">
        <f t="shared" si="9"/>
        <v>140</v>
      </c>
      <c r="I20" s="28">
        <f t="shared" si="10"/>
        <v>2660</v>
      </c>
      <c r="J20" s="24"/>
    </row>
    <row r="21" spans="2:10">
      <c r="B21" s="24" t="s">
        <v>285</v>
      </c>
      <c r="C21" s="55" t="str">
        <f t="shared" si="7"/>
        <v>12월분</v>
      </c>
      <c r="D21" s="24" t="s">
        <v>33</v>
      </c>
      <c r="E21" s="25">
        <f>SUMIFS(전체리스트!D:D,전체리스트!A:A,B21,전체리스트!C:C,D21)</f>
        <v>1344</v>
      </c>
      <c r="F21" s="26">
        <f t="shared" si="8"/>
        <v>0</v>
      </c>
      <c r="G21" s="27">
        <f>SUMIFS(전체리스트!E:E,전체리스트!A:A,B21,전체리스트!C:C,D21)</f>
        <v>1344</v>
      </c>
      <c r="H21" s="25">
        <f t="shared" si="9"/>
        <v>67.2</v>
      </c>
      <c r="I21" s="28">
        <f t="shared" si="10"/>
        <v>1276.8</v>
      </c>
      <c r="J21" s="24"/>
    </row>
    <row r="22" spans="2:10">
      <c r="B22" s="24" t="s">
        <v>285</v>
      </c>
      <c r="C22" s="55" t="str">
        <f t="shared" si="7"/>
        <v>12월분</v>
      </c>
      <c r="D22" s="24" t="s">
        <v>65</v>
      </c>
      <c r="E22" s="25">
        <f>SUMIFS(전체리스트!D:D,전체리스트!A:A,B22,전체리스트!C:C,D22)</f>
        <v>2004072</v>
      </c>
      <c r="F22" s="26">
        <f t="shared" si="8"/>
        <v>0</v>
      </c>
      <c r="G22" s="27">
        <f>SUMIFS(전체리스트!E:E,전체리스트!A:A,B22,전체리스트!C:C,D22)</f>
        <v>2004072</v>
      </c>
      <c r="H22" s="25">
        <f t="shared" si="9"/>
        <v>100203.6</v>
      </c>
      <c r="I22" s="28">
        <f t="shared" si="10"/>
        <v>1903868.4</v>
      </c>
      <c r="J22" s="24"/>
    </row>
    <row r="23" spans="2:10">
      <c r="B23" s="24" t="s">
        <v>285</v>
      </c>
      <c r="C23" s="55" t="str">
        <f t="shared" si="7"/>
        <v>12월분</v>
      </c>
      <c r="D23" s="24" t="s">
        <v>12</v>
      </c>
      <c r="E23" s="25">
        <f>SUMIFS(전체리스트!D:D,전체리스트!A:A,B23,전체리스트!C:C,D23)</f>
        <v>988764</v>
      </c>
      <c r="F23" s="26">
        <f t="shared" si="8"/>
        <v>0</v>
      </c>
      <c r="G23" s="27">
        <f>SUMIFS(전체리스트!E:E,전체리스트!A:A,B23,전체리스트!C:C,D23)</f>
        <v>988764</v>
      </c>
      <c r="H23" s="25">
        <f t="shared" si="9"/>
        <v>49438.200000000004</v>
      </c>
      <c r="I23" s="28">
        <f t="shared" si="10"/>
        <v>939325.8</v>
      </c>
      <c r="J23" s="24"/>
    </row>
    <row r="24" spans="2:10">
      <c r="B24" s="24" t="s">
        <v>285</v>
      </c>
      <c r="C24" s="55" t="str">
        <f t="shared" si="7"/>
        <v>12월분</v>
      </c>
      <c r="D24" s="24" t="s">
        <v>29</v>
      </c>
      <c r="E24" s="25">
        <f>SUMIFS(전체리스트!D:D,전체리스트!A:A,B24,전체리스트!C:C,D24)</f>
        <v>166572</v>
      </c>
      <c r="F24" s="26">
        <f t="shared" si="8"/>
        <v>0</v>
      </c>
      <c r="G24" s="27">
        <f>SUMIFS(전체리스트!E:E,전체리스트!A:A,B24,전체리스트!C:C,D24)</f>
        <v>166572</v>
      </c>
      <c r="H24" s="25">
        <f t="shared" si="9"/>
        <v>8328.6</v>
      </c>
      <c r="I24" s="28">
        <f t="shared" si="10"/>
        <v>158243.4</v>
      </c>
      <c r="J24" s="24"/>
    </row>
    <row r="25" spans="2:10">
      <c r="B25" s="24" t="s">
        <v>285</v>
      </c>
      <c r="C25" s="55" t="str">
        <f t="shared" si="4"/>
        <v>12월분</v>
      </c>
      <c r="D25" s="24" t="s">
        <v>20</v>
      </c>
      <c r="E25" s="25">
        <f>SUMIFS(전체리스트!D:D,전체리스트!A:A,B25,전체리스트!C:C,D25)</f>
        <v>34524</v>
      </c>
      <c r="F25" s="26">
        <f t="shared" si="5"/>
        <v>0</v>
      </c>
      <c r="G25" s="27">
        <f>SUMIFS(전체리스트!E:E,전체리스트!A:A,B25,전체리스트!C:C,D25)</f>
        <v>34524</v>
      </c>
      <c r="H25" s="25">
        <f t="shared" si="2"/>
        <v>1726.2</v>
      </c>
      <c r="I25" s="28">
        <f t="shared" si="6"/>
        <v>32797.800000000003</v>
      </c>
      <c r="J25" s="24"/>
    </row>
    <row r="26" spans="2:10">
      <c r="B26" s="24" t="s">
        <v>285</v>
      </c>
      <c r="C26" s="55" t="str">
        <f t="shared" si="4"/>
        <v>12월분</v>
      </c>
      <c r="D26" s="24" t="s">
        <v>66</v>
      </c>
      <c r="E26" s="25">
        <f>SUMIFS(전체리스트!D:D,전체리스트!A:A,B26,전체리스트!C:C,D26)</f>
        <v>18150</v>
      </c>
      <c r="F26" s="26">
        <f t="shared" si="5"/>
        <v>0</v>
      </c>
      <c r="G26" s="27">
        <f>SUMIFS(전체리스트!E:E,전체리스트!A:A,B26,전체리스트!C:C,D26)</f>
        <v>18150</v>
      </c>
      <c r="H26" s="25">
        <f t="shared" si="2"/>
        <v>907.5</v>
      </c>
      <c r="I26" s="28">
        <f t="shared" si="6"/>
        <v>17242.5</v>
      </c>
      <c r="J26" s="24"/>
    </row>
    <row r="27" spans="2:10">
      <c r="B27" s="24" t="s">
        <v>285</v>
      </c>
      <c r="C27" s="55" t="str">
        <f t="shared" ref="C27:C54" si="11">VLOOKUP(B27,raw_a,2,0)</f>
        <v>12월분</v>
      </c>
      <c r="D27" s="24" t="s">
        <v>16</v>
      </c>
      <c r="E27" s="25">
        <f>SUMIFS(전체리스트!D:D,전체리스트!A:A,B27,전체리스트!C:C,D27)</f>
        <v>91980</v>
      </c>
      <c r="F27" s="26">
        <f t="shared" ref="F27:F54" si="12">E27-G27</f>
        <v>0</v>
      </c>
      <c r="G27" s="27">
        <f>SUMIFS(전체리스트!E:E,전체리스트!A:A,B27,전체리스트!C:C,D27)</f>
        <v>91980</v>
      </c>
      <c r="H27" s="25">
        <f t="shared" ref="H27:H54" si="13">G27*0.05</f>
        <v>4599</v>
      </c>
      <c r="I27" s="28">
        <f t="shared" ref="I27:I54" si="14">G27-H27</f>
        <v>87381</v>
      </c>
      <c r="J27" s="24"/>
    </row>
    <row r="28" spans="2:10">
      <c r="B28" s="24" t="s">
        <v>285</v>
      </c>
      <c r="C28" s="55" t="str">
        <f t="shared" si="11"/>
        <v>12월분</v>
      </c>
      <c r="D28" s="24" t="s">
        <v>67</v>
      </c>
      <c r="E28" s="25">
        <f>SUMIFS(전체리스트!D:D,전체리스트!A:A,B28,전체리스트!C:C,D28)</f>
        <v>68544</v>
      </c>
      <c r="F28" s="26">
        <f t="shared" si="12"/>
        <v>0</v>
      </c>
      <c r="G28" s="27">
        <f>SUMIFS(전체리스트!E:E,전체리스트!A:A,B28,전체리스트!C:C,D28)</f>
        <v>68544</v>
      </c>
      <c r="H28" s="25">
        <f t="shared" si="13"/>
        <v>3427.2000000000003</v>
      </c>
      <c r="I28" s="28">
        <f t="shared" si="14"/>
        <v>65116.800000000003</v>
      </c>
      <c r="J28" s="24"/>
    </row>
    <row r="29" spans="2:10">
      <c r="B29" s="24" t="s">
        <v>285</v>
      </c>
      <c r="C29" s="55" t="str">
        <f t="shared" si="11"/>
        <v>12월분</v>
      </c>
      <c r="D29" s="24" t="s">
        <v>68</v>
      </c>
      <c r="E29" s="25">
        <f>SUMIFS(전체리스트!D:D,전체리스트!A:A,B29,전체리스트!C:C,D29)</f>
        <v>372204</v>
      </c>
      <c r="F29" s="26">
        <f t="shared" si="12"/>
        <v>0</v>
      </c>
      <c r="G29" s="27">
        <f>SUMIFS(전체리스트!E:E,전체리스트!A:A,B29,전체리스트!C:C,D29)</f>
        <v>372204</v>
      </c>
      <c r="H29" s="25">
        <f t="shared" si="13"/>
        <v>18610.2</v>
      </c>
      <c r="I29" s="28">
        <f t="shared" si="14"/>
        <v>353593.8</v>
      </c>
      <c r="J29" s="24"/>
    </row>
    <row r="30" spans="2:10">
      <c r="B30" s="24" t="s">
        <v>285</v>
      </c>
      <c r="C30" s="55" t="str">
        <f t="shared" si="11"/>
        <v>12월분</v>
      </c>
      <c r="D30" s="24" t="s">
        <v>69</v>
      </c>
      <c r="E30" s="25">
        <f>SUMIFS(전체리스트!D:D,전체리스트!A:A,B30,전체리스트!C:C,D30)</f>
        <v>175896</v>
      </c>
      <c r="F30" s="26">
        <f t="shared" si="12"/>
        <v>0</v>
      </c>
      <c r="G30" s="27">
        <f>SUMIFS(전체리스트!E:E,전체리스트!A:A,B30,전체리스트!C:C,D30)</f>
        <v>175896</v>
      </c>
      <c r="H30" s="25">
        <f t="shared" si="13"/>
        <v>8794.8000000000011</v>
      </c>
      <c r="I30" s="28">
        <f t="shared" si="14"/>
        <v>167101.20000000001</v>
      </c>
      <c r="J30" s="24"/>
    </row>
    <row r="31" spans="2:10">
      <c r="B31" s="24" t="s">
        <v>285</v>
      </c>
      <c r="C31" s="55" t="str">
        <f t="shared" si="11"/>
        <v>12월분</v>
      </c>
      <c r="D31" s="24" t="s">
        <v>15</v>
      </c>
      <c r="E31" s="25">
        <f>SUMIFS(전체리스트!D:D,전체리스트!A:A,B31,전체리스트!C:C,D31)</f>
        <v>840</v>
      </c>
      <c r="F31" s="26">
        <f t="shared" si="12"/>
        <v>0</v>
      </c>
      <c r="G31" s="27">
        <f>SUMIFS(전체리스트!E:E,전체리스트!A:A,B31,전체리스트!C:C,D31)</f>
        <v>840</v>
      </c>
      <c r="H31" s="25">
        <f t="shared" si="13"/>
        <v>42</v>
      </c>
      <c r="I31" s="28">
        <f t="shared" si="14"/>
        <v>798</v>
      </c>
      <c r="J31" s="24"/>
    </row>
    <row r="32" spans="2:10">
      <c r="B32" s="24" t="s">
        <v>285</v>
      </c>
      <c r="C32" s="55" t="str">
        <f t="shared" ref="C32:C51" si="15">VLOOKUP(B32,raw_a,2,0)</f>
        <v>12월분</v>
      </c>
      <c r="D32" s="24" t="s">
        <v>70</v>
      </c>
      <c r="E32" s="25">
        <f>SUMIFS(전체리스트!D:D,전체리스트!A:A,B32,전체리스트!C:C,D32)</f>
        <v>1050</v>
      </c>
      <c r="F32" s="26">
        <f t="shared" ref="F32:F51" si="16">E32-G32</f>
        <v>0</v>
      </c>
      <c r="G32" s="27">
        <f>SUMIFS(전체리스트!E:E,전체리스트!A:A,B32,전체리스트!C:C,D32)</f>
        <v>1050</v>
      </c>
      <c r="H32" s="25">
        <f t="shared" ref="H32:H51" si="17">G32*0.05</f>
        <v>52.5</v>
      </c>
      <c r="I32" s="28">
        <f t="shared" ref="I32:I51" si="18">G32-H32</f>
        <v>997.5</v>
      </c>
      <c r="J32" s="24"/>
    </row>
    <row r="33" spans="2:10">
      <c r="B33" s="24" t="s">
        <v>285</v>
      </c>
      <c r="C33" s="55" t="str">
        <f t="shared" ref="C33:C40" si="19">VLOOKUP(B33,raw_a,2,0)</f>
        <v>12월분</v>
      </c>
      <c r="D33" s="24" t="s">
        <v>71</v>
      </c>
      <c r="E33" s="25">
        <f>SUMIFS(전체리스트!D:D,전체리스트!A:A,B33,전체리스트!C:C,D33)</f>
        <v>699552</v>
      </c>
      <c r="F33" s="26">
        <f t="shared" ref="F33:F40" si="20">E33-G33</f>
        <v>0</v>
      </c>
      <c r="G33" s="27">
        <f>SUMIFS(전체리스트!E:E,전체리스트!A:A,B33,전체리스트!C:C,D33)</f>
        <v>699552</v>
      </c>
      <c r="H33" s="25">
        <f t="shared" ref="H33:H40" si="21">G33*0.05</f>
        <v>34977.599999999999</v>
      </c>
      <c r="I33" s="28">
        <f t="shared" ref="I33:I40" si="22">G33-H33</f>
        <v>664574.4</v>
      </c>
      <c r="J33" s="24"/>
    </row>
    <row r="34" spans="2:10">
      <c r="B34" s="24" t="s">
        <v>285</v>
      </c>
      <c r="C34" s="55" t="str">
        <f t="shared" si="19"/>
        <v>12월분</v>
      </c>
      <c r="D34" s="24" t="s">
        <v>72</v>
      </c>
      <c r="E34" s="25">
        <f>SUMIFS(전체리스트!D:D,전체리스트!A:A,B34,전체리스트!C:C,D34)</f>
        <v>1102752</v>
      </c>
      <c r="F34" s="26">
        <f t="shared" si="20"/>
        <v>0</v>
      </c>
      <c r="G34" s="27">
        <f>SUMIFS(전체리스트!E:E,전체리스트!A:A,B34,전체리스트!C:C,D34)</f>
        <v>1102752</v>
      </c>
      <c r="H34" s="25">
        <f t="shared" si="21"/>
        <v>55137.600000000006</v>
      </c>
      <c r="I34" s="28">
        <f t="shared" si="22"/>
        <v>1047614.4</v>
      </c>
      <c r="J34" s="24"/>
    </row>
    <row r="35" spans="2:10">
      <c r="B35" s="24" t="s">
        <v>285</v>
      </c>
      <c r="C35" s="55" t="str">
        <f t="shared" si="19"/>
        <v>12월분</v>
      </c>
      <c r="D35" s="24" t="s">
        <v>73</v>
      </c>
      <c r="E35" s="25">
        <f>SUMIFS(전체리스트!D:D,전체리스트!A:A,B35,전체리스트!C:C,D35)</f>
        <v>400</v>
      </c>
      <c r="F35" s="26">
        <f t="shared" si="20"/>
        <v>0</v>
      </c>
      <c r="G35" s="27">
        <f>SUMIFS(전체리스트!E:E,전체리스트!A:A,B35,전체리스트!C:C,D35)</f>
        <v>400</v>
      </c>
      <c r="H35" s="25">
        <f t="shared" si="21"/>
        <v>20</v>
      </c>
      <c r="I35" s="28">
        <f t="shared" si="22"/>
        <v>380</v>
      </c>
      <c r="J35" s="24"/>
    </row>
    <row r="36" spans="2:10">
      <c r="B36" s="24" t="s">
        <v>285</v>
      </c>
      <c r="C36" s="55" t="str">
        <f t="shared" si="19"/>
        <v>12월분</v>
      </c>
      <c r="D36" s="24" t="s">
        <v>74</v>
      </c>
      <c r="E36" s="25">
        <f>SUMIFS(전체리스트!D:D,전체리스트!A:A,B36,전체리스트!C:C,D36)</f>
        <v>35532</v>
      </c>
      <c r="F36" s="26">
        <f t="shared" si="20"/>
        <v>0</v>
      </c>
      <c r="G36" s="27">
        <f>SUMIFS(전체리스트!E:E,전체리스트!A:A,B36,전체리스트!C:C,D36)</f>
        <v>35532</v>
      </c>
      <c r="H36" s="25">
        <f t="shared" si="21"/>
        <v>1776.6000000000001</v>
      </c>
      <c r="I36" s="28">
        <f t="shared" si="22"/>
        <v>33755.4</v>
      </c>
      <c r="J36" s="24"/>
    </row>
    <row r="37" spans="2:10">
      <c r="B37" s="24" t="s">
        <v>285</v>
      </c>
      <c r="C37" s="55" t="str">
        <f t="shared" si="19"/>
        <v>12월분</v>
      </c>
      <c r="D37" s="24" t="s">
        <v>75</v>
      </c>
      <c r="E37" s="25">
        <f>SUMIFS(전체리스트!D:D,전체리스트!A:A,B37,전체리스트!C:C,D37)</f>
        <v>174384</v>
      </c>
      <c r="F37" s="26">
        <f t="shared" si="20"/>
        <v>0</v>
      </c>
      <c r="G37" s="27">
        <f>SUMIFS(전체리스트!E:E,전체리스트!A:A,B37,전체리스트!C:C,D37)</f>
        <v>174384</v>
      </c>
      <c r="H37" s="25">
        <f t="shared" si="21"/>
        <v>8719.2000000000007</v>
      </c>
      <c r="I37" s="28">
        <f t="shared" si="22"/>
        <v>165664.79999999999</v>
      </c>
      <c r="J37" s="24"/>
    </row>
    <row r="38" spans="2:10">
      <c r="B38" s="24" t="s">
        <v>285</v>
      </c>
      <c r="C38" s="55" t="str">
        <f t="shared" si="19"/>
        <v>12월분</v>
      </c>
      <c r="D38" s="24" t="s">
        <v>76</v>
      </c>
      <c r="E38" s="25">
        <f>SUMIFS(전체리스트!D:D,전체리스트!A:A,B38,전체리스트!C:C,D38)</f>
        <v>13104</v>
      </c>
      <c r="F38" s="26">
        <f t="shared" si="20"/>
        <v>0</v>
      </c>
      <c r="G38" s="27">
        <f>SUMIFS(전체리스트!E:E,전체리스트!A:A,B38,전체리스트!C:C,D38)</f>
        <v>13104</v>
      </c>
      <c r="H38" s="25">
        <f t="shared" si="21"/>
        <v>655.20000000000005</v>
      </c>
      <c r="I38" s="28">
        <f t="shared" si="22"/>
        <v>12448.8</v>
      </c>
      <c r="J38" s="24"/>
    </row>
    <row r="39" spans="2:10">
      <c r="B39" s="24" t="s">
        <v>285</v>
      </c>
      <c r="C39" s="55" t="str">
        <f t="shared" si="19"/>
        <v>12월분</v>
      </c>
      <c r="D39" s="24" t="s">
        <v>77</v>
      </c>
      <c r="E39" s="25">
        <f>SUMIFS(전체리스트!D:D,전체리스트!A:A,B39,전체리스트!C:C,D39)</f>
        <v>1008</v>
      </c>
      <c r="F39" s="26">
        <f t="shared" si="20"/>
        <v>0</v>
      </c>
      <c r="G39" s="27">
        <f>SUMIFS(전체리스트!E:E,전체리스트!A:A,B39,전체리스트!C:C,D39)</f>
        <v>1008</v>
      </c>
      <c r="H39" s="25">
        <f t="shared" si="21"/>
        <v>50.400000000000006</v>
      </c>
      <c r="I39" s="28">
        <f t="shared" si="22"/>
        <v>957.6</v>
      </c>
      <c r="J39" s="24"/>
    </row>
    <row r="40" spans="2:10">
      <c r="B40" s="24" t="s">
        <v>285</v>
      </c>
      <c r="C40" s="55" t="str">
        <f t="shared" si="19"/>
        <v>12월분</v>
      </c>
      <c r="D40" s="24" t="s">
        <v>363</v>
      </c>
      <c r="E40" s="25">
        <f>SUMIFS(전체리스트!D:D,전체리스트!A:A,B40,전체리스트!C:C,D40)</f>
        <v>29064</v>
      </c>
      <c r="F40" s="26">
        <f t="shared" si="20"/>
        <v>0</v>
      </c>
      <c r="G40" s="27">
        <f>SUMIFS(전체리스트!E:E,전체리스트!A:A,B40,전체리스트!C:C,D40)</f>
        <v>29064</v>
      </c>
      <c r="H40" s="25">
        <f t="shared" si="21"/>
        <v>1453.2</v>
      </c>
      <c r="I40" s="28">
        <f t="shared" si="22"/>
        <v>27610.799999999999</v>
      </c>
      <c r="J40" s="24"/>
    </row>
    <row r="41" spans="2:10">
      <c r="B41" s="24" t="s">
        <v>285</v>
      </c>
      <c r="C41" s="55" t="str">
        <f t="shared" si="15"/>
        <v>12월분</v>
      </c>
      <c r="D41" s="24" t="s">
        <v>364</v>
      </c>
      <c r="E41" s="25">
        <f>SUMIFS(전체리스트!D:D,전체리스트!A:A,B41,전체리스트!C:C,D41)</f>
        <v>3192</v>
      </c>
      <c r="F41" s="26">
        <f t="shared" si="16"/>
        <v>0</v>
      </c>
      <c r="G41" s="27">
        <f>SUMIFS(전체리스트!E:E,전체리스트!A:A,B41,전체리스트!C:C,D41)</f>
        <v>3192</v>
      </c>
      <c r="H41" s="25">
        <f t="shared" si="17"/>
        <v>159.60000000000002</v>
      </c>
      <c r="I41" s="28">
        <f t="shared" si="18"/>
        <v>3032.4</v>
      </c>
      <c r="J41" s="24"/>
    </row>
    <row r="42" spans="2:10">
      <c r="B42" s="24" t="s">
        <v>285</v>
      </c>
      <c r="C42" s="55" t="str">
        <f t="shared" si="15"/>
        <v>12월분</v>
      </c>
      <c r="D42" s="24" t="s">
        <v>377</v>
      </c>
      <c r="E42" s="25">
        <f>SUMIFS(전체리스트!D:D,전체리스트!A:A,B42,전체리스트!C:C,D42)</f>
        <v>2800</v>
      </c>
      <c r="F42" s="26">
        <f t="shared" si="16"/>
        <v>0</v>
      </c>
      <c r="G42" s="27">
        <f>SUMIFS(전체리스트!E:E,전체리스트!A:A,B42,전체리스트!C:C,D42)</f>
        <v>2800</v>
      </c>
      <c r="H42" s="25">
        <f t="shared" si="17"/>
        <v>140</v>
      </c>
      <c r="I42" s="28">
        <f t="shared" si="18"/>
        <v>2660</v>
      </c>
      <c r="J42" s="24"/>
    </row>
    <row r="43" spans="2:10">
      <c r="B43" s="24" t="s">
        <v>285</v>
      </c>
      <c r="C43" s="55" t="str">
        <f t="shared" si="15"/>
        <v>12월분</v>
      </c>
      <c r="D43" s="24" t="s">
        <v>378</v>
      </c>
      <c r="E43" s="25">
        <f>SUMIFS(전체리스트!D:D,전체리스트!A:A,B43,전체리스트!C:C,D43)</f>
        <v>2808624</v>
      </c>
      <c r="F43" s="26">
        <f t="shared" si="16"/>
        <v>0</v>
      </c>
      <c r="G43" s="27">
        <f>SUMIFS(전체리스트!E:E,전체리스트!A:A,B43,전체리스트!C:C,D43)</f>
        <v>2808624</v>
      </c>
      <c r="H43" s="25">
        <f t="shared" si="17"/>
        <v>140431.20000000001</v>
      </c>
      <c r="I43" s="28">
        <f t="shared" si="18"/>
        <v>2668192.7999999998</v>
      </c>
      <c r="J43" s="24"/>
    </row>
    <row r="44" spans="2:10">
      <c r="B44" s="24" t="s">
        <v>285</v>
      </c>
      <c r="C44" s="55" t="str">
        <f t="shared" si="15"/>
        <v>12월분</v>
      </c>
      <c r="D44" s="24" t="s">
        <v>91</v>
      </c>
      <c r="E44" s="25">
        <f>SUMIFS(전체리스트!D:D,전체리스트!A:A,B44,전체리스트!C:C,D44)</f>
        <v>9400</v>
      </c>
      <c r="F44" s="26">
        <f t="shared" si="16"/>
        <v>0</v>
      </c>
      <c r="G44" s="27">
        <f>SUMIFS(전체리스트!E:E,전체리스트!A:A,B44,전체리스트!C:C,D44)</f>
        <v>9400</v>
      </c>
      <c r="H44" s="25">
        <f t="shared" si="17"/>
        <v>470</v>
      </c>
      <c r="I44" s="28">
        <f t="shared" si="18"/>
        <v>8930</v>
      </c>
      <c r="J44" s="24"/>
    </row>
    <row r="45" spans="2:10">
      <c r="B45" s="24" t="s">
        <v>285</v>
      </c>
      <c r="C45" s="55" t="str">
        <f t="shared" si="15"/>
        <v>12월분</v>
      </c>
      <c r="D45" s="24" t="s">
        <v>379</v>
      </c>
      <c r="E45" s="25">
        <f>SUMIFS(전체리스트!D:D,전체리스트!A:A,B45,전체리스트!C:C,D45)</f>
        <v>7000</v>
      </c>
      <c r="F45" s="26">
        <f t="shared" si="16"/>
        <v>0</v>
      </c>
      <c r="G45" s="27">
        <f>SUMIFS(전체리스트!E:E,전체리스트!A:A,B45,전체리스트!C:C,D45)</f>
        <v>7000</v>
      </c>
      <c r="H45" s="25">
        <f t="shared" si="17"/>
        <v>350</v>
      </c>
      <c r="I45" s="28">
        <f t="shared" si="18"/>
        <v>6650</v>
      </c>
      <c r="J45" s="24"/>
    </row>
    <row r="46" spans="2:10">
      <c r="B46" s="24" t="s">
        <v>285</v>
      </c>
      <c r="C46" s="55" t="str">
        <f t="shared" si="15"/>
        <v>12월분</v>
      </c>
      <c r="D46" s="24" t="s">
        <v>542</v>
      </c>
      <c r="E46" s="25">
        <f>SUMIFS(전체리스트!D:D,전체리스트!A:A,B46,전체리스트!C:C,D46)</f>
        <v>252</v>
      </c>
      <c r="F46" s="26">
        <f t="shared" si="16"/>
        <v>0</v>
      </c>
      <c r="G46" s="27">
        <f>SUMIFS(전체리스트!E:E,전체리스트!A:A,B46,전체리스트!C:C,D46)</f>
        <v>252</v>
      </c>
      <c r="H46" s="25">
        <f t="shared" si="17"/>
        <v>12.600000000000001</v>
      </c>
      <c r="I46" s="28">
        <f t="shared" si="18"/>
        <v>239.4</v>
      </c>
      <c r="J46" s="24"/>
    </row>
    <row r="47" spans="2:10">
      <c r="B47" s="24" t="s">
        <v>285</v>
      </c>
      <c r="C47" s="55" t="str">
        <f t="shared" si="15"/>
        <v>12월분</v>
      </c>
      <c r="D47" s="24" t="s">
        <v>380</v>
      </c>
      <c r="E47" s="25">
        <f>SUMIFS(전체리스트!D:D,전체리스트!A:A,B47,전체리스트!C:C,D47)</f>
        <v>4032</v>
      </c>
      <c r="F47" s="26">
        <f t="shared" si="16"/>
        <v>0</v>
      </c>
      <c r="G47" s="27">
        <f>SUMIFS(전체리스트!E:E,전체리스트!A:A,B47,전체리스트!C:C,D47)</f>
        <v>4032</v>
      </c>
      <c r="H47" s="25">
        <f t="shared" si="17"/>
        <v>201.60000000000002</v>
      </c>
      <c r="I47" s="28">
        <f t="shared" si="18"/>
        <v>3830.4</v>
      </c>
      <c r="J47" s="24"/>
    </row>
    <row r="48" spans="2:10">
      <c r="B48" s="24" t="s">
        <v>285</v>
      </c>
      <c r="C48" s="55" t="str">
        <f t="shared" si="15"/>
        <v>12월분</v>
      </c>
      <c r="D48" s="24" t="s">
        <v>394</v>
      </c>
      <c r="E48" s="25">
        <f>SUMIFS(전체리스트!D:D,전체리스트!A:A,B48,전체리스트!C:C,D48)</f>
        <v>13356</v>
      </c>
      <c r="F48" s="26">
        <f t="shared" si="16"/>
        <v>0</v>
      </c>
      <c r="G48" s="27">
        <f>SUMIFS(전체리스트!E:E,전체리스트!A:A,B48,전체리스트!C:C,D48)</f>
        <v>13356</v>
      </c>
      <c r="H48" s="25">
        <f t="shared" si="17"/>
        <v>667.80000000000007</v>
      </c>
      <c r="I48" s="28">
        <f t="shared" si="18"/>
        <v>12688.2</v>
      </c>
      <c r="J48" s="24"/>
    </row>
    <row r="49" spans="2:10">
      <c r="B49" s="24" t="s">
        <v>285</v>
      </c>
      <c r="C49" s="55" t="str">
        <f t="shared" ref="C49" si="23">VLOOKUP(B49,raw_a,2,0)</f>
        <v>12월분</v>
      </c>
      <c r="D49" s="24" t="s">
        <v>393</v>
      </c>
      <c r="E49" s="25">
        <f>SUMIFS(전체리스트!D:D,전체리스트!A:A,B49,전체리스트!C:C,D49)</f>
        <v>18396</v>
      </c>
      <c r="F49" s="26">
        <f t="shared" ref="F49" si="24">E49-G49</f>
        <v>0</v>
      </c>
      <c r="G49" s="27">
        <f>SUMIFS(전체리스트!E:E,전체리스트!A:A,B49,전체리스트!C:C,D49)</f>
        <v>18396</v>
      </c>
      <c r="H49" s="25">
        <f t="shared" ref="H49" si="25">G49*0.05</f>
        <v>919.80000000000007</v>
      </c>
      <c r="I49" s="28">
        <f t="shared" ref="I49" si="26">G49-H49</f>
        <v>17476.2</v>
      </c>
      <c r="J49" s="24"/>
    </row>
    <row r="50" spans="2:10">
      <c r="B50" s="24" t="s">
        <v>285</v>
      </c>
      <c r="C50" s="55" t="str">
        <f t="shared" si="15"/>
        <v>12월분</v>
      </c>
      <c r="D50" s="24" t="s">
        <v>543</v>
      </c>
      <c r="E50" s="25">
        <f>SUMIFS(전체리스트!D:D,전체리스트!A:A,B50,전체리스트!C:C,D50)</f>
        <v>13440</v>
      </c>
      <c r="F50" s="26">
        <f t="shared" si="16"/>
        <v>0</v>
      </c>
      <c r="G50" s="27">
        <f>SUMIFS(전체리스트!E:E,전체리스트!A:A,B50,전체리스트!C:C,D50)</f>
        <v>13440</v>
      </c>
      <c r="H50" s="25">
        <f t="shared" si="17"/>
        <v>672</v>
      </c>
      <c r="I50" s="28">
        <f t="shared" si="18"/>
        <v>12768</v>
      </c>
      <c r="J50" s="24"/>
    </row>
    <row r="51" spans="2:10">
      <c r="B51" s="24" t="s">
        <v>285</v>
      </c>
      <c r="C51" s="55" t="str">
        <f t="shared" si="15"/>
        <v>12월분</v>
      </c>
      <c r="D51" s="24" t="s">
        <v>544</v>
      </c>
      <c r="E51" s="25">
        <f>SUMIFS(전체리스트!D:D,전체리스트!A:A,B51,전체리스트!C:C,D51)</f>
        <v>10332</v>
      </c>
      <c r="F51" s="26">
        <f t="shared" si="16"/>
        <v>0</v>
      </c>
      <c r="G51" s="27">
        <f>SUMIFS(전체리스트!E:E,전체리스트!A:A,B51,전체리스트!C:C,D51)</f>
        <v>10332</v>
      </c>
      <c r="H51" s="25">
        <f t="shared" si="17"/>
        <v>516.6</v>
      </c>
      <c r="I51" s="28">
        <f t="shared" si="18"/>
        <v>9815.4</v>
      </c>
      <c r="J51" s="24"/>
    </row>
    <row r="52" spans="2:10">
      <c r="B52" s="24" t="s">
        <v>285</v>
      </c>
      <c r="C52" s="55" t="str">
        <f t="shared" si="11"/>
        <v>12월분</v>
      </c>
      <c r="D52" s="24" t="s">
        <v>219</v>
      </c>
      <c r="E52" s="25">
        <f>SUMIFS(전체리스트!D:D,전체리스트!A:A,B52,전체리스트!C:C,D52)</f>
        <v>21300</v>
      </c>
      <c r="F52" s="26">
        <f t="shared" si="12"/>
        <v>0</v>
      </c>
      <c r="G52" s="27">
        <f>SUMIFS(전체리스트!E:E,전체리스트!A:A,B52,전체리스트!C:C,D52)</f>
        <v>21300</v>
      </c>
      <c r="H52" s="25">
        <f t="shared" si="13"/>
        <v>1065</v>
      </c>
      <c r="I52" s="28">
        <f t="shared" si="14"/>
        <v>20235</v>
      </c>
      <c r="J52" s="24"/>
    </row>
    <row r="53" spans="2:10">
      <c r="B53" s="24" t="s">
        <v>285</v>
      </c>
      <c r="C53" s="55" t="str">
        <f t="shared" si="11"/>
        <v>12월분</v>
      </c>
      <c r="D53" s="24" t="s">
        <v>372</v>
      </c>
      <c r="E53" s="25">
        <f>SUMIFS(전체리스트!D:D,전체리스트!A:A,B53,전체리스트!C:C,D53)</f>
        <v>26400</v>
      </c>
      <c r="F53" s="26">
        <f t="shared" si="12"/>
        <v>0</v>
      </c>
      <c r="G53" s="27">
        <f>SUMIFS(전체리스트!E:E,전체리스트!A:A,B53,전체리스트!C:C,D53)</f>
        <v>26400</v>
      </c>
      <c r="H53" s="25">
        <f t="shared" si="13"/>
        <v>1320</v>
      </c>
      <c r="I53" s="28">
        <f t="shared" si="14"/>
        <v>25080</v>
      </c>
      <c r="J53" s="24"/>
    </row>
    <row r="54" spans="2:10">
      <c r="B54" s="24" t="s">
        <v>285</v>
      </c>
      <c r="C54" s="55" t="str">
        <f t="shared" si="11"/>
        <v>12월분</v>
      </c>
      <c r="D54" s="24" t="s">
        <v>545</v>
      </c>
      <c r="E54" s="25">
        <f>SUMIFS(전체리스트!D:D,전체리스트!A:A,B54,전체리스트!C:C,D54)</f>
        <v>16296</v>
      </c>
      <c r="F54" s="26">
        <f t="shared" si="12"/>
        <v>0</v>
      </c>
      <c r="G54" s="27">
        <f>SUMIFS(전체리스트!E:E,전체리스트!A:A,B54,전체리스트!C:C,D54)</f>
        <v>16296</v>
      </c>
      <c r="H54" s="25">
        <f t="shared" si="13"/>
        <v>814.80000000000007</v>
      </c>
      <c r="I54" s="28">
        <f t="shared" si="14"/>
        <v>15481.2</v>
      </c>
      <c r="J54" s="24"/>
    </row>
    <row r="55" spans="2:10">
      <c r="B55" s="29" t="s">
        <v>322</v>
      </c>
      <c r="C55" s="29"/>
      <c r="D55" s="30"/>
      <c r="E55" s="31">
        <f t="shared" ref="E55:J55" si="27">SUM(E6:E54)</f>
        <v>10858028</v>
      </c>
      <c r="F55" s="31">
        <f t="shared" si="27"/>
        <v>0</v>
      </c>
      <c r="G55" s="31">
        <f t="shared" si="27"/>
        <v>10858028</v>
      </c>
      <c r="H55" s="31">
        <f t="shared" si="27"/>
        <v>542901.40000000014</v>
      </c>
      <c r="I55" s="31">
        <f t="shared" si="27"/>
        <v>10315126.6</v>
      </c>
      <c r="J55" s="31">
        <f t="shared" si="2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4:J17"/>
  <sheetViews>
    <sheetView workbookViewId="0">
      <selection activeCell="E21" sqref="E21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78</v>
      </c>
      <c r="C6" s="55" t="str">
        <f t="shared" ref="C6" si="0">VLOOKUP(B6,raw_a,2,0)</f>
        <v>12월분</v>
      </c>
      <c r="D6" s="24" t="s">
        <v>66</v>
      </c>
      <c r="E6" s="25">
        <f>SUMIFS(전체리스트!D:D,전체리스트!A:A,B6,전체리스트!C:C,D6)</f>
        <v>14800</v>
      </c>
      <c r="F6" s="26">
        <f>E6-G6</f>
        <v>4440</v>
      </c>
      <c r="G6" s="27">
        <f>SUMIFS(전체리스트!E:E,전체리스트!A:A,B6,전체리스트!C:C,D6)</f>
        <v>10360</v>
      </c>
      <c r="H6" s="25">
        <f>G6*0.05</f>
        <v>518</v>
      </c>
      <c r="I6" s="28">
        <f>G6-H6</f>
        <v>9842</v>
      </c>
      <c r="J6" s="24"/>
    </row>
    <row r="7" spans="2:10">
      <c r="B7" s="24" t="s">
        <v>78</v>
      </c>
      <c r="C7" s="55" t="str">
        <f t="shared" ref="C7:C12" si="1">VLOOKUP(B7,raw_a,2,0)</f>
        <v>12월분</v>
      </c>
      <c r="D7" s="24" t="s">
        <v>8</v>
      </c>
      <c r="E7" s="25">
        <f>SUMIFS(전체리스트!D:D,전체리스트!A:A,B7,전체리스트!C:C,D7)</f>
        <v>7600</v>
      </c>
      <c r="F7" s="26">
        <f t="shared" ref="F7:F12" si="2">E7-G7</f>
        <v>2280</v>
      </c>
      <c r="G7" s="27">
        <f>SUMIFS(전체리스트!E:E,전체리스트!A:A,B7,전체리스트!C:C,D7)</f>
        <v>5320</v>
      </c>
      <c r="H7" s="25">
        <f t="shared" ref="H7:H12" si="3">G7*0.05</f>
        <v>266</v>
      </c>
      <c r="I7" s="28">
        <f t="shared" ref="I7:I12" si="4">G7-H7</f>
        <v>5054</v>
      </c>
      <c r="J7" s="24"/>
    </row>
    <row r="8" spans="2:10">
      <c r="B8" s="24" t="s">
        <v>78</v>
      </c>
      <c r="C8" s="55" t="str">
        <f t="shared" si="1"/>
        <v>12월분</v>
      </c>
      <c r="D8" s="24" t="s">
        <v>9</v>
      </c>
      <c r="E8" s="25">
        <f>SUMIFS(전체리스트!D:D,전체리스트!A:A,B8,전체리스트!C:C,D8)</f>
        <v>2200</v>
      </c>
      <c r="F8" s="26">
        <f t="shared" si="2"/>
        <v>660</v>
      </c>
      <c r="G8" s="27">
        <f>SUMIFS(전체리스트!E:E,전체리스트!A:A,B8,전체리스트!C:C,D8)</f>
        <v>1540</v>
      </c>
      <c r="H8" s="25">
        <f t="shared" si="3"/>
        <v>77</v>
      </c>
      <c r="I8" s="28">
        <f t="shared" si="4"/>
        <v>1463</v>
      </c>
      <c r="J8" s="24"/>
    </row>
    <row r="9" spans="2:10">
      <c r="B9" s="24" t="s">
        <v>78</v>
      </c>
      <c r="C9" s="55" t="str">
        <f t="shared" si="1"/>
        <v>12월분</v>
      </c>
      <c r="D9" s="24" t="s">
        <v>11</v>
      </c>
      <c r="E9" s="25">
        <f>SUMIFS(전체리스트!D:D,전체리스트!A:A,B9,전체리스트!C:C,D9)</f>
        <v>49200</v>
      </c>
      <c r="F9" s="26">
        <f t="shared" si="2"/>
        <v>14760</v>
      </c>
      <c r="G9" s="27">
        <f>SUMIFS(전체리스트!E:E,전체리스트!A:A,B9,전체리스트!C:C,D9)</f>
        <v>34440</v>
      </c>
      <c r="H9" s="25">
        <f t="shared" si="3"/>
        <v>1722</v>
      </c>
      <c r="I9" s="28">
        <f t="shared" si="4"/>
        <v>32718</v>
      </c>
      <c r="J9" s="24"/>
    </row>
    <row r="10" spans="2:10">
      <c r="B10" s="24" t="s">
        <v>78</v>
      </c>
      <c r="C10" s="55" t="str">
        <f t="shared" si="1"/>
        <v>12월분</v>
      </c>
      <c r="D10" s="24" t="s">
        <v>53</v>
      </c>
      <c r="E10" s="25">
        <f>SUMIFS(전체리스트!D:D,전체리스트!A:A,B10,전체리스트!C:C,D10)</f>
        <v>39300</v>
      </c>
      <c r="F10" s="26">
        <f t="shared" si="2"/>
        <v>11790</v>
      </c>
      <c r="G10" s="27">
        <f>SUMIFS(전체리스트!E:E,전체리스트!A:A,B10,전체리스트!C:C,D10)</f>
        <v>27510</v>
      </c>
      <c r="H10" s="25">
        <f t="shared" si="3"/>
        <v>1375.5</v>
      </c>
      <c r="I10" s="28">
        <f t="shared" si="4"/>
        <v>26134.5</v>
      </c>
      <c r="J10" s="24"/>
    </row>
    <row r="11" spans="2:10">
      <c r="B11" s="24" t="s">
        <v>78</v>
      </c>
      <c r="C11" s="55" t="str">
        <f t="shared" si="1"/>
        <v>12월분</v>
      </c>
      <c r="D11" s="24" t="s">
        <v>537</v>
      </c>
      <c r="E11" s="25">
        <f>SUMIFS(전체리스트!D:D,전체리스트!A:A,B11,전체리스트!C:C,D11)</f>
        <v>17100</v>
      </c>
      <c r="F11" s="26">
        <f t="shared" si="2"/>
        <v>5130</v>
      </c>
      <c r="G11" s="27">
        <f>SUMIFS(전체리스트!E:E,전체리스트!A:A,B11,전체리스트!C:C,D11)</f>
        <v>11970</v>
      </c>
      <c r="H11" s="25">
        <f t="shared" si="3"/>
        <v>598.5</v>
      </c>
      <c r="I11" s="28">
        <f t="shared" si="4"/>
        <v>11371.5</v>
      </c>
      <c r="J11" s="24"/>
    </row>
    <row r="12" spans="2:10">
      <c r="B12" s="24" t="s">
        <v>78</v>
      </c>
      <c r="C12" s="55" t="str">
        <f t="shared" si="1"/>
        <v>12월분</v>
      </c>
      <c r="D12" s="24" t="s">
        <v>23</v>
      </c>
      <c r="E12" s="25">
        <f>SUMIFS(전체리스트!D:D,전체리스트!A:A,B12,전체리스트!C:C,D12)</f>
        <v>5800</v>
      </c>
      <c r="F12" s="26">
        <f t="shared" si="2"/>
        <v>1740</v>
      </c>
      <c r="G12" s="27">
        <f>SUMIFS(전체리스트!E:E,전체리스트!A:A,B12,전체리스트!C:C,D12)</f>
        <v>4060</v>
      </c>
      <c r="H12" s="25">
        <f t="shared" si="3"/>
        <v>203</v>
      </c>
      <c r="I12" s="28">
        <f t="shared" si="4"/>
        <v>3857</v>
      </c>
      <c r="J12" s="24"/>
    </row>
    <row r="13" spans="2:10">
      <c r="B13" s="24" t="s">
        <v>78</v>
      </c>
      <c r="C13" s="55" t="str">
        <f t="shared" ref="C13:C14" si="5">VLOOKUP(B13,raw_a,2,0)</f>
        <v>12월분</v>
      </c>
      <c r="D13" s="24" t="s">
        <v>64</v>
      </c>
      <c r="E13" s="25">
        <f>SUMIFS(전체리스트!D:D,전체리스트!A:A,B13,전체리스트!C:C,D13)</f>
        <v>19200</v>
      </c>
      <c r="F13" s="26">
        <f t="shared" ref="F13:F14" si="6">E13-G13</f>
        <v>5760</v>
      </c>
      <c r="G13" s="27">
        <f>SUMIFS(전체리스트!E:E,전체리스트!A:A,B13,전체리스트!C:C,D13)</f>
        <v>13440</v>
      </c>
      <c r="H13" s="25">
        <f t="shared" ref="H13:H14" si="7">G13*0.05</f>
        <v>672</v>
      </c>
      <c r="I13" s="28">
        <f t="shared" ref="I13:I14" si="8">G13-H13</f>
        <v>12768</v>
      </c>
      <c r="J13" s="24"/>
    </row>
    <row r="14" spans="2:10">
      <c r="B14" s="24" t="s">
        <v>78</v>
      </c>
      <c r="C14" s="55" t="str">
        <f t="shared" si="5"/>
        <v>12월분</v>
      </c>
      <c r="D14" s="24" t="s">
        <v>30</v>
      </c>
      <c r="E14" s="25">
        <f>SUMIFS(전체리스트!D:D,전체리스트!A:A,B14,전체리스트!C:C,D14)</f>
        <v>272800</v>
      </c>
      <c r="F14" s="26">
        <f t="shared" si="6"/>
        <v>81840</v>
      </c>
      <c r="G14" s="27">
        <f>SUMIFS(전체리스트!E:E,전체리스트!A:A,B14,전체리스트!C:C,D14)</f>
        <v>190960</v>
      </c>
      <c r="H14" s="25">
        <f t="shared" si="7"/>
        <v>9548</v>
      </c>
      <c r="I14" s="28">
        <f t="shared" si="8"/>
        <v>181412</v>
      </c>
      <c r="J14" s="24"/>
    </row>
    <row r="15" spans="2:10">
      <c r="B15" s="24" t="s">
        <v>78</v>
      </c>
      <c r="C15" s="55" t="str">
        <f t="shared" ref="C15" si="9">VLOOKUP(B15,raw_a,2,0)</f>
        <v>12월분</v>
      </c>
      <c r="D15" s="24" t="s">
        <v>360</v>
      </c>
      <c r="E15" s="25">
        <f>SUMIFS(전체리스트!D:D,전체리스트!A:A,B15,전체리스트!C:C,D15)</f>
        <v>152500</v>
      </c>
      <c r="F15" s="26">
        <f t="shared" ref="F15" si="10">E15-G15</f>
        <v>45750</v>
      </c>
      <c r="G15" s="27">
        <f>SUMIFS(전체리스트!E:E,전체리스트!A:A,B15,전체리스트!C:C,D15)</f>
        <v>106750</v>
      </c>
      <c r="H15" s="25">
        <f t="shared" ref="H15" si="11">G15*0.05</f>
        <v>5337.5</v>
      </c>
      <c r="I15" s="28">
        <f t="shared" ref="I15" si="12">G15-H15</f>
        <v>101412.5</v>
      </c>
      <c r="J15" s="24"/>
    </row>
    <row r="16" spans="2:10">
      <c r="B16" s="24" t="s">
        <v>78</v>
      </c>
      <c r="C16" s="55" t="str">
        <f t="shared" ref="C16" si="13">VLOOKUP(B16,raw_a,2,0)</f>
        <v>12월분</v>
      </c>
      <c r="D16" s="24" t="s">
        <v>38</v>
      </c>
      <c r="E16" s="25">
        <f>SUMIFS(전체리스트!D:D,전체리스트!A:A,B16,전체리스트!C:C,D16)</f>
        <v>11400</v>
      </c>
      <c r="F16" s="26">
        <f t="shared" ref="F16" si="14">E16-G16</f>
        <v>3420</v>
      </c>
      <c r="G16" s="27">
        <f>SUMIFS(전체리스트!E:E,전체리스트!A:A,B16,전체리스트!C:C,D16)</f>
        <v>7980</v>
      </c>
      <c r="H16" s="25">
        <f t="shared" ref="H16" si="15">G16*0.05</f>
        <v>399</v>
      </c>
      <c r="I16" s="28">
        <f t="shared" ref="I16" si="16">G16-H16</f>
        <v>7581</v>
      </c>
      <c r="J16" s="24"/>
    </row>
    <row r="17" spans="2:10">
      <c r="B17" s="29" t="s">
        <v>322</v>
      </c>
      <c r="C17" s="29"/>
      <c r="D17" s="30"/>
      <c r="E17" s="31">
        <f t="shared" ref="E17:J17" si="17">SUM(E6:E16)</f>
        <v>591900</v>
      </c>
      <c r="F17" s="31">
        <f t="shared" si="17"/>
        <v>177570</v>
      </c>
      <c r="G17" s="31">
        <f t="shared" si="17"/>
        <v>414330</v>
      </c>
      <c r="H17" s="31">
        <f t="shared" si="17"/>
        <v>20716.5</v>
      </c>
      <c r="I17" s="31">
        <f t="shared" si="17"/>
        <v>393613.5</v>
      </c>
      <c r="J17" s="31">
        <f t="shared" si="1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4:J24"/>
  <sheetViews>
    <sheetView workbookViewId="0">
      <selection activeCell="D34" sqref="D34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189</v>
      </c>
      <c r="C6" s="55" t="str">
        <f t="shared" ref="C6:C23" si="0">VLOOKUP(B6,raw_a,2,0)</f>
        <v>11월분</v>
      </c>
      <c r="D6" s="24" t="s">
        <v>22</v>
      </c>
      <c r="E6" s="25">
        <f>SUMIFS(전체리스트!D:D,전체리스트!A:A,B6,전체리스트!C:C,D6)</f>
        <v>395514</v>
      </c>
      <c r="F6" s="26">
        <f>E6-G6</f>
        <v>0</v>
      </c>
      <c r="G6" s="27">
        <f>SUMIFS(전체리스트!E:E,전체리스트!A:A,B6,전체리스트!C:C,D6)</f>
        <v>395514</v>
      </c>
      <c r="H6" s="25">
        <f>G6*0.05</f>
        <v>19775.7</v>
      </c>
      <c r="I6" s="28">
        <f>G6-H6</f>
        <v>375738.3</v>
      </c>
      <c r="J6" s="24"/>
    </row>
    <row r="7" spans="2:10">
      <c r="B7" s="24" t="s">
        <v>189</v>
      </c>
      <c r="C7" s="55" t="str">
        <f t="shared" si="0"/>
        <v>11월분</v>
      </c>
      <c r="D7" s="24" t="s">
        <v>21</v>
      </c>
      <c r="E7" s="25">
        <f>SUMIFS(전체리스트!D:D,전체리스트!A:A,B7,전체리스트!C:C,D7)</f>
        <v>729</v>
      </c>
      <c r="F7" s="26">
        <f t="shared" ref="F7" si="1">E7-G7</f>
        <v>0</v>
      </c>
      <c r="G7" s="27">
        <f>SUMIFS(전체리스트!E:E,전체리스트!A:A,B7,전체리스트!C:C,D7)</f>
        <v>729</v>
      </c>
      <c r="H7" s="25">
        <f t="shared" ref="H7:H23" si="2">G7*0.05</f>
        <v>36.450000000000003</v>
      </c>
      <c r="I7" s="28">
        <f t="shared" ref="I7" si="3">G7-H7</f>
        <v>692.55</v>
      </c>
      <c r="J7" s="24"/>
    </row>
    <row r="8" spans="2:10">
      <c r="B8" s="24" t="s">
        <v>189</v>
      </c>
      <c r="C8" s="55" t="str">
        <f t="shared" si="0"/>
        <v>11월분</v>
      </c>
      <c r="D8" s="24" t="s">
        <v>90</v>
      </c>
      <c r="E8" s="25">
        <f>SUMIFS(전체리스트!D:D,전체리스트!A:A,B8,전체리스트!C:C,D8)</f>
        <v>474759</v>
      </c>
      <c r="F8" s="26">
        <f>E8-G8</f>
        <v>0</v>
      </c>
      <c r="G8" s="27">
        <f>SUMIFS(전체리스트!E:E,전체리스트!A:A,B8,전체리스트!C:C,D8)</f>
        <v>474759</v>
      </c>
      <c r="H8" s="25">
        <f t="shared" si="2"/>
        <v>23737.95</v>
      </c>
      <c r="I8" s="28">
        <f>G8-H8</f>
        <v>451021.05</v>
      </c>
      <c r="J8" s="24"/>
    </row>
    <row r="9" spans="2:10">
      <c r="B9" s="24" t="s">
        <v>189</v>
      </c>
      <c r="C9" s="55" t="str">
        <f t="shared" si="0"/>
        <v>11월분</v>
      </c>
      <c r="D9" s="24" t="s">
        <v>12</v>
      </c>
      <c r="E9" s="25">
        <f>SUMIFS(전체리스트!D:D,전체리스트!A:A,B9,전체리스트!C:C,D9)</f>
        <v>45846</v>
      </c>
      <c r="F9" s="26">
        <f t="shared" ref="F9" si="4">E9-G9</f>
        <v>0</v>
      </c>
      <c r="G9" s="27">
        <f>SUMIFS(전체리스트!E:E,전체리스트!A:A,B9,전체리스트!C:C,D9)</f>
        <v>45846</v>
      </c>
      <c r="H9" s="25">
        <f t="shared" si="2"/>
        <v>2292.3000000000002</v>
      </c>
      <c r="I9" s="28">
        <f t="shared" ref="I9" si="5">G9-H9</f>
        <v>43553.7</v>
      </c>
      <c r="J9" s="24"/>
    </row>
    <row r="10" spans="2:10">
      <c r="B10" s="24" t="s">
        <v>189</v>
      </c>
      <c r="C10" s="55" t="str">
        <f t="shared" ref="C10:C17" si="6">VLOOKUP(B10,raw_a,2,0)</f>
        <v>11월분</v>
      </c>
      <c r="D10" s="24" t="s">
        <v>10</v>
      </c>
      <c r="E10" s="25">
        <f>SUMIFS(전체리스트!D:D,전체리스트!A:A,B10,전체리스트!C:C,D10)</f>
        <v>14229</v>
      </c>
      <c r="F10" s="26">
        <f>E10-G10</f>
        <v>0</v>
      </c>
      <c r="G10" s="27">
        <f>SUMIFS(전체리스트!E:E,전체리스트!A:A,B10,전체리스트!C:C,D10)</f>
        <v>14229</v>
      </c>
      <c r="H10" s="25">
        <f t="shared" ref="H10:H17" si="7">G10*0.05</f>
        <v>711.45</v>
      </c>
      <c r="I10" s="28">
        <f>G10-H10</f>
        <v>13517.55</v>
      </c>
      <c r="J10" s="24"/>
    </row>
    <row r="11" spans="2:10">
      <c r="B11" s="24" t="s">
        <v>189</v>
      </c>
      <c r="C11" s="55" t="str">
        <f t="shared" si="6"/>
        <v>11월분</v>
      </c>
      <c r="D11" s="24" t="s">
        <v>191</v>
      </c>
      <c r="E11" s="25">
        <f>SUMIFS(전체리스트!D:D,전체리스트!A:A,B11,전체리스트!C:C,D11)</f>
        <v>23166</v>
      </c>
      <c r="F11" s="26">
        <f>E11-G11</f>
        <v>0</v>
      </c>
      <c r="G11" s="27">
        <f>SUMIFS(전체리스트!E:E,전체리스트!A:A,B11,전체리스트!C:C,D11)</f>
        <v>23166</v>
      </c>
      <c r="H11" s="25">
        <f t="shared" si="7"/>
        <v>1158.3</v>
      </c>
      <c r="I11" s="28">
        <f>G11-H11</f>
        <v>22007.7</v>
      </c>
      <c r="J11" s="24"/>
    </row>
    <row r="12" spans="2:10">
      <c r="B12" s="24" t="s">
        <v>189</v>
      </c>
      <c r="C12" s="55" t="str">
        <f t="shared" si="6"/>
        <v>11월분</v>
      </c>
      <c r="D12" s="24" t="s">
        <v>14</v>
      </c>
      <c r="E12" s="25">
        <f>SUMIFS(전체리스트!D:D,전체리스트!A:A,B12,전체리스트!C:C,D12)</f>
        <v>1753587</v>
      </c>
      <c r="F12" s="26">
        <f>E12-G12</f>
        <v>0</v>
      </c>
      <c r="G12" s="27">
        <f>SUMIFS(전체리스트!E:E,전체리스트!A:A,B12,전체리스트!C:C,D12)</f>
        <v>1753587</v>
      </c>
      <c r="H12" s="25">
        <f t="shared" si="7"/>
        <v>87679.35</v>
      </c>
      <c r="I12" s="28">
        <f>G12-H12</f>
        <v>1665907.65</v>
      </c>
      <c r="J12" s="24"/>
    </row>
    <row r="13" spans="2:10">
      <c r="B13" s="24" t="s">
        <v>189</v>
      </c>
      <c r="C13" s="55" t="str">
        <f t="shared" si="6"/>
        <v>11월분</v>
      </c>
      <c r="D13" s="24" t="s">
        <v>32</v>
      </c>
      <c r="E13" s="25">
        <f>SUMIFS(전체리스트!D:D,전체리스트!A:A,B13,전체리스트!C:C,D13)</f>
        <v>257976</v>
      </c>
      <c r="F13" s="26">
        <f>E13-G13</f>
        <v>0</v>
      </c>
      <c r="G13" s="27">
        <f>SUMIFS(전체리스트!E:E,전체리스트!A:A,B13,전체리스트!C:C,D13)</f>
        <v>257976</v>
      </c>
      <c r="H13" s="25">
        <f t="shared" si="7"/>
        <v>12898.800000000001</v>
      </c>
      <c r="I13" s="28">
        <f>G13-H13</f>
        <v>245077.2</v>
      </c>
      <c r="J13" s="24"/>
    </row>
    <row r="14" spans="2:10">
      <c r="B14" s="24" t="s">
        <v>189</v>
      </c>
      <c r="C14" s="55" t="str">
        <f t="shared" si="6"/>
        <v>11월분</v>
      </c>
      <c r="D14" s="24" t="s">
        <v>13</v>
      </c>
      <c r="E14" s="25">
        <f>SUMIFS(전체리스트!D:D,전체리스트!A:A,B14,전체리스트!C:C,D14)</f>
        <v>45572</v>
      </c>
      <c r="F14" s="26">
        <f t="shared" ref="F14:F15" si="8">E14-G14</f>
        <v>0</v>
      </c>
      <c r="G14" s="27">
        <f>SUMIFS(전체리스트!E:E,전체리스트!A:A,B14,전체리스트!C:C,D14)</f>
        <v>45572</v>
      </c>
      <c r="H14" s="25">
        <f t="shared" si="7"/>
        <v>2278.6</v>
      </c>
      <c r="I14" s="28">
        <f t="shared" ref="I14:I15" si="9">G14-H14</f>
        <v>43293.4</v>
      </c>
      <c r="J14" s="24"/>
    </row>
    <row r="15" spans="2:10">
      <c r="B15" s="24" t="s">
        <v>189</v>
      </c>
      <c r="C15" s="55" t="str">
        <f t="shared" si="6"/>
        <v>11월분</v>
      </c>
      <c r="D15" s="24" t="s">
        <v>29</v>
      </c>
      <c r="E15" s="25">
        <f>SUMIFS(전체리스트!D:D,전체리스트!A:A,B15,전체리스트!C:C,D15)</f>
        <v>20606</v>
      </c>
      <c r="F15" s="26">
        <f t="shared" si="8"/>
        <v>0</v>
      </c>
      <c r="G15" s="27">
        <f>SUMIFS(전체리스트!E:E,전체리스트!A:A,B15,전체리스트!C:C,D15)</f>
        <v>20606</v>
      </c>
      <c r="H15" s="25">
        <f t="shared" si="7"/>
        <v>1030.3</v>
      </c>
      <c r="I15" s="28">
        <f t="shared" si="9"/>
        <v>19575.7</v>
      </c>
      <c r="J15" s="24"/>
    </row>
    <row r="16" spans="2:10">
      <c r="B16" s="24" t="s">
        <v>189</v>
      </c>
      <c r="C16" s="55" t="str">
        <f t="shared" si="6"/>
        <v>11월분</v>
      </c>
      <c r="D16" s="24" t="s">
        <v>40</v>
      </c>
      <c r="E16" s="25">
        <f>SUMIFS(전체리스트!D:D,전체리스트!A:A,B16,전체리스트!C:C,D16)</f>
        <v>56073</v>
      </c>
      <c r="F16" s="26">
        <f>E16-G16</f>
        <v>0</v>
      </c>
      <c r="G16" s="27">
        <f>SUMIFS(전체리스트!E:E,전체리스트!A:A,B16,전체리스트!C:C,D16)</f>
        <v>56073</v>
      </c>
      <c r="H16" s="25">
        <f t="shared" si="7"/>
        <v>2803.65</v>
      </c>
      <c r="I16" s="28">
        <f>G16-H16</f>
        <v>53269.35</v>
      </c>
      <c r="J16" s="24"/>
    </row>
    <row r="17" spans="2:10">
      <c r="B17" s="24" t="s">
        <v>189</v>
      </c>
      <c r="C17" s="55" t="str">
        <f t="shared" si="6"/>
        <v>11월분</v>
      </c>
      <c r="D17" s="24" t="s">
        <v>111</v>
      </c>
      <c r="E17" s="25">
        <f>SUMIFS(전체리스트!D:D,전체리스트!A:A,B17,전체리스트!C:C,D17)</f>
        <v>143272</v>
      </c>
      <c r="F17" s="26">
        <f t="shared" ref="F17" si="10">E17-G17</f>
        <v>0</v>
      </c>
      <c r="G17" s="27">
        <f>SUMIFS(전체리스트!E:E,전체리스트!A:A,B17,전체리스트!C:C,D17)</f>
        <v>143272</v>
      </c>
      <c r="H17" s="25">
        <f t="shared" si="7"/>
        <v>7163.6</v>
      </c>
      <c r="I17" s="28">
        <f t="shared" ref="I17" si="11">G17-H17</f>
        <v>136108.4</v>
      </c>
      <c r="J17" s="24"/>
    </row>
    <row r="18" spans="2:10">
      <c r="B18" s="24" t="s">
        <v>189</v>
      </c>
      <c r="C18" s="55" t="str">
        <f t="shared" ref="C18:C22" si="12">VLOOKUP(B18,raw_a,2,0)</f>
        <v>11월분</v>
      </c>
      <c r="D18" s="24" t="s">
        <v>112</v>
      </c>
      <c r="E18" s="25">
        <f>SUMIFS(전체리스트!D:D,전체리스트!A:A,B18,전체리스트!C:C,D18)</f>
        <v>84070</v>
      </c>
      <c r="F18" s="26">
        <f>E18-G18</f>
        <v>0</v>
      </c>
      <c r="G18" s="27">
        <f>SUMIFS(전체리스트!E:E,전체리스트!A:A,B18,전체리스트!C:C,D18)</f>
        <v>84070</v>
      </c>
      <c r="H18" s="25">
        <f t="shared" ref="H18:H22" si="13">G18*0.05</f>
        <v>4203.5</v>
      </c>
      <c r="I18" s="28">
        <f>G18-H18</f>
        <v>79866.5</v>
      </c>
      <c r="J18" s="24"/>
    </row>
    <row r="19" spans="2:10">
      <c r="B19" s="24" t="s">
        <v>189</v>
      </c>
      <c r="C19" s="55" t="str">
        <f t="shared" si="12"/>
        <v>11월분</v>
      </c>
      <c r="D19" s="24" t="s">
        <v>373</v>
      </c>
      <c r="E19" s="25">
        <f>SUMIFS(전체리스트!D:D,전체리스트!A:A,B19,전체리스트!C:C,D19)</f>
        <v>77785</v>
      </c>
      <c r="F19" s="26">
        <f>E19-G19</f>
        <v>0</v>
      </c>
      <c r="G19" s="27">
        <f>SUMIFS(전체리스트!E:E,전체리스트!A:A,B19,전체리스트!C:C,D19)</f>
        <v>77785</v>
      </c>
      <c r="H19" s="25">
        <f t="shared" si="13"/>
        <v>3889.25</v>
      </c>
      <c r="I19" s="28">
        <f>G19-H19</f>
        <v>73895.75</v>
      </c>
      <c r="J19" s="24"/>
    </row>
    <row r="20" spans="2:10">
      <c r="B20" s="24" t="s">
        <v>189</v>
      </c>
      <c r="C20" s="55" t="str">
        <f t="shared" si="12"/>
        <v>11월분</v>
      </c>
      <c r="D20" s="24" t="s">
        <v>389</v>
      </c>
      <c r="E20" s="25">
        <f>SUMIFS(전체리스트!D:D,전체리스트!A:A,B20,전체리스트!C:C,D20)</f>
        <v>15552</v>
      </c>
      <c r="F20" s="26">
        <f>E20-G20</f>
        <v>0</v>
      </c>
      <c r="G20" s="27">
        <f>SUMIFS(전체리스트!E:E,전체리스트!A:A,B20,전체리스트!C:C,D20)</f>
        <v>15552</v>
      </c>
      <c r="H20" s="25">
        <f t="shared" si="13"/>
        <v>777.6</v>
      </c>
      <c r="I20" s="28">
        <f>G20-H20</f>
        <v>14774.4</v>
      </c>
      <c r="J20" s="24"/>
    </row>
    <row r="21" spans="2:10">
      <c r="B21" s="24" t="s">
        <v>189</v>
      </c>
      <c r="C21" s="55" t="str">
        <f t="shared" si="12"/>
        <v>11월분</v>
      </c>
      <c r="D21" s="24" t="s">
        <v>382</v>
      </c>
      <c r="E21" s="25">
        <f>SUMIFS(전체리스트!D:D,전체리스트!A:A,B21,전체리스트!C:C,D21)</f>
        <v>340912</v>
      </c>
      <c r="F21" s="26">
        <f>E21-G21</f>
        <v>0</v>
      </c>
      <c r="G21" s="27">
        <f>SUMIFS(전체리스트!E:E,전체리스트!A:A,B21,전체리스트!C:C,D21)</f>
        <v>340912</v>
      </c>
      <c r="H21" s="25">
        <f t="shared" si="13"/>
        <v>17045.600000000002</v>
      </c>
      <c r="I21" s="28">
        <f>G21-H21</f>
        <v>323866.40000000002</v>
      </c>
      <c r="J21" s="24"/>
    </row>
    <row r="22" spans="2:10">
      <c r="B22" s="24" t="s">
        <v>189</v>
      </c>
      <c r="C22" s="55" t="str">
        <f t="shared" si="12"/>
        <v>11월분</v>
      </c>
      <c r="D22" s="24" t="s">
        <v>413</v>
      </c>
      <c r="E22" s="25">
        <f>SUMIFS(전체리스트!D:D,전체리스트!A:A,B22,전체리스트!C:C,D22)</f>
        <v>150838</v>
      </c>
      <c r="F22" s="26">
        <f t="shared" ref="F22" si="14">E22-G22</f>
        <v>0</v>
      </c>
      <c r="G22" s="27">
        <f>SUMIFS(전체리스트!E:E,전체리스트!A:A,B22,전체리스트!C:C,D22)</f>
        <v>150838</v>
      </c>
      <c r="H22" s="25">
        <f t="shared" si="13"/>
        <v>7541.9000000000005</v>
      </c>
      <c r="I22" s="28">
        <f t="shared" ref="I22" si="15">G22-H22</f>
        <v>143296.1</v>
      </c>
      <c r="J22" s="24"/>
    </row>
    <row r="23" spans="2:10">
      <c r="B23" s="24" t="s">
        <v>189</v>
      </c>
      <c r="C23" s="55" t="str">
        <f t="shared" si="0"/>
        <v>11월분</v>
      </c>
      <c r="D23" s="24" t="s">
        <v>401</v>
      </c>
      <c r="E23" s="25">
        <f>SUMIFS(전체리스트!D:D,전체리스트!A:A,B23,전체리스트!C:C,D23)</f>
        <v>5763</v>
      </c>
      <c r="F23" s="26">
        <f>E23-G23</f>
        <v>0</v>
      </c>
      <c r="G23" s="27">
        <f>SUMIFS(전체리스트!E:E,전체리스트!A:A,B23,전체리스트!C:C,D23)</f>
        <v>5763</v>
      </c>
      <c r="H23" s="25">
        <f t="shared" si="2"/>
        <v>288.15000000000003</v>
      </c>
      <c r="I23" s="28">
        <f>G23-H23</f>
        <v>5474.85</v>
      </c>
      <c r="J23" s="24"/>
    </row>
    <row r="24" spans="2:10">
      <c r="B24" s="29" t="s">
        <v>322</v>
      </c>
      <c r="C24" s="29"/>
      <c r="D24" s="30"/>
      <c r="E24" s="31">
        <f t="shared" ref="E24:J24" si="16">SUM(E6:E23)</f>
        <v>3906249</v>
      </c>
      <c r="F24" s="31">
        <f t="shared" si="16"/>
        <v>0</v>
      </c>
      <c r="G24" s="31">
        <f t="shared" si="16"/>
        <v>3906249</v>
      </c>
      <c r="H24" s="31">
        <f t="shared" si="16"/>
        <v>195312.44999999998</v>
      </c>
      <c r="I24" s="31">
        <f t="shared" si="16"/>
        <v>3710936.5500000003</v>
      </c>
      <c r="J24" s="31">
        <f t="shared" si="1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4:M50"/>
  <sheetViews>
    <sheetView topLeftCell="A37" workbookViewId="0">
      <selection activeCell="D65" sqref="D65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320</v>
      </c>
      <c r="I5" s="23" t="s">
        <v>273</v>
      </c>
      <c r="J5" s="23" t="s">
        <v>321</v>
      </c>
    </row>
    <row r="6" spans="2:10">
      <c r="B6" s="24" t="s">
        <v>81</v>
      </c>
      <c r="C6" s="55" t="str">
        <f t="shared" ref="C6:C13" si="0">VLOOKUP(B6,raw_a,2,0)</f>
        <v>10월분</v>
      </c>
      <c r="D6" s="24" t="s">
        <v>85</v>
      </c>
      <c r="E6" s="25">
        <f>SUMIFS(전체리스트!D:D,전체리스트!A:A,B6,전체리스트!C:C,D6)</f>
        <v>420</v>
      </c>
      <c r="F6" s="26">
        <f>E6-G6</f>
        <v>0</v>
      </c>
      <c r="G6" s="27">
        <f>SUMIFS(전체리스트!E:E,전체리스트!A:A,B6,전체리스트!C:C,D6)</f>
        <v>420</v>
      </c>
      <c r="H6" s="25">
        <f>G6*0.05</f>
        <v>21</v>
      </c>
      <c r="I6" s="28">
        <f>G6-H6</f>
        <v>399</v>
      </c>
      <c r="J6" s="24"/>
    </row>
    <row r="7" spans="2:10">
      <c r="B7" s="24" t="s">
        <v>86</v>
      </c>
      <c r="C7" s="55" t="str">
        <f t="shared" ref="C7" si="1">VLOOKUP(B7,raw_a,2,0)</f>
        <v>11월분</v>
      </c>
      <c r="D7" s="24" t="s">
        <v>53</v>
      </c>
      <c r="E7" s="25">
        <f>SUMIFS(전체리스트!D:D,전체리스트!A:A,B7,전체리스트!C:C,D7)</f>
        <v>131339</v>
      </c>
      <c r="F7" s="26">
        <f t="shared" ref="F7" si="2">E7-G7</f>
        <v>0</v>
      </c>
      <c r="G7" s="27">
        <f>SUMIFS(전체리스트!E:E,전체리스트!A:A,B7,전체리스트!C:C,D7)</f>
        <v>131339</v>
      </c>
      <c r="H7" s="25">
        <f t="shared" ref="H7" si="3">G7*0.05</f>
        <v>6566.9500000000007</v>
      </c>
      <c r="I7" s="28">
        <f t="shared" ref="I7" si="4">G7-H7</f>
        <v>124772.05</v>
      </c>
      <c r="J7" s="24"/>
    </row>
    <row r="8" spans="2:10">
      <c r="B8" s="24" t="s">
        <v>86</v>
      </c>
      <c r="C8" s="55" t="str">
        <f t="shared" si="0"/>
        <v>11월분</v>
      </c>
      <c r="D8" s="24" t="s">
        <v>21</v>
      </c>
      <c r="E8" s="25">
        <f>SUMIFS(전체리스트!D:D,전체리스트!A:A,B8,전체리스트!C:C,D8)</f>
        <v>62629</v>
      </c>
      <c r="F8" s="26">
        <f t="shared" ref="F8:F13" si="5">E8-G8</f>
        <v>0</v>
      </c>
      <c r="G8" s="27">
        <f>SUMIFS(전체리스트!E:E,전체리스트!A:A,B8,전체리스트!C:C,D8)</f>
        <v>62629</v>
      </c>
      <c r="H8" s="25">
        <f t="shared" ref="H8:H46" si="6">G8*0.05</f>
        <v>3131.4500000000003</v>
      </c>
      <c r="I8" s="28">
        <f t="shared" ref="I8:I13" si="7">G8-H8</f>
        <v>59497.55</v>
      </c>
      <c r="J8" s="24"/>
    </row>
    <row r="9" spans="2:10">
      <c r="B9" s="24" t="s">
        <v>86</v>
      </c>
      <c r="C9" s="55" t="str">
        <f t="shared" si="0"/>
        <v>11월분</v>
      </c>
      <c r="D9" s="24" t="s">
        <v>87</v>
      </c>
      <c r="E9" s="25">
        <f>SUMIFS(전체리스트!D:D,전체리스트!A:A,B9,전체리스트!C:C,D9)</f>
        <v>1890</v>
      </c>
      <c r="F9" s="26">
        <f t="shared" si="5"/>
        <v>0</v>
      </c>
      <c r="G9" s="27">
        <f>SUMIFS(전체리스트!E:E,전체리스트!A:A,B9,전체리스트!C:C,D9)</f>
        <v>1890</v>
      </c>
      <c r="H9" s="25">
        <f t="shared" si="6"/>
        <v>94.5</v>
      </c>
      <c r="I9" s="28">
        <f t="shared" si="7"/>
        <v>1795.5</v>
      </c>
      <c r="J9" s="24"/>
    </row>
    <row r="10" spans="2:10">
      <c r="B10" s="24" t="s">
        <v>86</v>
      </c>
      <c r="C10" s="55" t="str">
        <f t="shared" si="0"/>
        <v>11월분</v>
      </c>
      <c r="D10" s="24" t="s">
        <v>64</v>
      </c>
      <c r="E10" s="25">
        <f>SUMIFS(전체리스트!D:D,전체리스트!A:A,B10,전체리스트!C:C,D10)</f>
        <v>23101</v>
      </c>
      <c r="F10" s="26">
        <f t="shared" si="5"/>
        <v>0</v>
      </c>
      <c r="G10" s="27">
        <f>SUMIFS(전체리스트!E:E,전체리스트!A:A,B10,전체리스트!C:C,D10)</f>
        <v>23101</v>
      </c>
      <c r="H10" s="25">
        <f t="shared" si="6"/>
        <v>1155.05</v>
      </c>
      <c r="I10" s="28">
        <f t="shared" si="7"/>
        <v>21945.95</v>
      </c>
      <c r="J10" s="24"/>
    </row>
    <row r="11" spans="2:10">
      <c r="B11" s="24" t="s">
        <v>86</v>
      </c>
      <c r="C11" s="55" t="str">
        <f t="shared" si="0"/>
        <v>11월분</v>
      </c>
      <c r="D11" s="24" t="s">
        <v>26</v>
      </c>
      <c r="E11" s="25">
        <f>SUMIFS(전체리스트!D:D,전체리스트!A:A,B11,전체리스트!C:C,D11)</f>
        <v>227</v>
      </c>
      <c r="F11" s="26">
        <f t="shared" si="5"/>
        <v>0</v>
      </c>
      <c r="G11" s="27">
        <f>SUMIFS(전체리스트!E:E,전체리스트!A:A,B11,전체리스트!C:C,D11)</f>
        <v>227</v>
      </c>
      <c r="H11" s="25">
        <f t="shared" si="6"/>
        <v>11.350000000000001</v>
      </c>
      <c r="I11" s="28">
        <f t="shared" si="7"/>
        <v>215.65</v>
      </c>
      <c r="J11" s="24"/>
    </row>
    <row r="12" spans="2:10">
      <c r="B12" s="24" t="s">
        <v>86</v>
      </c>
      <c r="C12" s="55" t="str">
        <f t="shared" si="0"/>
        <v>11월분</v>
      </c>
      <c r="D12" s="24" t="s">
        <v>55</v>
      </c>
      <c r="E12" s="25">
        <f>SUMIFS(전체리스트!D:D,전체리스트!A:A,B12,전체리스트!C:C,D12)</f>
        <v>8748</v>
      </c>
      <c r="F12" s="26">
        <f t="shared" si="5"/>
        <v>0</v>
      </c>
      <c r="G12" s="27">
        <f>SUMIFS(전체리스트!E:E,전체리스트!A:A,B12,전체리스트!C:C,D12)</f>
        <v>8748</v>
      </c>
      <c r="H12" s="25">
        <f t="shared" si="6"/>
        <v>437.40000000000003</v>
      </c>
      <c r="I12" s="28">
        <f t="shared" si="7"/>
        <v>8310.6</v>
      </c>
      <c r="J12" s="24"/>
    </row>
    <row r="13" spans="2:10">
      <c r="B13" s="24" t="s">
        <v>86</v>
      </c>
      <c r="C13" s="55" t="str">
        <f t="shared" si="0"/>
        <v>11월분</v>
      </c>
      <c r="D13" s="24" t="s">
        <v>88</v>
      </c>
      <c r="E13" s="25">
        <f>SUMIFS(전체리스트!D:D,전체리스트!A:A,B13,전체리스트!C:C,D13)</f>
        <v>11081</v>
      </c>
      <c r="F13" s="26">
        <f t="shared" si="5"/>
        <v>0</v>
      </c>
      <c r="G13" s="27">
        <f>SUMIFS(전체리스트!E:E,전체리스트!A:A,B13,전체리스트!C:C,D13)</f>
        <v>11081</v>
      </c>
      <c r="H13" s="25">
        <f t="shared" si="6"/>
        <v>554.05000000000007</v>
      </c>
      <c r="I13" s="28">
        <f t="shared" si="7"/>
        <v>10526.95</v>
      </c>
      <c r="J13" s="24"/>
    </row>
    <row r="14" spans="2:10">
      <c r="B14" s="24" t="s">
        <v>86</v>
      </c>
      <c r="C14" s="55" t="str">
        <f t="shared" ref="C14:C46" si="8">VLOOKUP(B14,raw_a,2,0)</f>
        <v>11월분</v>
      </c>
      <c r="D14" s="24" t="s">
        <v>85</v>
      </c>
      <c r="E14" s="25">
        <f>SUMIFS(전체리스트!D:D,전체리스트!A:A,B14,전체리스트!C:C,D14)</f>
        <v>15579</v>
      </c>
      <c r="F14" s="26">
        <f t="shared" ref="F14:F46" si="9">E14-G14</f>
        <v>0</v>
      </c>
      <c r="G14" s="27">
        <f>SUMIFS(전체리스트!E:E,전체리스트!A:A,B14,전체리스트!C:C,D14)</f>
        <v>15579</v>
      </c>
      <c r="H14" s="25">
        <f t="shared" si="6"/>
        <v>778.95</v>
      </c>
      <c r="I14" s="28">
        <f t="shared" ref="I14:I46" si="10">G14-H14</f>
        <v>14800.05</v>
      </c>
      <c r="J14" s="24"/>
    </row>
    <row r="15" spans="2:10">
      <c r="B15" s="24" t="s">
        <v>86</v>
      </c>
      <c r="C15" s="55" t="str">
        <f t="shared" si="8"/>
        <v>11월분</v>
      </c>
      <c r="D15" s="24" t="s">
        <v>56</v>
      </c>
      <c r="E15" s="25">
        <f>SUMIFS(전체리스트!D:D,전체리스트!A:A,B15,전체리스트!C:C,D15)</f>
        <v>8672</v>
      </c>
      <c r="F15" s="26">
        <f t="shared" si="9"/>
        <v>0</v>
      </c>
      <c r="G15" s="27">
        <f>SUMIFS(전체리스트!E:E,전체리스트!A:A,B15,전체리스트!C:C,D15)</f>
        <v>8672</v>
      </c>
      <c r="H15" s="25">
        <f t="shared" si="6"/>
        <v>433.6</v>
      </c>
      <c r="I15" s="28">
        <f t="shared" si="10"/>
        <v>8238.4</v>
      </c>
      <c r="J15" s="24"/>
    </row>
    <row r="16" spans="2:10">
      <c r="B16" s="24" t="s">
        <v>86</v>
      </c>
      <c r="C16" s="55" t="str">
        <f t="shared" si="8"/>
        <v>11월분</v>
      </c>
      <c r="D16" s="24" t="s">
        <v>80</v>
      </c>
      <c r="E16" s="25">
        <f>SUMIFS(전체리스트!D:D,전체리스트!A:A,B16,전체리스트!C:C,D16)</f>
        <v>18436</v>
      </c>
      <c r="F16" s="26">
        <f t="shared" si="9"/>
        <v>0</v>
      </c>
      <c r="G16" s="27">
        <f>SUMIFS(전체리스트!E:E,전체리스트!A:A,B16,전체리스트!C:C,D16)</f>
        <v>18436</v>
      </c>
      <c r="H16" s="25">
        <f t="shared" si="6"/>
        <v>921.80000000000007</v>
      </c>
      <c r="I16" s="28">
        <f t="shared" si="10"/>
        <v>17514.2</v>
      </c>
      <c r="J16" s="24"/>
    </row>
    <row r="17" spans="2:10">
      <c r="B17" s="24" t="s">
        <v>86</v>
      </c>
      <c r="C17" s="55" t="str">
        <f t="shared" si="8"/>
        <v>11월분</v>
      </c>
      <c r="D17" s="24" t="s">
        <v>30</v>
      </c>
      <c r="E17" s="25">
        <f>SUMIFS(전체리스트!D:D,전체리스트!A:A,B17,전체리스트!C:C,D17)</f>
        <v>990090</v>
      </c>
      <c r="F17" s="26">
        <f t="shared" si="9"/>
        <v>0</v>
      </c>
      <c r="G17" s="27">
        <f>SUMIFS(전체리스트!E:E,전체리스트!A:A,B17,전체리스트!C:C,D17)</f>
        <v>990090</v>
      </c>
      <c r="H17" s="25">
        <f t="shared" si="6"/>
        <v>49504.5</v>
      </c>
      <c r="I17" s="28">
        <f t="shared" si="10"/>
        <v>940585.5</v>
      </c>
      <c r="J17" s="24"/>
    </row>
    <row r="18" spans="2:10">
      <c r="B18" s="24" t="s">
        <v>86</v>
      </c>
      <c r="C18" s="55" t="str">
        <f t="shared" si="8"/>
        <v>11월분</v>
      </c>
      <c r="D18" s="24" t="s">
        <v>360</v>
      </c>
      <c r="E18" s="25">
        <f>SUMIFS(전체리스트!D:D,전체리스트!A:A,B18,전체리스트!C:C,D18)</f>
        <v>654210</v>
      </c>
      <c r="F18" s="26">
        <f t="shared" si="9"/>
        <v>0</v>
      </c>
      <c r="G18" s="27">
        <f>SUMIFS(전체리스트!E:E,전체리스트!A:A,B18,전체리스트!C:C,D18)</f>
        <v>654210</v>
      </c>
      <c r="H18" s="25">
        <f t="shared" si="6"/>
        <v>32710.5</v>
      </c>
      <c r="I18" s="28">
        <f t="shared" si="10"/>
        <v>621499.5</v>
      </c>
      <c r="J18" s="24"/>
    </row>
    <row r="19" spans="2:10">
      <c r="B19" s="24" t="s">
        <v>86</v>
      </c>
      <c r="C19" s="55" t="str">
        <f t="shared" si="8"/>
        <v>11월분</v>
      </c>
      <c r="D19" s="24" t="s">
        <v>11</v>
      </c>
      <c r="E19" s="25">
        <f>SUMIFS(전체리스트!D:D,전체리스트!A:A,B19,전체리스트!C:C,D19)</f>
        <v>475740</v>
      </c>
      <c r="F19" s="26">
        <f t="shared" si="9"/>
        <v>0</v>
      </c>
      <c r="G19" s="27">
        <f>SUMIFS(전체리스트!E:E,전체리스트!A:A,B19,전체리스트!C:C,D19)</f>
        <v>475740</v>
      </c>
      <c r="H19" s="25">
        <f t="shared" si="6"/>
        <v>23787</v>
      </c>
      <c r="I19" s="28">
        <f t="shared" si="10"/>
        <v>451953</v>
      </c>
      <c r="J19" s="24"/>
    </row>
    <row r="20" spans="2:10">
      <c r="B20" s="24" t="s">
        <v>86</v>
      </c>
      <c r="C20" s="55" t="str">
        <f t="shared" si="8"/>
        <v>11월분</v>
      </c>
      <c r="D20" s="24" t="s">
        <v>8</v>
      </c>
      <c r="E20" s="25">
        <f>SUMIFS(전체리스트!D:D,전체리스트!A:A,B20,전체리스트!C:C,D20)</f>
        <v>408114</v>
      </c>
      <c r="F20" s="26">
        <f t="shared" si="9"/>
        <v>0</v>
      </c>
      <c r="G20" s="27">
        <f>SUMIFS(전체리스트!E:E,전체리스트!A:A,B20,전체리스트!C:C,D20)</f>
        <v>408114</v>
      </c>
      <c r="H20" s="25">
        <f t="shared" si="6"/>
        <v>20405.7</v>
      </c>
      <c r="I20" s="28">
        <f t="shared" si="10"/>
        <v>387708.3</v>
      </c>
      <c r="J20" s="24"/>
    </row>
    <row r="21" spans="2:10">
      <c r="B21" s="24" t="s">
        <v>86</v>
      </c>
      <c r="C21" s="55" t="str">
        <f t="shared" si="8"/>
        <v>11월분</v>
      </c>
      <c r="D21" s="24" t="s">
        <v>90</v>
      </c>
      <c r="E21" s="25">
        <f>SUMIFS(전체리스트!D:D,전체리스트!A:A,B21,전체리스트!C:C,D21)</f>
        <v>127386</v>
      </c>
      <c r="F21" s="26">
        <f t="shared" si="9"/>
        <v>0</v>
      </c>
      <c r="G21" s="27">
        <f>SUMIFS(전체리스트!E:E,전체리스트!A:A,B21,전체리스트!C:C,D21)</f>
        <v>127386</v>
      </c>
      <c r="H21" s="25">
        <f t="shared" si="6"/>
        <v>6369.3</v>
      </c>
      <c r="I21" s="28">
        <f t="shared" si="10"/>
        <v>121016.7</v>
      </c>
      <c r="J21" s="24"/>
    </row>
    <row r="22" spans="2:10">
      <c r="B22" s="24" t="s">
        <v>86</v>
      </c>
      <c r="C22" s="55" t="str">
        <f t="shared" si="8"/>
        <v>11월분</v>
      </c>
      <c r="D22" s="24" t="s">
        <v>22</v>
      </c>
      <c r="E22" s="25">
        <f>SUMIFS(전체리스트!D:D,전체리스트!A:A,B22,전체리스트!C:C,D22)</f>
        <v>91998</v>
      </c>
      <c r="F22" s="26">
        <f t="shared" si="9"/>
        <v>0</v>
      </c>
      <c r="G22" s="27">
        <f>SUMIFS(전체리스트!E:E,전체리스트!A:A,B22,전체리스트!C:C,D22)</f>
        <v>91998</v>
      </c>
      <c r="H22" s="25">
        <f t="shared" si="6"/>
        <v>4599.9000000000005</v>
      </c>
      <c r="I22" s="28">
        <f t="shared" si="10"/>
        <v>87398.1</v>
      </c>
      <c r="J22" s="24"/>
    </row>
    <row r="23" spans="2:10">
      <c r="B23" s="24" t="s">
        <v>86</v>
      </c>
      <c r="C23" s="55" t="str">
        <f t="shared" si="8"/>
        <v>11월분</v>
      </c>
      <c r="D23" s="24" t="s">
        <v>38</v>
      </c>
      <c r="E23" s="25">
        <f>SUMIFS(전체리스트!D:D,전체리스트!A:A,B23,전체리스트!C:C,D23)</f>
        <v>30744</v>
      </c>
      <c r="F23" s="26">
        <f t="shared" si="9"/>
        <v>0</v>
      </c>
      <c r="G23" s="27">
        <f>SUMIFS(전체리스트!E:E,전체리스트!A:A,B23,전체리스트!C:C,D23)</f>
        <v>30744</v>
      </c>
      <c r="H23" s="25">
        <f t="shared" si="6"/>
        <v>1537.2</v>
      </c>
      <c r="I23" s="28">
        <f t="shared" si="10"/>
        <v>29206.799999999999</v>
      </c>
      <c r="J23" s="24"/>
    </row>
    <row r="24" spans="2:10">
      <c r="B24" s="24" t="s">
        <v>86</v>
      </c>
      <c r="C24" s="55" t="str">
        <f t="shared" si="8"/>
        <v>11월분</v>
      </c>
      <c r="D24" s="24" t="s">
        <v>9</v>
      </c>
      <c r="E24" s="25">
        <f>SUMIFS(전체리스트!D:D,전체리스트!A:A,B24,전체리스트!C:C,D24)</f>
        <v>26352</v>
      </c>
      <c r="F24" s="26">
        <f t="shared" si="9"/>
        <v>0</v>
      </c>
      <c r="G24" s="27">
        <f>SUMIFS(전체리스트!E:E,전체리스트!A:A,B24,전체리스트!C:C,D24)</f>
        <v>26352</v>
      </c>
      <c r="H24" s="25">
        <f t="shared" si="6"/>
        <v>1317.6000000000001</v>
      </c>
      <c r="I24" s="28">
        <f t="shared" si="10"/>
        <v>25034.400000000001</v>
      </c>
      <c r="J24" s="24"/>
    </row>
    <row r="25" spans="2:10">
      <c r="B25" s="24" t="s">
        <v>86</v>
      </c>
      <c r="C25" s="55" t="str">
        <f t="shared" si="8"/>
        <v>11월분</v>
      </c>
      <c r="D25" s="24" t="s">
        <v>413</v>
      </c>
      <c r="E25" s="25">
        <f>SUMIFS(전체리스트!D:D,전체리스트!A:A,B25,전체리스트!C:C,D25)</f>
        <v>34038</v>
      </c>
      <c r="F25" s="26">
        <f t="shared" si="9"/>
        <v>0</v>
      </c>
      <c r="G25" s="27">
        <f>SUMIFS(전체리스트!E:E,전체리스트!A:A,B25,전체리스트!C:C,D25)</f>
        <v>34038</v>
      </c>
      <c r="H25" s="25">
        <f t="shared" si="6"/>
        <v>1701.9</v>
      </c>
      <c r="I25" s="28">
        <f t="shared" si="10"/>
        <v>32336.1</v>
      </c>
      <c r="J25" s="24"/>
    </row>
    <row r="26" spans="2:10">
      <c r="B26" s="24" t="s">
        <v>86</v>
      </c>
      <c r="C26" s="55" t="str">
        <f t="shared" si="8"/>
        <v>11월분</v>
      </c>
      <c r="D26" s="24" t="s">
        <v>10</v>
      </c>
      <c r="E26" s="25">
        <f>SUMIFS(전체리스트!D:D,전체리스트!A:A,B26,전체리스트!C:C,D26)</f>
        <v>17496</v>
      </c>
      <c r="F26" s="26">
        <f t="shared" si="9"/>
        <v>0</v>
      </c>
      <c r="G26" s="27">
        <f>SUMIFS(전체리스트!E:E,전체리스트!A:A,B26,전체리스트!C:C,D26)</f>
        <v>17496</v>
      </c>
      <c r="H26" s="25">
        <f t="shared" si="6"/>
        <v>874.80000000000007</v>
      </c>
      <c r="I26" s="28">
        <f t="shared" si="10"/>
        <v>16621.2</v>
      </c>
      <c r="J26" s="24"/>
    </row>
    <row r="27" spans="2:10">
      <c r="B27" s="24" t="s">
        <v>86</v>
      </c>
      <c r="C27" s="55" t="str">
        <f t="shared" si="8"/>
        <v>11월분</v>
      </c>
      <c r="D27" s="24" t="s">
        <v>66</v>
      </c>
      <c r="E27" s="25">
        <f>SUMIFS(전체리스트!D:D,전체리스트!A:A,B27,전체리스트!C:C,D27)</f>
        <v>30024</v>
      </c>
      <c r="F27" s="26">
        <f t="shared" si="9"/>
        <v>0</v>
      </c>
      <c r="G27" s="27">
        <f>SUMIFS(전체리스트!E:E,전체리스트!A:A,B27,전체리스트!C:C,D27)</f>
        <v>30024</v>
      </c>
      <c r="H27" s="25">
        <f t="shared" si="6"/>
        <v>1501.2</v>
      </c>
      <c r="I27" s="28">
        <f t="shared" si="10"/>
        <v>28522.799999999999</v>
      </c>
      <c r="J27" s="24"/>
    </row>
    <row r="28" spans="2:10">
      <c r="B28" s="24" t="s">
        <v>86</v>
      </c>
      <c r="C28" s="55" t="str">
        <f t="shared" ref="C28:C30" si="11">VLOOKUP(B28,raw_a,2,0)</f>
        <v>11월분</v>
      </c>
      <c r="D28" s="24" t="s">
        <v>12</v>
      </c>
      <c r="E28" s="25">
        <f>SUMIFS(전체리스트!D:D,전체리스트!A:A,B28,전체리스트!C:C,D28)</f>
        <v>30024</v>
      </c>
      <c r="F28" s="26">
        <f t="shared" ref="F28:F30" si="12">E28-G28</f>
        <v>0</v>
      </c>
      <c r="G28" s="27">
        <f>SUMIFS(전체리스트!E:E,전체리스트!A:A,B28,전체리스트!C:C,D28)</f>
        <v>30024</v>
      </c>
      <c r="H28" s="25">
        <f t="shared" ref="H28:H30" si="13">G28*0.05</f>
        <v>1501.2</v>
      </c>
      <c r="I28" s="28">
        <f t="shared" ref="I28:I30" si="14">G28-H28</f>
        <v>28522.799999999999</v>
      </c>
      <c r="J28" s="24"/>
    </row>
    <row r="29" spans="2:10">
      <c r="B29" s="24" t="s">
        <v>86</v>
      </c>
      <c r="C29" s="55" t="str">
        <f t="shared" si="11"/>
        <v>11월분</v>
      </c>
      <c r="D29" s="24" t="s">
        <v>367</v>
      </c>
      <c r="E29" s="25">
        <f>SUMIFS(전체리스트!D:D,전체리스트!A:A,B29,전체리스트!C:C,D29)</f>
        <v>14346</v>
      </c>
      <c r="F29" s="26">
        <f t="shared" si="12"/>
        <v>0</v>
      </c>
      <c r="G29" s="27">
        <f>SUMIFS(전체리스트!E:E,전체리스트!A:A,B29,전체리스트!C:C,D29)</f>
        <v>14346</v>
      </c>
      <c r="H29" s="25">
        <f t="shared" si="13"/>
        <v>717.30000000000007</v>
      </c>
      <c r="I29" s="28">
        <f t="shared" si="14"/>
        <v>13628.7</v>
      </c>
      <c r="J29" s="24"/>
    </row>
    <row r="30" spans="2:10">
      <c r="B30" s="24" t="s">
        <v>86</v>
      </c>
      <c r="C30" s="55" t="str">
        <f t="shared" si="11"/>
        <v>11월분</v>
      </c>
      <c r="D30" s="24" t="s">
        <v>13</v>
      </c>
      <c r="E30" s="25">
        <f>SUMIFS(전체리스트!D:D,전체리스트!A:A,B30,전체리스트!C:C,D30)</f>
        <v>14400</v>
      </c>
      <c r="F30" s="26">
        <f t="shared" si="12"/>
        <v>0</v>
      </c>
      <c r="G30" s="27">
        <f>SUMIFS(전체리스트!E:E,전체리스트!A:A,B30,전체리스트!C:C,D30)</f>
        <v>14400</v>
      </c>
      <c r="H30" s="25">
        <f t="shared" si="13"/>
        <v>720</v>
      </c>
      <c r="I30" s="28">
        <f t="shared" si="14"/>
        <v>13680</v>
      </c>
      <c r="J30" s="24"/>
    </row>
    <row r="31" spans="2:10">
      <c r="B31" s="24" t="s">
        <v>86</v>
      </c>
      <c r="C31" s="55" t="str">
        <f t="shared" ref="C31:C40" si="15">VLOOKUP(B31,raw_a,2,0)</f>
        <v>11월분</v>
      </c>
      <c r="D31" s="24" t="s">
        <v>91</v>
      </c>
      <c r="E31" s="25">
        <f>SUMIFS(전체리스트!D:D,전체리스트!A:A,B31,전체리스트!C:C,D31)</f>
        <v>26874</v>
      </c>
      <c r="F31" s="26">
        <f t="shared" ref="F31:F40" si="16">E31-G31</f>
        <v>0</v>
      </c>
      <c r="G31" s="27">
        <f>SUMIFS(전체리스트!E:E,전체리스트!A:A,B31,전체리스트!C:C,D31)</f>
        <v>26874</v>
      </c>
      <c r="H31" s="25">
        <f t="shared" ref="H31:H40" si="17">G31*0.05</f>
        <v>1343.7</v>
      </c>
      <c r="I31" s="28">
        <f t="shared" ref="I31:I40" si="18">G31-H31</f>
        <v>25530.3</v>
      </c>
      <c r="J31" s="24"/>
    </row>
    <row r="32" spans="2:10">
      <c r="B32" s="24" t="s">
        <v>86</v>
      </c>
      <c r="C32" s="55" t="str">
        <f t="shared" ref="C32:C37" si="19">VLOOKUP(B32,raw_a,2,0)</f>
        <v>11월분</v>
      </c>
      <c r="D32" s="24" t="s">
        <v>14</v>
      </c>
      <c r="E32" s="25">
        <f>SUMIFS(전체리스트!D:D,전체리스트!A:A,B32,전체리스트!C:C,D32)</f>
        <v>2808</v>
      </c>
      <c r="F32" s="26">
        <f t="shared" ref="F32:F37" si="20">E32-G32</f>
        <v>0</v>
      </c>
      <c r="G32" s="27">
        <f>SUMIFS(전체리스트!E:E,전체리스트!A:A,B32,전체리스트!C:C,D32)</f>
        <v>2808</v>
      </c>
      <c r="H32" s="25">
        <f t="shared" ref="H32:H37" si="21">G32*0.05</f>
        <v>140.4</v>
      </c>
      <c r="I32" s="28">
        <f t="shared" ref="I32:I37" si="22">G32-H32</f>
        <v>2667.6</v>
      </c>
      <c r="J32" s="24"/>
    </row>
    <row r="33" spans="2:10">
      <c r="B33" s="24" t="s">
        <v>86</v>
      </c>
      <c r="C33" s="55" t="str">
        <f t="shared" si="19"/>
        <v>11월분</v>
      </c>
      <c r="D33" s="24" t="s">
        <v>89</v>
      </c>
      <c r="E33" s="25">
        <f>SUMIFS(전체리스트!D:D,전체리스트!A:A,B33,전체리스트!C:C,D33)</f>
        <v>15552</v>
      </c>
      <c r="F33" s="26">
        <f t="shared" si="20"/>
        <v>0</v>
      </c>
      <c r="G33" s="27">
        <f>SUMIFS(전체리스트!E:E,전체리스트!A:A,B33,전체리스트!C:C,D33)</f>
        <v>15552</v>
      </c>
      <c r="H33" s="25">
        <f t="shared" si="21"/>
        <v>777.6</v>
      </c>
      <c r="I33" s="28">
        <f t="shared" si="22"/>
        <v>14774.4</v>
      </c>
      <c r="J33" s="24"/>
    </row>
    <row r="34" spans="2:10">
      <c r="B34" s="24" t="s">
        <v>86</v>
      </c>
      <c r="C34" s="55" t="str">
        <f t="shared" si="19"/>
        <v>11월분</v>
      </c>
      <c r="D34" s="24" t="s">
        <v>401</v>
      </c>
      <c r="E34" s="25">
        <f>SUMIFS(전체리스트!D:D,전체리스트!A:A,B34,전체리스트!C:C,D34)</f>
        <v>8820</v>
      </c>
      <c r="F34" s="26">
        <f t="shared" si="20"/>
        <v>0</v>
      </c>
      <c r="G34" s="27">
        <f>SUMIFS(전체리스트!E:E,전체리스트!A:A,B34,전체리스트!C:C,D34)</f>
        <v>8820</v>
      </c>
      <c r="H34" s="25">
        <f t="shared" si="21"/>
        <v>441</v>
      </c>
      <c r="I34" s="28">
        <f t="shared" si="22"/>
        <v>8379</v>
      </c>
      <c r="J34" s="24"/>
    </row>
    <row r="35" spans="2:10">
      <c r="B35" s="24" t="s">
        <v>86</v>
      </c>
      <c r="C35" s="55" t="str">
        <f t="shared" si="19"/>
        <v>11월분</v>
      </c>
      <c r="D35" s="24" t="s">
        <v>70</v>
      </c>
      <c r="E35" s="25">
        <f>SUMIFS(전체리스트!D:D,전체리스트!A:A,B35,전체리스트!C:C,D35)</f>
        <v>14472</v>
      </c>
      <c r="F35" s="26">
        <f t="shared" si="20"/>
        <v>0</v>
      </c>
      <c r="G35" s="27">
        <f>SUMIFS(전체리스트!E:E,전체리스트!A:A,B35,전체리스트!C:C,D35)</f>
        <v>14472</v>
      </c>
      <c r="H35" s="25">
        <f t="shared" si="21"/>
        <v>723.6</v>
      </c>
      <c r="I35" s="28">
        <f t="shared" si="22"/>
        <v>13748.4</v>
      </c>
      <c r="J35" s="24"/>
    </row>
    <row r="36" spans="2:10">
      <c r="B36" s="24" t="s">
        <v>86</v>
      </c>
      <c r="C36" s="55" t="str">
        <f t="shared" si="19"/>
        <v>11월분</v>
      </c>
      <c r="D36" s="24" t="s">
        <v>390</v>
      </c>
      <c r="E36" s="25">
        <f>SUMIFS(전체리스트!D:D,전체리스트!A:A,B36,전체리스트!C:C,D36)</f>
        <v>11916</v>
      </c>
      <c r="F36" s="26">
        <f t="shared" si="20"/>
        <v>0</v>
      </c>
      <c r="G36" s="27">
        <f>SUMIFS(전체리스트!E:E,전체리스트!A:A,B36,전체리스트!C:C,D36)</f>
        <v>11916</v>
      </c>
      <c r="H36" s="25">
        <f t="shared" si="21"/>
        <v>595.80000000000007</v>
      </c>
      <c r="I36" s="28">
        <f t="shared" si="22"/>
        <v>11320.2</v>
      </c>
      <c r="J36" s="24"/>
    </row>
    <row r="37" spans="2:10">
      <c r="B37" s="24" t="s">
        <v>86</v>
      </c>
      <c r="C37" s="55" t="str">
        <f t="shared" si="19"/>
        <v>11월분</v>
      </c>
      <c r="D37" s="24" t="s">
        <v>58</v>
      </c>
      <c r="E37" s="25">
        <f>SUMIFS(전체리스트!D:D,전체리스트!A:A,B37,전체리스트!C:C,D37)</f>
        <v>1674</v>
      </c>
      <c r="F37" s="26">
        <f t="shared" si="20"/>
        <v>0</v>
      </c>
      <c r="G37" s="27">
        <f>SUMIFS(전체리스트!E:E,전체리스트!A:A,B37,전체리스트!C:C,D37)</f>
        <v>1674</v>
      </c>
      <c r="H37" s="25">
        <f t="shared" si="21"/>
        <v>83.7</v>
      </c>
      <c r="I37" s="28">
        <f t="shared" si="22"/>
        <v>1590.3</v>
      </c>
      <c r="J37" s="24"/>
    </row>
    <row r="38" spans="2:10">
      <c r="B38" s="24" t="s">
        <v>86</v>
      </c>
      <c r="C38" s="55" t="str">
        <f t="shared" si="15"/>
        <v>11월분</v>
      </c>
      <c r="D38" s="24" t="s">
        <v>15</v>
      </c>
      <c r="E38" s="25">
        <f>SUMIFS(전체리스트!D:D,전체리스트!A:A,B38,전체리스트!C:C,D38)</f>
        <v>5076</v>
      </c>
      <c r="F38" s="26">
        <f t="shared" si="16"/>
        <v>0</v>
      </c>
      <c r="G38" s="27">
        <f>SUMIFS(전체리스트!E:E,전체리스트!A:A,B38,전체리스트!C:C,D38)</f>
        <v>5076</v>
      </c>
      <c r="H38" s="25">
        <f t="shared" si="17"/>
        <v>253.8</v>
      </c>
      <c r="I38" s="28">
        <f t="shared" si="18"/>
        <v>4822.2</v>
      </c>
      <c r="J38" s="24"/>
    </row>
    <row r="39" spans="2:10">
      <c r="B39" s="24" t="s">
        <v>86</v>
      </c>
      <c r="C39" s="55" t="str">
        <f t="shared" si="15"/>
        <v>11월분</v>
      </c>
      <c r="D39" s="24" t="s">
        <v>51</v>
      </c>
      <c r="E39" s="25">
        <f>SUMIFS(전체리스트!D:D,전체리스트!A:A,B39,전체리스트!C:C,D39)</f>
        <v>4716</v>
      </c>
      <c r="F39" s="26">
        <f t="shared" si="16"/>
        <v>0</v>
      </c>
      <c r="G39" s="27">
        <f>SUMIFS(전체리스트!E:E,전체리스트!A:A,B39,전체리스트!C:C,D39)</f>
        <v>4716</v>
      </c>
      <c r="H39" s="25">
        <f t="shared" si="17"/>
        <v>235.8</v>
      </c>
      <c r="I39" s="28">
        <f t="shared" si="18"/>
        <v>4480.2</v>
      </c>
      <c r="J39" s="24"/>
    </row>
    <row r="40" spans="2:10">
      <c r="B40" s="24" t="s">
        <v>86</v>
      </c>
      <c r="C40" s="55" t="str">
        <f t="shared" si="15"/>
        <v>11월분</v>
      </c>
      <c r="D40" s="24" t="s">
        <v>389</v>
      </c>
      <c r="E40" s="25">
        <f>SUMIFS(전체리스트!D:D,전체리스트!A:A,B40,전체리스트!C:C,D40)</f>
        <v>2052</v>
      </c>
      <c r="F40" s="26">
        <f t="shared" si="16"/>
        <v>0</v>
      </c>
      <c r="G40" s="27">
        <f>SUMIFS(전체리스트!E:E,전체리스트!A:A,B40,전체리스트!C:C,D40)</f>
        <v>2052</v>
      </c>
      <c r="H40" s="25">
        <f t="shared" si="17"/>
        <v>102.60000000000001</v>
      </c>
      <c r="I40" s="28">
        <f t="shared" si="18"/>
        <v>1949.4</v>
      </c>
      <c r="J40" s="24"/>
    </row>
    <row r="41" spans="2:10">
      <c r="B41" s="24" t="s">
        <v>86</v>
      </c>
      <c r="C41" s="55" t="str">
        <f t="shared" si="8"/>
        <v>11월분</v>
      </c>
      <c r="D41" s="24" t="s">
        <v>36</v>
      </c>
      <c r="E41" s="25">
        <f>SUMIFS(전체리스트!D:D,전체리스트!A:A,B41,전체리스트!C:C,D41)</f>
        <v>1296</v>
      </c>
      <c r="F41" s="26">
        <f t="shared" si="9"/>
        <v>0</v>
      </c>
      <c r="G41" s="27">
        <f>SUMIFS(전체리스트!E:E,전체리스트!A:A,B41,전체리스트!C:C,D41)</f>
        <v>1296</v>
      </c>
      <c r="H41" s="25">
        <f t="shared" si="6"/>
        <v>64.8</v>
      </c>
      <c r="I41" s="28">
        <f t="shared" si="10"/>
        <v>1231.2</v>
      </c>
      <c r="J41" s="24"/>
    </row>
    <row r="42" spans="2:10">
      <c r="B42" s="24" t="s">
        <v>86</v>
      </c>
      <c r="C42" s="55" t="str">
        <f t="shared" si="8"/>
        <v>11월분</v>
      </c>
      <c r="D42" s="24" t="s">
        <v>34</v>
      </c>
      <c r="E42" s="25">
        <f>SUMIFS(전체리스트!D:D,전체리스트!A:A,B42,전체리스트!C:C,D42)</f>
        <v>738</v>
      </c>
      <c r="F42" s="26">
        <f t="shared" si="9"/>
        <v>0</v>
      </c>
      <c r="G42" s="27">
        <f>SUMIFS(전체리스트!E:E,전체리스트!A:A,B42,전체리스트!C:C,D42)</f>
        <v>738</v>
      </c>
      <c r="H42" s="25">
        <f t="shared" si="6"/>
        <v>36.9</v>
      </c>
      <c r="I42" s="28">
        <f t="shared" si="10"/>
        <v>701.1</v>
      </c>
      <c r="J42" s="24"/>
    </row>
    <row r="43" spans="2:10">
      <c r="B43" s="24" t="s">
        <v>86</v>
      </c>
      <c r="C43" s="55" t="str">
        <f t="shared" si="8"/>
        <v>11월분</v>
      </c>
      <c r="D43" s="24" t="s">
        <v>16</v>
      </c>
      <c r="E43" s="25">
        <f>SUMIFS(전체리스트!D:D,전체리스트!A:A,B43,전체리스트!C:C,D43)</f>
        <v>720</v>
      </c>
      <c r="F43" s="26">
        <f t="shared" si="9"/>
        <v>0</v>
      </c>
      <c r="G43" s="27">
        <f>SUMIFS(전체리스트!E:E,전체리스트!A:A,B43,전체리스트!C:C,D43)</f>
        <v>720</v>
      </c>
      <c r="H43" s="25">
        <f t="shared" si="6"/>
        <v>36</v>
      </c>
      <c r="I43" s="28">
        <f t="shared" si="10"/>
        <v>684</v>
      </c>
      <c r="J43" s="24"/>
    </row>
    <row r="44" spans="2:10">
      <c r="B44" s="24" t="s">
        <v>86</v>
      </c>
      <c r="C44" s="55" t="str">
        <f t="shared" si="8"/>
        <v>11월분</v>
      </c>
      <c r="D44" s="24" t="s">
        <v>414</v>
      </c>
      <c r="E44" s="25">
        <f>SUMIFS(전체리스트!D:D,전체리스트!A:A,B44,전체리스트!C:C,D44)</f>
        <v>324</v>
      </c>
      <c r="F44" s="26">
        <f t="shared" si="9"/>
        <v>0</v>
      </c>
      <c r="G44" s="27">
        <f>SUMIFS(전체리스트!E:E,전체리스트!A:A,B44,전체리스트!C:C,D44)</f>
        <v>324</v>
      </c>
      <c r="H44" s="25">
        <f t="shared" si="6"/>
        <v>16.2</v>
      </c>
      <c r="I44" s="28">
        <f t="shared" si="10"/>
        <v>307.8</v>
      </c>
      <c r="J44" s="24"/>
    </row>
    <row r="45" spans="2:10">
      <c r="B45" s="24" t="s">
        <v>86</v>
      </c>
      <c r="C45" s="55" t="str">
        <f t="shared" si="8"/>
        <v>11월분</v>
      </c>
      <c r="D45" s="24" t="s">
        <v>111</v>
      </c>
      <c r="E45" s="25">
        <f>SUMIFS(전체리스트!D:D,전체리스트!A:A,B45,전체리스트!C:C,D45)</f>
        <v>108</v>
      </c>
      <c r="F45" s="26">
        <f t="shared" si="9"/>
        <v>0</v>
      </c>
      <c r="G45" s="27">
        <f>SUMIFS(전체리스트!E:E,전체리스트!A:A,B45,전체리스트!C:C,D45)</f>
        <v>108</v>
      </c>
      <c r="H45" s="25">
        <f t="shared" si="6"/>
        <v>5.4</v>
      </c>
      <c r="I45" s="28">
        <f t="shared" si="10"/>
        <v>102.6</v>
      </c>
      <c r="J45" s="24"/>
    </row>
    <row r="46" spans="2:10">
      <c r="B46" s="24" t="s">
        <v>86</v>
      </c>
      <c r="C46" s="55" t="str">
        <f t="shared" si="8"/>
        <v>11월분</v>
      </c>
      <c r="D46" s="24" t="s">
        <v>112</v>
      </c>
      <c r="E46" s="25">
        <f>SUMIFS(전체리스트!D:D,전체리스트!A:A,B46,전체리스트!C:C,D46)</f>
        <v>216</v>
      </c>
      <c r="F46" s="26">
        <f t="shared" si="9"/>
        <v>0</v>
      </c>
      <c r="G46" s="27">
        <f>SUMIFS(전체리스트!E:E,전체리스트!A:A,B46,전체리스트!C:C,D46)</f>
        <v>216</v>
      </c>
      <c r="H46" s="25">
        <f t="shared" si="6"/>
        <v>10.8</v>
      </c>
      <c r="I46" s="28">
        <f t="shared" si="10"/>
        <v>205.2</v>
      </c>
      <c r="J46" s="24"/>
    </row>
    <row r="47" spans="2:10">
      <c r="B47" s="24" t="s">
        <v>86</v>
      </c>
      <c r="C47" s="55" t="str">
        <f t="shared" ref="C47" si="23">VLOOKUP(B47,raw_a,2,0)</f>
        <v>11월분</v>
      </c>
      <c r="D47" s="24" t="s">
        <v>382</v>
      </c>
      <c r="E47" s="25">
        <f>SUMIFS(전체리스트!D:D,전체리스트!A:A,B47,전체리스트!C:C,D47)</f>
        <v>324</v>
      </c>
      <c r="F47" s="26">
        <f t="shared" ref="F47" si="24">E47-G47</f>
        <v>0</v>
      </c>
      <c r="G47" s="27">
        <f>SUMIFS(전체리스트!E:E,전체리스트!A:A,B47,전체리스트!C:C,D47)</f>
        <v>324</v>
      </c>
      <c r="H47" s="25">
        <f t="shared" ref="H47" si="25">G47*0.05</f>
        <v>16.2</v>
      </c>
      <c r="I47" s="28">
        <f t="shared" ref="I47" si="26">G47-H47</f>
        <v>307.8</v>
      </c>
      <c r="J47" s="24"/>
    </row>
    <row r="48" spans="2:10">
      <c r="B48" s="29" t="s">
        <v>322</v>
      </c>
      <c r="C48" s="29"/>
      <c r="D48" s="30"/>
      <c r="E48" s="31">
        <f t="shared" ref="E48:J48" si="27">SUM(E6:E47)</f>
        <v>3324770</v>
      </c>
      <c r="F48" s="31">
        <f t="shared" si="27"/>
        <v>0</v>
      </c>
      <c r="G48" s="31">
        <f t="shared" si="27"/>
        <v>3324770</v>
      </c>
      <c r="H48" s="31">
        <f t="shared" si="27"/>
        <v>166238.5</v>
      </c>
      <c r="I48" s="31">
        <f t="shared" si="27"/>
        <v>3158531.5</v>
      </c>
      <c r="J48" s="31">
        <f t="shared" si="27"/>
        <v>0</v>
      </c>
    </row>
    <row r="50" spans="13:13">
      <c r="M50" s="32" t="s">
        <v>221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4:J92"/>
  <sheetViews>
    <sheetView topLeftCell="A75" zoomScaleNormal="100" workbookViewId="0">
      <selection activeCell="B102" sqref="B102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 ht="19.5" customHeight="1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92</v>
      </c>
      <c r="C6" s="55" t="str">
        <f>VLOOKUP(B6,raw_a,2,0)</f>
        <v>11월분</v>
      </c>
      <c r="D6" s="24" t="s">
        <v>93</v>
      </c>
      <c r="E6" s="25">
        <f>SUMIFS(전체리스트!D:D,전체리스트!A:A,B6,전체리스트!C:C,D6)</f>
        <v>7843.4999999999991</v>
      </c>
      <c r="F6" s="26">
        <f>E6-G6</f>
        <v>0</v>
      </c>
      <c r="G6" s="27">
        <f>SUMIFS(전체리스트!E:E,전체리스트!A:A,B6,전체리스트!C:C,D6)</f>
        <v>7843.4999999999991</v>
      </c>
      <c r="H6" s="25">
        <f>G6*0.05</f>
        <v>392.17499999999995</v>
      </c>
      <c r="I6" s="28">
        <f>G6-H6</f>
        <v>7451.3249999999989</v>
      </c>
      <c r="J6" s="24"/>
    </row>
    <row r="7" spans="2:10">
      <c r="B7" s="24" t="s">
        <v>92</v>
      </c>
      <c r="C7" s="55" t="str">
        <f t="shared" ref="C7:C12" si="0">VLOOKUP(B7,raw_a,2,0)</f>
        <v>11월분</v>
      </c>
      <c r="D7" s="24" t="s">
        <v>424</v>
      </c>
      <c r="E7" s="25">
        <f>SUMIFS(전체리스트!D:D,전체리스트!A:A,B7,전체리스트!C:C,D7)</f>
        <v>283.5</v>
      </c>
      <c r="F7" s="26">
        <f t="shared" ref="F7:F15" si="1">E7-G7</f>
        <v>0</v>
      </c>
      <c r="G7" s="27">
        <f>SUMIFS(전체리스트!E:E,전체리스트!A:A,B7,전체리스트!C:C,D7)</f>
        <v>283.5</v>
      </c>
      <c r="H7" s="25">
        <f t="shared" ref="H7:H49" si="2">G7*0.05</f>
        <v>14.175000000000001</v>
      </c>
      <c r="I7" s="28">
        <f t="shared" ref="I7:I15" si="3">G7-H7</f>
        <v>269.32499999999999</v>
      </c>
      <c r="J7" s="24"/>
    </row>
    <row r="8" spans="2:10">
      <c r="B8" s="24" t="s">
        <v>92</v>
      </c>
      <c r="C8" s="55" t="str">
        <f t="shared" si="0"/>
        <v>11월분</v>
      </c>
      <c r="D8" s="24" t="s">
        <v>66</v>
      </c>
      <c r="E8" s="25">
        <f>SUMIFS(전체리스트!D:D,전체리스트!A:A,B8,전체리스트!C:C,D8)</f>
        <v>5512.5</v>
      </c>
      <c r="F8" s="26">
        <f t="shared" si="1"/>
        <v>0</v>
      </c>
      <c r="G8" s="27">
        <f>SUMIFS(전체리스트!E:E,전체리스트!A:A,B8,전체리스트!C:C,D8)</f>
        <v>5512.5</v>
      </c>
      <c r="H8" s="25">
        <f t="shared" si="2"/>
        <v>275.625</v>
      </c>
      <c r="I8" s="28">
        <f t="shared" si="3"/>
        <v>5236.875</v>
      </c>
      <c r="J8" s="24"/>
    </row>
    <row r="9" spans="2:10">
      <c r="B9" s="24" t="s">
        <v>92</v>
      </c>
      <c r="C9" s="55" t="str">
        <f t="shared" si="0"/>
        <v>11월분</v>
      </c>
      <c r="D9" s="24" t="s">
        <v>382</v>
      </c>
      <c r="E9" s="25">
        <f>SUMIFS(전체리스트!D:D,전체리스트!A:A,B9,전체리스트!C:C,D9)</f>
        <v>7092.75</v>
      </c>
      <c r="F9" s="26">
        <f t="shared" si="1"/>
        <v>0</v>
      </c>
      <c r="G9" s="27">
        <f>SUMIFS(전체리스트!E:E,전체리스트!A:A,B9,전체리스트!C:C,D9)</f>
        <v>7092.75</v>
      </c>
      <c r="H9" s="25">
        <f t="shared" si="2"/>
        <v>354.63750000000005</v>
      </c>
      <c r="I9" s="28">
        <f t="shared" si="3"/>
        <v>6738.1125000000002</v>
      </c>
      <c r="J9" s="24"/>
    </row>
    <row r="10" spans="2:10">
      <c r="B10" s="24" t="s">
        <v>92</v>
      </c>
      <c r="C10" s="55" t="str">
        <f t="shared" si="0"/>
        <v>11월분</v>
      </c>
      <c r="D10" s="24" t="s">
        <v>389</v>
      </c>
      <c r="E10" s="25">
        <f>SUMIFS(전체리스트!D:D,전체리스트!A:A,B10,전체리스트!C:C,D10)</f>
        <v>4509.75</v>
      </c>
      <c r="F10" s="26">
        <f t="shared" si="1"/>
        <v>0</v>
      </c>
      <c r="G10" s="27">
        <f>SUMIFS(전체리스트!E:E,전체리스트!A:A,B10,전체리스트!C:C,D10)</f>
        <v>4509.75</v>
      </c>
      <c r="H10" s="25">
        <f t="shared" si="2"/>
        <v>225.48750000000001</v>
      </c>
      <c r="I10" s="28">
        <f t="shared" si="3"/>
        <v>4284.2624999999998</v>
      </c>
      <c r="J10" s="24"/>
    </row>
    <row r="11" spans="2:10">
      <c r="B11" s="24" t="s">
        <v>92</v>
      </c>
      <c r="C11" s="55" t="str">
        <f t="shared" si="0"/>
        <v>11월분</v>
      </c>
      <c r="D11" s="24" t="s">
        <v>8</v>
      </c>
      <c r="E11" s="25">
        <f>SUMIFS(전체리스트!D:D,전체리스트!A:A,B11,전체리스트!C:C,D11)</f>
        <v>20469.75</v>
      </c>
      <c r="F11" s="26">
        <f t="shared" si="1"/>
        <v>0</v>
      </c>
      <c r="G11" s="27">
        <f>SUMIFS(전체리스트!E:E,전체리스트!A:A,B11,전체리스트!C:C,D11)</f>
        <v>20469.75</v>
      </c>
      <c r="H11" s="25">
        <f t="shared" si="2"/>
        <v>1023.4875000000001</v>
      </c>
      <c r="I11" s="28">
        <f t="shared" si="3"/>
        <v>19446.262500000001</v>
      </c>
      <c r="J11" s="24"/>
    </row>
    <row r="12" spans="2:10">
      <c r="B12" s="24" t="s">
        <v>92</v>
      </c>
      <c r="C12" s="55" t="str">
        <f t="shared" si="0"/>
        <v>11월분</v>
      </c>
      <c r="D12" s="24" t="s">
        <v>9</v>
      </c>
      <c r="E12" s="25">
        <f>SUMIFS(전체리스트!D:D,전체리스트!A:A,B12,전체리스트!C:C,D12)</f>
        <v>61094.249999999993</v>
      </c>
      <c r="F12" s="26">
        <f t="shared" si="1"/>
        <v>0</v>
      </c>
      <c r="G12" s="27">
        <f>SUMIFS(전체리스트!E:E,전체리스트!A:A,B12,전체리스트!C:C,D12)</f>
        <v>61094.249999999993</v>
      </c>
      <c r="H12" s="25">
        <f t="shared" si="2"/>
        <v>3054.7124999999996</v>
      </c>
      <c r="I12" s="28">
        <f t="shared" si="3"/>
        <v>58039.537499999991</v>
      </c>
      <c r="J12" s="24"/>
    </row>
    <row r="13" spans="2:10">
      <c r="B13" s="24" t="s">
        <v>92</v>
      </c>
      <c r="C13" s="55" t="str">
        <f t="shared" ref="C13:C15" si="4">VLOOKUP(B13,raw_a,2,0)</f>
        <v>11월분</v>
      </c>
      <c r="D13" s="24" t="s">
        <v>114</v>
      </c>
      <c r="E13" s="25">
        <f>SUMIFS(전체리스트!D:D,전체리스트!A:A,B13,전체리스트!C:C,D13)</f>
        <v>11560.5</v>
      </c>
      <c r="F13" s="26">
        <f t="shared" si="1"/>
        <v>0</v>
      </c>
      <c r="G13" s="27">
        <f>SUMIFS(전체리스트!E:E,전체리스트!A:A,B13,전체리스트!C:C,D13)</f>
        <v>11560.5</v>
      </c>
      <c r="H13" s="25">
        <f t="shared" si="2"/>
        <v>578.02499999999998</v>
      </c>
      <c r="I13" s="28">
        <f t="shared" si="3"/>
        <v>10982.475</v>
      </c>
      <c r="J13" s="24"/>
    </row>
    <row r="14" spans="2:10">
      <c r="B14" s="24" t="s">
        <v>92</v>
      </c>
      <c r="C14" s="55" t="str">
        <f t="shared" si="4"/>
        <v>11월분</v>
      </c>
      <c r="D14" s="24" t="s">
        <v>10</v>
      </c>
      <c r="E14" s="25">
        <f>SUMIFS(전체리스트!D:D,전체리스트!A:A,B14,전체리스트!C:C,D14)</f>
        <v>16185.749999999998</v>
      </c>
      <c r="F14" s="26">
        <f t="shared" si="1"/>
        <v>0</v>
      </c>
      <c r="G14" s="27">
        <f>SUMIFS(전체리스트!E:E,전체리스트!A:A,B14,전체리스트!C:C,D14)</f>
        <v>16185.749999999998</v>
      </c>
      <c r="H14" s="25">
        <f t="shared" si="2"/>
        <v>809.28749999999991</v>
      </c>
      <c r="I14" s="28">
        <f t="shared" si="3"/>
        <v>15376.462499999998</v>
      </c>
      <c r="J14" s="24"/>
    </row>
    <row r="15" spans="2:10">
      <c r="B15" s="24" t="s">
        <v>92</v>
      </c>
      <c r="C15" s="55" t="str">
        <f t="shared" si="4"/>
        <v>11월분</v>
      </c>
      <c r="D15" s="24" t="s">
        <v>11</v>
      </c>
      <c r="E15" s="25">
        <f>SUMIFS(전체리스트!D:D,전체리스트!A:A,B15,전체리스트!C:C,D15)</f>
        <v>85548.75</v>
      </c>
      <c r="F15" s="26">
        <f t="shared" si="1"/>
        <v>0</v>
      </c>
      <c r="G15" s="27">
        <f>SUMIFS(전체리스트!E:E,전체리스트!A:A,B15,전체리스트!C:C,D15)</f>
        <v>85548.75</v>
      </c>
      <c r="H15" s="25">
        <f t="shared" si="2"/>
        <v>4277.4375</v>
      </c>
      <c r="I15" s="28">
        <f t="shared" si="3"/>
        <v>81271.3125</v>
      </c>
      <c r="J15" s="24"/>
    </row>
    <row r="16" spans="2:10">
      <c r="B16" s="24" t="s">
        <v>92</v>
      </c>
      <c r="C16" s="55" t="str">
        <f t="shared" ref="C16:C19" si="5">VLOOKUP(B16,raw_a,2,0)</f>
        <v>11월분</v>
      </c>
      <c r="D16" s="24" t="s">
        <v>12</v>
      </c>
      <c r="E16" s="25">
        <f>SUMIFS(전체리스트!D:D,전체리스트!A:A,B16,전체리스트!C:C,D16)</f>
        <v>334768.875</v>
      </c>
      <c r="F16" s="26">
        <f t="shared" ref="F16:F19" si="6">E16-G16</f>
        <v>0</v>
      </c>
      <c r="G16" s="27">
        <f>SUMIFS(전체리스트!E:E,전체리스트!A:A,B16,전체리스트!C:C,D16)</f>
        <v>334768.875</v>
      </c>
      <c r="H16" s="25">
        <f t="shared" si="2"/>
        <v>16738.443750000002</v>
      </c>
      <c r="I16" s="28">
        <f t="shared" ref="I16:I19" si="7">G16-H16</f>
        <v>318030.43125000002</v>
      </c>
      <c r="J16" s="24"/>
    </row>
    <row r="17" spans="2:10">
      <c r="B17" s="24" t="s">
        <v>92</v>
      </c>
      <c r="C17" s="55" t="str">
        <f t="shared" si="5"/>
        <v>11월분</v>
      </c>
      <c r="D17" s="24" t="s">
        <v>13</v>
      </c>
      <c r="E17" s="25">
        <f>SUMIFS(전체리스트!D:D,전체리스트!A:A,B17,전체리스트!C:C,D17)</f>
        <v>81459</v>
      </c>
      <c r="F17" s="26">
        <f t="shared" si="6"/>
        <v>0</v>
      </c>
      <c r="G17" s="27">
        <f>SUMIFS(전체리스트!E:E,전체리스트!A:A,B17,전체리스트!C:C,D17)</f>
        <v>81459</v>
      </c>
      <c r="H17" s="25">
        <f t="shared" si="2"/>
        <v>4072.9500000000003</v>
      </c>
      <c r="I17" s="28">
        <f t="shared" si="7"/>
        <v>77386.05</v>
      </c>
      <c r="J17" s="24"/>
    </row>
    <row r="18" spans="2:10">
      <c r="B18" s="24" t="s">
        <v>92</v>
      </c>
      <c r="C18" s="55" t="str">
        <f t="shared" si="5"/>
        <v>11월분</v>
      </c>
      <c r="D18" s="24" t="s">
        <v>90</v>
      </c>
      <c r="E18" s="25">
        <f>SUMIFS(전체리스트!D:D,전체리스트!A:A,B18,전체리스트!C:C,D18)</f>
        <v>1431535.875</v>
      </c>
      <c r="F18" s="26">
        <f t="shared" si="6"/>
        <v>0</v>
      </c>
      <c r="G18" s="27">
        <f>SUMIFS(전체리스트!E:E,전체리스트!A:A,B18,전체리스트!C:C,D18)</f>
        <v>1431535.875</v>
      </c>
      <c r="H18" s="25">
        <f t="shared" si="2"/>
        <v>71576.793749999997</v>
      </c>
      <c r="I18" s="28">
        <f t="shared" si="7"/>
        <v>1359959.08125</v>
      </c>
      <c r="J18" s="24"/>
    </row>
    <row r="19" spans="2:10">
      <c r="B19" s="24" t="s">
        <v>92</v>
      </c>
      <c r="C19" s="55" t="str">
        <f t="shared" si="5"/>
        <v>11월분</v>
      </c>
      <c r="D19" s="24" t="s">
        <v>14</v>
      </c>
      <c r="E19" s="25">
        <f>SUMIFS(전체리스트!D:D,전체리스트!A:A,B19,전체리스트!C:C,D19)</f>
        <v>21509.25</v>
      </c>
      <c r="F19" s="26">
        <f t="shared" si="6"/>
        <v>0</v>
      </c>
      <c r="G19" s="27">
        <f>SUMIFS(전체리스트!E:E,전체리스트!A:A,B19,전체리스트!C:C,D19)</f>
        <v>21509.25</v>
      </c>
      <c r="H19" s="25">
        <f t="shared" si="2"/>
        <v>1075.4625000000001</v>
      </c>
      <c r="I19" s="28">
        <f t="shared" si="7"/>
        <v>20433.787499999999</v>
      </c>
      <c r="J19" s="24"/>
    </row>
    <row r="20" spans="2:10">
      <c r="B20" s="24" t="s">
        <v>92</v>
      </c>
      <c r="C20" s="55" t="str">
        <f t="shared" ref="C20:C21" si="8">VLOOKUP(B20,raw_a,2,0)</f>
        <v>11월분</v>
      </c>
      <c r="D20" s="24" t="s">
        <v>16</v>
      </c>
      <c r="E20" s="25">
        <f>SUMIFS(전체리스트!D:D,전체리스트!A:A,B20,전체리스트!C:C,D20)</f>
        <v>43617</v>
      </c>
      <c r="F20" s="26">
        <f t="shared" ref="F20:F21" si="9">E20-G20</f>
        <v>0</v>
      </c>
      <c r="G20" s="27">
        <f>SUMIFS(전체리스트!E:E,전체리스트!A:A,B20,전체리스트!C:C,D20)</f>
        <v>43617</v>
      </c>
      <c r="H20" s="25">
        <f t="shared" si="2"/>
        <v>2180.85</v>
      </c>
      <c r="I20" s="28">
        <f t="shared" ref="I20:I21" si="10">G20-H20</f>
        <v>41436.15</v>
      </c>
      <c r="J20" s="24"/>
    </row>
    <row r="21" spans="2:10">
      <c r="B21" s="24" t="s">
        <v>92</v>
      </c>
      <c r="C21" s="55" t="str">
        <f t="shared" si="8"/>
        <v>11월분</v>
      </c>
      <c r="D21" s="24" t="s">
        <v>94</v>
      </c>
      <c r="E21" s="25">
        <f>SUMIFS(전체리스트!D:D,전체리스트!A:A,B21,전체리스트!C:C,D21)</f>
        <v>84078.75</v>
      </c>
      <c r="F21" s="26">
        <f t="shared" si="9"/>
        <v>0</v>
      </c>
      <c r="G21" s="27">
        <f>SUMIFS(전체리스트!E:E,전체리스트!A:A,B21,전체리스트!C:C,D21)</f>
        <v>84078.75</v>
      </c>
      <c r="H21" s="25">
        <f t="shared" si="2"/>
        <v>4203.9375</v>
      </c>
      <c r="I21" s="28">
        <f t="shared" si="10"/>
        <v>79874.8125</v>
      </c>
      <c r="J21" s="24"/>
    </row>
    <row r="22" spans="2:10">
      <c r="B22" s="24" t="s">
        <v>92</v>
      </c>
      <c r="C22" s="55" t="str">
        <f t="shared" ref="C22:C37" si="11">VLOOKUP(B22,raw_a,2,0)</f>
        <v>11월분</v>
      </c>
      <c r="D22" s="24" t="s">
        <v>369</v>
      </c>
      <c r="E22" s="25">
        <f>SUMIFS(전체리스트!D:D,전체리스트!A:A,B22,전체리스트!C:C,D22)</f>
        <v>82477.5</v>
      </c>
      <c r="F22" s="26">
        <f t="shared" ref="F22:F37" si="12">E22-G22</f>
        <v>0</v>
      </c>
      <c r="G22" s="27">
        <f>SUMIFS(전체리스트!E:E,전체리스트!A:A,B22,전체리스트!C:C,D22)</f>
        <v>82477.5</v>
      </c>
      <c r="H22" s="25">
        <f t="shared" ref="H22:H37" si="13">G22*0.05</f>
        <v>4123.875</v>
      </c>
      <c r="I22" s="28">
        <f t="shared" ref="I22:I37" si="14">G22-H22</f>
        <v>78353.625</v>
      </c>
      <c r="J22" s="24"/>
    </row>
    <row r="23" spans="2:10">
      <c r="B23" s="24" t="s">
        <v>92</v>
      </c>
      <c r="C23" s="55" t="str">
        <f t="shared" si="11"/>
        <v>11월분</v>
      </c>
      <c r="D23" s="24" t="s">
        <v>370</v>
      </c>
      <c r="E23" s="25">
        <f>SUMIFS(전체리스트!D:D,전체리스트!A:A,B23,전체리스트!C:C,D23)</f>
        <v>5370.75</v>
      </c>
      <c r="F23" s="26">
        <f t="shared" si="12"/>
        <v>0</v>
      </c>
      <c r="G23" s="27">
        <f>SUMIFS(전체리스트!E:E,전체리스트!A:A,B23,전체리스트!C:C,D23)</f>
        <v>5370.75</v>
      </c>
      <c r="H23" s="25">
        <f t="shared" si="13"/>
        <v>268.53750000000002</v>
      </c>
      <c r="I23" s="28">
        <f t="shared" si="14"/>
        <v>5102.2124999999996</v>
      </c>
      <c r="J23" s="24"/>
    </row>
    <row r="24" spans="2:10">
      <c r="B24" s="24" t="s">
        <v>92</v>
      </c>
      <c r="C24" s="55" t="str">
        <f t="shared" si="11"/>
        <v>11월분</v>
      </c>
      <c r="D24" s="24" t="s">
        <v>58</v>
      </c>
      <c r="E24" s="25">
        <f>SUMIFS(전체리스트!D:D,전체리스트!A:A,B24,전체리스트!C:C,D24)</f>
        <v>53292.75</v>
      </c>
      <c r="F24" s="26">
        <f t="shared" si="12"/>
        <v>0</v>
      </c>
      <c r="G24" s="27">
        <f>SUMIFS(전체리스트!E:E,전체리스트!A:A,B24,전체리스트!C:C,D24)</f>
        <v>53292.75</v>
      </c>
      <c r="H24" s="25">
        <f t="shared" si="13"/>
        <v>2664.6375000000003</v>
      </c>
      <c r="I24" s="28">
        <f t="shared" si="14"/>
        <v>50628.112500000003</v>
      </c>
      <c r="J24" s="24"/>
    </row>
    <row r="25" spans="2:10">
      <c r="B25" s="24" t="s">
        <v>92</v>
      </c>
      <c r="C25" s="55" t="str">
        <f t="shared" si="11"/>
        <v>11월분</v>
      </c>
      <c r="D25" s="24" t="s">
        <v>207</v>
      </c>
      <c r="E25" s="25">
        <f>SUMIFS(전체리스트!D:D,전체리스트!A:A,B25,전체리스트!C:C,D25)</f>
        <v>787.5</v>
      </c>
      <c r="F25" s="26">
        <f t="shared" si="12"/>
        <v>0</v>
      </c>
      <c r="G25" s="27">
        <f>SUMIFS(전체리스트!E:E,전체리스트!A:A,B25,전체리스트!C:C,D25)</f>
        <v>787.5</v>
      </c>
      <c r="H25" s="25">
        <f t="shared" si="13"/>
        <v>39.375</v>
      </c>
      <c r="I25" s="28">
        <f t="shared" si="14"/>
        <v>748.125</v>
      </c>
      <c r="J25" s="24"/>
    </row>
    <row r="26" spans="2:10">
      <c r="B26" s="24" t="s">
        <v>92</v>
      </c>
      <c r="C26" s="55" t="str">
        <f t="shared" si="11"/>
        <v>11월분</v>
      </c>
      <c r="D26" s="24" t="s">
        <v>21</v>
      </c>
      <c r="E26" s="25">
        <f>SUMIFS(전체리스트!D:D,전체리스트!A:A,B26,전체리스트!C:C,D26)</f>
        <v>41396.25</v>
      </c>
      <c r="F26" s="26">
        <f t="shared" si="12"/>
        <v>0</v>
      </c>
      <c r="G26" s="27">
        <f>SUMIFS(전체리스트!E:E,전체리스트!A:A,B26,전체리스트!C:C,D26)</f>
        <v>41396.25</v>
      </c>
      <c r="H26" s="25">
        <f t="shared" si="13"/>
        <v>2069.8125</v>
      </c>
      <c r="I26" s="28">
        <f t="shared" si="14"/>
        <v>39326.4375</v>
      </c>
      <c r="J26" s="24"/>
    </row>
    <row r="27" spans="2:10">
      <c r="B27" s="24" t="s">
        <v>92</v>
      </c>
      <c r="C27" s="55" t="str">
        <f t="shared" si="11"/>
        <v>11월분</v>
      </c>
      <c r="D27" s="24" t="s">
        <v>401</v>
      </c>
      <c r="E27" s="25">
        <f>SUMIFS(전체리스트!D:D,전체리스트!A:A,B27,전체리스트!C:C,D27)</f>
        <v>49318.5</v>
      </c>
      <c r="F27" s="26">
        <f t="shared" si="12"/>
        <v>0</v>
      </c>
      <c r="G27" s="27">
        <f>SUMIFS(전체리스트!E:E,전체리스트!A:A,B27,전체리스트!C:C,D27)</f>
        <v>49318.5</v>
      </c>
      <c r="H27" s="25">
        <f t="shared" si="13"/>
        <v>2465.9250000000002</v>
      </c>
      <c r="I27" s="28">
        <f t="shared" si="14"/>
        <v>46852.574999999997</v>
      </c>
      <c r="J27" s="24"/>
    </row>
    <row r="28" spans="2:10">
      <c r="B28" s="24" t="s">
        <v>92</v>
      </c>
      <c r="C28" s="55" t="str">
        <f t="shared" si="11"/>
        <v>11월분</v>
      </c>
      <c r="D28" s="24" t="s">
        <v>22</v>
      </c>
      <c r="E28" s="25">
        <f>SUMIFS(전체리스트!D:D,전체리스트!A:A,B28,전체리스트!C:C,D28)</f>
        <v>1305958.5</v>
      </c>
      <c r="F28" s="26">
        <f t="shared" si="12"/>
        <v>0</v>
      </c>
      <c r="G28" s="27">
        <f>SUMIFS(전체리스트!E:E,전체리스트!A:A,B28,전체리스트!C:C,D28)</f>
        <v>1305958.5</v>
      </c>
      <c r="H28" s="25">
        <f t="shared" si="13"/>
        <v>65297.925000000003</v>
      </c>
      <c r="I28" s="28">
        <f t="shared" si="14"/>
        <v>1240660.575</v>
      </c>
      <c r="J28" s="24"/>
    </row>
    <row r="29" spans="2:10">
      <c r="B29" s="24" t="s">
        <v>92</v>
      </c>
      <c r="C29" s="55" t="str">
        <f t="shared" si="11"/>
        <v>11월분</v>
      </c>
      <c r="D29" s="24" t="s">
        <v>95</v>
      </c>
      <c r="E29" s="25">
        <f>SUMIFS(전체리스트!D:D,전체리스트!A:A,B29,전체리스트!C:C,D29)</f>
        <v>5859</v>
      </c>
      <c r="F29" s="26">
        <f t="shared" si="12"/>
        <v>0</v>
      </c>
      <c r="G29" s="27">
        <f>SUMIFS(전체리스트!E:E,전체리스트!A:A,B29,전체리스트!C:C,D29)</f>
        <v>5859</v>
      </c>
      <c r="H29" s="25">
        <f t="shared" si="13"/>
        <v>292.95</v>
      </c>
      <c r="I29" s="28">
        <f t="shared" si="14"/>
        <v>5566.05</v>
      </c>
      <c r="J29" s="24"/>
    </row>
    <row r="30" spans="2:10">
      <c r="B30" s="24" t="s">
        <v>92</v>
      </c>
      <c r="C30" s="55" t="str">
        <f t="shared" si="11"/>
        <v>11월분</v>
      </c>
      <c r="D30" s="24" t="s">
        <v>54</v>
      </c>
      <c r="E30" s="25">
        <f>SUMIFS(전체리스트!D:D,전체리스트!A:A,B30,전체리스트!C:C,D30)</f>
        <v>378</v>
      </c>
      <c r="F30" s="26">
        <f t="shared" si="12"/>
        <v>0</v>
      </c>
      <c r="G30" s="27">
        <f>SUMIFS(전체리스트!E:E,전체리스트!A:A,B30,전체리스트!C:C,D30)</f>
        <v>378</v>
      </c>
      <c r="H30" s="25">
        <f t="shared" si="13"/>
        <v>18.900000000000002</v>
      </c>
      <c r="I30" s="28">
        <f t="shared" si="14"/>
        <v>359.1</v>
      </c>
      <c r="J30" s="24"/>
    </row>
    <row r="31" spans="2:10">
      <c r="B31" s="24" t="s">
        <v>92</v>
      </c>
      <c r="C31" s="55" t="str">
        <f t="shared" si="11"/>
        <v>11월분</v>
      </c>
      <c r="D31" s="24" t="s">
        <v>64</v>
      </c>
      <c r="E31" s="25">
        <f>SUMIFS(전체리스트!D:D,전체리스트!A:A,B31,전체리스트!C:C,D31)</f>
        <v>24018.75</v>
      </c>
      <c r="F31" s="26">
        <f t="shared" si="12"/>
        <v>0</v>
      </c>
      <c r="G31" s="27">
        <f>SUMIFS(전체리스트!E:E,전체리스트!A:A,B31,전체리스트!C:C,D31)</f>
        <v>24018.75</v>
      </c>
      <c r="H31" s="25">
        <f t="shared" si="13"/>
        <v>1200.9375</v>
      </c>
      <c r="I31" s="28">
        <f t="shared" si="14"/>
        <v>22817.8125</v>
      </c>
      <c r="J31" s="24"/>
    </row>
    <row r="32" spans="2:10">
      <c r="B32" s="24" t="s">
        <v>92</v>
      </c>
      <c r="C32" s="55" t="str">
        <f t="shared" si="11"/>
        <v>11월분</v>
      </c>
      <c r="D32" s="24" t="s">
        <v>73</v>
      </c>
      <c r="E32" s="25">
        <f>SUMIFS(전체리스트!D:D,전체리스트!A:A,B32,전체리스트!C:C,D32)</f>
        <v>283.5</v>
      </c>
      <c r="F32" s="26">
        <f t="shared" si="12"/>
        <v>0</v>
      </c>
      <c r="G32" s="27">
        <f>SUMIFS(전체리스트!E:E,전체리스트!A:A,B32,전체리스트!C:C,D32)</f>
        <v>283.5</v>
      </c>
      <c r="H32" s="25">
        <f t="shared" si="13"/>
        <v>14.175000000000001</v>
      </c>
      <c r="I32" s="28">
        <f t="shared" si="14"/>
        <v>269.32499999999999</v>
      </c>
      <c r="J32" s="24"/>
    </row>
    <row r="33" spans="2:10">
      <c r="B33" s="24" t="s">
        <v>92</v>
      </c>
      <c r="C33" s="55" t="str">
        <f t="shared" si="11"/>
        <v>11월분</v>
      </c>
      <c r="D33" s="24" t="s">
        <v>26</v>
      </c>
      <c r="E33" s="25">
        <f>SUMIFS(전체리스트!D:D,전체리스트!A:A,B33,전체리스트!C:C,D33)</f>
        <v>2373</v>
      </c>
      <c r="F33" s="26">
        <f t="shared" si="12"/>
        <v>0</v>
      </c>
      <c r="G33" s="27">
        <f>SUMIFS(전체리스트!E:E,전체리스트!A:A,B33,전체리스트!C:C,D33)</f>
        <v>2373</v>
      </c>
      <c r="H33" s="25">
        <f t="shared" si="13"/>
        <v>118.65</v>
      </c>
      <c r="I33" s="28">
        <f t="shared" si="14"/>
        <v>2254.35</v>
      </c>
      <c r="J33" s="24"/>
    </row>
    <row r="34" spans="2:10">
      <c r="B34" s="24" t="s">
        <v>92</v>
      </c>
      <c r="C34" s="55" t="str">
        <f t="shared" si="11"/>
        <v>11월분</v>
      </c>
      <c r="D34" s="24" t="s">
        <v>425</v>
      </c>
      <c r="E34" s="25">
        <f>SUMIFS(전체리스트!D:D,전체리스트!A:A,B34,전체리스트!C:C,D34)</f>
        <v>32857.125</v>
      </c>
      <c r="F34" s="26">
        <f t="shared" si="12"/>
        <v>0</v>
      </c>
      <c r="G34" s="27">
        <f>SUMIFS(전체리스트!E:E,전체리스트!A:A,B34,전체리스트!C:C,D34)</f>
        <v>32857.125</v>
      </c>
      <c r="H34" s="25">
        <f t="shared" si="13"/>
        <v>1642.85625</v>
      </c>
      <c r="I34" s="28">
        <f t="shared" si="14"/>
        <v>31214.268749999999</v>
      </c>
      <c r="J34" s="24"/>
    </row>
    <row r="35" spans="2:10">
      <c r="B35" s="24" t="s">
        <v>92</v>
      </c>
      <c r="C35" s="55" t="str">
        <f t="shared" si="11"/>
        <v>11월분</v>
      </c>
      <c r="D35" s="24" t="s">
        <v>426</v>
      </c>
      <c r="E35" s="25">
        <f>SUMIFS(전체리스트!D:D,전체리스트!A:A,B35,전체리스트!C:C,D35)</f>
        <v>1071</v>
      </c>
      <c r="F35" s="26">
        <f t="shared" si="12"/>
        <v>0</v>
      </c>
      <c r="G35" s="27">
        <f>SUMIFS(전체리스트!E:E,전체리스트!A:A,B35,전체리스트!C:C,D35)</f>
        <v>1071</v>
      </c>
      <c r="H35" s="25">
        <f t="shared" si="13"/>
        <v>53.550000000000004</v>
      </c>
      <c r="I35" s="28">
        <f t="shared" si="14"/>
        <v>1017.45</v>
      </c>
      <c r="J35" s="24"/>
    </row>
    <row r="36" spans="2:10">
      <c r="B36" s="24" t="s">
        <v>92</v>
      </c>
      <c r="C36" s="55" t="str">
        <f t="shared" si="11"/>
        <v>11월분</v>
      </c>
      <c r="D36" s="24" t="s">
        <v>390</v>
      </c>
      <c r="E36" s="25">
        <f>SUMIFS(전체리스트!D:D,전체리스트!A:A,B36,전체리스트!C:C,D36)</f>
        <v>5937.75</v>
      </c>
      <c r="F36" s="26">
        <f t="shared" si="12"/>
        <v>0</v>
      </c>
      <c r="G36" s="27">
        <f>SUMIFS(전체리스트!E:E,전체리스트!A:A,B36,전체리스트!C:C,D36)</f>
        <v>5937.75</v>
      </c>
      <c r="H36" s="25">
        <f t="shared" si="13"/>
        <v>296.88749999999999</v>
      </c>
      <c r="I36" s="28">
        <f t="shared" si="14"/>
        <v>5640.8625000000002</v>
      </c>
      <c r="J36" s="24"/>
    </row>
    <row r="37" spans="2:10">
      <c r="B37" s="24" t="s">
        <v>92</v>
      </c>
      <c r="C37" s="55" t="str">
        <f t="shared" si="11"/>
        <v>11월분</v>
      </c>
      <c r="D37" s="24" t="s">
        <v>96</v>
      </c>
      <c r="E37" s="25">
        <f>SUMIFS(전체리스트!D:D,전체리스트!A:A,B37,전체리스트!C:C,D37)</f>
        <v>13450.5</v>
      </c>
      <c r="F37" s="26">
        <f t="shared" si="12"/>
        <v>0</v>
      </c>
      <c r="G37" s="27">
        <f>SUMIFS(전체리스트!E:E,전체리스트!A:A,B37,전체리스트!C:C,D37)</f>
        <v>13450.5</v>
      </c>
      <c r="H37" s="25">
        <f t="shared" si="13"/>
        <v>672.52500000000009</v>
      </c>
      <c r="I37" s="28">
        <f t="shared" si="14"/>
        <v>12777.975</v>
      </c>
      <c r="J37" s="24"/>
    </row>
    <row r="38" spans="2:10">
      <c r="B38" s="24" t="s">
        <v>92</v>
      </c>
      <c r="C38" s="55" t="str">
        <f t="shared" ref="C38" si="15">VLOOKUP(B38,raw_a,2,0)</f>
        <v>11월분</v>
      </c>
      <c r="D38" s="24" t="s">
        <v>384</v>
      </c>
      <c r="E38" s="25">
        <f>SUMIFS(전체리스트!D:D,전체리스트!A:A,B38,전체리스트!C:C,D38)</f>
        <v>94.5</v>
      </c>
      <c r="F38" s="26">
        <f t="shared" ref="F38" si="16">E38-G38</f>
        <v>0</v>
      </c>
      <c r="G38" s="27">
        <f>SUMIFS(전체리스트!E:E,전체리스트!A:A,B38,전체리스트!C:C,D38)</f>
        <v>94.5</v>
      </c>
      <c r="H38" s="25">
        <f t="shared" si="2"/>
        <v>4.7250000000000005</v>
      </c>
      <c r="I38" s="28">
        <f t="shared" ref="I38" si="17">G38-H38</f>
        <v>89.775000000000006</v>
      </c>
      <c r="J38" s="24"/>
    </row>
    <row r="39" spans="2:10">
      <c r="B39" s="24" t="s">
        <v>92</v>
      </c>
      <c r="C39" s="55" t="str">
        <f t="shared" ref="C39:C49" si="18">VLOOKUP(B39,raw_a,2,0)</f>
        <v>11월분</v>
      </c>
      <c r="D39" s="24" t="s">
        <v>111</v>
      </c>
      <c r="E39" s="25">
        <f>SUMIFS(전체리스트!D:D,전체리스트!A:A,B39,전체리스트!C:C,D39)</f>
        <v>11891.25</v>
      </c>
      <c r="F39" s="26">
        <f t="shared" ref="F39:F49" si="19">E39-G39</f>
        <v>0</v>
      </c>
      <c r="G39" s="27">
        <f>SUMIFS(전체리스트!E:E,전체리스트!A:A,B39,전체리스트!C:C,D39)</f>
        <v>11891.25</v>
      </c>
      <c r="H39" s="25">
        <f t="shared" si="2"/>
        <v>594.5625</v>
      </c>
      <c r="I39" s="28">
        <f t="shared" ref="I39:I49" si="20">G39-H39</f>
        <v>11296.6875</v>
      </c>
      <c r="J39" s="24"/>
    </row>
    <row r="40" spans="2:10">
      <c r="B40" s="24" t="s">
        <v>92</v>
      </c>
      <c r="C40" s="55" t="str">
        <f t="shared" si="18"/>
        <v>11월분</v>
      </c>
      <c r="D40" s="24" t="s">
        <v>29</v>
      </c>
      <c r="E40" s="25">
        <f>SUMIFS(전체리스트!D:D,전체리스트!A:A,B40,전체리스트!C:C,D40)</f>
        <v>63367.499999999993</v>
      </c>
      <c r="F40" s="26">
        <f t="shared" si="19"/>
        <v>0</v>
      </c>
      <c r="G40" s="27">
        <f>SUMIFS(전체리스트!E:E,전체리스트!A:A,B40,전체리스트!C:C,D40)</f>
        <v>63367.499999999993</v>
      </c>
      <c r="H40" s="25">
        <f t="shared" si="2"/>
        <v>3168.375</v>
      </c>
      <c r="I40" s="28">
        <f t="shared" si="20"/>
        <v>60199.124999999993</v>
      </c>
      <c r="J40" s="24"/>
    </row>
    <row r="41" spans="2:10">
      <c r="B41" s="24" t="s">
        <v>92</v>
      </c>
      <c r="C41" s="55" t="str">
        <f t="shared" si="18"/>
        <v>11월분</v>
      </c>
      <c r="D41" s="24" t="s">
        <v>427</v>
      </c>
      <c r="E41" s="25">
        <f>SUMIFS(전체리스트!D:D,전체리스트!A:A,B41,전체리스트!C:C,D41)</f>
        <v>567</v>
      </c>
      <c r="F41" s="26">
        <f t="shared" si="19"/>
        <v>0</v>
      </c>
      <c r="G41" s="27">
        <f>SUMIFS(전체리스트!E:E,전체리스트!A:A,B41,전체리스트!C:C,D41)</f>
        <v>567</v>
      </c>
      <c r="H41" s="25">
        <f t="shared" si="2"/>
        <v>28.35</v>
      </c>
      <c r="I41" s="28">
        <f t="shared" si="20"/>
        <v>538.65</v>
      </c>
      <c r="J41" s="24"/>
    </row>
    <row r="42" spans="2:10">
      <c r="B42" s="24" t="s">
        <v>92</v>
      </c>
      <c r="C42" s="55" t="str">
        <f t="shared" ref="C42:C47" si="21">VLOOKUP(B42,raw_a,2,0)</f>
        <v>11월분</v>
      </c>
      <c r="D42" s="24" t="s">
        <v>97</v>
      </c>
      <c r="E42" s="25">
        <f>SUMIFS(전체리스트!D:D,전체리스트!A:A,B42,전체리스트!C:C,D42)</f>
        <v>378</v>
      </c>
      <c r="F42" s="26">
        <f t="shared" ref="F42:F47" si="22">E42-G42</f>
        <v>0</v>
      </c>
      <c r="G42" s="27">
        <f>SUMIFS(전체리스트!E:E,전체리스트!A:A,B42,전체리스트!C:C,D42)</f>
        <v>378</v>
      </c>
      <c r="H42" s="25">
        <f t="shared" ref="H42:H47" si="23">G42*0.05</f>
        <v>18.900000000000002</v>
      </c>
      <c r="I42" s="28">
        <f t="shared" ref="I42:I47" si="24">G42-H42</f>
        <v>359.1</v>
      </c>
      <c r="J42" s="24"/>
    </row>
    <row r="43" spans="2:10">
      <c r="B43" s="24" t="s">
        <v>92</v>
      </c>
      <c r="C43" s="55" t="str">
        <f t="shared" si="21"/>
        <v>11월분</v>
      </c>
      <c r="D43" s="24" t="s">
        <v>30</v>
      </c>
      <c r="E43" s="25">
        <f>SUMIFS(전체리스트!D:D,전체리스트!A:A,B43,전체리스트!C:C,D43)</f>
        <v>69615</v>
      </c>
      <c r="F43" s="26">
        <f t="shared" si="22"/>
        <v>0</v>
      </c>
      <c r="G43" s="27">
        <f>SUMIFS(전체리스트!E:E,전체리스트!A:A,B43,전체리스트!C:C,D43)</f>
        <v>69615</v>
      </c>
      <c r="H43" s="25">
        <f t="shared" si="23"/>
        <v>3480.75</v>
      </c>
      <c r="I43" s="28">
        <f t="shared" si="24"/>
        <v>66134.25</v>
      </c>
      <c r="J43" s="24"/>
    </row>
    <row r="44" spans="2:10">
      <c r="B44" s="24" t="s">
        <v>92</v>
      </c>
      <c r="C44" s="55" t="str">
        <f t="shared" si="21"/>
        <v>11월분</v>
      </c>
      <c r="D44" s="24" t="s">
        <v>98</v>
      </c>
      <c r="E44" s="25">
        <f>SUMIFS(전체리스트!D:D,전체리스트!A:A,B44,전체리스트!C:C,D44)</f>
        <v>9024.75</v>
      </c>
      <c r="F44" s="26">
        <f t="shared" si="22"/>
        <v>0</v>
      </c>
      <c r="G44" s="27">
        <f>SUMIFS(전체리스트!E:E,전체리스트!A:A,B44,전체리스트!C:C,D44)</f>
        <v>9024.75</v>
      </c>
      <c r="H44" s="25">
        <f t="shared" si="23"/>
        <v>451.23750000000001</v>
      </c>
      <c r="I44" s="28">
        <f t="shared" si="24"/>
        <v>8573.5125000000007</v>
      </c>
      <c r="J44" s="24"/>
    </row>
    <row r="45" spans="2:10">
      <c r="B45" s="24" t="s">
        <v>92</v>
      </c>
      <c r="C45" s="55" t="str">
        <f t="shared" si="21"/>
        <v>11월분</v>
      </c>
      <c r="D45" s="24" t="s">
        <v>413</v>
      </c>
      <c r="E45" s="25">
        <f>SUMIFS(전체리스트!D:D,전체리스트!A:A,B45,전체리스트!C:C,D45)</f>
        <v>2856</v>
      </c>
      <c r="F45" s="26">
        <f t="shared" si="22"/>
        <v>0</v>
      </c>
      <c r="G45" s="27">
        <f>SUMIFS(전체리스트!E:E,전체리스트!A:A,B45,전체리스트!C:C,D45)</f>
        <v>2856</v>
      </c>
      <c r="H45" s="25">
        <f t="shared" si="23"/>
        <v>142.80000000000001</v>
      </c>
      <c r="I45" s="28">
        <f t="shared" si="24"/>
        <v>2713.2</v>
      </c>
      <c r="J45" s="24"/>
    </row>
    <row r="46" spans="2:10">
      <c r="B46" s="24" t="s">
        <v>92</v>
      </c>
      <c r="C46" s="55" t="str">
        <f t="shared" si="21"/>
        <v>11월분</v>
      </c>
      <c r="D46" s="24" t="s">
        <v>33</v>
      </c>
      <c r="E46" s="25">
        <f>SUMIFS(전체리스트!D:D,전체리스트!A:A,B46,전체리스트!C:C,D46)</f>
        <v>756</v>
      </c>
      <c r="F46" s="26">
        <f t="shared" si="22"/>
        <v>0</v>
      </c>
      <c r="G46" s="27">
        <f>SUMIFS(전체리스트!E:E,전체리스트!A:A,B46,전체리스트!C:C,D46)</f>
        <v>756</v>
      </c>
      <c r="H46" s="25">
        <f t="shared" si="23"/>
        <v>37.800000000000004</v>
      </c>
      <c r="I46" s="28">
        <f t="shared" si="24"/>
        <v>718.2</v>
      </c>
      <c r="J46" s="24"/>
    </row>
    <row r="47" spans="2:10">
      <c r="B47" s="24" t="s">
        <v>92</v>
      </c>
      <c r="C47" s="55" t="str">
        <f t="shared" si="21"/>
        <v>11월분</v>
      </c>
      <c r="D47" s="24" t="s">
        <v>360</v>
      </c>
      <c r="E47" s="25">
        <f>SUMIFS(전체리스트!D:D,전체리스트!A:A,B47,전체리스트!C:C,D47)</f>
        <v>98343</v>
      </c>
      <c r="F47" s="26">
        <f t="shared" si="22"/>
        <v>0</v>
      </c>
      <c r="G47" s="27">
        <f>SUMIFS(전체리스트!E:E,전체리스트!A:A,B47,전체리스트!C:C,D47)</f>
        <v>98343</v>
      </c>
      <c r="H47" s="25">
        <f t="shared" si="23"/>
        <v>4917.1500000000005</v>
      </c>
      <c r="I47" s="28">
        <f t="shared" si="24"/>
        <v>93425.85</v>
      </c>
      <c r="J47" s="24"/>
    </row>
    <row r="48" spans="2:10">
      <c r="B48" s="24" t="s">
        <v>92</v>
      </c>
      <c r="C48" s="55" t="str">
        <f t="shared" si="18"/>
        <v>11월분</v>
      </c>
      <c r="D48" s="24" t="s">
        <v>373</v>
      </c>
      <c r="E48" s="25">
        <f>SUMIFS(전체리스트!D:D,전체리스트!A:A,B48,전체리스트!C:C,D48)</f>
        <v>1721.25</v>
      </c>
      <c r="F48" s="26">
        <f t="shared" si="19"/>
        <v>0</v>
      </c>
      <c r="G48" s="27">
        <f>SUMIFS(전체리스트!E:E,전체리스트!A:A,B48,전체리스트!C:C,D48)</f>
        <v>1721.25</v>
      </c>
      <c r="H48" s="25">
        <f t="shared" si="2"/>
        <v>86.0625</v>
      </c>
      <c r="I48" s="28">
        <f t="shared" si="20"/>
        <v>1635.1875</v>
      </c>
      <c r="J48" s="24"/>
    </row>
    <row r="49" spans="2:10">
      <c r="B49" s="24" t="s">
        <v>92</v>
      </c>
      <c r="C49" s="55" t="str">
        <f t="shared" si="18"/>
        <v>11월분</v>
      </c>
      <c r="D49" s="24" t="s">
        <v>62</v>
      </c>
      <c r="E49" s="25">
        <f>SUMIFS(전체리스트!D:D,전체리스트!A:A,B49,전체리스트!C:C,D49)</f>
        <v>5549.25</v>
      </c>
      <c r="F49" s="26">
        <f t="shared" si="19"/>
        <v>0</v>
      </c>
      <c r="G49" s="27">
        <f>SUMIFS(전체리스트!E:E,전체리스트!A:A,B49,전체리스트!C:C,D49)</f>
        <v>5549.25</v>
      </c>
      <c r="H49" s="25">
        <f t="shared" si="2"/>
        <v>277.46250000000003</v>
      </c>
      <c r="I49" s="28">
        <f t="shared" si="20"/>
        <v>5271.7875000000004</v>
      </c>
      <c r="J49" s="24"/>
    </row>
    <row r="50" spans="2:10">
      <c r="B50" s="24" t="s">
        <v>92</v>
      </c>
      <c r="C50" s="55" t="str">
        <f t="shared" ref="C50:C91" si="25">VLOOKUP(B50,raw_a,2,0)</f>
        <v>11월분</v>
      </c>
      <c r="D50" s="24" t="s">
        <v>34</v>
      </c>
      <c r="E50" s="25">
        <f>SUMIFS(전체리스트!D:D,전체리스트!A:A,B50,전체리스트!C:C,D50)</f>
        <v>13497.75</v>
      </c>
      <c r="F50" s="26">
        <f t="shared" ref="F50:F91" si="26">E50-G50</f>
        <v>0</v>
      </c>
      <c r="G50" s="27">
        <f>SUMIFS(전체리스트!E:E,전체리스트!A:A,B50,전체리스트!C:C,D50)</f>
        <v>13497.75</v>
      </c>
      <c r="H50" s="25">
        <f t="shared" ref="H50:H91" si="27">G50*0.05</f>
        <v>674.88750000000005</v>
      </c>
      <c r="I50" s="28">
        <f t="shared" ref="I50:I91" si="28">G50-H50</f>
        <v>12822.862499999999</v>
      </c>
      <c r="J50" s="24"/>
    </row>
    <row r="51" spans="2:10">
      <c r="B51" s="24" t="s">
        <v>92</v>
      </c>
      <c r="C51" s="55" t="str">
        <f t="shared" si="25"/>
        <v>11월분</v>
      </c>
      <c r="D51" s="24" t="s">
        <v>57</v>
      </c>
      <c r="E51" s="25">
        <f>SUMIFS(전체리스트!D:D,전체리스트!A:A,B51,전체리스트!C:C,D51)</f>
        <v>178.5</v>
      </c>
      <c r="F51" s="26">
        <f t="shared" si="26"/>
        <v>0</v>
      </c>
      <c r="G51" s="27">
        <f>SUMIFS(전체리스트!E:E,전체리스트!A:A,B51,전체리스트!C:C,D51)</f>
        <v>178.5</v>
      </c>
      <c r="H51" s="25">
        <f t="shared" si="27"/>
        <v>8.9250000000000007</v>
      </c>
      <c r="I51" s="28">
        <f t="shared" si="28"/>
        <v>169.57499999999999</v>
      </c>
      <c r="J51" s="24"/>
    </row>
    <row r="52" spans="2:10">
      <c r="B52" s="24" t="s">
        <v>92</v>
      </c>
      <c r="C52" s="55" t="str">
        <f t="shared" si="25"/>
        <v>11월분</v>
      </c>
      <c r="D52" s="24" t="s">
        <v>61</v>
      </c>
      <c r="E52" s="25">
        <f>SUMIFS(전체리스트!D:D,전체리스트!A:A,B52,전체리스트!C:C,D52)</f>
        <v>189</v>
      </c>
      <c r="F52" s="26">
        <f t="shared" si="26"/>
        <v>0</v>
      </c>
      <c r="G52" s="27">
        <f>SUMIFS(전체리스트!E:E,전체리스트!A:A,B52,전체리스트!C:C,D52)</f>
        <v>189</v>
      </c>
      <c r="H52" s="25">
        <f t="shared" si="27"/>
        <v>9.4500000000000011</v>
      </c>
      <c r="I52" s="28">
        <f t="shared" si="28"/>
        <v>179.55</v>
      </c>
      <c r="J52" s="24"/>
    </row>
    <row r="53" spans="2:10">
      <c r="B53" s="24" t="s">
        <v>92</v>
      </c>
      <c r="C53" s="55" t="str">
        <f t="shared" si="25"/>
        <v>11월분</v>
      </c>
      <c r="D53" s="24" t="s">
        <v>36</v>
      </c>
      <c r="E53" s="25">
        <f>SUMIFS(전체리스트!D:D,전체리스트!A:A,B53,전체리스트!C:C,D53)</f>
        <v>4137</v>
      </c>
      <c r="F53" s="26">
        <f t="shared" si="26"/>
        <v>0</v>
      </c>
      <c r="G53" s="27">
        <f>SUMIFS(전체리스트!E:E,전체리스트!A:A,B53,전체리스트!C:C,D53)</f>
        <v>4137</v>
      </c>
      <c r="H53" s="25">
        <f t="shared" si="27"/>
        <v>206.85000000000002</v>
      </c>
      <c r="I53" s="28">
        <f t="shared" si="28"/>
        <v>3930.15</v>
      </c>
      <c r="J53" s="24"/>
    </row>
    <row r="54" spans="2:10">
      <c r="B54" s="24" t="s">
        <v>92</v>
      </c>
      <c r="C54" s="55" t="str">
        <f t="shared" ref="C54:C77" si="29">VLOOKUP(B54,raw_a,2,0)</f>
        <v>11월분</v>
      </c>
      <c r="D54" s="24" t="s">
        <v>112</v>
      </c>
      <c r="E54" s="25">
        <f>SUMIFS(전체리스트!D:D,전체리스트!A:A,B54,전체리스트!C:C,D54)</f>
        <v>14280</v>
      </c>
      <c r="F54" s="26">
        <f t="shared" ref="F54:F77" si="30">E54-G54</f>
        <v>0</v>
      </c>
      <c r="G54" s="27">
        <f>SUMIFS(전체리스트!E:E,전체리스트!A:A,B54,전체리스트!C:C,D54)</f>
        <v>14280</v>
      </c>
      <c r="H54" s="25">
        <f t="shared" ref="H54:H77" si="31">G54*0.05</f>
        <v>714</v>
      </c>
      <c r="I54" s="28">
        <f t="shared" ref="I54:I77" si="32">G54-H54</f>
        <v>13566</v>
      </c>
      <c r="J54" s="24"/>
    </row>
    <row r="55" spans="2:10">
      <c r="B55" s="24" t="s">
        <v>92</v>
      </c>
      <c r="C55" s="55" t="str">
        <f t="shared" si="29"/>
        <v>11월분</v>
      </c>
      <c r="D55" s="24" t="s">
        <v>70</v>
      </c>
      <c r="E55" s="25">
        <f>SUMIFS(전체리스트!D:D,전체리스트!A:A,B55,전체리스트!C:C,D55)</f>
        <v>5355</v>
      </c>
      <c r="F55" s="26">
        <f t="shared" si="30"/>
        <v>0</v>
      </c>
      <c r="G55" s="27">
        <f>SUMIFS(전체리스트!E:E,전체리스트!A:A,B55,전체리스트!C:C,D55)</f>
        <v>5355</v>
      </c>
      <c r="H55" s="25">
        <f t="shared" si="31"/>
        <v>267.75</v>
      </c>
      <c r="I55" s="28">
        <f t="shared" si="32"/>
        <v>5087.25</v>
      </c>
      <c r="J55" s="24"/>
    </row>
    <row r="56" spans="2:10">
      <c r="B56" s="24" t="s">
        <v>92</v>
      </c>
      <c r="C56" s="55" t="str">
        <f t="shared" si="29"/>
        <v>11월분</v>
      </c>
      <c r="D56" s="24" t="s">
        <v>38</v>
      </c>
      <c r="E56" s="25">
        <f>SUMIFS(전체리스트!D:D,전체리스트!A:A,B56,전체리스트!C:C,D56)</f>
        <v>33295.5</v>
      </c>
      <c r="F56" s="26">
        <f t="shared" si="30"/>
        <v>0</v>
      </c>
      <c r="G56" s="27">
        <f>SUMIFS(전체리스트!E:E,전체리스트!A:A,B56,전체리스트!C:C,D56)</f>
        <v>33295.5</v>
      </c>
      <c r="H56" s="25">
        <f t="shared" si="31"/>
        <v>1664.7750000000001</v>
      </c>
      <c r="I56" s="28">
        <f t="shared" si="32"/>
        <v>31630.724999999999</v>
      </c>
      <c r="J56" s="24"/>
    </row>
    <row r="57" spans="2:10">
      <c r="B57" s="24" t="s">
        <v>92</v>
      </c>
      <c r="C57" s="55" t="str">
        <f t="shared" si="29"/>
        <v>11월분</v>
      </c>
      <c r="D57" s="24" t="s">
        <v>40</v>
      </c>
      <c r="E57" s="25">
        <f>SUMIFS(전체리스트!D:D,전체리스트!A:A,B57,전체리스트!C:C,D57)</f>
        <v>3570</v>
      </c>
      <c r="F57" s="26">
        <f t="shared" si="30"/>
        <v>0</v>
      </c>
      <c r="G57" s="27">
        <f>SUMIFS(전체리스트!E:E,전체리스트!A:A,B57,전체리스트!C:C,D57)</f>
        <v>3570</v>
      </c>
      <c r="H57" s="25">
        <f t="shared" si="31"/>
        <v>178.5</v>
      </c>
      <c r="I57" s="28">
        <f t="shared" si="32"/>
        <v>3391.5</v>
      </c>
      <c r="J57" s="24"/>
    </row>
    <row r="58" spans="2:10">
      <c r="B58" s="24" t="s">
        <v>92</v>
      </c>
      <c r="C58" s="55" t="str">
        <f t="shared" si="29"/>
        <v>11월분</v>
      </c>
      <c r="D58" s="24" t="s">
        <v>59</v>
      </c>
      <c r="E58" s="25">
        <f>SUMIFS(전체리스트!D:D,전체리스트!A:A,B58,전체리스트!C:C,D58)</f>
        <v>31442.249999999996</v>
      </c>
      <c r="F58" s="26">
        <f t="shared" si="30"/>
        <v>0</v>
      </c>
      <c r="G58" s="27">
        <f>SUMIFS(전체리스트!E:E,전체리스트!A:A,B58,전체리스트!C:C,D58)</f>
        <v>31442.249999999996</v>
      </c>
      <c r="H58" s="25">
        <f t="shared" si="31"/>
        <v>1572.1125</v>
      </c>
      <c r="I58" s="28">
        <f t="shared" si="32"/>
        <v>29870.137499999997</v>
      </c>
      <c r="J58" s="24"/>
    </row>
    <row r="59" spans="2:10">
      <c r="B59" s="24" t="s">
        <v>92</v>
      </c>
      <c r="C59" s="55" t="str">
        <f t="shared" si="29"/>
        <v>11월분</v>
      </c>
      <c r="D59" s="24" t="s">
        <v>428</v>
      </c>
      <c r="E59" s="25">
        <f>SUMIFS(전체리스트!D:D,전체리스트!A:A,B59,전체리스트!C:C,D59)</f>
        <v>3352</v>
      </c>
      <c r="F59" s="26">
        <f t="shared" si="30"/>
        <v>0</v>
      </c>
      <c r="G59" s="27">
        <f>SUMIFS(전체리스트!E:E,전체리스트!A:A,B59,전체리스트!C:C,D59)</f>
        <v>3352</v>
      </c>
      <c r="H59" s="25">
        <f t="shared" si="31"/>
        <v>167.60000000000002</v>
      </c>
      <c r="I59" s="28">
        <f t="shared" si="32"/>
        <v>3184.4</v>
      </c>
      <c r="J59" s="24"/>
    </row>
    <row r="60" spans="2:10">
      <c r="B60" s="24" t="s">
        <v>92</v>
      </c>
      <c r="C60" s="55" t="str">
        <f t="shared" si="29"/>
        <v>11월분</v>
      </c>
      <c r="D60" s="24" t="s">
        <v>429</v>
      </c>
      <c r="E60" s="25">
        <f>SUMIFS(전체리스트!D:D,전체리스트!A:A,B60,전체리스트!C:C,D60)</f>
        <v>2470</v>
      </c>
      <c r="F60" s="26">
        <f t="shared" si="30"/>
        <v>0</v>
      </c>
      <c r="G60" s="27">
        <f>SUMIFS(전체리스트!E:E,전체리스트!A:A,B60,전체리스트!C:C,D60)</f>
        <v>2470</v>
      </c>
      <c r="H60" s="25">
        <f t="shared" si="31"/>
        <v>123.5</v>
      </c>
      <c r="I60" s="28">
        <f t="shared" si="32"/>
        <v>2346.5</v>
      </c>
      <c r="J60" s="24"/>
    </row>
    <row r="61" spans="2:10">
      <c r="B61" s="24" t="s">
        <v>92</v>
      </c>
      <c r="C61" s="55" t="str">
        <f t="shared" si="29"/>
        <v>11월분</v>
      </c>
      <c r="D61" s="24" t="s">
        <v>430</v>
      </c>
      <c r="E61" s="25">
        <f>SUMIFS(전체리스트!D:D,전체리스트!A:A,B61,전체리스트!C:C,D61)</f>
        <v>1411</v>
      </c>
      <c r="F61" s="26">
        <f t="shared" si="30"/>
        <v>0</v>
      </c>
      <c r="G61" s="27">
        <f>SUMIFS(전체리스트!E:E,전체리스트!A:A,B61,전체리스트!C:C,D61)</f>
        <v>1411</v>
      </c>
      <c r="H61" s="25">
        <f t="shared" si="31"/>
        <v>70.55</v>
      </c>
      <c r="I61" s="28">
        <f t="shared" si="32"/>
        <v>1340.45</v>
      </c>
      <c r="J61" s="24"/>
    </row>
    <row r="62" spans="2:10">
      <c r="B62" s="24" t="s">
        <v>92</v>
      </c>
      <c r="C62" s="55" t="str">
        <f t="shared" si="29"/>
        <v>11월분</v>
      </c>
      <c r="D62" s="24" t="s">
        <v>431</v>
      </c>
      <c r="E62" s="25">
        <f>SUMIFS(전체리스트!D:D,전체리스트!A:A,B62,전체리스트!C:C,D62)</f>
        <v>5468</v>
      </c>
      <c r="F62" s="26">
        <f t="shared" si="30"/>
        <v>0</v>
      </c>
      <c r="G62" s="27">
        <f>SUMIFS(전체리스트!E:E,전체리스트!A:A,B62,전체리스트!C:C,D62)</f>
        <v>5468</v>
      </c>
      <c r="H62" s="25">
        <f t="shared" si="31"/>
        <v>273.40000000000003</v>
      </c>
      <c r="I62" s="28">
        <f t="shared" si="32"/>
        <v>5194.6000000000004</v>
      </c>
      <c r="J62" s="24"/>
    </row>
    <row r="63" spans="2:10">
      <c r="B63" s="24" t="s">
        <v>92</v>
      </c>
      <c r="C63" s="55" t="str">
        <f t="shared" si="29"/>
        <v>11월분</v>
      </c>
      <c r="D63" s="24" t="s">
        <v>432</v>
      </c>
      <c r="E63" s="25">
        <f>SUMIFS(전체리스트!D:D,전체리스트!A:A,B63,전체리스트!C:C,D63)</f>
        <v>4322</v>
      </c>
      <c r="F63" s="26">
        <f t="shared" si="30"/>
        <v>0</v>
      </c>
      <c r="G63" s="27">
        <f>SUMIFS(전체리스트!E:E,전체리스트!A:A,B63,전체리스트!C:C,D63)</f>
        <v>4322</v>
      </c>
      <c r="H63" s="25">
        <f t="shared" si="31"/>
        <v>216.10000000000002</v>
      </c>
      <c r="I63" s="28">
        <f t="shared" si="32"/>
        <v>4105.8999999999996</v>
      </c>
      <c r="J63" s="24"/>
    </row>
    <row r="64" spans="2:10">
      <c r="B64" s="24" t="s">
        <v>92</v>
      </c>
      <c r="C64" s="55" t="str">
        <f t="shared" si="29"/>
        <v>11월분</v>
      </c>
      <c r="D64" s="24" t="s">
        <v>433</v>
      </c>
      <c r="E64" s="25">
        <f>SUMIFS(전체리스트!D:D,전체리스트!A:A,B64,전체리스트!C:C,D64)</f>
        <v>4586</v>
      </c>
      <c r="F64" s="26">
        <f t="shared" si="30"/>
        <v>0</v>
      </c>
      <c r="G64" s="27">
        <f>SUMIFS(전체리스트!E:E,전체리스트!A:A,B64,전체리스트!C:C,D64)</f>
        <v>4586</v>
      </c>
      <c r="H64" s="25">
        <f t="shared" si="31"/>
        <v>229.3</v>
      </c>
      <c r="I64" s="28">
        <f t="shared" si="32"/>
        <v>4356.7</v>
      </c>
      <c r="J64" s="24"/>
    </row>
    <row r="65" spans="2:10">
      <c r="B65" s="24" t="s">
        <v>92</v>
      </c>
      <c r="C65" s="55" t="str">
        <f t="shared" si="29"/>
        <v>11월분</v>
      </c>
      <c r="D65" s="24" t="s">
        <v>434</v>
      </c>
      <c r="E65" s="25">
        <f>SUMIFS(전체리스트!D:D,전체리스트!A:A,B65,전체리스트!C:C,D65)</f>
        <v>5645</v>
      </c>
      <c r="F65" s="26">
        <f t="shared" si="30"/>
        <v>0</v>
      </c>
      <c r="G65" s="27">
        <f>SUMIFS(전체리스트!E:E,전체리스트!A:A,B65,전체리스트!C:C,D65)</f>
        <v>5645</v>
      </c>
      <c r="H65" s="25">
        <f t="shared" si="31"/>
        <v>282.25</v>
      </c>
      <c r="I65" s="28">
        <f t="shared" si="32"/>
        <v>5362.75</v>
      </c>
      <c r="J65" s="24"/>
    </row>
    <row r="66" spans="2:10">
      <c r="B66" s="24" t="s">
        <v>92</v>
      </c>
      <c r="C66" s="55" t="str">
        <f t="shared" si="29"/>
        <v>11월분</v>
      </c>
      <c r="D66" s="24" t="s">
        <v>435</v>
      </c>
      <c r="E66" s="25">
        <f>SUMIFS(전체리스트!D:D,전체리스트!A:A,B66,전체리스트!C:C,D66)</f>
        <v>32810</v>
      </c>
      <c r="F66" s="26">
        <f t="shared" si="30"/>
        <v>0</v>
      </c>
      <c r="G66" s="27">
        <f>SUMIFS(전체리스트!E:E,전체리스트!A:A,B66,전체리스트!C:C,D66)</f>
        <v>32810</v>
      </c>
      <c r="H66" s="25">
        <f t="shared" si="31"/>
        <v>1640.5</v>
      </c>
      <c r="I66" s="28">
        <f t="shared" si="32"/>
        <v>31169.5</v>
      </c>
      <c r="J66" s="24"/>
    </row>
    <row r="67" spans="2:10">
      <c r="B67" s="24" t="s">
        <v>92</v>
      </c>
      <c r="C67" s="55" t="str">
        <f t="shared" si="29"/>
        <v>11월분</v>
      </c>
      <c r="D67" s="24" t="s">
        <v>436</v>
      </c>
      <c r="E67" s="25">
        <f>SUMIFS(전체리스트!D:D,전체리스트!A:A,B67,전체리스트!C:C,D67)</f>
        <v>39161</v>
      </c>
      <c r="F67" s="26">
        <f t="shared" si="30"/>
        <v>0</v>
      </c>
      <c r="G67" s="27">
        <f>SUMIFS(전체리스트!E:E,전체리스트!A:A,B67,전체리스트!C:C,D67)</f>
        <v>39161</v>
      </c>
      <c r="H67" s="25">
        <f t="shared" si="31"/>
        <v>1958.0500000000002</v>
      </c>
      <c r="I67" s="28">
        <f t="shared" si="32"/>
        <v>37202.949999999997</v>
      </c>
      <c r="J67" s="24"/>
    </row>
    <row r="68" spans="2:10">
      <c r="B68" s="24" t="s">
        <v>92</v>
      </c>
      <c r="C68" s="55" t="str">
        <f t="shared" si="29"/>
        <v>11월분</v>
      </c>
      <c r="D68" s="24" t="s">
        <v>437</v>
      </c>
      <c r="E68" s="25">
        <f>SUMIFS(전체리스트!D:D,전체리스트!A:A,B68,전체리스트!C:C,D68)</f>
        <v>2293</v>
      </c>
      <c r="F68" s="26">
        <f t="shared" si="30"/>
        <v>0</v>
      </c>
      <c r="G68" s="27">
        <f>SUMIFS(전체리스트!E:E,전체리스트!A:A,B68,전체리스트!C:C,D68)</f>
        <v>2293</v>
      </c>
      <c r="H68" s="25">
        <f t="shared" si="31"/>
        <v>114.65</v>
      </c>
      <c r="I68" s="28">
        <f t="shared" si="32"/>
        <v>2178.35</v>
      </c>
      <c r="J68" s="24"/>
    </row>
    <row r="69" spans="2:10">
      <c r="B69" s="24" t="s">
        <v>92</v>
      </c>
      <c r="C69" s="55" t="str">
        <f t="shared" si="29"/>
        <v>11월분</v>
      </c>
      <c r="D69" s="24" t="s">
        <v>438</v>
      </c>
      <c r="E69" s="25">
        <f>SUMIFS(전체리스트!D:D,전체리스트!A:A,B69,전체리스트!C:C,D69)</f>
        <v>1940</v>
      </c>
      <c r="F69" s="26">
        <f t="shared" si="30"/>
        <v>0</v>
      </c>
      <c r="G69" s="27">
        <f>SUMIFS(전체리스트!E:E,전체리스트!A:A,B69,전체리스트!C:C,D69)</f>
        <v>1940</v>
      </c>
      <c r="H69" s="25">
        <f t="shared" si="31"/>
        <v>97</v>
      </c>
      <c r="I69" s="28">
        <f t="shared" si="32"/>
        <v>1843</v>
      </c>
      <c r="J69" s="24"/>
    </row>
    <row r="70" spans="2:10">
      <c r="B70" s="24" t="s">
        <v>92</v>
      </c>
      <c r="C70" s="55" t="str">
        <f t="shared" si="29"/>
        <v>11월분</v>
      </c>
      <c r="D70" s="24" t="s">
        <v>439</v>
      </c>
      <c r="E70" s="25">
        <f>SUMIFS(전체리스트!D:D,전체리스트!A:A,B70,전체리스트!C:C,D70)</f>
        <v>3704</v>
      </c>
      <c r="F70" s="26">
        <f t="shared" si="30"/>
        <v>0</v>
      </c>
      <c r="G70" s="27">
        <f>SUMIFS(전체리스트!E:E,전체리스트!A:A,B70,전체리스트!C:C,D70)</f>
        <v>3704</v>
      </c>
      <c r="H70" s="25">
        <f t="shared" si="31"/>
        <v>185.20000000000002</v>
      </c>
      <c r="I70" s="28">
        <f t="shared" si="32"/>
        <v>3518.8</v>
      </c>
      <c r="J70" s="24"/>
    </row>
    <row r="71" spans="2:10">
      <c r="B71" s="24" t="s">
        <v>92</v>
      </c>
      <c r="C71" s="55" t="str">
        <f t="shared" si="29"/>
        <v>11월분</v>
      </c>
      <c r="D71" s="24" t="s">
        <v>440</v>
      </c>
      <c r="E71" s="25">
        <f>SUMIFS(전체리스트!D:D,전체리스트!A:A,B71,전체리스트!C:C,D71)</f>
        <v>706</v>
      </c>
      <c r="F71" s="26">
        <f t="shared" si="30"/>
        <v>0</v>
      </c>
      <c r="G71" s="27">
        <f>SUMIFS(전체리스트!E:E,전체리스트!A:A,B71,전체리스트!C:C,D71)</f>
        <v>706</v>
      </c>
      <c r="H71" s="25">
        <f t="shared" si="31"/>
        <v>35.300000000000004</v>
      </c>
      <c r="I71" s="28">
        <f t="shared" si="32"/>
        <v>670.7</v>
      </c>
      <c r="J71" s="24"/>
    </row>
    <row r="72" spans="2:10">
      <c r="B72" s="24" t="s">
        <v>92</v>
      </c>
      <c r="C72" s="55" t="str">
        <f t="shared" si="29"/>
        <v>11월분</v>
      </c>
      <c r="D72" s="24" t="s">
        <v>441</v>
      </c>
      <c r="E72" s="25">
        <f>SUMIFS(전체리스트!D:D,전체리스트!A:A,B72,전체리스트!C:C,D72)</f>
        <v>1764</v>
      </c>
      <c r="F72" s="26">
        <f t="shared" si="30"/>
        <v>0</v>
      </c>
      <c r="G72" s="27">
        <f>SUMIFS(전체리스트!E:E,전체리스트!A:A,B72,전체리스트!C:C,D72)</f>
        <v>1764</v>
      </c>
      <c r="H72" s="25">
        <f t="shared" si="31"/>
        <v>88.2</v>
      </c>
      <c r="I72" s="28">
        <f t="shared" si="32"/>
        <v>1675.8</v>
      </c>
      <c r="J72" s="24"/>
    </row>
    <row r="73" spans="2:10">
      <c r="B73" s="24" t="s">
        <v>92</v>
      </c>
      <c r="C73" s="55" t="str">
        <f t="shared" si="29"/>
        <v>11월분</v>
      </c>
      <c r="D73" s="24" t="s">
        <v>442</v>
      </c>
      <c r="E73" s="25">
        <f>SUMIFS(전체리스트!D:D,전체리스트!A:A,B73,전체리스트!C:C,D73)</f>
        <v>1852</v>
      </c>
      <c r="F73" s="26">
        <f t="shared" si="30"/>
        <v>0</v>
      </c>
      <c r="G73" s="27">
        <f>SUMIFS(전체리스트!E:E,전체리스트!A:A,B73,전체리스트!C:C,D73)</f>
        <v>1852</v>
      </c>
      <c r="H73" s="25">
        <f t="shared" si="31"/>
        <v>92.600000000000009</v>
      </c>
      <c r="I73" s="28">
        <f t="shared" si="32"/>
        <v>1759.4</v>
      </c>
      <c r="J73" s="24"/>
    </row>
    <row r="74" spans="2:10">
      <c r="B74" s="24" t="s">
        <v>92</v>
      </c>
      <c r="C74" s="55" t="str">
        <f t="shared" si="29"/>
        <v>11월분</v>
      </c>
      <c r="D74" s="24" t="s">
        <v>443</v>
      </c>
      <c r="E74" s="25">
        <f>SUMIFS(전체리스트!D:D,전체리스트!A:A,B74,전체리스트!C:C,D74)</f>
        <v>46393</v>
      </c>
      <c r="F74" s="26">
        <f t="shared" si="30"/>
        <v>0</v>
      </c>
      <c r="G74" s="27">
        <f>SUMIFS(전체리스트!E:E,전체리스트!A:A,B74,전체리스트!C:C,D74)</f>
        <v>46393</v>
      </c>
      <c r="H74" s="25">
        <f t="shared" si="31"/>
        <v>2319.65</v>
      </c>
      <c r="I74" s="28">
        <f t="shared" si="32"/>
        <v>44073.35</v>
      </c>
      <c r="J74" s="24"/>
    </row>
    <row r="75" spans="2:10">
      <c r="B75" s="24" t="s">
        <v>92</v>
      </c>
      <c r="C75" s="55" t="str">
        <f t="shared" si="29"/>
        <v>11월분</v>
      </c>
      <c r="D75" s="24" t="s">
        <v>444</v>
      </c>
      <c r="E75" s="25">
        <f>SUMIFS(전체리스트!D:D,전체리스트!A:A,B75,전체리스트!C:C,D75)</f>
        <v>529</v>
      </c>
      <c r="F75" s="26">
        <f t="shared" si="30"/>
        <v>0</v>
      </c>
      <c r="G75" s="27">
        <f>SUMIFS(전체리스트!E:E,전체리스트!A:A,B75,전체리스트!C:C,D75)</f>
        <v>529</v>
      </c>
      <c r="H75" s="25">
        <f t="shared" si="31"/>
        <v>26.450000000000003</v>
      </c>
      <c r="I75" s="28">
        <f t="shared" si="32"/>
        <v>502.55</v>
      </c>
      <c r="J75" s="24"/>
    </row>
    <row r="76" spans="2:10">
      <c r="B76" s="24" t="s">
        <v>92</v>
      </c>
      <c r="C76" s="55" t="str">
        <f t="shared" si="29"/>
        <v>11월분</v>
      </c>
      <c r="D76" s="24" t="s">
        <v>445</v>
      </c>
      <c r="E76" s="25">
        <f>SUMIFS(전체리스트!D:D,전체리스트!A:A,B76,전체리스트!C:C,D76)</f>
        <v>265</v>
      </c>
      <c r="F76" s="26">
        <f t="shared" si="30"/>
        <v>0</v>
      </c>
      <c r="G76" s="27">
        <f>SUMIFS(전체리스트!E:E,전체리스트!A:A,B76,전체리스트!C:C,D76)</f>
        <v>265</v>
      </c>
      <c r="H76" s="25">
        <f t="shared" si="31"/>
        <v>13.25</v>
      </c>
      <c r="I76" s="28">
        <f t="shared" si="32"/>
        <v>251.75</v>
      </c>
      <c r="J76" s="24"/>
    </row>
    <row r="77" spans="2:10">
      <c r="B77" s="24" t="s">
        <v>92</v>
      </c>
      <c r="C77" s="55" t="str">
        <f t="shared" si="29"/>
        <v>11월분</v>
      </c>
      <c r="D77" s="24" t="s">
        <v>446</v>
      </c>
      <c r="E77" s="25">
        <f>SUMIFS(전체리스트!D:D,전체리스트!A:A,B77,전체리스트!C:C,D77)</f>
        <v>2205</v>
      </c>
      <c r="F77" s="26">
        <f t="shared" si="30"/>
        <v>0</v>
      </c>
      <c r="G77" s="27">
        <f>SUMIFS(전체리스트!E:E,전체리스트!A:A,B77,전체리스트!C:C,D77)</f>
        <v>2205</v>
      </c>
      <c r="H77" s="25">
        <f t="shared" si="31"/>
        <v>110.25</v>
      </c>
      <c r="I77" s="28">
        <f t="shared" si="32"/>
        <v>2094.75</v>
      </c>
      <c r="J77" s="24"/>
    </row>
    <row r="78" spans="2:10">
      <c r="B78" s="24" t="s">
        <v>92</v>
      </c>
      <c r="C78" s="55" t="str">
        <f t="shared" si="25"/>
        <v>11월분</v>
      </c>
      <c r="D78" s="24" t="s">
        <v>447</v>
      </c>
      <c r="E78" s="25">
        <f>SUMIFS(전체리스트!D:D,전체리스트!A:A,B78,전체리스트!C:C,D78)</f>
        <v>56</v>
      </c>
      <c r="F78" s="26">
        <f t="shared" si="26"/>
        <v>0</v>
      </c>
      <c r="G78" s="27">
        <f>SUMIFS(전체리스트!E:E,전체리스트!A:A,B78,전체리스트!C:C,D78)</f>
        <v>56</v>
      </c>
      <c r="H78" s="25">
        <f t="shared" si="27"/>
        <v>2.8000000000000003</v>
      </c>
      <c r="I78" s="28">
        <f t="shared" si="28"/>
        <v>53.2</v>
      </c>
      <c r="J78" s="24"/>
    </row>
    <row r="79" spans="2:10">
      <c r="B79" s="24" t="s">
        <v>92</v>
      </c>
      <c r="C79" s="55" t="str">
        <f t="shared" si="25"/>
        <v>11월분</v>
      </c>
      <c r="D79" s="24" t="s">
        <v>448</v>
      </c>
      <c r="E79" s="25">
        <f>SUMIFS(전체리스트!D:D,전체리스트!A:A,B79,전체리스트!C:C,D79)</f>
        <v>529</v>
      </c>
      <c r="F79" s="26">
        <f t="shared" si="26"/>
        <v>0</v>
      </c>
      <c r="G79" s="27">
        <f>SUMIFS(전체리스트!E:E,전체리스트!A:A,B79,전체리스트!C:C,D79)</f>
        <v>529</v>
      </c>
      <c r="H79" s="25">
        <f t="shared" si="27"/>
        <v>26.450000000000003</v>
      </c>
      <c r="I79" s="28">
        <f t="shared" si="28"/>
        <v>502.55</v>
      </c>
      <c r="J79" s="24"/>
    </row>
    <row r="80" spans="2:10">
      <c r="B80" s="24" t="s">
        <v>92</v>
      </c>
      <c r="C80" s="55" t="str">
        <f t="shared" ref="C80:C81" si="33">VLOOKUP(B80,raw_a,2,0)</f>
        <v>11월분</v>
      </c>
      <c r="D80" s="24" t="s">
        <v>449</v>
      </c>
      <c r="E80" s="25">
        <f>SUMIFS(전체리스트!D:D,전체리스트!A:A,B80,전체리스트!C:C,D80)</f>
        <v>28400</v>
      </c>
      <c r="F80" s="26">
        <f t="shared" ref="F80:F81" si="34">E80-G80</f>
        <v>0</v>
      </c>
      <c r="G80" s="27">
        <f>SUMIFS(전체리스트!E:E,전체리스트!A:A,B80,전체리스트!C:C,D80)</f>
        <v>28400</v>
      </c>
      <c r="H80" s="25">
        <f t="shared" ref="H80:H81" si="35">G80*0.05</f>
        <v>1420</v>
      </c>
      <c r="I80" s="28">
        <f t="shared" ref="I80:I81" si="36">G80-H80</f>
        <v>26980</v>
      </c>
      <c r="J80" s="24"/>
    </row>
    <row r="81" spans="2:10">
      <c r="B81" s="24" t="s">
        <v>92</v>
      </c>
      <c r="C81" s="55" t="str">
        <f t="shared" si="33"/>
        <v>11월분</v>
      </c>
      <c r="D81" s="24" t="s">
        <v>450</v>
      </c>
      <c r="E81" s="25">
        <f>SUMIFS(전체리스트!D:D,전체리스트!A:A,B81,전체리스트!C:C,D81)</f>
        <v>640</v>
      </c>
      <c r="F81" s="26">
        <f t="shared" si="34"/>
        <v>0</v>
      </c>
      <c r="G81" s="27">
        <f>SUMIFS(전체리스트!E:E,전체리스트!A:A,B81,전체리스트!C:C,D81)</f>
        <v>640</v>
      </c>
      <c r="H81" s="25">
        <f t="shared" si="35"/>
        <v>32</v>
      </c>
      <c r="I81" s="28">
        <f t="shared" si="36"/>
        <v>608</v>
      </c>
      <c r="J81" s="24"/>
    </row>
    <row r="82" spans="2:10">
      <c r="B82" s="24" t="s">
        <v>92</v>
      </c>
      <c r="C82" s="55" t="str">
        <f t="shared" ref="C82:C90" si="37">VLOOKUP(B82,raw_a,2,0)</f>
        <v>11월분</v>
      </c>
      <c r="D82" s="24" t="s">
        <v>451</v>
      </c>
      <c r="E82" s="25">
        <f>SUMIFS(전체리스트!D:D,전체리스트!A:A,B82,전체리스트!C:C,D82)</f>
        <v>21609</v>
      </c>
      <c r="F82" s="26">
        <f t="shared" ref="F82:F90" si="38">E82-G82</f>
        <v>0</v>
      </c>
      <c r="G82" s="27">
        <f>SUMIFS(전체리스트!E:E,전체리스트!A:A,B82,전체리스트!C:C,D82)</f>
        <v>21609</v>
      </c>
      <c r="H82" s="25">
        <f t="shared" ref="H82:H90" si="39">G82*0.05</f>
        <v>1080.45</v>
      </c>
      <c r="I82" s="28">
        <f t="shared" ref="I82:I90" si="40">G82-H82</f>
        <v>20528.55</v>
      </c>
      <c r="J82" s="24"/>
    </row>
    <row r="83" spans="2:10">
      <c r="B83" s="24" t="s">
        <v>92</v>
      </c>
      <c r="C83" s="55" t="str">
        <f t="shared" si="37"/>
        <v>11월분</v>
      </c>
      <c r="D83" s="24" t="s">
        <v>452</v>
      </c>
      <c r="E83" s="25">
        <f>SUMIFS(전체리스트!D:D,전체리스트!A:A,B83,전체리스트!C:C,D83)</f>
        <v>6527</v>
      </c>
      <c r="F83" s="26">
        <f t="shared" si="38"/>
        <v>0</v>
      </c>
      <c r="G83" s="27">
        <f>SUMIFS(전체리스트!E:E,전체리스트!A:A,B83,전체리스트!C:C,D83)</f>
        <v>6527</v>
      </c>
      <c r="H83" s="25">
        <f t="shared" si="39"/>
        <v>326.35000000000002</v>
      </c>
      <c r="I83" s="28">
        <f t="shared" si="40"/>
        <v>6200.65</v>
      </c>
      <c r="J83" s="24"/>
    </row>
    <row r="84" spans="2:10">
      <c r="B84" s="24" t="s">
        <v>92</v>
      </c>
      <c r="C84" s="55" t="str">
        <f t="shared" si="37"/>
        <v>11월분</v>
      </c>
      <c r="D84" s="24" t="s">
        <v>453</v>
      </c>
      <c r="E84" s="25">
        <f>SUMIFS(전체리스트!D:D,전체리스트!A:A,B84,전체리스트!C:C,D84)</f>
        <v>1058</v>
      </c>
      <c r="F84" s="26">
        <f t="shared" si="38"/>
        <v>0</v>
      </c>
      <c r="G84" s="27">
        <f>SUMIFS(전체리스트!E:E,전체리스트!A:A,B84,전체리스트!C:C,D84)</f>
        <v>1058</v>
      </c>
      <c r="H84" s="25">
        <f t="shared" si="39"/>
        <v>52.900000000000006</v>
      </c>
      <c r="I84" s="28">
        <f t="shared" si="40"/>
        <v>1005.1</v>
      </c>
      <c r="J84" s="24"/>
    </row>
    <row r="85" spans="2:10">
      <c r="B85" s="24" t="s">
        <v>92</v>
      </c>
      <c r="C85" s="55" t="str">
        <f t="shared" si="37"/>
        <v>11월분</v>
      </c>
      <c r="D85" s="24" t="s">
        <v>454</v>
      </c>
      <c r="E85" s="25">
        <f>SUMIFS(전체리스트!D:D,전체리스트!A:A,B85,전체리스트!C:C,D85)</f>
        <v>26636</v>
      </c>
      <c r="F85" s="26">
        <f t="shared" si="38"/>
        <v>0</v>
      </c>
      <c r="G85" s="27">
        <f>SUMIFS(전체리스트!E:E,전체리스트!A:A,B85,전체리스트!C:C,D85)</f>
        <v>26636</v>
      </c>
      <c r="H85" s="25">
        <f t="shared" si="39"/>
        <v>1331.8000000000002</v>
      </c>
      <c r="I85" s="28">
        <f t="shared" si="40"/>
        <v>25304.2</v>
      </c>
      <c r="J85" s="24"/>
    </row>
    <row r="86" spans="2:10">
      <c r="B86" s="24" t="s">
        <v>92</v>
      </c>
      <c r="C86" s="55" t="str">
        <f t="shared" ref="C86:C87" si="41">VLOOKUP(B86,raw_a,2,0)</f>
        <v>11월분</v>
      </c>
      <c r="D86" s="24" t="s">
        <v>455</v>
      </c>
      <c r="E86" s="25">
        <f>SUMIFS(전체리스트!D:D,전체리스트!A:A,B86,전체리스트!C:C,D86)</f>
        <v>794</v>
      </c>
      <c r="F86" s="26">
        <f t="shared" ref="F86:F87" si="42">E86-G86</f>
        <v>0</v>
      </c>
      <c r="G86" s="27">
        <f>SUMIFS(전체리스트!E:E,전체리스트!A:A,B86,전체리스트!C:C,D86)</f>
        <v>794</v>
      </c>
      <c r="H86" s="25">
        <f t="shared" ref="H86:H87" si="43">G86*0.05</f>
        <v>39.700000000000003</v>
      </c>
      <c r="I86" s="28">
        <f t="shared" ref="I86:I87" si="44">G86-H86</f>
        <v>754.3</v>
      </c>
      <c r="J86" s="24"/>
    </row>
    <row r="87" spans="2:10">
      <c r="B87" s="24" t="s">
        <v>92</v>
      </c>
      <c r="C87" s="55" t="str">
        <f t="shared" si="41"/>
        <v>11월분</v>
      </c>
      <c r="D87" s="24" t="s">
        <v>456</v>
      </c>
      <c r="E87" s="25">
        <f>SUMIFS(전체리스트!D:D,전체리스트!A:A,B87,전체리스트!C:C,D87)</f>
        <v>6350</v>
      </c>
      <c r="F87" s="26">
        <f t="shared" si="42"/>
        <v>0</v>
      </c>
      <c r="G87" s="27">
        <f>SUMIFS(전체리스트!E:E,전체리스트!A:A,B87,전체리스트!C:C,D87)</f>
        <v>6350</v>
      </c>
      <c r="H87" s="25">
        <f t="shared" si="43"/>
        <v>317.5</v>
      </c>
      <c r="I87" s="28">
        <f t="shared" si="44"/>
        <v>6032.5</v>
      </c>
      <c r="J87" s="24"/>
    </row>
    <row r="88" spans="2:10">
      <c r="B88" s="24" t="s">
        <v>92</v>
      </c>
      <c r="C88" s="55" t="str">
        <f t="shared" si="37"/>
        <v>11월분</v>
      </c>
      <c r="D88" s="24" t="s">
        <v>457</v>
      </c>
      <c r="E88" s="25">
        <f>SUMIFS(전체리스트!D:D,전체리스트!A:A,B88,전체리스트!C:C,D88)</f>
        <v>353</v>
      </c>
      <c r="F88" s="26">
        <f t="shared" si="38"/>
        <v>0</v>
      </c>
      <c r="G88" s="27">
        <f>SUMIFS(전체리스트!E:E,전체리스트!A:A,B88,전체리스트!C:C,D88)</f>
        <v>353</v>
      </c>
      <c r="H88" s="25">
        <f t="shared" si="39"/>
        <v>17.650000000000002</v>
      </c>
      <c r="I88" s="28">
        <f t="shared" si="40"/>
        <v>335.35</v>
      </c>
      <c r="J88" s="24"/>
    </row>
    <row r="89" spans="2:10">
      <c r="B89" s="24" t="s">
        <v>92</v>
      </c>
      <c r="C89" s="55" t="str">
        <f t="shared" si="37"/>
        <v>11월분</v>
      </c>
      <c r="D89" s="24" t="s">
        <v>458</v>
      </c>
      <c r="E89" s="25">
        <f>SUMIFS(전체리스트!D:D,전체리스트!A:A,B89,전체리스트!C:C,D89)</f>
        <v>1058</v>
      </c>
      <c r="F89" s="26">
        <f t="shared" si="38"/>
        <v>0</v>
      </c>
      <c r="G89" s="27">
        <f>SUMIFS(전체리스트!E:E,전체리스트!A:A,B89,전체리스트!C:C,D89)</f>
        <v>1058</v>
      </c>
      <c r="H89" s="25">
        <f t="shared" si="39"/>
        <v>52.900000000000006</v>
      </c>
      <c r="I89" s="28">
        <f t="shared" si="40"/>
        <v>1005.1</v>
      </c>
      <c r="J89" s="24"/>
    </row>
    <row r="90" spans="2:10">
      <c r="B90" s="24" t="s">
        <v>92</v>
      </c>
      <c r="C90" s="55" t="str">
        <f t="shared" si="37"/>
        <v>11월분</v>
      </c>
      <c r="D90" s="24" t="s">
        <v>459</v>
      </c>
      <c r="E90" s="25">
        <f>SUMIFS(전체리스트!D:D,전체리스트!A:A,B90,전체리스트!C:C,D90)</f>
        <v>176</v>
      </c>
      <c r="F90" s="26">
        <f t="shared" si="38"/>
        <v>0</v>
      </c>
      <c r="G90" s="27">
        <f>SUMIFS(전체리스트!E:E,전체리스트!A:A,B90,전체리스트!C:C,D90)</f>
        <v>176</v>
      </c>
      <c r="H90" s="25">
        <f t="shared" si="39"/>
        <v>8.8000000000000007</v>
      </c>
      <c r="I90" s="28">
        <f t="shared" si="40"/>
        <v>167.2</v>
      </c>
      <c r="J90" s="24"/>
    </row>
    <row r="91" spans="2:10">
      <c r="B91" s="24" t="s">
        <v>92</v>
      </c>
      <c r="C91" s="55" t="str">
        <f t="shared" si="25"/>
        <v>11월분</v>
      </c>
      <c r="D91" s="24" t="s">
        <v>460</v>
      </c>
      <c r="E91" s="25">
        <f>SUMIFS(전체리스트!D:D,전체리스트!A:A,B91,전체리스트!C:C,D91)</f>
        <v>1058</v>
      </c>
      <c r="F91" s="26">
        <f t="shared" si="26"/>
        <v>0</v>
      </c>
      <c r="G91" s="27">
        <f>SUMIFS(전체리스트!E:E,전체리스트!A:A,B91,전체리스트!C:C,D91)</f>
        <v>1058</v>
      </c>
      <c r="H91" s="25">
        <f t="shared" si="27"/>
        <v>52.900000000000006</v>
      </c>
      <c r="I91" s="28">
        <f t="shared" si="28"/>
        <v>1005.1</v>
      </c>
      <c r="J91" s="24"/>
    </row>
    <row r="92" spans="2:10">
      <c r="B92" s="29" t="s">
        <v>322</v>
      </c>
      <c r="C92" s="29"/>
      <c r="D92" s="30"/>
      <c r="E92" s="31">
        <f t="shared" ref="E92:J92" si="45">SUM(E6:E91)</f>
        <v>4468128.625</v>
      </c>
      <c r="F92" s="31">
        <f t="shared" si="45"/>
        <v>0</v>
      </c>
      <c r="G92" s="31">
        <f>SUM(G6:G91)</f>
        <v>4468128.625</v>
      </c>
      <c r="H92" s="31">
        <f t="shared" si="45"/>
        <v>223406.43124999994</v>
      </c>
      <c r="I92" s="31">
        <f t="shared" si="45"/>
        <v>4244722.1937499996</v>
      </c>
      <c r="J92" s="31">
        <f t="shared" si="45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J43"/>
  <sheetViews>
    <sheetView workbookViewId="0">
      <selection activeCell="F36" sqref="F36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3.0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105</v>
      </c>
      <c r="C6" s="56" t="str">
        <f>VLOOKUP(B6,raw_a,2,0)</f>
        <v>11월분</v>
      </c>
      <c r="D6" s="137" t="s">
        <v>114</v>
      </c>
      <c r="E6" s="25">
        <f>SUMIFS(전체리스트!D:D,전체리스트!A:A,B6,전체리스트!C:C,D6)</f>
        <v>258318</v>
      </c>
      <c r="F6" s="26">
        <f>E6-G6</f>
        <v>0</v>
      </c>
      <c r="G6" s="27">
        <f>SUMIFS(전체리스트!E:E,전체리스트!A:A,B6,전체리스트!C:C,D6)</f>
        <v>258318</v>
      </c>
      <c r="H6" s="25">
        <f>G6*0.05</f>
        <v>12915.900000000001</v>
      </c>
      <c r="I6" s="28">
        <f>G6-H6</f>
        <v>245402.1</v>
      </c>
      <c r="J6" s="24"/>
    </row>
    <row r="7" spans="2:10">
      <c r="B7" s="24" t="s">
        <v>552</v>
      </c>
      <c r="C7" s="56" t="str">
        <f t="shared" ref="C7:C15" si="0">VLOOKUP(B7,raw_a,2,0)</f>
        <v>12월분</v>
      </c>
      <c r="D7" s="43" t="s">
        <v>106</v>
      </c>
      <c r="E7" s="25">
        <f>SUMIFS(전체리스트!D:D,전체리스트!A:A,B7,전체리스트!C:C,D7)</f>
        <v>105100</v>
      </c>
      <c r="F7" s="26">
        <f t="shared" ref="F7:F15" si="1">E7-G7</f>
        <v>51223</v>
      </c>
      <c r="G7" s="27">
        <f>SUMIFS(전체리스트!E:E,전체리스트!A:A,B7,전체리스트!C:C,D7)</f>
        <v>53877</v>
      </c>
      <c r="H7" s="25">
        <f t="shared" ref="H7:H27" si="2">G7*0.05</f>
        <v>2693.8500000000004</v>
      </c>
      <c r="I7" s="28">
        <f t="shared" ref="I7:I15" si="3">G7-H7</f>
        <v>51183.15</v>
      </c>
      <c r="J7" s="24"/>
    </row>
    <row r="8" spans="2:10">
      <c r="B8" s="24" t="s">
        <v>552</v>
      </c>
      <c r="C8" s="56" t="str">
        <f t="shared" si="0"/>
        <v>12월분</v>
      </c>
      <c r="D8" s="43" t="s">
        <v>382</v>
      </c>
      <c r="E8" s="25">
        <f>SUMIFS(전체리스트!D:D,전체리스트!A:A,B8,전체리스트!C:C,D8)</f>
        <v>41800</v>
      </c>
      <c r="F8" s="26">
        <f t="shared" si="1"/>
        <v>17370</v>
      </c>
      <c r="G8" s="27">
        <f>SUMIFS(전체리스트!E:E,전체리스트!A:A,B8,전체리스트!C:C,D8)</f>
        <v>24430</v>
      </c>
      <c r="H8" s="25">
        <f t="shared" si="2"/>
        <v>1221.5</v>
      </c>
      <c r="I8" s="28">
        <f t="shared" si="3"/>
        <v>23208.5</v>
      </c>
      <c r="J8" s="24"/>
    </row>
    <row r="9" spans="2:10">
      <c r="B9" s="24" t="s">
        <v>552</v>
      </c>
      <c r="C9" s="56" t="str">
        <f t="shared" si="0"/>
        <v>12월분</v>
      </c>
      <c r="D9" s="43" t="s">
        <v>389</v>
      </c>
      <c r="E9" s="25">
        <f>SUMIFS(전체리스트!D:D,전체리스트!A:A,B9,전체리스트!C:C,D9)</f>
        <v>600</v>
      </c>
      <c r="F9" s="26">
        <f t="shared" si="1"/>
        <v>306</v>
      </c>
      <c r="G9" s="27">
        <f>SUMIFS(전체리스트!E:E,전체리스트!A:A,B9,전체리스트!C:C,D9)</f>
        <v>294</v>
      </c>
      <c r="H9" s="25">
        <f t="shared" si="2"/>
        <v>14.700000000000001</v>
      </c>
      <c r="I9" s="28">
        <f t="shared" si="3"/>
        <v>279.3</v>
      </c>
      <c r="J9" s="24"/>
    </row>
    <row r="10" spans="2:10">
      <c r="B10" s="24" t="s">
        <v>552</v>
      </c>
      <c r="C10" s="56" t="str">
        <f t="shared" si="0"/>
        <v>12월분</v>
      </c>
      <c r="D10" s="43" t="s">
        <v>8</v>
      </c>
      <c r="E10" s="25">
        <f>SUMIFS(전체리스트!D:D,전체리스트!A:A,B10,전체리스트!C:C,D10)</f>
        <v>102400</v>
      </c>
      <c r="F10" s="26">
        <f t="shared" si="1"/>
        <v>46344</v>
      </c>
      <c r="G10" s="27">
        <f>SUMIFS(전체리스트!E:E,전체리스트!A:A,B10,전체리스트!C:C,D10)</f>
        <v>56056</v>
      </c>
      <c r="H10" s="25">
        <f t="shared" si="2"/>
        <v>2802.8</v>
      </c>
      <c r="I10" s="28">
        <f t="shared" si="3"/>
        <v>53253.2</v>
      </c>
      <c r="J10" s="24"/>
    </row>
    <row r="11" spans="2:10">
      <c r="B11" s="24" t="s">
        <v>552</v>
      </c>
      <c r="C11" s="56" t="str">
        <f t="shared" si="0"/>
        <v>12월분</v>
      </c>
      <c r="D11" s="43" t="s">
        <v>9</v>
      </c>
      <c r="E11" s="25">
        <f>SUMIFS(전체리스트!D:D,전체리스트!A:A,B11,전체리스트!C:C,D11)</f>
        <v>65100</v>
      </c>
      <c r="F11" s="26">
        <f t="shared" si="1"/>
        <v>37515</v>
      </c>
      <c r="G11" s="27">
        <f>SUMIFS(전체리스트!E:E,전체리스트!A:A,B11,전체리스트!C:C,D11)</f>
        <v>27585</v>
      </c>
      <c r="H11" s="25">
        <f t="shared" si="2"/>
        <v>1379.25</v>
      </c>
      <c r="I11" s="28">
        <f t="shared" si="3"/>
        <v>26205.75</v>
      </c>
      <c r="J11" s="24"/>
    </row>
    <row r="12" spans="2:10">
      <c r="B12" s="24" t="s">
        <v>552</v>
      </c>
      <c r="C12" s="56" t="str">
        <f t="shared" si="0"/>
        <v>12월분</v>
      </c>
      <c r="D12" s="43" t="s">
        <v>10</v>
      </c>
      <c r="E12" s="25">
        <f>SUMIFS(전체리스트!D:D,전체리스트!A:A,B12,전체리스트!C:C,D12)</f>
        <v>24200</v>
      </c>
      <c r="F12" s="26">
        <f t="shared" si="1"/>
        <v>13784</v>
      </c>
      <c r="G12" s="27">
        <f>SUMIFS(전체리스트!E:E,전체리스트!A:A,B12,전체리스트!C:C,D12)</f>
        <v>10416</v>
      </c>
      <c r="H12" s="25">
        <f t="shared" si="2"/>
        <v>520.80000000000007</v>
      </c>
      <c r="I12" s="28">
        <f t="shared" si="3"/>
        <v>9895.2000000000007</v>
      </c>
      <c r="J12" s="24"/>
    </row>
    <row r="13" spans="2:10">
      <c r="B13" s="24" t="s">
        <v>552</v>
      </c>
      <c r="C13" s="56" t="str">
        <f t="shared" si="0"/>
        <v>12월분</v>
      </c>
      <c r="D13" s="43" t="s">
        <v>11</v>
      </c>
      <c r="E13" s="25">
        <f>SUMIFS(전체리스트!D:D,전체리스트!A:A,B13,전체리스트!C:C,D13)</f>
        <v>49400</v>
      </c>
      <c r="F13" s="26">
        <f t="shared" si="1"/>
        <v>17130</v>
      </c>
      <c r="G13" s="27">
        <f>SUMIFS(전체리스트!E:E,전체리스트!A:A,B13,전체리스트!C:C,D13)</f>
        <v>32270</v>
      </c>
      <c r="H13" s="25">
        <f t="shared" si="2"/>
        <v>1613.5</v>
      </c>
      <c r="I13" s="28">
        <f t="shared" si="3"/>
        <v>30656.5</v>
      </c>
      <c r="J13" s="24"/>
    </row>
    <row r="14" spans="2:10">
      <c r="B14" s="24" t="s">
        <v>552</v>
      </c>
      <c r="C14" s="56" t="str">
        <f t="shared" si="0"/>
        <v>12월분</v>
      </c>
      <c r="D14" s="43" t="s">
        <v>12</v>
      </c>
      <c r="E14" s="25">
        <f>SUMIFS(전체리스트!D:D,전체리스트!A:A,B14,전체리스트!C:C,D14)</f>
        <v>88400</v>
      </c>
      <c r="F14" s="26">
        <f t="shared" si="1"/>
        <v>51185</v>
      </c>
      <c r="G14" s="27">
        <f>SUMIFS(전체리스트!E:E,전체리스트!A:A,B14,전체리스트!C:C,D14)</f>
        <v>37215</v>
      </c>
      <c r="H14" s="25">
        <f t="shared" si="2"/>
        <v>1860.75</v>
      </c>
      <c r="I14" s="28">
        <f t="shared" si="3"/>
        <v>35354.25</v>
      </c>
      <c r="J14" s="24"/>
    </row>
    <row r="15" spans="2:10">
      <c r="B15" s="24" t="s">
        <v>552</v>
      </c>
      <c r="C15" s="56" t="str">
        <f t="shared" si="0"/>
        <v>12월분</v>
      </c>
      <c r="D15" s="43" t="s">
        <v>13</v>
      </c>
      <c r="E15" s="25">
        <f>SUMIFS(전체리스트!D:D,전체리스트!A:A,B15,전체리스트!C:C,D15)</f>
        <v>485200</v>
      </c>
      <c r="F15" s="26">
        <f t="shared" si="1"/>
        <v>209148</v>
      </c>
      <c r="G15" s="27">
        <f>SUMIFS(전체리스트!E:E,전체리스트!A:A,B15,전체리스트!C:C,D15)</f>
        <v>276052</v>
      </c>
      <c r="H15" s="25">
        <f t="shared" si="2"/>
        <v>13802.6</v>
      </c>
      <c r="I15" s="28">
        <f t="shared" si="3"/>
        <v>262249.40000000002</v>
      </c>
      <c r="J15" s="24"/>
    </row>
    <row r="16" spans="2:10">
      <c r="B16" s="24" t="s">
        <v>552</v>
      </c>
      <c r="C16" s="56" t="str">
        <f t="shared" ref="C16" si="4">VLOOKUP(B16,raw_a,2,0)</f>
        <v>12월분</v>
      </c>
      <c r="D16" s="43" t="s">
        <v>90</v>
      </c>
      <c r="E16" s="25">
        <f>SUMIFS(전체리스트!D:D,전체리스트!A:A,B16,전체리스트!C:C,D16)</f>
        <v>367300</v>
      </c>
      <c r="F16" s="26">
        <f t="shared" ref="F16" si="5">E16-G16</f>
        <v>198526</v>
      </c>
      <c r="G16" s="27">
        <f>SUMIFS(전체리스트!E:E,전체리스트!A:A,B16,전체리스트!C:C,D16)</f>
        <v>168774</v>
      </c>
      <c r="H16" s="25">
        <f t="shared" si="2"/>
        <v>8438.7000000000007</v>
      </c>
      <c r="I16" s="28">
        <f t="shared" ref="I16" si="6">G16-H16</f>
        <v>160335.29999999999</v>
      </c>
      <c r="J16" s="24"/>
    </row>
    <row r="17" spans="2:10">
      <c r="B17" s="24" t="s">
        <v>552</v>
      </c>
      <c r="C17" s="56" t="str">
        <f t="shared" ref="C17:C27" si="7">VLOOKUP(B17,raw_a,2,0)</f>
        <v>12월분</v>
      </c>
      <c r="D17" s="43" t="s">
        <v>14</v>
      </c>
      <c r="E17" s="25">
        <f>SUMIFS(전체리스트!D:D,전체리스트!A:A,B17,전체리스트!C:C,D17)</f>
        <v>10800</v>
      </c>
      <c r="F17" s="26">
        <f t="shared" ref="F17:F27" si="8">E17-G17</f>
        <v>4962</v>
      </c>
      <c r="G17" s="27">
        <f>SUMIFS(전체리스트!E:E,전체리스트!A:A,B17,전체리스트!C:C,D17)</f>
        <v>5838</v>
      </c>
      <c r="H17" s="25">
        <f t="shared" si="2"/>
        <v>291.90000000000003</v>
      </c>
      <c r="I17" s="28">
        <f t="shared" ref="I17:I27" si="9">G17-H17</f>
        <v>5546.1</v>
      </c>
      <c r="J17" s="24"/>
    </row>
    <row r="18" spans="2:10">
      <c r="B18" s="24" t="s">
        <v>552</v>
      </c>
      <c r="C18" s="56" t="str">
        <f t="shared" si="7"/>
        <v>12월분</v>
      </c>
      <c r="D18" s="43" t="s">
        <v>15</v>
      </c>
      <c r="E18" s="25">
        <f>SUMIFS(전체리스트!D:D,전체리스트!A:A,B18,전체리스트!C:C,D18)</f>
        <v>3000</v>
      </c>
      <c r="F18" s="26">
        <f t="shared" si="8"/>
        <v>1530</v>
      </c>
      <c r="G18" s="27">
        <f>SUMIFS(전체리스트!E:E,전체리스트!A:A,B18,전체리스트!C:C,D18)</f>
        <v>1470</v>
      </c>
      <c r="H18" s="25">
        <f t="shared" si="2"/>
        <v>73.5</v>
      </c>
      <c r="I18" s="28">
        <f t="shared" si="9"/>
        <v>1396.5</v>
      </c>
      <c r="J18" s="24"/>
    </row>
    <row r="19" spans="2:10">
      <c r="B19" s="24" t="s">
        <v>552</v>
      </c>
      <c r="C19" s="56" t="str">
        <f t="shared" si="7"/>
        <v>12월분</v>
      </c>
      <c r="D19" s="43" t="s">
        <v>16</v>
      </c>
      <c r="E19" s="25">
        <f>SUMIFS(전체리스트!D:D,전체리스트!A:A,B19,전체리스트!C:C,D19)</f>
        <v>109400</v>
      </c>
      <c r="F19" s="26">
        <f t="shared" si="8"/>
        <v>63398</v>
      </c>
      <c r="G19" s="27">
        <f>SUMIFS(전체리스트!E:E,전체리스트!A:A,B19,전체리스트!C:C,D19)</f>
        <v>46002</v>
      </c>
      <c r="H19" s="25">
        <f t="shared" si="2"/>
        <v>2300.1</v>
      </c>
      <c r="I19" s="28">
        <f t="shared" si="9"/>
        <v>43701.9</v>
      </c>
      <c r="J19" s="24"/>
    </row>
    <row r="20" spans="2:10">
      <c r="B20" s="24" t="s">
        <v>552</v>
      </c>
      <c r="C20" s="56" t="str">
        <f t="shared" si="7"/>
        <v>12월분</v>
      </c>
      <c r="D20" s="43" t="s">
        <v>107</v>
      </c>
      <c r="E20" s="25">
        <f>SUMIFS(전체리스트!D:D,전체리스트!A:A,B20,전체리스트!C:C,D20)</f>
        <v>15600</v>
      </c>
      <c r="F20" s="26">
        <f t="shared" si="8"/>
        <v>7956</v>
      </c>
      <c r="G20" s="27">
        <f>SUMIFS(전체리스트!E:E,전체리스트!A:A,B20,전체리스트!C:C,D20)</f>
        <v>7644</v>
      </c>
      <c r="H20" s="25">
        <f t="shared" si="2"/>
        <v>382.20000000000005</v>
      </c>
      <c r="I20" s="28">
        <f t="shared" si="9"/>
        <v>7261.8</v>
      </c>
      <c r="J20" s="24"/>
    </row>
    <row r="21" spans="2:10">
      <c r="B21" s="24" t="s">
        <v>552</v>
      </c>
      <c r="C21" s="56" t="str">
        <f t="shared" ref="C21:C24" si="10">VLOOKUP(B21,raw_a,2,0)</f>
        <v>12월분</v>
      </c>
      <c r="D21" s="43" t="s">
        <v>58</v>
      </c>
      <c r="E21" s="25">
        <f>SUMIFS(전체리스트!D:D,전체리스트!A:A,B21,전체리스트!C:C,D21)</f>
        <v>3300</v>
      </c>
      <c r="F21" s="26">
        <f t="shared" ref="F21:F24" si="11">E21-G21</f>
        <v>1419</v>
      </c>
      <c r="G21" s="27">
        <f>SUMIFS(전체리스트!E:E,전체리스트!A:A,B21,전체리스트!C:C,D21)</f>
        <v>1881</v>
      </c>
      <c r="H21" s="25">
        <f t="shared" ref="H21:H24" si="12">G21*0.05</f>
        <v>94.050000000000011</v>
      </c>
      <c r="I21" s="28">
        <f t="shared" ref="I21:I24" si="13">G21-H21</f>
        <v>1786.95</v>
      </c>
      <c r="J21" s="24"/>
    </row>
    <row r="22" spans="2:10">
      <c r="B22" s="24" t="s">
        <v>552</v>
      </c>
      <c r="C22" s="56" t="str">
        <f t="shared" si="10"/>
        <v>12월분</v>
      </c>
      <c r="D22" s="43" t="s">
        <v>108</v>
      </c>
      <c r="E22" s="25">
        <f>SUMIFS(전체리스트!D:D,전체리스트!A:A,B22,전체리스트!C:C,D22)</f>
        <v>20700</v>
      </c>
      <c r="F22" s="26">
        <f t="shared" si="11"/>
        <v>10161</v>
      </c>
      <c r="G22" s="27">
        <f>SUMIFS(전체리스트!E:E,전체리스트!A:A,B22,전체리스트!C:C,D22)</f>
        <v>10539</v>
      </c>
      <c r="H22" s="25">
        <f t="shared" si="12"/>
        <v>526.95000000000005</v>
      </c>
      <c r="I22" s="28">
        <f t="shared" si="13"/>
        <v>10012.049999999999</v>
      </c>
      <c r="J22" s="24"/>
    </row>
    <row r="23" spans="2:10">
      <c r="B23" s="24" t="s">
        <v>552</v>
      </c>
      <c r="C23" s="56" t="str">
        <f t="shared" si="10"/>
        <v>12월분</v>
      </c>
      <c r="D23" s="43" t="s">
        <v>21</v>
      </c>
      <c r="E23" s="25">
        <f>SUMIFS(전체리스트!D:D,전체리스트!A:A,B23,전체리스트!C:C,D23)</f>
        <v>96400</v>
      </c>
      <c r="F23" s="26">
        <f t="shared" si="11"/>
        <v>53077</v>
      </c>
      <c r="G23" s="27">
        <f>SUMIFS(전체리스트!E:E,전체리스트!A:A,B23,전체리스트!C:C,D23)</f>
        <v>43323</v>
      </c>
      <c r="H23" s="25">
        <f t="shared" si="12"/>
        <v>2166.15</v>
      </c>
      <c r="I23" s="28">
        <f t="shared" si="13"/>
        <v>41156.85</v>
      </c>
      <c r="J23" s="24"/>
    </row>
    <row r="24" spans="2:10">
      <c r="B24" s="24" t="s">
        <v>552</v>
      </c>
      <c r="C24" s="56" t="str">
        <f t="shared" si="10"/>
        <v>12월분</v>
      </c>
      <c r="D24" s="43" t="s">
        <v>401</v>
      </c>
      <c r="E24" s="25">
        <f>SUMIFS(전체리스트!D:D,전체리스트!A:A,B24,전체리스트!C:C,D24)</f>
        <v>37700</v>
      </c>
      <c r="F24" s="26">
        <f t="shared" si="11"/>
        <v>15258</v>
      </c>
      <c r="G24" s="27">
        <f>SUMIFS(전체리스트!E:E,전체리스트!A:A,B24,전체리스트!C:C,D24)</f>
        <v>22442</v>
      </c>
      <c r="H24" s="25">
        <f t="shared" si="12"/>
        <v>1122.1000000000001</v>
      </c>
      <c r="I24" s="28">
        <f t="shared" si="13"/>
        <v>21319.9</v>
      </c>
      <c r="J24" s="24"/>
    </row>
    <row r="25" spans="2:10">
      <c r="B25" s="24" t="s">
        <v>552</v>
      </c>
      <c r="C25" s="56" t="str">
        <f t="shared" si="7"/>
        <v>12월분</v>
      </c>
      <c r="D25" s="43" t="s">
        <v>22</v>
      </c>
      <c r="E25" s="25">
        <f>SUMIFS(전체리스트!D:D,전체리스트!A:A,B25,전체리스트!C:C,D25)</f>
        <v>1163000</v>
      </c>
      <c r="F25" s="26">
        <f t="shared" si="8"/>
        <v>648194</v>
      </c>
      <c r="G25" s="27">
        <f>SUMIFS(전체리스트!E:E,전체리스트!A:A,B25,전체리스트!C:C,D25)</f>
        <v>514806</v>
      </c>
      <c r="H25" s="25">
        <f t="shared" si="2"/>
        <v>25740.300000000003</v>
      </c>
      <c r="I25" s="28">
        <f t="shared" si="9"/>
        <v>489065.7</v>
      </c>
      <c r="J25" s="24"/>
    </row>
    <row r="26" spans="2:10">
      <c r="B26" s="24" t="s">
        <v>552</v>
      </c>
      <c r="C26" s="56" t="str">
        <f t="shared" si="7"/>
        <v>12월분</v>
      </c>
      <c r="D26" s="43" t="s">
        <v>525</v>
      </c>
      <c r="E26" s="25">
        <f>SUMIFS(전체리스트!D:D,전체리스트!A:A,B26,전체리스트!C:C,D26)</f>
        <v>15900</v>
      </c>
      <c r="F26" s="26">
        <f t="shared" si="8"/>
        <v>7920</v>
      </c>
      <c r="G26" s="27">
        <f>SUMIFS(전체리스트!E:E,전체리스트!A:A,B26,전체리스트!C:C,D26)</f>
        <v>7980</v>
      </c>
      <c r="H26" s="25">
        <f t="shared" si="2"/>
        <v>399</v>
      </c>
      <c r="I26" s="28">
        <f t="shared" si="9"/>
        <v>7581</v>
      </c>
      <c r="J26" s="24"/>
    </row>
    <row r="27" spans="2:10">
      <c r="B27" s="24" t="s">
        <v>552</v>
      </c>
      <c r="C27" s="56" t="str">
        <f t="shared" si="7"/>
        <v>12월분</v>
      </c>
      <c r="D27" s="43" t="s">
        <v>526</v>
      </c>
      <c r="E27" s="25">
        <f>SUMIFS(전체리스트!D:D,전체리스트!A:A,B27,전체리스트!C:C,D27)</f>
        <v>421200</v>
      </c>
      <c r="F27" s="26">
        <f t="shared" si="8"/>
        <v>130728</v>
      </c>
      <c r="G27" s="27">
        <f>SUMIFS(전체리스트!E:E,전체리스트!A:A,B27,전체리스트!C:C,D27)</f>
        <v>290472</v>
      </c>
      <c r="H27" s="25">
        <f t="shared" si="2"/>
        <v>14523.6</v>
      </c>
      <c r="I27" s="28">
        <f t="shared" si="9"/>
        <v>275948.40000000002</v>
      </c>
      <c r="J27" s="24"/>
    </row>
    <row r="28" spans="2:10">
      <c r="B28" s="24" t="s">
        <v>552</v>
      </c>
      <c r="C28" s="56" t="str">
        <f t="shared" ref="C28:C42" si="14">VLOOKUP(B28,raw_a,2,0)</f>
        <v>12월분</v>
      </c>
      <c r="D28" s="43" t="s">
        <v>109</v>
      </c>
      <c r="E28" s="25">
        <f>SUMIFS(전체리스트!D:D,전체리스트!A:A,B28,전체리스트!C:C,D28)</f>
        <v>7800</v>
      </c>
      <c r="F28" s="26">
        <f t="shared" ref="F28:F42" si="15">E28-G28</f>
        <v>4524</v>
      </c>
      <c r="G28" s="27">
        <f>SUMIFS(전체리스트!E:E,전체리스트!A:A,B28,전체리스트!C:C,D28)</f>
        <v>3276</v>
      </c>
      <c r="H28" s="25">
        <f t="shared" ref="H28:H42" si="16">G28*0.05</f>
        <v>163.80000000000001</v>
      </c>
      <c r="I28" s="28">
        <f t="shared" ref="I28:I42" si="17">G28-H28</f>
        <v>3112.2</v>
      </c>
      <c r="J28" s="24"/>
    </row>
    <row r="29" spans="2:10">
      <c r="B29" s="24" t="s">
        <v>552</v>
      </c>
      <c r="C29" s="56" t="str">
        <f t="shared" si="14"/>
        <v>12월분</v>
      </c>
      <c r="D29" s="43" t="s">
        <v>110</v>
      </c>
      <c r="E29" s="25">
        <f>SUMIFS(전체리스트!D:D,전체리스트!A:A,B29,전체리스트!C:C,D29)</f>
        <v>6300</v>
      </c>
      <c r="F29" s="26">
        <f t="shared" si="15"/>
        <v>2709</v>
      </c>
      <c r="G29" s="27">
        <f>SUMIFS(전체리스트!E:E,전체리스트!A:A,B29,전체리스트!C:C,D29)</f>
        <v>3591</v>
      </c>
      <c r="H29" s="25">
        <f t="shared" si="16"/>
        <v>179.55</v>
      </c>
      <c r="I29" s="28">
        <f t="shared" si="17"/>
        <v>3411.45</v>
      </c>
      <c r="J29" s="24"/>
    </row>
    <row r="30" spans="2:10">
      <c r="B30" s="24" t="s">
        <v>552</v>
      </c>
      <c r="C30" s="56" t="str">
        <f t="shared" ref="C30:C35" si="18">VLOOKUP(B30,raw_a,2,0)</f>
        <v>12월분</v>
      </c>
      <c r="D30" s="43" t="s">
        <v>111</v>
      </c>
      <c r="E30" s="25">
        <f>SUMIFS(전체리스트!D:D,전체리스트!A:A,B30,전체리스트!C:C,D30)</f>
        <v>8900</v>
      </c>
      <c r="F30" s="26">
        <f t="shared" ref="F30:F35" si="19">E30-G30</f>
        <v>3699</v>
      </c>
      <c r="G30" s="27">
        <f>SUMIFS(전체리스트!E:E,전체리스트!A:A,B30,전체리스트!C:C,D30)</f>
        <v>5201</v>
      </c>
      <c r="H30" s="25">
        <f t="shared" ref="H30:H35" si="20">G30*0.05</f>
        <v>260.05</v>
      </c>
      <c r="I30" s="28">
        <f t="shared" ref="I30:I35" si="21">G30-H30</f>
        <v>4940.95</v>
      </c>
      <c r="J30" s="24"/>
    </row>
    <row r="31" spans="2:10">
      <c r="B31" s="24" t="s">
        <v>552</v>
      </c>
      <c r="C31" s="56" t="str">
        <f t="shared" si="18"/>
        <v>12월분</v>
      </c>
      <c r="D31" s="43" t="s">
        <v>29</v>
      </c>
      <c r="E31" s="25">
        <f>SUMIFS(전체리스트!D:D,전체리스트!A:A,B31,전체리스트!C:C,D31)</f>
        <v>197600</v>
      </c>
      <c r="F31" s="26">
        <f t="shared" si="19"/>
        <v>110978</v>
      </c>
      <c r="G31" s="27">
        <f>SUMIFS(전체리스트!E:E,전체리스트!A:A,B31,전체리스트!C:C,D31)</f>
        <v>86622</v>
      </c>
      <c r="H31" s="25">
        <f t="shared" si="20"/>
        <v>4331.1000000000004</v>
      </c>
      <c r="I31" s="28">
        <f t="shared" si="21"/>
        <v>82290.899999999994</v>
      </c>
      <c r="J31" s="24"/>
    </row>
    <row r="32" spans="2:10">
      <c r="B32" s="24" t="s">
        <v>552</v>
      </c>
      <c r="C32" s="56" t="str">
        <f t="shared" si="18"/>
        <v>12월분</v>
      </c>
      <c r="D32" s="43" t="s">
        <v>30</v>
      </c>
      <c r="E32" s="25">
        <f>SUMIFS(전체리스트!D:D,전체리스트!A:A,B32,전체리스트!C:C,D32)</f>
        <v>84800</v>
      </c>
      <c r="F32" s="26">
        <f t="shared" si="19"/>
        <v>35667</v>
      </c>
      <c r="G32" s="27">
        <f>SUMIFS(전체리스트!E:E,전체리스트!A:A,B32,전체리스트!C:C,D32)</f>
        <v>49133</v>
      </c>
      <c r="H32" s="25">
        <f t="shared" si="20"/>
        <v>2456.65</v>
      </c>
      <c r="I32" s="28">
        <f t="shared" si="21"/>
        <v>46676.35</v>
      </c>
      <c r="J32" s="24"/>
    </row>
    <row r="33" spans="2:10">
      <c r="B33" s="24" t="s">
        <v>552</v>
      </c>
      <c r="C33" s="56" t="str">
        <f t="shared" si="18"/>
        <v>12월분</v>
      </c>
      <c r="D33" s="43" t="s">
        <v>32</v>
      </c>
      <c r="E33" s="25">
        <f>SUMIFS(전체리스트!D:D,전체리스트!A:A,B33,전체리스트!C:C,D33)</f>
        <v>22600</v>
      </c>
      <c r="F33" s="26">
        <f t="shared" si="19"/>
        <v>11526</v>
      </c>
      <c r="G33" s="27">
        <f>SUMIFS(전체리스트!E:E,전체리스트!A:A,B33,전체리스트!C:C,D33)</f>
        <v>11074</v>
      </c>
      <c r="H33" s="25">
        <f t="shared" si="20"/>
        <v>553.70000000000005</v>
      </c>
      <c r="I33" s="28">
        <f t="shared" si="21"/>
        <v>10520.3</v>
      </c>
      <c r="J33" s="24"/>
    </row>
    <row r="34" spans="2:10">
      <c r="B34" s="24" t="s">
        <v>552</v>
      </c>
      <c r="C34" s="56" t="str">
        <f t="shared" si="18"/>
        <v>12월분</v>
      </c>
      <c r="D34" s="43" t="s">
        <v>360</v>
      </c>
      <c r="E34" s="25">
        <f>SUMIFS(전체리스트!D:D,전체리스트!A:A,B34,전체리스트!C:C,D34)</f>
        <v>52900</v>
      </c>
      <c r="F34" s="26">
        <f t="shared" si="19"/>
        <v>22842</v>
      </c>
      <c r="G34" s="27">
        <f>SUMIFS(전체리스트!E:E,전체리스트!A:A,B34,전체리스트!C:C,D34)</f>
        <v>30058</v>
      </c>
      <c r="H34" s="25">
        <f t="shared" si="20"/>
        <v>1502.9</v>
      </c>
      <c r="I34" s="28">
        <f t="shared" si="21"/>
        <v>28555.1</v>
      </c>
      <c r="J34" s="24"/>
    </row>
    <row r="35" spans="2:10">
      <c r="B35" s="24" t="s">
        <v>552</v>
      </c>
      <c r="C35" s="56" t="str">
        <f t="shared" si="18"/>
        <v>12월분</v>
      </c>
      <c r="D35" s="43" t="s">
        <v>373</v>
      </c>
      <c r="E35" s="25">
        <f>SUMIFS(전체리스트!D:D,전체리스트!A:A,B35,전체리스트!C:C,D35)</f>
        <v>18800</v>
      </c>
      <c r="F35" s="26">
        <f t="shared" si="19"/>
        <v>9588</v>
      </c>
      <c r="G35" s="27">
        <f>SUMIFS(전체리스트!E:E,전체리스트!A:A,B35,전체리스트!C:C,D35)</f>
        <v>9212</v>
      </c>
      <c r="H35" s="25">
        <f t="shared" si="20"/>
        <v>460.6</v>
      </c>
      <c r="I35" s="28">
        <f t="shared" si="21"/>
        <v>8751.4</v>
      </c>
      <c r="J35" s="24"/>
    </row>
    <row r="36" spans="2:10">
      <c r="B36" s="24" t="s">
        <v>552</v>
      </c>
      <c r="C36" s="56" t="str">
        <f t="shared" si="14"/>
        <v>12월분</v>
      </c>
      <c r="D36" s="43" t="s">
        <v>36</v>
      </c>
      <c r="E36" s="25">
        <f>SUMIFS(전체리스트!D:D,전체리스트!A:A,B36,전체리스트!C:C,D36)</f>
        <v>2400</v>
      </c>
      <c r="F36" s="26">
        <f t="shared" si="15"/>
        <v>1224</v>
      </c>
      <c r="G36" s="27">
        <f>SUMIFS(전체리스트!E:E,전체리스트!A:A,B36,전체리스트!C:C,D36)</f>
        <v>1176</v>
      </c>
      <c r="H36" s="25">
        <f t="shared" si="16"/>
        <v>58.800000000000004</v>
      </c>
      <c r="I36" s="28">
        <f t="shared" si="17"/>
        <v>1117.2</v>
      </c>
      <c r="J36" s="24"/>
    </row>
    <row r="37" spans="2:10">
      <c r="B37" s="24" t="s">
        <v>552</v>
      </c>
      <c r="C37" s="56" t="str">
        <f t="shared" ref="C37:C41" si="22">VLOOKUP(B37,raw_a,2,0)</f>
        <v>12월분</v>
      </c>
      <c r="D37" s="43" t="s">
        <v>112</v>
      </c>
      <c r="E37" s="25">
        <f>SUMIFS(전체리스트!D:D,전체리스트!A:A,B37,전체리스트!C:C,D37)</f>
        <v>3400</v>
      </c>
      <c r="F37" s="26">
        <f t="shared" ref="F37:F41" si="23">E37-G37</f>
        <v>1692</v>
      </c>
      <c r="G37" s="27">
        <f>SUMIFS(전체리스트!E:E,전체리스트!A:A,B37,전체리스트!C:C,D37)</f>
        <v>1708</v>
      </c>
      <c r="H37" s="25">
        <f t="shared" ref="H37:H41" si="24">G37*0.05</f>
        <v>85.4</v>
      </c>
      <c r="I37" s="28">
        <f t="shared" ref="I37:I41" si="25">G37-H37</f>
        <v>1622.6</v>
      </c>
      <c r="J37" s="24"/>
    </row>
    <row r="38" spans="2:10">
      <c r="B38" s="24" t="s">
        <v>552</v>
      </c>
      <c r="C38" s="56" t="str">
        <f t="shared" si="22"/>
        <v>12월분</v>
      </c>
      <c r="D38" s="43" t="s">
        <v>70</v>
      </c>
      <c r="E38" s="25">
        <f>SUMIFS(전체리스트!D:D,전체리스트!A:A,B38,전체리스트!C:C,D38)</f>
        <v>200</v>
      </c>
      <c r="F38" s="26">
        <f t="shared" si="23"/>
        <v>102</v>
      </c>
      <c r="G38" s="27">
        <f>SUMIFS(전체리스트!E:E,전체리스트!A:A,B38,전체리스트!C:C,D38)</f>
        <v>98</v>
      </c>
      <c r="H38" s="25">
        <f t="shared" si="24"/>
        <v>4.9000000000000004</v>
      </c>
      <c r="I38" s="28">
        <f t="shared" si="25"/>
        <v>93.1</v>
      </c>
      <c r="J38" s="24"/>
    </row>
    <row r="39" spans="2:10">
      <c r="B39" s="24" t="s">
        <v>552</v>
      </c>
      <c r="C39" s="56" t="str">
        <f t="shared" si="22"/>
        <v>12월분</v>
      </c>
      <c r="D39" s="43" t="s">
        <v>38</v>
      </c>
      <c r="E39" s="25">
        <f>SUMIFS(전체리스트!D:D,전체리스트!A:A,B39,전체리스트!C:C,D39)</f>
        <v>25600</v>
      </c>
      <c r="F39" s="26">
        <f t="shared" si="23"/>
        <v>12048</v>
      </c>
      <c r="G39" s="27">
        <f>SUMIFS(전체리스트!E:E,전체리스트!A:A,B39,전체리스트!C:C,D39)</f>
        <v>13552</v>
      </c>
      <c r="H39" s="25">
        <f t="shared" si="24"/>
        <v>677.6</v>
      </c>
      <c r="I39" s="28">
        <f t="shared" si="25"/>
        <v>12874.4</v>
      </c>
      <c r="J39" s="24"/>
    </row>
    <row r="40" spans="2:10">
      <c r="B40" s="24" t="s">
        <v>552</v>
      </c>
      <c r="C40" s="56" t="str">
        <f t="shared" si="22"/>
        <v>12월분</v>
      </c>
      <c r="D40" s="43" t="s">
        <v>40</v>
      </c>
      <c r="E40" s="25">
        <f>SUMIFS(전체리스트!D:D,전체리스트!A:A,B40,전체리스트!C:C,D40)</f>
        <v>5400</v>
      </c>
      <c r="F40" s="26">
        <f t="shared" si="23"/>
        <v>2187</v>
      </c>
      <c r="G40" s="27">
        <f>SUMIFS(전체리스트!E:E,전체리스트!A:A,B40,전체리스트!C:C,D40)</f>
        <v>3213</v>
      </c>
      <c r="H40" s="25">
        <f t="shared" si="24"/>
        <v>160.65</v>
      </c>
      <c r="I40" s="28">
        <f t="shared" si="25"/>
        <v>3052.35</v>
      </c>
      <c r="J40" s="24"/>
    </row>
    <row r="41" spans="2:10">
      <c r="B41" s="24" t="s">
        <v>552</v>
      </c>
      <c r="C41" s="56" t="str">
        <f t="shared" si="22"/>
        <v>12월분</v>
      </c>
      <c r="D41" s="43" t="s">
        <v>80</v>
      </c>
      <c r="E41" s="25">
        <f>SUMIFS(전체리스트!D:D,전체리스트!A:A,B41,전체리스트!C:C,D41)</f>
        <v>5700</v>
      </c>
      <c r="F41" s="26">
        <f t="shared" si="23"/>
        <v>2622</v>
      </c>
      <c r="G41" s="27">
        <f>SUMIFS(전체리스트!E:E,전체리스트!A:A,B41,전체리스트!C:C,D41)</f>
        <v>3078</v>
      </c>
      <c r="H41" s="25">
        <f t="shared" si="24"/>
        <v>153.9</v>
      </c>
      <c r="I41" s="28">
        <f t="shared" si="25"/>
        <v>2924.1</v>
      </c>
      <c r="J41" s="24"/>
    </row>
    <row r="42" spans="2:10">
      <c r="B42" s="24" t="s">
        <v>552</v>
      </c>
      <c r="C42" s="56" t="str">
        <f t="shared" si="14"/>
        <v>12월분</v>
      </c>
      <c r="D42" s="43" t="s">
        <v>104</v>
      </c>
      <c r="E42" s="25">
        <f>SUMIFS(전체리스트!D:D,전체리스트!A:A,B42,전체리스트!C:C,D42)</f>
        <v>1200</v>
      </c>
      <c r="F42" s="26">
        <f t="shared" si="15"/>
        <v>660</v>
      </c>
      <c r="G42" s="27">
        <f>SUMIFS(전체리스트!E:E,전체리스트!A:A,B42,전체리스트!C:C,D42)</f>
        <v>540</v>
      </c>
      <c r="H42" s="25">
        <f t="shared" si="16"/>
        <v>27</v>
      </c>
      <c r="I42" s="28">
        <f t="shared" si="17"/>
        <v>513</v>
      </c>
      <c r="J42" s="24"/>
    </row>
    <row r="43" spans="2:10">
      <c r="B43" s="29" t="s">
        <v>322</v>
      </c>
      <c r="C43" s="29"/>
      <c r="D43" s="30"/>
      <c r="E43" s="31">
        <f t="shared" ref="E43:J43" si="26">SUM(E6:E42)</f>
        <v>3928418</v>
      </c>
      <c r="F43" s="31">
        <f t="shared" si="26"/>
        <v>1809202</v>
      </c>
      <c r="G43" s="31">
        <f t="shared" si="26"/>
        <v>2119216</v>
      </c>
      <c r="H43" s="31">
        <f t="shared" si="26"/>
        <v>105960.8</v>
      </c>
      <c r="I43" s="31">
        <f t="shared" si="26"/>
        <v>2013255.2000000004</v>
      </c>
      <c r="J43" s="31">
        <f t="shared" si="2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4:J17"/>
  <sheetViews>
    <sheetView workbookViewId="0">
      <selection activeCell="C26" sqref="C26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118</v>
      </c>
      <c r="C6" s="55" t="str">
        <f t="shared" ref="C6:C8" si="0">VLOOKUP(B6,raw_a,2,0)</f>
        <v>12월분</v>
      </c>
      <c r="D6" s="54" t="s">
        <v>8</v>
      </c>
      <c r="E6" s="25">
        <f>SUMIFS(전체리스트!D:D,전체리스트!A:A,B6,전체리스트!C:C,D6)</f>
        <v>800</v>
      </c>
      <c r="F6" s="26">
        <f>E6-G6</f>
        <v>272</v>
      </c>
      <c r="G6" s="27">
        <f>SUMIFS(전체리스트!E:E,전체리스트!A:A,B6,전체리스트!C:C,D6)</f>
        <v>528</v>
      </c>
      <c r="H6" s="25">
        <f>G6*0.05</f>
        <v>26.400000000000002</v>
      </c>
      <c r="I6" s="28">
        <f>G6-H6</f>
        <v>501.6</v>
      </c>
      <c r="J6" s="24"/>
    </row>
    <row r="7" spans="2:10">
      <c r="B7" s="24" t="s">
        <v>118</v>
      </c>
      <c r="C7" s="55" t="str">
        <f t="shared" si="0"/>
        <v>12월분</v>
      </c>
      <c r="D7" s="54" t="s">
        <v>9</v>
      </c>
      <c r="E7" s="25">
        <f>SUMIFS(전체리스트!D:D,전체리스트!A:A,B7,전체리스트!C:C,D7)</f>
        <v>9300</v>
      </c>
      <c r="F7" s="26">
        <f t="shared" ref="F7:F8" si="1">E7-G7</f>
        <v>3162</v>
      </c>
      <c r="G7" s="27">
        <f>SUMIFS(전체리스트!E:E,전체리스트!A:A,B7,전체리스트!C:C,D7)</f>
        <v>6138</v>
      </c>
      <c r="H7" s="25">
        <f t="shared" ref="H7:H10" si="2">G7*0.05</f>
        <v>306.90000000000003</v>
      </c>
      <c r="I7" s="28">
        <f t="shared" ref="I7:I8" si="3">G7-H7</f>
        <v>5831.1</v>
      </c>
      <c r="J7" s="24"/>
    </row>
    <row r="8" spans="2:10">
      <c r="B8" s="24" t="s">
        <v>118</v>
      </c>
      <c r="C8" s="55" t="str">
        <f t="shared" si="0"/>
        <v>12월분</v>
      </c>
      <c r="D8" s="54" t="s">
        <v>11</v>
      </c>
      <c r="E8" s="25">
        <f>SUMIFS(전체리스트!D:D,전체리스트!A:A,B8,전체리스트!C:C,D8)</f>
        <v>32000</v>
      </c>
      <c r="F8" s="26">
        <f t="shared" si="1"/>
        <v>10880</v>
      </c>
      <c r="G8" s="27">
        <f>SUMIFS(전체리스트!E:E,전체리스트!A:A,B8,전체리스트!C:C,D8)</f>
        <v>21120</v>
      </c>
      <c r="H8" s="25">
        <f t="shared" si="2"/>
        <v>1056</v>
      </c>
      <c r="I8" s="28">
        <f t="shared" si="3"/>
        <v>20064</v>
      </c>
      <c r="J8" s="24"/>
    </row>
    <row r="9" spans="2:10">
      <c r="B9" s="24" t="s">
        <v>118</v>
      </c>
      <c r="C9" s="55" t="str">
        <f t="shared" ref="C9:C10" si="4">VLOOKUP(B9,raw_a,2,0)</f>
        <v>12월분</v>
      </c>
      <c r="D9" s="54" t="s">
        <v>13</v>
      </c>
      <c r="E9" s="25">
        <f>SUMIFS(전체리스트!D:D,전체리스트!A:A,B9,전체리스트!C:C,D9)</f>
        <v>5200</v>
      </c>
      <c r="F9" s="26">
        <f t="shared" ref="F9:F10" si="5">E9-G9</f>
        <v>1768</v>
      </c>
      <c r="G9" s="27">
        <f>SUMIFS(전체리스트!E:E,전체리스트!A:A,B9,전체리스트!C:C,D9)</f>
        <v>3432</v>
      </c>
      <c r="H9" s="25">
        <f t="shared" si="2"/>
        <v>171.60000000000002</v>
      </c>
      <c r="I9" s="28">
        <f t="shared" ref="I9:I10" si="6">G9-H9</f>
        <v>3260.4</v>
      </c>
      <c r="J9" s="24"/>
    </row>
    <row r="10" spans="2:10">
      <c r="B10" s="24" t="s">
        <v>118</v>
      </c>
      <c r="C10" s="55" t="str">
        <f t="shared" si="4"/>
        <v>12월분</v>
      </c>
      <c r="D10" s="54" t="s">
        <v>14</v>
      </c>
      <c r="E10" s="25">
        <f>SUMIFS(전체리스트!D:D,전체리스트!A:A,B10,전체리스트!C:C,D10)</f>
        <v>209200</v>
      </c>
      <c r="F10" s="26">
        <f t="shared" si="5"/>
        <v>71128</v>
      </c>
      <c r="G10" s="27">
        <f>SUMIFS(전체리스트!E:E,전체리스트!A:A,B10,전체리스트!C:C,D10)</f>
        <v>138072</v>
      </c>
      <c r="H10" s="25">
        <f t="shared" si="2"/>
        <v>6903.6</v>
      </c>
      <c r="I10" s="28">
        <f t="shared" si="6"/>
        <v>131168.4</v>
      </c>
      <c r="J10" s="24"/>
    </row>
    <row r="11" spans="2:10" s="61" customFormat="1">
      <c r="B11" s="42" t="s">
        <v>118</v>
      </c>
      <c r="C11" s="42" t="str">
        <f t="shared" ref="C11:C13" si="7">VLOOKUP(B11,raw_a,2,0)</f>
        <v>12월분</v>
      </c>
      <c r="D11" s="82" t="s">
        <v>15</v>
      </c>
      <c r="E11" s="42">
        <f>SUMIFS(전체리스트!D:D,전체리스트!A:A,B11,전체리스트!C:C,D11)</f>
        <v>600</v>
      </c>
      <c r="F11" s="83">
        <f t="shared" ref="F11:F13" si="8">E11-G11</f>
        <v>204</v>
      </c>
      <c r="G11" s="84">
        <f>SUMIFS(전체리스트!E:E,전체리스트!A:A,B11,전체리스트!C:C,D11)</f>
        <v>396</v>
      </c>
      <c r="H11" s="25">
        <f t="shared" ref="H11:H13" si="9">G11*0.05</f>
        <v>19.8</v>
      </c>
      <c r="I11" s="85">
        <f t="shared" ref="I11:I13" si="10">G11-H11</f>
        <v>376.2</v>
      </c>
      <c r="J11" s="42"/>
    </row>
    <row r="12" spans="2:10" s="61" customFormat="1">
      <c r="B12" s="42" t="s">
        <v>118</v>
      </c>
      <c r="C12" s="42" t="str">
        <f t="shared" si="7"/>
        <v>12월분</v>
      </c>
      <c r="D12" s="82" t="s">
        <v>22</v>
      </c>
      <c r="E12" s="42">
        <f>SUMIFS(전체리스트!D:D,전체리스트!A:A,B12,전체리스트!C:C,D12)</f>
        <v>3200</v>
      </c>
      <c r="F12" s="83">
        <f t="shared" si="8"/>
        <v>1088</v>
      </c>
      <c r="G12" s="84">
        <f>SUMIFS(전체리스트!E:E,전체리스트!A:A,B12,전체리스트!C:C,D12)</f>
        <v>2112</v>
      </c>
      <c r="H12" s="25">
        <f t="shared" si="9"/>
        <v>105.60000000000001</v>
      </c>
      <c r="I12" s="85">
        <f t="shared" si="10"/>
        <v>2006.4</v>
      </c>
      <c r="J12" s="42"/>
    </row>
    <row r="13" spans="2:10" s="61" customFormat="1">
      <c r="B13" s="42" t="s">
        <v>118</v>
      </c>
      <c r="C13" s="42" t="str">
        <f t="shared" si="7"/>
        <v>12월분</v>
      </c>
      <c r="D13" s="82" t="s">
        <v>64</v>
      </c>
      <c r="E13" s="42">
        <f>SUMIFS(전체리스트!D:D,전체리스트!A:A,B13,전체리스트!C:C,D13)</f>
        <v>600</v>
      </c>
      <c r="F13" s="83">
        <f t="shared" si="8"/>
        <v>204</v>
      </c>
      <c r="G13" s="84">
        <f>SUMIFS(전체리스트!E:E,전체리스트!A:A,B13,전체리스트!C:C,D13)</f>
        <v>396</v>
      </c>
      <c r="H13" s="25">
        <f t="shared" si="9"/>
        <v>19.8</v>
      </c>
      <c r="I13" s="85">
        <f t="shared" si="10"/>
        <v>376.2</v>
      </c>
      <c r="J13" s="42"/>
    </row>
    <row r="14" spans="2:10">
      <c r="B14" s="24" t="s">
        <v>118</v>
      </c>
      <c r="C14" s="55" t="str">
        <f t="shared" ref="C14:C16" si="11">VLOOKUP(B14,raw_a,2,0)</f>
        <v>12월분</v>
      </c>
      <c r="D14" s="54" t="s">
        <v>30</v>
      </c>
      <c r="E14" s="25">
        <f>SUMIFS(전체리스트!D:D,전체리스트!A:A,B14,전체리스트!C:C,D14)</f>
        <v>264400</v>
      </c>
      <c r="F14" s="26">
        <f t="shared" ref="F14:F16" si="12">E14-G14</f>
        <v>89896</v>
      </c>
      <c r="G14" s="27">
        <f>SUMIFS(전체리스트!E:E,전체리스트!A:A,B14,전체리스트!C:C,D14)</f>
        <v>174504</v>
      </c>
      <c r="H14" s="25">
        <f t="shared" ref="H14:H16" si="13">G14*0.05</f>
        <v>8725.2000000000007</v>
      </c>
      <c r="I14" s="28">
        <f t="shared" ref="I14:I16" si="14">G14-H14</f>
        <v>165778.79999999999</v>
      </c>
      <c r="J14" s="24"/>
    </row>
    <row r="15" spans="2:10">
      <c r="B15" s="24" t="s">
        <v>118</v>
      </c>
      <c r="C15" s="55" t="str">
        <f t="shared" si="11"/>
        <v>12월분</v>
      </c>
      <c r="D15" s="54" t="s">
        <v>32</v>
      </c>
      <c r="E15" s="25">
        <f>SUMIFS(전체리스트!D:D,전체리스트!A:A,B15,전체리스트!C:C,D15)</f>
        <v>4400</v>
      </c>
      <c r="F15" s="26">
        <f t="shared" si="12"/>
        <v>1496</v>
      </c>
      <c r="G15" s="27">
        <f>SUMIFS(전체리스트!E:E,전체리스트!A:A,B15,전체리스트!C:C,D15)</f>
        <v>2904</v>
      </c>
      <c r="H15" s="25">
        <f t="shared" si="13"/>
        <v>145.20000000000002</v>
      </c>
      <c r="I15" s="28">
        <f t="shared" si="14"/>
        <v>2758.8</v>
      </c>
      <c r="J15" s="24"/>
    </row>
    <row r="16" spans="2:10" s="61" customFormat="1">
      <c r="B16" s="42" t="s">
        <v>118</v>
      </c>
      <c r="C16" s="42" t="str">
        <f t="shared" si="11"/>
        <v>12월분</v>
      </c>
      <c r="D16" s="82" t="s">
        <v>56</v>
      </c>
      <c r="E16" s="42">
        <f>SUMIFS(전체리스트!D:D,전체리스트!A:A,B16,전체리스트!C:C,D16)</f>
        <v>600</v>
      </c>
      <c r="F16" s="83">
        <f t="shared" si="12"/>
        <v>204</v>
      </c>
      <c r="G16" s="84">
        <f>SUMIFS(전체리스트!E:E,전체리스트!A:A,B16,전체리스트!C:C,D16)</f>
        <v>396</v>
      </c>
      <c r="H16" s="25">
        <f t="shared" si="13"/>
        <v>19.8</v>
      </c>
      <c r="I16" s="85">
        <f t="shared" si="14"/>
        <v>376.2</v>
      </c>
      <c r="J16" s="42"/>
    </row>
    <row r="17" spans="2:10">
      <c r="B17" s="29" t="s">
        <v>322</v>
      </c>
      <c r="C17" s="29"/>
      <c r="D17" s="30"/>
      <c r="E17" s="31">
        <f t="shared" ref="E17:J17" si="15">SUM(E6:E16)</f>
        <v>530300</v>
      </c>
      <c r="F17" s="31">
        <f t="shared" si="15"/>
        <v>180302</v>
      </c>
      <c r="G17" s="31">
        <f t="shared" si="15"/>
        <v>349998</v>
      </c>
      <c r="H17" s="31">
        <f t="shared" si="15"/>
        <v>17499.900000000001</v>
      </c>
      <c r="I17" s="31">
        <f t="shared" si="15"/>
        <v>332498.09999999998</v>
      </c>
      <c r="J17" s="31">
        <f t="shared" si="15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4:J12"/>
  <sheetViews>
    <sheetView workbookViewId="0">
      <selection activeCell="G26" sqref="G26"/>
    </sheetView>
  </sheetViews>
  <sheetFormatPr defaultRowHeight="17.399999999999999"/>
  <cols>
    <col min="2" max="2" width="14" bestFit="1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113</v>
      </c>
      <c r="C6" s="56" t="str">
        <f>VLOOKUP(B6,raw_a,2,0)</f>
        <v>11월분</v>
      </c>
      <c r="D6" s="94" t="s">
        <v>114</v>
      </c>
      <c r="E6" s="25">
        <f>SUMIFS(전체리스트!D:D,전체리스트!A:A,B6,전체리스트!C:C,D6)</f>
        <v>398304</v>
      </c>
      <c r="F6" s="26">
        <f>E6-G6</f>
        <v>0</v>
      </c>
      <c r="G6" s="27">
        <f>SUMIFS(전체리스트!E:E,전체리스트!A:A,B6,전체리스트!C:C,D6)</f>
        <v>398304</v>
      </c>
      <c r="H6" s="25">
        <f>G6*0.05</f>
        <v>19915.2</v>
      </c>
      <c r="I6" s="28">
        <f>G6-H6</f>
        <v>378388.8</v>
      </c>
      <c r="J6" s="24"/>
    </row>
    <row r="7" spans="2:10">
      <c r="B7" s="24" t="s">
        <v>113</v>
      </c>
      <c r="C7" s="56" t="str">
        <f t="shared" ref="C7:C9" si="0">VLOOKUP(B7,raw_a,2,0)</f>
        <v>11월분</v>
      </c>
      <c r="D7" s="94" t="s">
        <v>58</v>
      </c>
      <c r="E7" s="25">
        <f>SUMIFS(전체리스트!D:D,전체리스트!A:A,B7,전체리스트!C:C,D7)</f>
        <v>37717</v>
      </c>
      <c r="F7" s="26">
        <f t="shared" ref="F7:F9" si="1">E7-G7</f>
        <v>0</v>
      </c>
      <c r="G7" s="27">
        <f>SUMIFS(전체리스트!E:E,전체리스트!A:A,B7,전체리스트!C:C,D7)</f>
        <v>37717</v>
      </c>
      <c r="H7" s="25">
        <f t="shared" ref="H7:H9" si="2">G7*0.05</f>
        <v>1885.8500000000001</v>
      </c>
      <c r="I7" s="28">
        <f t="shared" ref="I7:I9" si="3">G7-H7</f>
        <v>35831.15</v>
      </c>
      <c r="J7" s="24"/>
    </row>
    <row r="8" spans="2:10">
      <c r="B8" s="24" t="s">
        <v>113</v>
      </c>
      <c r="C8" s="56" t="str">
        <f t="shared" si="0"/>
        <v>11월분</v>
      </c>
      <c r="D8" s="94" t="s">
        <v>115</v>
      </c>
      <c r="E8" s="25">
        <f>SUMIFS(전체리스트!D:D,전체리스트!A:A,B8,전체리스트!C:C,D8)</f>
        <v>132020</v>
      </c>
      <c r="F8" s="26">
        <f t="shared" si="1"/>
        <v>0</v>
      </c>
      <c r="G8" s="27">
        <f>SUMIFS(전체리스트!E:E,전체리스트!A:A,B8,전체리스트!C:C,D8)</f>
        <v>132020</v>
      </c>
      <c r="H8" s="25">
        <f t="shared" si="2"/>
        <v>6601</v>
      </c>
      <c r="I8" s="28">
        <f t="shared" si="3"/>
        <v>125419</v>
      </c>
      <c r="J8" s="24"/>
    </row>
    <row r="9" spans="2:10">
      <c r="B9" s="24" t="s">
        <v>113</v>
      </c>
      <c r="C9" s="56" t="str">
        <f t="shared" si="0"/>
        <v>11월분</v>
      </c>
      <c r="D9" s="94" t="s">
        <v>64</v>
      </c>
      <c r="E9" s="25">
        <f>SUMIFS(전체리스트!D:D,전체리스트!A:A,B9,전체리스트!C:C,D9)</f>
        <v>41555</v>
      </c>
      <c r="F9" s="26">
        <f t="shared" si="1"/>
        <v>0</v>
      </c>
      <c r="G9" s="27">
        <f>SUMIFS(전체리스트!E:E,전체리스트!A:A,B9,전체리스트!C:C,D9)</f>
        <v>41555</v>
      </c>
      <c r="H9" s="25">
        <f t="shared" si="2"/>
        <v>2077.75</v>
      </c>
      <c r="I9" s="28">
        <f t="shared" si="3"/>
        <v>39477.25</v>
      </c>
      <c r="J9" s="24"/>
    </row>
    <row r="10" spans="2:10">
      <c r="B10" s="24" t="s">
        <v>113</v>
      </c>
      <c r="C10" s="56" t="str">
        <f>VLOOKUP(B10,raw_a,2,0)</f>
        <v>11월분</v>
      </c>
      <c r="D10" s="94" t="s">
        <v>55</v>
      </c>
      <c r="E10" s="25">
        <f>SUMIFS(전체리스트!D:D,전체리스트!A:A,B10,전체리스트!C:C,D10)</f>
        <v>134591</v>
      </c>
      <c r="F10" s="26">
        <f>E10-G10</f>
        <v>0</v>
      </c>
      <c r="G10" s="27">
        <f>SUMIFS(전체리스트!E:E,전체리스트!A:A,B10,전체리스트!C:C,D10)</f>
        <v>134591</v>
      </c>
      <c r="H10" s="25">
        <f>G10*0.05</f>
        <v>6729.55</v>
      </c>
      <c r="I10" s="28">
        <f>G10-H10</f>
        <v>127861.45</v>
      </c>
      <c r="J10" s="24"/>
    </row>
    <row r="11" spans="2:10">
      <c r="B11" s="24" t="s">
        <v>113</v>
      </c>
      <c r="C11" s="56" t="str">
        <f>VLOOKUP(B11,raw_a,2,0)</f>
        <v>11월분</v>
      </c>
      <c r="D11" s="94" t="s">
        <v>116</v>
      </c>
      <c r="E11" s="25">
        <f>SUMIFS(전체리스트!D:D,전체리스트!A:A,B11,전체리스트!C:C,D11)</f>
        <v>75869</v>
      </c>
      <c r="F11" s="26">
        <f>E11-G11</f>
        <v>0</v>
      </c>
      <c r="G11" s="27">
        <f>SUMIFS(전체리스트!E:E,전체리스트!A:A,B11,전체리스트!C:C,D11)</f>
        <v>75869</v>
      </c>
      <c r="H11" s="25">
        <f>G11*0.05</f>
        <v>3793.4500000000003</v>
      </c>
      <c r="I11" s="28">
        <f>G11-H11</f>
        <v>72075.55</v>
      </c>
      <c r="J11" s="24"/>
    </row>
    <row r="12" spans="2:10">
      <c r="B12" s="29" t="s">
        <v>322</v>
      </c>
      <c r="C12" s="29"/>
      <c r="D12" s="30"/>
      <c r="E12" s="31">
        <f>SUM(E6:E11)</f>
        <v>820056</v>
      </c>
      <c r="F12" s="31">
        <f>SUM(F6:F11)</f>
        <v>0</v>
      </c>
      <c r="G12" s="31">
        <f>SUM(G6:G11)</f>
        <v>820056</v>
      </c>
      <c r="H12" s="31">
        <f>SUM(H6:H11)</f>
        <v>41002.799999999996</v>
      </c>
      <c r="I12" s="31">
        <f>SUM(I6:I11)</f>
        <v>779053.2</v>
      </c>
      <c r="J12" s="31">
        <f>SUM(J6:J9)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4:P57"/>
  <sheetViews>
    <sheetView topLeftCell="A34" workbookViewId="0">
      <selection activeCell="D67" sqref="D67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119</v>
      </c>
      <c r="C6" s="55" t="str">
        <f t="shared" ref="C6:C9" si="0">VLOOKUP(B6,raw_a,2,0)</f>
        <v>11월분</v>
      </c>
      <c r="D6" s="89" t="s">
        <v>120</v>
      </c>
      <c r="E6" s="25">
        <f>SUMIFS(전체리스트!D:D,전체리스트!A:A,B6,전체리스트!C:C,D6)</f>
        <v>36902.46</v>
      </c>
      <c r="F6" s="26">
        <f>E6-G6</f>
        <v>0</v>
      </c>
      <c r="G6" s="27">
        <f>SUMIFS(전체리스트!E:E,전체리스트!A:A,B6,전체리스트!C:C,D6)</f>
        <v>36902.46</v>
      </c>
      <c r="H6" s="25">
        <f>G6*0.05</f>
        <v>1845.123</v>
      </c>
      <c r="I6" s="28">
        <f>G6-H6</f>
        <v>35057.337</v>
      </c>
      <c r="J6" s="24"/>
    </row>
    <row r="7" spans="2:10">
      <c r="B7" s="24" t="s">
        <v>119</v>
      </c>
      <c r="C7" s="55" t="str">
        <f t="shared" si="0"/>
        <v>11월분</v>
      </c>
      <c r="D7" s="89" t="s">
        <v>66</v>
      </c>
      <c r="E7" s="25">
        <f>SUMIFS(전체리스트!D:D,전체리스트!A:A,B7,전체리스트!C:C,D7)</f>
        <v>10134.880000000016</v>
      </c>
      <c r="F7" s="26">
        <f t="shared" ref="F7:F9" si="1">E7-G7</f>
        <v>0</v>
      </c>
      <c r="G7" s="27">
        <f>SUMIFS(전체리스트!E:E,전체리스트!A:A,B7,전체리스트!C:C,D7)</f>
        <v>10134.880000000016</v>
      </c>
      <c r="H7" s="25">
        <f t="shared" ref="H7:H22" si="2">G7*0.05</f>
        <v>506.74400000000082</v>
      </c>
      <c r="I7" s="28">
        <f t="shared" ref="I7:I9" si="3">G7-H7</f>
        <v>9628.136000000015</v>
      </c>
      <c r="J7" s="24"/>
    </row>
    <row r="8" spans="2:10">
      <c r="B8" s="24" t="s">
        <v>119</v>
      </c>
      <c r="C8" s="55" t="str">
        <f t="shared" si="0"/>
        <v>11월분</v>
      </c>
      <c r="D8" s="89" t="s">
        <v>382</v>
      </c>
      <c r="E8" s="25">
        <f>SUMIFS(전체리스트!D:D,전체리스트!A:A,B8,전체리스트!C:C,D8)</f>
        <v>5431.9999999999991</v>
      </c>
      <c r="F8" s="26">
        <f t="shared" si="1"/>
        <v>0</v>
      </c>
      <c r="G8" s="27">
        <f>SUMIFS(전체리스트!E:E,전체리스트!A:A,B8,전체리스트!C:C,D8)</f>
        <v>5431.9999999999991</v>
      </c>
      <c r="H8" s="25">
        <f t="shared" si="2"/>
        <v>271.59999999999997</v>
      </c>
      <c r="I8" s="28">
        <f t="shared" si="3"/>
        <v>5160.3999999999987</v>
      </c>
      <c r="J8" s="24"/>
    </row>
    <row r="9" spans="2:10">
      <c r="B9" s="24" t="s">
        <v>119</v>
      </c>
      <c r="C9" s="55" t="str">
        <f t="shared" si="0"/>
        <v>11월분</v>
      </c>
      <c r="D9" s="89" t="s">
        <v>479</v>
      </c>
      <c r="E9" s="25">
        <f>SUMIFS(전체리스트!D:D,전체리스트!A:A,B9,전체리스트!C:C,D9)</f>
        <v>2380</v>
      </c>
      <c r="F9" s="26">
        <f t="shared" si="1"/>
        <v>0</v>
      </c>
      <c r="G9" s="27">
        <f>SUMIFS(전체리스트!E:E,전체리스트!A:A,B9,전체리스트!C:C,D9)</f>
        <v>2380</v>
      </c>
      <c r="H9" s="25">
        <f t="shared" si="2"/>
        <v>119</v>
      </c>
      <c r="I9" s="28">
        <f t="shared" si="3"/>
        <v>2261</v>
      </c>
      <c r="J9" s="24"/>
    </row>
    <row r="10" spans="2:10">
      <c r="B10" s="24" t="s">
        <v>119</v>
      </c>
      <c r="C10" s="55" t="str">
        <f t="shared" ref="C10:C11" si="4">VLOOKUP(B10,raw_a,2,0)</f>
        <v>11월분</v>
      </c>
      <c r="D10" s="89" t="s">
        <v>8</v>
      </c>
      <c r="E10" s="25">
        <f>SUMIFS(전체리스트!D:D,전체리스트!A:A,B10,전체리스트!C:C,D10)</f>
        <v>249729.76999999979</v>
      </c>
      <c r="F10" s="26">
        <f t="shared" ref="F10:F11" si="5">E10-G10</f>
        <v>0</v>
      </c>
      <c r="G10" s="27">
        <f>SUMIFS(전체리스트!E:E,전체리스트!A:A,B10,전체리스트!C:C,D10)</f>
        <v>249729.76999999979</v>
      </c>
      <c r="H10" s="25">
        <f t="shared" si="2"/>
        <v>12486.48849999999</v>
      </c>
      <c r="I10" s="28">
        <f t="shared" ref="I10:I11" si="6">G10-H10</f>
        <v>237243.28149999981</v>
      </c>
      <c r="J10" s="24"/>
    </row>
    <row r="11" spans="2:10">
      <c r="B11" s="24" t="s">
        <v>119</v>
      </c>
      <c r="C11" s="55" t="str">
        <f t="shared" si="4"/>
        <v>11월분</v>
      </c>
      <c r="D11" s="89" t="s">
        <v>9</v>
      </c>
      <c r="E11" s="25">
        <f>SUMIFS(전체리스트!D:D,전체리스트!A:A,B11,전체리스트!C:C,D11)</f>
        <v>39793.599999999933</v>
      </c>
      <c r="F11" s="26">
        <f t="shared" si="5"/>
        <v>0</v>
      </c>
      <c r="G11" s="27">
        <f>SUMIFS(전체리스트!E:E,전체리스트!A:A,B11,전체리스트!C:C,D11)</f>
        <v>39793.599999999933</v>
      </c>
      <c r="H11" s="25">
        <f t="shared" si="2"/>
        <v>1989.6799999999967</v>
      </c>
      <c r="I11" s="28">
        <f t="shared" si="6"/>
        <v>37803.91999999994</v>
      </c>
      <c r="J11" s="24"/>
    </row>
    <row r="12" spans="2:10">
      <c r="B12" s="24" t="s">
        <v>119</v>
      </c>
      <c r="C12" s="55" t="str">
        <f t="shared" ref="C12:C22" si="7">VLOOKUP(B12,raw_a,2,0)</f>
        <v>11월분</v>
      </c>
      <c r="D12" s="89" t="s">
        <v>10</v>
      </c>
      <c r="E12" s="25">
        <f>SUMIFS(전체리스트!D:D,전체리스트!A:A,B12,전체리스트!C:C,D12)</f>
        <v>15820</v>
      </c>
      <c r="F12" s="26">
        <f t="shared" ref="F12:F22" si="8">E12-G12</f>
        <v>0</v>
      </c>
      <c r="G12" s="27">
        <f>SUMIFS(전체리스트!E:E,전체리스트!A:A,B12,전체리스트!C:C,D12)</f>
        <v>15820</v>
      </c>
      <c r="H12" s="25">
        <f t="shared" si="2"/>
        <v>791</v>
      </c>
      <c r="I12" s="28">
        <f t="shared" ref="I12:I22" si="9">G12-H12</f>
        <v>15029</v>
      </c>
      <c r="J12" s="24"/>
    </row>
    <row r="13" spans="2:10">
      <c r="B13" s="24" t="s">
        <v>119</v>
      </c>
      <c r="C13" s="55" t="str">
        <f t="shared" si="7"/>
        <v>11월분</v>
      </c>
      <c r="D13" s="89" t="s">
        <v>11</v>
      </c>
      <c r="E13" s="25">
        <f>SUMIFS(전체리스트!D:D,전체리스트!A:A,B13,전체리스트!C:C,D13)</f>
        <v>338640.67999999993</v>
      </c>
      <c r="F13" s="26">
        <f t="shared" si="8"/>
        <v>0</v>
      </c>
      <c r="G13" s="27">
        <f>SUMIFS(전체리스트!E:E,전체리스트!A:A,B13,전체리스트!C:C,D13)</f>
        <v>338640.67999999993</v>
      </c>
      <c r="H13" s="25">
        <f t="shared" si="2"/>
        <v>16932.033999999996</v>
      </c>
      <c r="I13" s="28">
        <f t="shared" si="9"/>
        <v>321708.64599999995</v>
      </c>
      <c r="J13" s="24"/>
    </row>
    <row r="14" spans="2:10">
      <c r="B14" s="24" t="s">
        <v>119</v>
      </c>
      <c r="C14" s="55" t="str">
        <f t="shared" si="7"/>
        <v>11월분</v>
      </c>
      <c r="D14" s="89" t="s">
        <v>12</v>
      </c>
      <c r="E14" s="25">
        <f>SUMIFS(전체리스트!D:D,전체리스트!A:A,B14,전체리스트!C:C,D14)</f>
        <v>108210.47999999982</v>
      </c>
      <c r="F14" s="26">
        <f t="shared" si="8"/>
        <v>0</v>
      </c>
      <c r="G14" s="27">
        <f>SUMIFS(전체리스트!E:E,전체리스트!A:A,B14,전체리스트!C:C,D14)</f>
        <v>108210.47999999982</v>
      </c>
      <c r="H14" s="25">
        <f t="shared" si="2"/>
        <v>5410.5239999999912</v>
      </c>
      <c r="I14" s="28">
        <f t="shared" si="9"/>
        <v>102799.95599999983</v>
      </c>
      <c r="J14" s="24"/>
    </row>
    <row r="15" spans="2:10">
      <c r="B15" s="24" t="s">
        <v>119</v>
      </c>
      <c r="C15" s="55" t="str">
        <f t="shared" si="7"/>
        <v>11월분</v>
      </c>
      <c r="D15" s="89" t="s">
        <v>13</v>
      </c>
      <c r="E15" s="25">
        <f>SUMIFS(전체리스트!D:D,전체리스트!A:A,B15,전체리스트!C:C,D15)</f>
        <v>168669.2</v>
      </c>
      <c r="F15" s="26">
        <f t="shared" si="8"/>
        <v>0</v>
      </c>
      <c r="G15" s="27">
        <f>SUMIFS(전체리스트!E:E,전체리스트!A:A,B15,전체리스트!C:C,D15)</f>
        <v>168669.2</v>
      </c>
      <c r="H15" s="25">
        <f t="shared" si="2"/>
        <v>8433.4600000000009</v>
      </c>
      <c r="I15" s="28">
        <f t="shared" si="9"/>
        <v>160235.74000000002</v>
      </c>
      <c r="J15" s="24"/>
    </row>
    <row r="16" spans="2:10">
      <c r="B16" s="24" t="s">
        <v>119</v>
      </c>
      <c r="C16" s="55" t="str">
        <f t="shared" ref="C16:C20" si="10">VLOOKUP(B16,raw_a,2,0)</f>
        <v>11월분</v>
      </c>
      <c r="D16" s="89" t="s">
        <v>90</v>
      </c>
      <c r="E16" s="25">
        <f>SUMIFS(전체리스트!D:D,전체리스트!A:A,B16,전체리스트!C:C,D16)</f>
        <v>1928081.3599999989</v>
      </c>
      <c r="F16" s="26">
        <f t="shared" ref="F16:F20" si="11">E16-G16</f>
        <v>0</v>
      </c>
      <c r="G16" s="27">
        <f>SUMIFS(전체리스트!E:E,전체리스트!A:A,B16,전체리스트!C:C,D16)</f>
        <v>1928081.3599999989</v>
      </c>
      <c r="H16" s="25">
        <f t="shared" si="2"/>
        <v>96404.067999999956</v>
      </c>
      <c r="I16" s="28">
        <f t="shared" ref="I16:I20" si="12">G16-H16</f>
        <v>1831677.291999999</v>
      </c>
      <c r="J16" s="24"/>
    </row>
    <row r="17" spans="2:13">
      <c r="B17" s="24" t="s">
        <v>119</v>
      </c>
      <c r="C17" s="55" t="str">
        <f t="shared" si="10"/>
        <v>11월분</v>
      </c>
      <c r="D17" s="89" t="s">
        <v>14</v>
      </c>
      <c r="E17" s="25">
        <f>SUMIFS(전체리스트!D:D,전체리스트!A:A,B17,전체리스트!C:C,D17)</f>
        <v>12180</v>
      </c>
      <c r="F17" s="26">
        <f t="shared" si="11"/>
        <v>0</v>
      </c>
      <c r="G17" s="27">
        <f>SUMIFS(전체리스트!E:E,전체리스트!A:A,B17,전체리스트!C:C,D17)</f>
        <v>12180</v>
      </c>
      <c r="H17" s="25">
        <f t="shared" si="2"/>
        <v>609</v>
      </c>
      <c r="I17" s="28">
        <f t="shared" si="12"/>
        <v>11571</v>
      </c>
      <c r="J17" s="24"/>
    </row>
    <row r="18" spans="2:13">
      <c r="B18" s="24" t="s">
        <v>119</v>
      </c>
      <c r="C18" s="55" t="str">
        <f t="shared" si="10"/>
        <v>11월분</v>
      </c>
      <c r="D18" s="89" t="s">
        <v>16</v>
      </c>
      <c r="E18" s="25">
        <f>SUMIFS(전체리스트!D:D,전체리스트!A:A,B18,전체리스트!C:C,D18)</f>
        <v>11877.600000000022</v>
      </c>
      <c r="F18" s="26">
        <f t="shared" si="11"/>
        <v>0</v>
      </c>
      <c r="G18" s="27">
        <f>SUMIFS(전체리스트!E:E,전체리스트!A:A,B18,전체리스트!C:C,D18)</f>
        <v>11877.600000000022</v>
      </c>
      <c r="H18" s="25">
        <f t="shared" si="2"/>
        <v>593.88000000000113</v>
      </c>
      <c r="I18" s="28">
        <f t="shared" si="12"/>
        <v>11283.720000000021</v>
      </c>
      <c r="J18" s="24"/>
    </row>
    <row r="19" spans="2:13">
      <c r="B19" s="24" t="s">
        <v>119</v>
      </c>
      <c r="C19" s="55" t="str">
        <f t="shared" si="10"/>
        <v>11월분</v>
      </c>
      <c r="D19" s="89" t="s">
        <v>91</v>
      </c>
      <c r="E19" s="25">
        <f>SUMIFS(전체리스트!D:D,전체리스트!A:A,B19,전체리스트!C:C,D19)</f>
        <v>7350</v>
      </c>
      <c r="F19" s="26">
        <f t="shared" si="11"/>
        <v>0</v>
      </c>
      <c r="G19" s="27">
        <f>SUMIFS(전체리스트!E:E,전체리스트!A:A,B19,전체리스트!C:C,D19)</f>
        <v>7350</v>
      </c>
      <c r="H19" s="25">
        <f t="shared" si="2"/>
        <v>367.5</v>
      </c>
      <c r="I19" s="28">
        <f t="shared" si="12"/>
        <v>6982.5</v>
      </c>
      <c r="J19" s="24"/>
    </row>
    <row r="20" spans="2:13">
      <c r="B20" s="24" t="s">
        <v>119</v>
      </c>
      <c r="C20" s="55" t="str">
        <f t="shared" si="10"/>
        <v>11월분</v>
      </c>
      <c r="D20" s="89" t="s">
        <v>53</v>
      </c>
      <c r="E20" s="25">
        <f>SUMIFS(전체리스트!D:D,전체리스트!A:A,B20,전체리스트!C:C,D20)</f>
        <v>160575.37999999986</v>
      </c>
      <c r="F20" s="26">
        <f t="shared" si="11"/>
        <v>0</v>
      </c>
      <c r="G20" s="27">
        <f>SUMIFS(전체리스트!E:E,전체리스트!A:A,B20,전체리스트!C:C,D20)</f>
        <v>160575.37999999986</v>
      </c>
      <c r="H20" s="25">
        <f t="shared" si="2"/>
        <v>8028.768999999993</v>
      </c>
      <c r="I20" s="28">
        <f t="shared" si="12"/>
        <v>152546.61099999986</v>
      </c>
      <c r="J20" s="24"/>
    </row>
    <row r="21" spans="2:13">
      <c r="B21" s="24" t="s">
        <v>119</v>
      </c>
      <c r="C21" s="55" t="str">
        <f t="shared" si="7"/>
        <v>11월분</v>
      </c>
      <c r="D21" s="89" t="s">
        <v>356</v>
      </c>
      <c r="E21" s="25">
        <f>SUMIFS(전체리스트!D:D,전체리스트!A:A,B21,전체리스트!C:C,D21)</f>
        <v>85578.27</v>
      </c>
      <c r="F21" s="26">
        <f t="shared" si="8"/>
        <v>0</v>
      </c>
      <c r="G21" s="27">
        <f>SUMIFS(전체리스트!E:E,전체리스트!A:A,B21,전체리스트!C:C,D21)</f>
        <v>85578.27</v>
      </c>
      <c r="H21" s="25">
        <f t="shared" si="2"/>
        <v>4278.9135000000006</v>
      </c>
      <c r="I21" s="28">
        <f t="shared" si="9"/>
        <v>81299.356500000009</v>
      </c>
      <c r="J21" s="24"/>
    </row>
    <row r="22" spans="2:13">
      <c r="B22" s="24" t="s">
        <v>119</v>
      </c>
      <c r="C22" s="55" t="str">
        <f t="shared" si="7"/>
        <v>11월분</v>
      </c>
      <c r="D22" s="89" t="s">
        <v>18</v>
      </c>
      <c r="E22" s="25">
        <f>SUMIFS(전체리스트!D:D,전체리스트!A:A,B22,전체리스트!C:C,D22)</f>
        <v>5670</v>
      </c>
      <c r="F22" s="26">
        <f t="shared" si="8"/>
        <v>0</v>
      </c>
      <c r="G22" s="27">
        <f>SUMIFS(전체리스트!E:E,전체리스트!A:A,B22,전체리스트!C:C,D22)</f>
        <v>5670</v>
      </c>
      <c r="H22" s="25">
        <f t="shared" si="2"/>
        <v>283.5</v>
      </c>
      <c r="I22" s="28">
        <f t="shared" si="9"/>
        <v>5386.5</v>
      </c>
      <c r="J22" s="24"/>
    </row>
    <row r="23" spans="2:13">
      <c r="B23" s="24" t="s">
        <v>119</v>
      </c>
      <c r="C23" s="55" t="str">
        <f t="shared" ref="C23:C25" si="13">VLOOKUP(B23,raw_a,2,0)</f>
        <v>11월분</v>
      </c>
      <c r="D23" s="89" t="s">
        <v>58</v>
      </c>
      <c r="E23" s="25">
        <f>SUMIFS(전체리스트!D:D,전체리스트!A:A,B23,전체리스트!C:C,D23)</f>
        <v>2310</v>
      </c>
      <c r="F23" s="26">
        <f t="shared" ref="F23:F25" si="14">E23-G23</f>
        <v>0</v>
      </c>
      <c r="G23" s="27">
        <f>SUMIFS(전체리스트!E:E,전체리스트!A:A,B23,전체리스트!C:C,D23)</f>
        <v>2310</v>
      </c>
      <c r="H23" s="25">
        <f t="shared" ref="H23:H25" si="15">G23*0.05</f>
        <v>115.5</v>
      </c>
      <c r="I23" s="28">
        <f t="shared" ref="I23:I25" si="16">G23-H23</f>
        <v>2194.5</v>
      </c>
      <c r="J23" s="24"/>
    </row>
    <row r="24" spans="2:13">
      <c r="B24" s="24" t="s">
        <v>119</v>
      </c>
      <c r="C24" s="55" t="str">
        <f t="shared" si="13"/>
        <v>11월분</v>
      </c>
      <c r="D24" s="89" t="s">
        <v>195</v>
      </c>
      <c r="E24" s="25">
        <f>SUMIFS(전체리스트!D:D,전체리스트!A:A,B24,전체리스트!C:C,D24)</f>
        <v>5443.2000000000025</v>
      </c>
      <c r="F24" s="26">
        <f t="shared" si="14"/>
        <v>0</v>
      </c>
      <c r="G24" s="27">
        <f>SUMIFS(전체리스트!E:E,전체리스트!A:A,B24,전체리스트!C:C,D24)</f>
        <v>5443.2000000000025</v>
      </c>
      <c r="H24" s="25">
        <f t="shared" si="15"/>
        <v>272.16000000000014</v>
      </c>
      <c r="I24" s="28">
        <f t="shared" si="16"/>
        <v>5171.0400000000027</v>
      </c>
      <c r="J24" s="24"/>
    </row>
    <row r="25" spans="2:13">
      <c r="B25" s="24" t="s">
        <v>119</v>
      </c>
      <c r="C25" s="55" t="str">
        <f t="shared" si="13"/>
        <v>11월분</v>
      </c>
      <c r="D25" s="89" t="s">
        <v>20</v>
      </c>
      <c r="E25" s="25">
        <f>SUMIFS(전체리스트!D:D,전체리스트!A:A,B25,전체리스트!C:C,D25)</f>
        <v>7000</v>
      </c>
      <c r="F25" s="26">
        <f t="shared" si="14"/>
        <v>0</v>
      </c>
      <c r="G25" s="27">
        <f>SUMIFS(전체리스트!E:E,전체리스트!A:A,B25,전체리스트!C:C,D25)</f>
        <v>7000</v>
      </c>
      <c r="H25" s="25">
        <f t="shared" si="15"/>
        <v>350</v>
      </c>
      <c r="I25" s="28">
        <f t="shared" si="16"/>
        <v>6650</v>
      </c>
      <c r="J25" s="24"/>
    </row>
    <row r="26" spans="2:13">
      <c r="B26" s="24" t="s">
        <v>119</v>
      </c>
      <c r="C26" s="55" t="str">
        <f t="shared" ref="C26" si="17">VLOOKUP(B26,raw_a,2,0)</f>
        <v>11월분</v>
      </c>
      <c r="D26" s="89" t="s">
        <v>21</v>
      </c>
      <c r="E26" s="25">
        <f>SUMIFS(전체리스트!D:D,전체리스트!A:A,B26,전체리스트!C:C,D26)</f>
        <v>37093.279999999984</v>
      </c>
      <c r="F26" s="26">
        <f t="shared" ref="F26" si="18">E26-G26</f>
        <v>0</v>
      </c>
      <c r="G26" s="27">
        <f>SUMIFS(전체리스트!E:E,전체리스트!A:A,B26,전체리스트!C:C,D26)</f>
        <v>37093.279999999984</v>
      </c>
      <c r="H26" s="25">
        <f t="shared" ref="H26" si="19">G26*0.05</f>
        <v>1854.6639999999993</v>
      </c>
      <c r="I26" s="28">
        <f t="shared" ref="I26" si="20">G26-H26</f>
        <v>35238.615999999987</v>
      </c>
      <c r="J26" s="24"/>
      <c r="M26" s="32" t="s">
        <v>332</v>
      </c>
    </row>
    <row r="27" spans="2:13">
      <c r="B27" s="24" t="s">
        <v>119</v>
      </c>
      <c r="C27" s="55" t="str">
        <f t="shared" ref="C27:C35" si="21">VLOOKUP(B27,raw_a,2,0)</f>
        <v>11월분</v>
      </c>
      <c r="D27" s="89" t="s">
        <v>401</v>
      </c>
      <c r="E27" s="25">
        <f>SUMIFS(전체리스트!D:D,전체리스트!A:A,B27,전체리스트!C:C,D27)</f>
        <v>13202.000000000002</v>
      </c>
      <c r="F27" s="26">
        <f t="shared" ref="F27:F35" si="22">E27-G27</f>
        <v>0</v>
      </c>
      <c r="G27" s="27">
        <f>SUMIFS(전체리스트!E:E,전체리스트!A:A,B27,전체리스트!C:C,D27)</f>
        <v>13202.000000000002</v>
      </c>
      <c r="H27" s="25">
        <f t="shared" ref="H27:H35" si="23">G27*0.05</f>
        <v>660.10000000000014</v>
      </c>
      <c r="I27" s="28">
        <f t="shared" ref="I27:I35" si="24">G27-H27</f>
        <v>12541.900000000001</v>
      </c>
      <c r="J27" s="24"/>
    </row>
    <row r="28" spans="2:13">
      <c r="B28" s="24" t="s">
        <v>119</v>
      </c>
      <c r="C28" s="55" t="str">
        <f t="shared" si="21"/>
        <v>11월분</v>
      </c>
      <c r="D28" s="89" t="s">
        <v>22</v>
      </c>
      <c r="E28" s="25">
        <f>SUMIFS(전체리스트!D:D,전체리스트!A:A,B28,전체리스트!C:C,D28)</f>
        <v>687902.1999999996</v>
      </c>
      <c r="F28" s="26">
        <f t="shared" si="22"/>
        <v>0</v>
      </c>
      <c r="G28" s="27">
        <f>SUMIFS(전체리스트!E:E,전체리스트!A:A,B28,전체리스트!C:C,D28)</f>
        <v>687902.1999999996</v>
      </c>
      <c r="H28" s="25">
        <f t="shared" si="23"/>
        <v>34395.109999999979</v>
      </c>
      <c r="I28" s="28">
        <f t="shared" si="24"/>
        <v>653507.08999999962</v>
      </c>
      <c r="J28" s="24"/>
    </row>
    <row r="29" spans="2:13">
      <c r="B29" s="24" t="s">
        <v>119</v>
      </c>
      <c r="C29" s="55" t="str">
        <f t="shared" si="21"/>
        <v>11월분</v>
      </c>
      <c r="D29" s="89" t="s">
        <v>95</v>
      </c>
      <c r="E29" s="25">
        <f>SUMIFS(전체리스트!D:D,전체리스트!A:A,B29,전체리스트!C:C,D29)</f>
        <v>5073.6000000000004</v>
      </c>
      <c r="F29" s="26">
        <f t="shared" si="22"/>
        <v>0</v>
      </c>
      <c r="G29" s="27">
        <f>SUMIFS(전체리스트!E:E,전체리스트!A:A,B29,전체리스트!C:C,D29)</f>
        <v>5073.6000000000004</v>
      </c>
      <c r="H29" s="25">
        <f t="shared" si="23"/>
        <v>253.68000000000004</v>
      </c>
      <c r="I29" s="28">
        <f t="shared" si="24"/>
        <v>4819.92</v>
      </c>
      <c r="J29" s="24"/>
    </row>
    <row r="30" spans="2:13">
      <c r="B30" s="24" t="s">
        <v>119</v>
      </c>
      <c r="C30" s="55" t="str">
        <f t="shared" si="21"/>
        <v>11월분</v>
      </c>
      <c r="D30" s="89" t="s">
        <v>79</v>
      </c>
      <c r="E30" s="25">
        <f>SUMIFS(전체리스트!D:D,전체리스트!A:A,B30,전체리스트!C:C,D30)</f>
        <v>151.19999999999999</v>
      </c>
      <c r="F30" s="26">
        <f t="shared" si="22"/>
        <v>0</v>
      </c>
      <c r="G30" s="27">
        <f>SUMIFS(전체리스트!E:E,전체리스트!A:A,B30,전체리스트!C:C,D30)</f>
        <v>151.19999999999999</v>
      </c>
      <c r="H30" s="25">
        <f t="shared" si="23"/>
        <v>7.56</v>
      </c>
      <c r="I30" s="28">
        <f t="shared" si="24"/>
        <v>143.63999999999999</v>
      </c>
      <c r="J30" s="24"/>
    </row>
    <row r="31" spans="2:13">
      <c r="B31" s="24" t="s">
        <v>119</v>
      </c>
      <c r="C31" s="55" t="str">
        <f t="shared" si="21"/>
        <v>11월분</v>
      </c>
      <c r="D31" s="89" t="s">
        <v>23</v>
      </c>
      <c r="E31" s="25">
        <f>SUMIFS(전체리스트!D:D,전체리스트!A:A,B31,전체리스트!C:C,D31)</f>
        <v>140</v>
      </c>
      <c r="F31" s="26">
        <f t="shared" si="22"/>
        <v>0</v>
      </c>
      <c r="G31" s="27">
        <f>SUMIFS(전체리스트!E:E,전체리스트!A:A,B31,전체리스트!C:C,D31)</f>
        <v>140</v>
      </c>
      <c r="H31" s="25">
        <f t="shared" si="23"/>
        <v>7</v>
      </c>
      <c r="I31" s="28">
        <f t="shared" si="24"/>
        <v>133</v>
      </c>
      <c r="J31" s="24"/>
    </row>
    <row r="32" spans="2:13">
      <c r="B32" s="24" t="s">
        <v>119</v>
      </c>
      <c r="C32" s="55" t="str">
        <f t="shared" si="21"/>
        <v>11월분</v>
      </c>
      <c r="D32" s="89" t="s">
        <v>54</v>
      </c>
      <c r="E32" s="25">
        <f>SUMIFS(전체리스트!D:D,전체리스트!A:A,B32,전체리스트!C:C,D32)</f>
        <v>140</v>
      </c>
      <c r="F32" s="26">
        <f t="shared" si="22"/>
        <v>0</v>
      </c>
      <c r="G32" s="27">
        <f>SUMIFS(전체리스트!E:E,전체리스트!A:A,B32,전체리스트!C:C,D32)</f>
        <v>140</v>
      </c>
      <c r="H32" s="25">
        <f t="shared" si="23"/>
        <v>7</v>
      </c>
      <c r="I32" s="28">
        <f t="shared" si="24"/>
        <v>133</v>
      </c>
      <c r="J32" s="24"/>
    </row>
    <row r="33" spans="2:16">
      <c r="B33" s="24" t="s">
        <v>119</v>
      </c>
      <c r="C33" s="55" t="str">
        <f t="shared" si="21"/>
        <v>11월분</v>
      </c>
      <c r="D33" s="89" t="s">
        <v>121</v>
      </c>
      <c r="E33" s="25">
        <f>SUMIFS(전체리스트!D:D,전체리스트!A:A,B33,전체리스트!C:C,D33)</f>
        <v>15960</v>
      </c>
      <c r="F33" s="26">
        <f t="shared" si="22"/>
        <v>0</v>
      </c>
      <c r="G33" s="27">
        <f>SUMIFS(전체리스트!E:E,전체리스트!A:A,B33,전체리스트!C:C,D33)</f>
        <v>15960</v>
      </c>
      <c r="H33" s="25">
        <f t="shared" si="23"/>
        <v>798</v>
      </c>
      <c r="I33" s="28">
        <f t="shared" si="24"/>
        <v>15162</v>
      </c>
      <c r="J33" s="24"/>
    </row>
    <row r="34" spans="2:16">
      <c r="B34" s="24" t="s">
        <v>119</v>
      </c>
      <c r="C34" s="55" t="str">
        <f t="shared" si="21"/>
        <v>11월분</v>
      </c>
      <c r="D34" s="89" t="s">
        <v>219</v>
      </c>
      <c r="E34" s="25">
        <f>SUMIFS(전체리스트!D:D,전체리스트!A:A,B34,전체리스트!C:C,D34)</f>
        <v>111960.8</v>
      </c>
      <c r="F34" s="26">
        <f t="shared" si="22"/>
        <v>0</v>
      </c>
      <c r="G34" s="27">
        <f>SUMIFS(전체리스트!E:E,전체리스트!A:A,B34,전체리스트!C:C,D34)</f>
        <v>111960.8</v>
      </c>
      <c r="H34" s="25">
        <f t="shared" si="23"/>
        <v>5598.0400000000009</v>
      </c>
      <c r="I34" s="28">
        <f t="shared" si="24"/>
        <v>106362.76000000001</v>
      </c>
      <c r="J34" s="24"/>
    </row>
    <row r="35" spans="2:16">
      <c r="B35" s="24" t="s">
        <v>119</v>
      </c>
      <c r="C35" s="55" t="str">
        <f t="shared" si="21"/>
        <v>11월분</v>
      </c>
      <c r="D35" s="89" t="s">
        <v>417</v>
      </c>
      <c r="E35" s="25">
        <f>SUMIFS(전체리스트!D:D,전체리스트!A:A,B35,전체리스트!C:C,D35)</f>
        <v>2570.4</v>
      </c>
      <c r="F35" s="26">
        <f t="shared" si="22"/>
        <v>0</v>
      </c>
      <c r="G35" s="27">
        <f>SUMIFS(전체리스트!E:E,전체리스트!A:A,B35,전체리스트!C:C,D35)</f>
        <v>2570.4</v>
      </c>
      <c r="H35" s="25">
        <f t="shared" si="23"/>
        <v>128.52000000000001</v>
      </c>
      <c r="I35" s="28">
        <f t="shared" si="24"/>
        <v>2441.88</v>
      </c>
      <c r="J35" s="24"/>
      <c r="M35" t="s">
        <v>332</v>
      </c>
    </row>
    <row r="36" spans="2:16">
      <c r="B36" s="24" t="s">
        <v>119</v>
      </c>
      <c r="C36" s="55" t="str">
        <f t="shared" ref="C36:C56" si="25">VLOOKUP(B36,raw_a,2,0)</f>
        <v>11월분</v>
      </c>
      <c r="D36" s="89" t="s">
        <v>101</v>
      </c>
      <c r="E36" s="25">
        <f>SUMIFS(전체리스트!D:D,전체리스트!A:A,B36,전체리스트!C:C,D36)</f>
        <v>453.59999999999997</v>
      </c>
      <c r="F36" s="26">
        <f t="shared" ref="F36:F56" si="26">E36-G36</f>
        <v>0</v>
      </c>
      <c r="G36" s="27">
        <f>SUMIFS(전체리스트!E:E,전체리스트!A:A,B36,전체리스트!C:C,D36)</f>
        <v>453.59999999999997</v>
      </c>
      <c r="H36" s="25">
        <f t="shared" ref="H36:H56" si="27">G36*0.05</f>
        <v>22.68</v>
      </c>
      <c r="I36" s="28">
        <f t="shared" ref="I36:I56" si="28">G36-H36</f>
        <v>430.91999999999996</v>
      </c>
      <c r="J36" s="24"/>
    </row>
    <row r="37" spans="2:16">
      <c r="B37" s="24" t="s">
        <v>119</v>
      </c>
      <c r="C37" s="55" t="str">
        <f t="shared" si="25"/>
        <v>11월분</v>
      </c>
      <c r="D37" s="89" t="s">
        <v>390</v>
      </c>
      <c r="E37" s="25">
        <f>SUMIFS(전체리스트!D:D,전체리스트!A:A,B37,전체리스트!C:C,D37)</f>
        <v>343658.8299999999</v>
      </c>
      <c r="F37" s="26">
        <f t="shared" si="26"/>
        <v>0</v>
      </c>
      <c r="G37" s="27">
        <f>SUMIFS(전체리스트!E:E,전체리스트!A:A,B37,전체리스트!C:C,D37)</f>
        <v>343658.8299999999</v>
      </c>
      <c r="H37" s="25">
        <f t="shared" si="27"/>
        <v>17182.941499999997</v>
      </c>
      <c r="I37" s="28">
        <f t="shared" si="28"/>
        <v>326475.88849999988</v>
      </c>
      <c r="J37" s="24"/>
    </row>
    <row r="38" spans="2:16">
      <c r="B38" s="24" t="s">
        <v>119</v>
      </c>
      <c r="C38" s="55" t="str">
        <f t="shared" si="25"/>
        <v>11월분</v>
      </c>
      <c r="D38" s="89" t="s">
        <v>55</v>
      </c>
      <c r="E38" s="25">
        <f>SUMIFS(전체리스트!D:D,전체리스트!A:A,B38,전체리스트!C:C,D38)</f>
        <v>6720</v>
      </c>
      <c r="F38" s="26">
        <f t="shared" si="26"/>
        <v>0</v>
      </c>
      <c r="G38" s="27">
        <f>SUMIFS(전체리스트!E:E,전체리스트!A:A,B38,전체리스트!C:C,D38)</f>
        <v>6720</v>
      </c>
      <c r="H38" s="25">
        <f t="shared" si="27"/>
        <v>336</v>
      </c>
      <c r="I38" s="28">
        <f t="shared" si="28"/>
        <v>6384</v>
      </c>
      <c r="J38" s="24"/>
    </row>
    <row r="39" spans="2:16">
      <c r="B39" s="24" t="s">
        <v>119</v>
      </c>
      <c r="C39" s="55" t="str">
        <f t="shared" si="25"/>
        <v>11월분</v>
      </c>
      <c r="D39" s="89" t="s">
        <v>480</v>
      </c>
      <c r="E39" s="25">
        <f>SUMIFS(전체리스트!D:D,전체리스트!A:A,B39,전체리스트!C:C,D39)</f>
        <v>210</v>
      </c>
      <c r="F39" s="26">
        <f t="shared" si="26"/>
        <v>0</v>
      </c>
      <c r="G39" s="27">
        <f>SUMIFS(전체리스트!E:E,전체리스트!A:A,B39,전체리스트!C:C,D39)</f>
        <v>210</v>
      </c>
      <c r="H39" s="25">
        <f t="shared" si="27"/>
        <v>10.5</v>
      </c>
      <c r="I39" s="28">
        <f t="shared" si="28"/>
        <v>199.5</v>
      </c>
      <c r="J39" s="24"/>
    </row>
    <row r="40" spans="2:16">
      <c r="B40" s="24" t="s">
        <v>119</v>
      </c>
      <c r="C40" s="55" t="str">
        <f t="shared" si="25"/>
        <v>11월분</v>
      </c>
      <c r="D40" s="89" t="s">
        <v>111</v>
      </c>
      <c r="E40" s="25">
        <f>SUMIFS(전체리스트!D:D,전체리스트!A:A,B40,전체리스트!C:C,D40)</f>
        <v>9724.4</v>
      </c>
      <c r="F40" s="26">
        <f t="shared" si="26"/>
        <v>0</v>
      </c>
      <c r="G40" s="27">
        <f>SUMIFS(전체리스트!E:E,전체리스트!A:A,B40,전체리스트!C:C,D40)</f>
        <v>9724.4</v>
      </c>
      <c r="H40" s="25">
        <f t="shared" si="27"/>
        <v>486.22</v>
      </c>
      <c r="I40" s="28">
        <f t="shared" si="28"/>
        <v>9238.18</v>
      </c>
      <c r="J40" s="24"/>
    </row>
    <row r="41" spans="2:16">
      <c r="B41" s="24" t="s">
        <v>119</v>
      </c>
      <c r="C41" s="55" t="str">
        <f t="shared" si="25"/>
        <v>11월분</v>
      </c>
      <c r="D41" s="89" t="s">
        <v>29</v>
      </c>
      <c r="E41" s="25">
        <f>SUMIFS(전체리스트!D:D,전체리스트!A:A,B41,전체리스트!C:C,D41)</f>
        <v>39024.159999999989</v>
      </c>
      <c r="F41" s="26">
        <f t="shared" si="26"/>
        <v>0</v>
      </c>
      <c r="G41" s="27">
        <f>SUMIFS(전체리스트!E:E,전체리스트!A:A,B41,전체리스트!C:C,D41)</f>
        <v>39024.159999999989</v>
      </c>
      <c r="H41" s="25">
        <f t="shared" si="27"/>
        <v>1951.2079999999996</v>
      </c>
      <c r="I41" s="28">
        <f t="shared" si="28"/>
        <v>37072.95199999999</v>
      </c>
      <c r="J41" s="24"/>
    </row>
    <row r="42" spans="2:16">
      <c r="B42" s="24" t="s">
        <v>119</v>
      </c>
      <c r="C42" s="55" t="str">
        <f t="shared" ref="C42:C55" si="29">VLOOKUP(B42,raw_a,2,0)</f>
        <v>11월분</v>
      </c>
      <c r="D42" s="89" t="s">
        <v>30</v>
      </c>
      <c r="E42" s="25">
        <f>SUMIFS(전체리스트!D:D,전체리스트!A:A,B42,전체리스트!C:C,D42)</f>
        <v>724166.62000000058</v>
      </c>
      <c r="F42" s="26">
        <f t="shared" ref="F42:F55" si="30">E42-G42</f>
        <v>0</v>
      </c>
      <c r="G42" s="27">
        <f>SUMIFS(전체리스트!E:E,전체리스트!A:A,B42,전체리스트!C:C,D42)</f>
        <v>724166.62000000058</v>
      </c>
      <c r="H42" s="25">
        <f t="shared" ref="H42:H55" si="31">G42*0.05</f>
        <v>36208.331000000027</v>
      </c>
      <c r="I42" s="28">
        <f t="shared" ref="I42:I55" si="32">G42-H42</f>
        <v>687958.28900000057</v>
      </c>
      <c r="J42" s="24"/>
    </row>
    <row r="43" spans="2:16">
      <c r="B43" s="24" t="s">
        <v>119</v>
      </c>
      <c r="C43" s="55" t="str">
        <f t="shared" si="29"/>
        <v>11월분</v>
      </c>
      <c r="D43" s="89" t="s">
        <v>32</v>
      </c>
      <c r="E43" s="25">
        <f>SUMIFS(전체리스트!D:D,전체리스트!A:A,B43,전체리스트!C:C,D43)</f>
        <v>11440.800000000017</v>
      </c>
      <c r="F43" s="26">
        <f t="shared" si="30"/>
        <v>0</v>
      </c>
      <c r="G43" s="27">
        <f>SUMIFS(전체리스트!E:E,전체리스트!A:A,B43,전체리스트!C:C,D43)</f>
        <v>11440.800000000017</v>
      </c>
      <c r="H43" s="25">
        <f t="shared" si="31"/>
        <v>572.04000000000087</v>
      </c>
      <c r="I43" s="28">
        <f t="shared" si="32"/>
        <v>10868.760000000017</v>
      </c>
      <c r="J43" s="24"/>
    </row>
    <row r="44" spans="2:16">
      <c r="B44" s="24" t="s">
        <v>119</v>
      </c>
      <c r="C44" s="55" t="str">
        <f t="shared" si="29"/>
        <v>11월분</v>
      </c>
      <c r="D44" s="89" t="s">
        <v>413</v>
      </c>
      <c r="E44" s="25">
        <f>SUMIFS(전체리스트!D:D,전체리스트!A:A,B44,전체리스트!C:C,D44)</f>
        <v>1820</v>
      </c>
      <c r="F44" s="26">
        <f t="shared" si="30"/>
        <v>0</v>
      </c>
      <c r="G44" s="27">
        <f>SUMIFS(전체리스트!E:E,전체리스트!A:A,B44,전체리스트!C:C,D44)</f>
        <v>1820</v>
      </c>
      <c r="H44" s="25">
        <f t="shared" si="31"/>
        <v>91</v>
      </c>
      <c r="I44" s="28">
        <f t="shared" si="32"/>
        <v>1729</v>
      </c>
      <c r="J44" s="24"/>
    </row>
    <row r="45" spans="2:16">
      <c r="B45" s="24" t="s">
        <v>119</v>
      </c>
      <c r="C45" s="55" t="str">
        <f t="shared" si="29"/>
        <v>11월분</v>
      </c>
      <c r="D45" s="89" t="s">
        <v>360</v>
      </c>
      <c r="E45" s="25">
        <f>SUMIFS(전체리스트!D:D,전체리스트!A:A,B45,전체리스트!C:C,D45)</f>
        <v>1182681.3100000003</v>
      </c>
      <c r="F45" s="26">
        <f t="shared" si="30"/>
        <v>0</v>
      </c>
      <c r="G45" s="27">
        <f>SUMIFS(전체리스트!E:E,전체리스트!A:A,B45,전체리스트!C:C,D45)</f>
        <v>1182681.3100000003</v>
      </c>
      <c r="H45" s="25">
        <f t="shared" si="31"/>
        <v>59134.065500000019</v>
      </c>
      <c r="I45" s="28">
        <f t="shared" si="32"/>
        <v>1123547.2445000003</v>
      </c>
      <c r="J45" s="24"/>
    </row>
    <row r="46" spans="2:16">
      <c r="B46" s="24" t="s">
        <v>119</v>
      </c>
      <c r="C46" s="55" t="str">
        <f t="shared" si="29"/>
        <v>11월분</v>
      </c>
      <c r="D46" s="89" t="s">
        <v>373</v>
      </c>
      <c r="E46" s="25">
        <f>SUMIFS(전체리스트!D:D,전체리스트!A:A,B46,전체리스트!C:C,D46)</f>
        <v>140</v>
      </c>
      <c r="F46" s="26">
        <f t="shared" si="30"/>
        <v>0</v>
      </c>
      <c r="G46" s="27">
        <f>SUMIFS(전체리스트!E:E,전체리스트!A:A,B46,전체리스트!C:C,D46)</f>
        <v>140</v>
      </c>
      <c r="H46" s="25">
        <f t="shared" si="31"/>
        <v>7</v>
      </c>
      <c r="I46" s="28">
        <f t="shared" si="32"/>
        <v>133</v>
      </c>
      <c r="J46" s="24"/>
      <c r="P46" t="s">
        <v>481</v>
      </c>
    </row>
    <row r="47" spans="2:16">
      <c r="B47" s="24" t="s">
        <v>119</v>
      </c>
      <c r="C47" s="55" t="str">
        <f t="shared" si="29"/>
        <v>11월분</v>
      </c>
      <c r="D47" s="89" t="s">
        <v>62</v>
      </c>
      <c r="E47" s="25">
        <f>SUMIFS(전체리스트!D:D,전체리스트!A:A,B47,전체리스트!C:C,D47)</f>
        <v>560</v>
      </c>
      <c r="F47" s="26">
        <f t="shared" si="30"/>
        <v>0</v>
      </c>
      <c r="G47" s="27">
        <f>SUMIFS(전체리스트!E:E,전체리스트!A:A,B47,전체리스트!C:C,D47)</f>
        <v>560</v>
      </c>
      <c r="H47" s="25">
        <f t="shared" si="31"/>
        <v>28</v>
      </c>
      <c r="I47" s="28">
        <f t="shared" si="32"/>
        <v>532</v>
      </c>
      <c r="J47" s="24"/>
    </row>
    <row r="48" spans="2:16">
      <c r="B48" s="24" t="s">
        <v>119</v>
      </c>
      <c r="C48" s="55" t="str">
        <f t="shared" ref="C48:C54" si="33">VLOOKUP(B48,raw_a,2,0)</f>
        <v>11월분</v>
      </c>
      <c r="D48" s="89" t="s">
        <v>57</v>
      </c>
      <c r="E48" s="25">
        <f>SUMIFS(전체리스트!D:D,전체리스트!A:A,B48,전체리스트!C:C,D48)</f>
        <v>4670.4000000000005</v>
      </c>
      <c r="F48" s="26">
        <f t="shared" ref="F48:F54" si="34">E48-G48</f>
        <v>0</v>
      </c>
      <c r="G48" s="27">
        <f>SUMIFS(전체리스트!E:E,전체리스트!A:A,B48,전체리스트!C:C,D48)</f>
        <v>4670.4000000000005</v>
      </c>
      <c r="H48" s="25">
        <f t="shared" ref="H48:H54" si="35">G48*0.05</f>
        <v>233.52000000000004</v>
      </c>
      <c r="I48" s="28">
        <f t="shared" ref="I48:I54" si="36">G48-H48</f>
        <v>4436.88</v>
      </c>
      <c r="J48" s="24"/>
    </row>
    <row r="49" spans="2:10">
      <c r="B49" s="24" t="s">
        <v>119</v>
      </c>
      <c r="C49" s="55" t="str">
        <f t="shared" si="33"/>
        <v>11월분</v>
      </c>
      <c r="D49" s="89" t="s">
        <v>112</v>
      </c>
      <c r="E49" s="25">
        <f>SUMIFS(전체리스트!D:D,전체리스트!A:A,B49,전체리스트!C:C,D49)</f>
        <v>140</v>
      </c>
      <c r="F49" s="26">
        <f t="shared" si="34"/>
        <v>0</v>
      </c>
      <c r="G49" s="27">
        <f>SUMIFS(전체리스트!E:E,전체리스트!A:A,B49,전체리스트!C:C,D49)</f>
        <v>140</v>
      </c>
      <c r="H49" s="25">
        <f t="shared" si="35"/>
        <v>7</v>
      </c>
      <c r="I49" s="28">
        <f t="shared" si="36"/>
        <v>133</v>
      </c>
      <c r="J49" s="24"/>
    </row>
    <row r="50" spans="2:10">
      <c r="B50" s="24" t="s">
        <v>119</v>
      </c>
      <c r="C50" s="55" t="str">
        <f t="shared" si="33"/>
        <v>11월분</v>
      </c>
      <c r="D50" s="89" t="s">
        <v>70</v>
      </c>
      <c r="E50" s="25">
        <f>SUMIFS(전체리스트!D:D,전체리스트!A:A,B50,전체리스트!C:C,D50)</f>
        <v>2116.8000000000002</v>
      </c>
      <c r="F50" s="26">
        <f t="shared" si="34"/>
        <v>0</v>
      </c>
      <c r="G50" s="27">
        <f>SUMIFS(전체리스트!E:E,전체리스트!A:A,B50,전체리스트!C:C,D50)</f>
        <v>2116.8000000000002</v>
      </c>
      <c r="H50" s="25">
        <f t="shared" si="35"/>
        <v>105.84000000000002</v>
      </c>
      <c r="I50" s="28">
        <f t="shared" si="36"/>
        <v>2010.9600000000003</v>
      </c>
      <c r="J50" s="24"/>
    </row>
    <row r="51" spans="2:10">
      <c r="B51" s="24" t="s">
        <v>119</v>
      </c>
      <c r="C51" s="55" t="str">
        <f t="shared" si="33"/>
        <v>11월분</v>
      </c>
      <c r="D51" s="89" t="s">
        <v>38</v>
      </c>
      <c r="E51" s="25">
        <f>SUMIFS(전체리스트!D:D,전체리스트!A:A,B51,전체리스트!C:C,D51)</f>
        <v>118598.94000000006</v>
      </c>
      <c r="F51" s="26">
        <f t="shared" si="34"/>
        <v>0</v>
      </c>
      <c r="G51" s="27">
        <f>SUMIFS(전체리스트!E:E,전체리스트!A:A,B51,전체리스트!C:C,D51)</f>
        <v>118598.94000000006</v>
      </c>
      <c r="H51" s="25">
        <f t="shared" si="35"/>
        <v>5929.9470000000038</v>
      </c>
      <c r="I51" s="28">
        <f t="shared" si="36"/>
        <v>112668.99300000006</v>
      </c>
      <c r="J51" s="24"/>
    </row>
    <row r="52" spans="2:10">
      <c r="B52" s="24" t="s">
        <v>119</v>
      </c>
      <c r="C52" s="55" t="str">
        <f t="shared" si="33"/>
        <v>11월분</v>
      </c>
      <c r="D52" s="89" t="s">
        <v>56</v>
      </c>
      <c r="E52" s="25">
        <f>SUMIFS(전체리스트!D:D,전체리스트!A:A,B52,전체리스트!C:C,D52)</f>
        <v>9794.4</v>
      </c>
      <c r="F52" s="26">
        <f t="shared" si="34"/>
        <v>0</v>
      </c>
      <c r="G52" s="27">
        <f>SUMIFS(전체리스트!E:E,전체리스트!A:A,B52,전체리스트!C:C,D52)</f>
        <v>9794.4</v>
      </c>
      <c r="H52" s="25">
        <f t="shared" si="35"/>
        <v>489.72</v>
      </c>
      <c r="I52" s="28">
        <f t="shared" si="36"/>
        <v>9304.68</v>
      </c>
      <c r="J52" s="24"/>
    </row>
    <row r="53" spans="2:10">
      <c r="B53" s="24" t="s">
        <v>119</v>
      </c>
      <c r="C53" s="55" t="str">
        <f t="shared" si="33"/>
        <v>11월분</v>
      </c>
      <c r="D53" s="89" t="s">
        <v>122</v>
      </c>
      <c r="E53" s="25">
        <f>SUMIFS(전체리스트!D:D,전체리스트!A:A,B53,전체리스트!C:C,D53)</f>
        <v>210</v>
      </c>
      <c r="F53" s="26">
        <f t="shared" si="34"/>
        <v>0</v>
      </c>
      <c r="G53" s="27">
        <f>SUMIFS(전체리스트!E:E,전체리스트!A:A,B53,전체리스트!C:C,D53)</f>
        <v>210</v>
      </c>
      <c r="H53" s="25">
        <f t="shared" si="35"/>
        <v>10.5</v>
      </c>
      <c r="I53" s="28">
        <f t="shared" si="36"/>
        <v>199.5</v>
      </c>
      <c r="J53" s="24"/>
    </row>
    <row r="54" spans="2:10">
      <c r="B54" s="24" t="s">
        <v>119</v>
      </c>
      <c r="C54" s="55" t="str">
        <f t="shared" si="33"/>
        <v>11월분</v>
      </c>
      <c r="D54" s="89" t="s">
        <v>40</v>
      </c>
      <c r="E54" s="25">
        <f>SUMIFS(전체리스트!D:D,전체리스트!A:A,B54,전체리스트!C:C,D54)</f>
        <v>140</v>
      </c>
      <c r="F54" s="26">
        <f t="shared" si="34"/>
        <v>0</v>
      </c>
      <c r="G54" s="27">
        <f>SUMIFS(전체리스트!E:E,전체리스트!A:A,B54,전체리스트!C:C,D54)</f>
        <v>140</v>
      </c>
      <c r="H54" s="25">
        <f t="shared" si="35"/>
        <v>7</v>
      </c>
      <c r="I54" s="28">
        <f t="shared" si="36"/>
        <v>133</v>
      </c>
      <c r="J54" s="24"/>
    </row>
    <row r="55" spans="2:10">
      <c r="B55" s="24" t="s">
        <v>119</v>
      </c>
      <c r="C55" s="55" t="str">
        <f t="shared" si="29"/>
        <v>11월분</v>
      </c>
      <c r="D55" s="89" t="s">
        <v>80</v>
      </c>
      <c r="E55" s="25">
        <f>SUMIFS(전체리스트!D:D,전체리스트!A:A,B55,전체리스트!C:C,D55)</f>
        <v>8419.33</v>
      </c>
      <c r="F55" s="26">
        <f t="shared" si="30"/>
        <v>0</v>
      </c>
      <c r="G55" s="27">
        <f>SUMIFS(전체리스트!E:E,전체리스트!A:A,B55,전체리스트!C:C,D55)</f>
        <v>8419.33</v>
      </c>
      <c r="H55" s="25">
        <f t="shared" si="31"/>
        <v>420.9665</v>
      </c>
      <c r="I55" s="28">
        <f t="shared" si="32"/>
        <v>7998.3634999999995</v>
      </c>
      <c r="J55" s="24"/>
    </row>
    <row r="56" spans="2:10">
      <c r="B56" s="24" t="s">
        <v>119</v>
      </c>
      <c r="C56" s="55" t="str">
        <f t="shared" si="25"/>
        <v>11월분</v>
      </c>
      <c r="D56" s="89" t="s">
        <v>104</v>
      </c>
      <c r="E56" s="25">
        <f>SUMIFS(전체리스트!D:D,전체리스트!A:A,B56,전체리스트!C:C,D56)</f>
        <v>27803.999999999964</v>
      </c>
      <c r="F56" s="26">
        <f t="shared" si="26"/>
        <v>0</v>
      </c>
      <c r="G56" s="27">
        <f>SUMIFS(전체리스트!E:E,전체리스트!A:A,B56,전체리스트!C:C,D56)</f>
        <v>27803.999999999964</v>
      </c>
      <c r="H56" s="25">
        <f t="shared" si="27"/>
        <v>1390.1999999999982</v>
      </c>
      <c r="I56" s="28">
        <f t="shared" si="28"/>
        <v>26413.799999999967</v>
      </c>
      <c r="J56" s="24"/>
    </row>
    <row r="57" spans="2:10">
      <c r="B57" s="29" t="s">
        <v>322</v>
      </c>
      <c r="C57" s="29"/>
      <c r="D57" s="30"/>
      <c r="E57" s="31">
        <f t="shared" ref="E57:J57" si="37">SUM(E6:E56)</f>
        <v>6568465.9500000002</v>
      </c>
      <c r="F57" s="31">
        <f t="shared" si="37"/>
        <v>0</v>
      </c>
      <c r="G57" s="31">
        <f t="shared" si="37"/>
        <v>6568465.9500000002</v>
      </c>
      <c r="H57" s="31">
        <f t="shared" si="37"/>
        <v>328423.29749999993</v>
      </c>
      <c r="I57" s="31">
        <f t="shared" si="37"/>
        <v>6240042.6524999971</v>
      </c>
      <c r="J57" s="31">
        <f t="shared" si="3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3:J15"/>
  <sheetViews>
    <sheetView workbookViewId="0">
      <selection activeCell="I22" sqref="I22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333</v>
      </c>
      <c r="G4" s="41">
        <f>VLOOKUP(B6,raw_a,6,0)</f>
        <v>1368.3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236</v>
      </c>
      <c r="C6" s="55" t="str">
        <f>VLOOKUP(B6,raw_a,2,0)</f>
        <v>11월분</v>
      </c>
      <c r="D6" s="24" t="s">
        <v>237</v>
      </c>
      <c r="E6" s="33">
        <f>SUMIFS(전체리스트!D:D,전체리스트!A:A,B6,전체리스트!C:C,D6)</f>
        <v>3.16</v>
      </c>
      <c r="F6" s="26"/>
      <c r="G6" s="27">
        <f>SUMIFS(전체리스트!E:E,전체리스트!A:A,B6,전체리스트!C:C,D6)</f>
        <v>4323.8280000000004</v>
      </c>
      <c r="H6" s="25">
        <f>G6*0.05</f>
        <v>216.19140000000004</v>
      </c>
      <c r="I6" s="28">
        <f>G6-H6</f>
        <v>4107.6366000000007</v>
      </c>
      <c r="J6" s="24"/>
    </row>
    <row r="7" spans="2:10">
      <c r="B7" s="24" t="s">
        <v>236</v>
      </c>
      <c r="C7" s="55" t="str">
        <f t="shared" ref="C7:C8" si="0">VLOOKUP(B7,raw_a,2,0)</f>
        <v>11월분</v>
      </c>
      <c r="D7" s="24" t="s">
        <v>238</v>
      </c>
      <c r="E7" s="33">
        <f>SUMIFS(전체리스트!D:D,전체리스트!A:A,B7,전체리스트!C:C,D7)</f>
        <v>2.5</v>
      </c>
      <c r="F7" s="26"/>
      <c r="G7" s="27">
        <f>SUMIFS(전체리스트!E:E,전체리스트!A:A,B7,전체리스트!C:C,D7)</f>
        <v>3420.75</v>
      </c>
      <c r="H7" s="25">
        <f t="shared" ref="H7:H14" si="1">G7*0.05</f>
        <v>171.03750000000002</v>
      </c>
      <c r="I7" s="28">
        <f t="shared" ref="I7:I8" si="2">G7-H7</f>
        <v>3249.7125000000001</v>
      </c>
      <c r="J7" s="24"/>
    </row>
    <row r="8" spans="2:10">
      <c r="B8" s="24" t="s">
        <v>236</v>
      </c>
      <c r="C8" s="55" t="str">
        <f t="shared" si="0"/>
        <v>11월분</v>
      </c>
      <c r="D8" s="24" t="s">
        <v>239</v>
      </c>
      <c r="E8" s="33">
        <f>SUMIFS(전체리스트!D:D,전체리스트!A:A,B8,전체리스트!C:C,D8)</f>
        <v>10.86</v>
      </c>
      <c r="F8" s="26"/>
      <c r="G8" s="27">
        <f>SUMIFS(전체리스트!E:E,전체리스트!A:A,B8,전체리스트!C:C,D8)</f>
        <v>14859.737999999999</v>
      </c>
      <c r="H8" s="25">
        <f>G8*0.05</f>
        <v>742.98689999999999</v>
      </c>
      <c r="I8" s="28">
        <f t="shared" si="2"/>
        <v>14116.751099999999</v>
      </c>
      <c r="J8" s="24"/>
    </row>
    <row r="9" spans="2:10">
      <c r="B9" s="24" t="s">
        <v>236</v>
      </c>
      <c r="C9" s="55" t="str">
        <f t="shared" ref="C9:C13" si="3">VLOOKUP(B9,raw_a,2,0)</f>
        <v>11월분</v>
      </c>
      <c r="D9" s="24" t="s">
        <v>240</v>
      </c>
      <c r="E9" s="33">
        <f>SUMIFS(전체리스트!D:D,전체리스트!A:A,B9,전체리스트!C:C,D9)</f>
        <v>6.52</v>
      </c>
      <c r="F9" s="26"/>
      <c r="G9" s="27">
        <f>SUMIFS(전체리스트!E:E,전체리스트!A:A,B9,전체리스트!C:C,D9)</f>
        <v>8921.3159999999989</v>
      </c>
      <c r="H9" s="25">
        <f t="shared" si="1"/>
        <v>446.06579999999997</v>
      </c>
      <c r="I9" s="28">
        <f>G9-H9</f>
        <v>8475.2501999999986</v>
      </c>
      <c r="J9" s="24"/>
    </row>
    <row r="10" spans="2:10">
      <c r="B10" s="24" t="s">
        <v>236</v>
      </c>
      <c r="C10" s="55" t="str">
        <f t="shared" si="3"/>
        <v>11월분</v>
      </c>
      <c r="D10" s="24" t="s">
        <v>241</v>
      </c>
      <c r="E10" s="33">
        <f>SUMIFS(전체리스트!D:D,전체리스트!A:A,B10,전체리스트!C:C,D10)</f>
        <v>1.92</v>
      </c>
      <c r="F10" s="26"/>
      <c r="G10" s="27">
        <f>SUMIFS(전체리스트!E:E,전체리스트!A:A,B10,전체리스트!C:C,D10)</f>
        <v>2627.136</v>
      </c>
      <c r="H10" s="25">
        <f t="shared" si="1"/>
        <v>131.35679999999999</v>
      </c>
      <c r="I10" s="28">
        <f t="shared" ref="I10:I13" si="4">G10-H10</f>
        <v>2495.7791999999999</v>
      </c>
      <c r="J10" s="24"/>
    </row>
    <row r="11" spans="2:10">
      <c r="B11" s="24" t="s">
        <v>236</v>
      </c>
      <c r="C11" s="55" t="str">
        <f t="shared" si="3"/>
        <v>11월분</v>
      </c>
      <c r="D11" s="24" t="s">
        <v>242</v>
      </c>
      <c r="E11" s="33">
        <f>SUMIFS(전체리스트!D:D,전체리스트!A:A,B11,전체리스트!C:C,D11)</f>
        <v>12.32</v>
      </c>
      <c r="F11" s="26"/>
      <c r="G11" s="27">
        <f>SUMIFS(전체리스트!E:E,전체리스트!A:A,B11,전체리스트!C:C,D11)</f>
        <v>16857.455999999998</v>
      </c>
      <c r="H11" s="25">
        <f t="shared" si="1"/>
        <v>842.87279999999998</v>
      </c>
      <c r="I11" s="28">
        <f t="shared" si="4"/>
        <v>16014.583199999999</v>
      </c>
      <c r="J11" s="24"/>
    </row>
    <row r="12" spans="2:10">
      <c r="B12" s="24" t="s">
        <v>236</v>
      </c>
      <c r="C12" s="55" t="str">
        <f t="shared" si="3"/>
        <v>11월분</v>
      </c>
      <c r="D12" s="24" t="s">
        <v>243</v>
      </c>
      <c r="E12" s="33">
        <f>SUMIFS(전체리스트!D:D,전체리스트!A:A,B12,전체리스트!C:C,D12)</f>
        <v>2.29</v>
      </c>
      <c r="F12" s="26"/>
      <c r="G12" s="27">
        <f>SUMIFS(전체리스트!E:E,전체리스트!A:A,B12,전체리스트!C:C,D12)</f>
        <v>3133.4070000000002</v>
      </c>
      <c r="H12" s="25">
        <f t="shared" si="1"/>
        <v>156.67035000000001</v>
      </c>
      <c r="I12" s="28">
        <f t="shared" si="4"/>
        <v>2976.7366500000003</v>
      </c>
      <c r="J12" s="24"/>
    </row>
    <row r="13" spans="2:10">
      <c r="B13" s="24" t="s">
        <v>236</v>
      </c>
      <c r="C13" s="55" t="str">
        <f t="shared" si="3"/>
        <v>11월분</v>
      </c>
      <c r="D13" s="24" t="s">
        <v>244</v>
      </c>
      <c r="E13" s="33">
        <f>SUMIFS(전체리스트!D:D,전체리스트!A:A,B13,전체리스트!C:C,D13)</f>
        <v>2.14</v>
      </c>
      <c r="F13" s="26"/>
      <c r="G13" s="27">
        <f>SUMIFS(전체리스트!E:E,전체리스트!A:A,B13,전체리스트!C:C,D13)</f>
        <v>2928.1620000000003</v>
      </c>
      <c r="H13" s="25">
        <f t="shared" si="1"/>
        <v>146.40810000000002</v>
      </c>
      <c r="I13" s="28">
        <f t="shared" si="4"/>
        <v>2781.7539000000002</v>
      </c>
      <c r="J13" s="24"/>
    </row>
    <row r="14" spans="2:10">
      <c r="B14" s="24" t="s">
        <v>236</v>
      </c>
      <c r="C14" s="55" t="str">
        <f t="shared" ref="C14" si="5">VLOOKUP(B14,raw_a,2,0)</f>
        <v>11월분</v>
      </c>
      <c r="D14" s="24" t="s">
        <v>245</v>
      </c>
      <c r="E14" s="33">
        <f>SUMIFS(전체리스트!D:D,전체리스트!A:A,B14,전체리스트!C:C,D14)</f>
        <v>0.08</v>
      </c>
      <c r="F14" s="26"/>
      <c r="G14" s="27">
        <f>SUMIFS(전체리스트!E:E,전체리스트!A:A,B14,전체리스트!C:C,D14)</f>
        <v>109.464</v>
      </c>
      <c r="H14" s="25">
        <f t="shared" si="1"/>
        <v>5.4732000000000003</v>
      </c>
      <c r="I14" s="28">
        <f>G14-H14</f>
        <v>103.99079999999999</v>
      </c>
      <c r="J14" s="24"/>
    </row>
    <row r="15" spans="2:10">
      <c r="B15" s="29" t="s">
        <v>322</v>
      </c>
      <c r="C15" s="29"/>
      <c r="D15" s="30"/>
      <c r="E15" s="93">
        <f>SUM(E6:E14)</f>
        <v>41.79</v>
      </c>
      <c r="F15" s="92">
        <f t="shared" ref="F15:J15" si="6">SUM(F6:F14)</f>
        <v>0</v>
      </c>
      <c r="G15" s="92">
        <f>SUM(G6:G14)</f>
        <v>57181.256999999991</v>
      </c>
      <c r="H15" s="92">
        <f>SUM(H6:H14)</f>
        <v>2859.0628499999998</v>
      </c>
      <c r="I15" s="92">
        <f t="shared" si="6"/>
        <v>54322.194150000003</v>
      </c>
      <c r="J15" s="92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4:J23"/>
  <sheetViews>
    <sheetView workbookViewId="0">
      <selection activeCell="F27" sqref="F27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123</v>
      </c>
      <c r="C6" s="55" t="str">
        <f>VLOOKUP(B6,raw_a,2,0)</f>
        <v>10월분</v>
      </c>
      <c r="D6" s="24" t="s">
        <v>124</v>
      </c>
      <c r="E6" s="25">
        <f>SUMIFS(전체리스트!D:D,전체리스트!A:A,B6,전체리스트!C:C,D6)</f>
        <v>7380</v>
      </c>
      <c r="F6" s="26">
        <f>E6-G6</f>
        <v>0</v>
      </c>
      <c r="G6" s="27">
        <f>SUMIFS(전체리스트!E:E,전체리스트!A:A,B6,전체리스트!C:C,D6)</f>
        <v>7380</v>
      </c>
      <c r="H6" s="25">
        <f>G6*0.05</f>
        <v>369</v>
      </c>
      <c r="I6" s="28">
        <f>G6-H6</f>
        <v>7011</v>
      </c>
      <c r="J6" s="24"/>
    </row>
    <row r="7" spans="2:10">
      <c r="B7" s="24" t="s">
        <v>123</v>
      </c>
      <c r="C7" s="55" t="str">
        <f t="shared" ref="C7:C9" si="0">VLOOKUP(B7,raw_a,2,0)</f>
        <v>10월분</v>
      </c>
      <c r="D7" s="24" t="s">
        <v>125</v>
      </c>
      <c r="E7" s="25">
        <f>SUMIFS(전체리스트!D:D,전체리스트!A:A,B7,전체리스트!C:C,D7)</f>
        <v>95760</v>
      </c>
      <c r="F7" s="26">
        <f t="shared" ref="F7:F9" si="1">E7-G7</f>
        <v>0</v>
      </c>
      <c r="G7" s="27">
        <f>SUMIFS(전체리스트!E:E,전체리스트!A:A,B7,전체리스트!C:C,D7)</f>
        <v>95760</v>
      </c>
      <c r="H7" s="25">
        <f t="shared" ref="H7:H22" si="2">G7*0.05</f>
        <v>4788</v>
      </c>
      <c r="I7" s="28">
        <f t="shared" ref="I7:I9" si="3">G7-H7</f>
        <v>90972</v>
      </c>
      <c r="J7" s="24"/>
    </row>
    <row r="8" spans="2:10">
      <c r="B8" s="24" t="s">
        <v>123</v>
      </c>
      <c r="C8" s="55" t="str">
        <f t="shared" si="0"/>
        <v>10월분</v>
      </c>
      <c r="D8" s="24" t="s">
        <v>126</v>
      </c>
      <c r="E8" s="25">
        <f>SUMIFS(전체리스트!D:D,전체리스트!A:A,B8,전체리스트!C:C,D8)</f>
        <v>42840</v>
      </c>
      <c r="F8" s="26">
        <f t="shared" si="1"/>
        <v>0</v>
      </c>
      <c r="G8" s="27">
        <f>SUMIFS(전체리스트!E:E,전체리스트!A:A,B8,전체리스트!C:C,D8)</f>
        <v>42840</v>
      </c>
      <c r="H8" s="25">
        <f t="shared" si="2"/>
        <v>2142</v>
      </c>
      <c r="I8" s="28">
        <f t="shared" si="3"/>
        <v>40698</v>
      </c>
      <c r="J8" s="24"/>
    </row>
    <row r="9" spans="2:10">
      <c r="B9" s="24" t="s">
        <v>123</v>
      </c>
      <c r="C9" s="55" t="str">
        <f t="shared" si="0"/>
        <v>10월분</v>
      </c>
      <c r="D9" s="24" t="s">
        <v>127</v>
      </c>
      <c r="E9" s="25">
        <f>SUMIFS(전체리스트!D:D,전체리스트!A:A,B9,전체리스트!C:C,D9)</f>
        <v>1880820</v>
      </c>
      <c r="F9" s="26">
        <f t="shared" si="1"/>
        <v>0</v>
      </c>
      <c r="G9" s="27">
        <f>SUMIFS(전체리스트!E:E,전체리스트!A:A,B9,전체리스트!C:C,D9)</f>
        <v>1880820</v>
      </c>
      <c r="H9" s="25">
        <f t="shared" si="2"/>
        <v>94041</v>
      </c>
      <c r="I9" s="28">
        <f t="shared" si="3"/>
        <v>1786779</v>
      </c>
      <c r="J9" s="24"/>
    </row>
    <row r="10" spans="2:10">
      <c r="B10" s="24" t="s">
        <v>123</v>
      </c>
      <c r="C10" s="55" t="str">
        <f t="shared" ref="C10:C13" si="4">VLOOKUP(B10,raw_a,2,0)</f>
        <v>10월분</v>
      </c>
      <c r="D10" s="24" t="s">
        <v>83</v>
      </c>
      <c r="E10" s="25">
        <f>SUMIFS(전체리스트!D:D,전체리스트!A:A,B10,전체리스트!C:C,D10)</f>
        <v>54900</v>
      </c>
      <c r="F10" s="26">
        <f t="shared" ref="F10:F13" si="5">E10-G10</f>
        <v>0</v>
      </c>
      <c r="G10" s="27">
        <f>SUMIFS(전체리스트!E:E,전체리스트!A:A,B10,전체리스트!C:C,D10)</f>
        <v>54900</v>
      </c>
      <c r="H10" s="25">
        <f t="shared" si="2"/>
        <v>2745</v>
      </c>
      <c r="I10" s="28">
        <f t="shared" ref="I10:I13" si="6">G10-H10</f>
        <v>52155</v>
      </c>
      <c r="J10" s="24"/>
    </row>
    <row r="11" spans="2:10">
      <c r="B11" s="24" t="s">
        <v>123</v>
      </c>
      <c r="C11" s="55" t="str">
        <f t="shared" si="4"/>
        <v>10월분</v>
      </c>
      <c r="D11" s="24" t="s">
        <v>128</v>
      </c>
      <c r="E11" s="25">
        <f>SUMIFS(전체리스트!D:D,전체리스트!A:A,B11,전체리스트!C:C,D11)</f>
        <v>3644460</v>
      </c>
      <c r="F11" s="26">
        <f t="shared" si="5"/>
        <v>0</v>
      </c>
      <c r="G11" s="27">
        <f>SUMIFS(전체리스트!E:E,전체리스트!A:A,B11,전체리스트!C:C,D11)</f>
        <v>3644460</v>
      </c>
      <c r="H11" s="25">
        <f t="shared" si="2"/>
        <v>182223</v>
      </c>
      <c r="I11" s="28">
        <f t="shared" si="6"/>
        <v>3462237</v>
      </c>
      <c r="J11" s="24"/>
    </row>
    <row r="12" spans="2:10">
      <c r="B12" s="24" t="s">
        <v>123</v>
      </c>
      <c r="C12" s="55" t="str">
        <f t="shared" si="4"/>
        <v>10월분</v>
      </c>
      <c r="D12" s="24" t="s">
        <v>129</v>
      </c>
      <c r="E12" s="25">
        <f>SUMIFS(전체리스트!D:D,전체리스트!A:A,B12,전체리스트!C:C,D12)</f>
        <v>845820</v>
      </c>
      <c r="F12" s="26">
        <f t="shared" si="5"/>
        <v>0</v>
      </c>
      <c r="G12" s="27">
        <f>SUMIFS(전체리스트!E:E,전체리스트!A:A,B12,전체리스트!C:C,D12)</f>
        <v>845820</v>
      </c>
      <c r="H12" s="25">
        <f t="shared" si="2"/>
        <v>42291</v>
      </c>
      <c r="I12" s="28">
        <f t="shared" si="6"/>
        <v>803529</v>
      </c>
      <c r="J12" s="24"/>
    </row>
    <row r="13" spans="2:10">
      <c r="B13" s="24" t="s">
        <v>123</v>
      </c>
      <c r="C13" s="55" t="str">
        <f t="shared" si="4"/>
        <v>10월분</v>
      </c>
      <c r="D13" s="24" t="s">
        <v>130</v>
      </c>
      <c r="E13" s="25">
        <f>SUMIFS(전체리스트!D:D,전체리스트!A:A,B13,전체리스트!C:C,D13)</f>
        <v>406260</v>
      </c>
      <c r="F13" s="26">
        <f t="shared" si="5"/>
        <v>0</v>
      </c>
      <c r="G13" s="27">
        <f>SUMIFS(전체리스트!E:E,전체리스트!A:A,B13,전체리스트!C:C,D13)</f>
        <v>406260</v>
      </c>
      <c r="H13" s="25">
        <f t="shared" si="2"/>
        <v>20313</v>
      </c>
      <c r="I13" s="28">
        <f t="shared" si="6"/>
        <v>385947</v>
      </c>
      <c r="J13" s="24"/>
    </row>
    <row r="14" spans="2:10">
      <c r="B14" s="24" t="s">
        <v>123</v>
      </c>
      <c r="C14" s="55" t="str">
        <f t="shared" ref="C14:C22" si="7">VLOOKUP(B14,raw_a,2,0)</f>
        <v>10월분</v>
      </c>
      <c r="D14" s="24" t="s">
        <v>131</v>
      </c>
      <c r="E14" s="25">
        <f>SUMIFS(전체리스트!D:D,전체리스트!A:A,B14,전체리스트!C:C,D14)</f>
        <v>284400</v>
      </c>
      <c r="F14" s="26">
        <f t="shared" ref="F14:F22" si="8">E14-G14</f>
        <v>0</v>
      </c>
      <c r="G14" s="27">
        <f>SUMIFS(전체리스트!E:E,전체리스트!A:A,B14,전체리스트!C:C,D14)</f>
        <v>284400</v>
      </c>
      <c r="H14" s="25">
        <f t="shared" si="2"/>
        <v>14220</v>
      </c>
      <c r="I14" s="28">
        <f t="shared" ref="I14:I22" si="9">G14-H14</f>
        <v>270180</v>
      </c>
      <c r="J14" s="24"/>
    </row>
    <row r="15" spans="2:10">
      <c r="B15" s="24" t="s">
        <v>123</v>
      </c>
      <c r="C15" s="55" t="str">
        <f t="shared" ref="C15:C18" si="10">VLOOKUP(B15,raw_a,2,0)</f>
        <v>10월분</v>
      </c>
      <c r="D15" s="24" t="s">
        <v>132</v>
      </c>
      <c r="E15" s="25">
        <f>SUMIFS(전체리스트!D:D,전체리스트!A:A,B15,전체리스트!C:C,D15)</f>
        <v>372060</v>
      </c>
      <c r="F15" s="26">
        <f t="shared" ref="F15:F18" si="11">E15-G15</f>
        <v>0</v>
      </c>
      <c r="G15" s="27">
        <f>SUMIFS(전체리스트!E:E,전체리스트!A:A,B15,전체리스트!C:C,D15)</f>
        <v>372060</v>
      </c>
      <c r="H15" s="25">
        <f t="shared" ref="H15:H17" si="12">G15*0.05</f>
        <v>18603</v>
      </c>
      <c r="I15" s="28">
        <f t="shared" ref="I15:I17" si="13">G15-H15</f>
        <v>353457</v>
      </c>
      <c r="J15" s="24"/>
    </row>
    <row r="16" spans="2:10">
      <c r="B16" s="24" t="s">
        <v>123</v>
      </c>
      <c r="C16" s="55" t="str">
        <f t="shared" si="10"/>
        <v>10월분</v>
      </c>
      <c r="D16" s="24" t="s">
        <v>133</v>
      </c>
      <c r="E16" s="25">
        <f>SUMIFS(전체리스트!D:D,전체리스트!A:A,B16,전체리스트!C:C,D16)</f>
        <v>243180</v>
      </c>
      <c r="F16" s="26">
        <f t="shared" si="11"/>
        <v>0</v>
      </c>
      <c r="G16" s="27">
        <f>SUMIFS(전체리스트!E:E,전체리스트!A:A,B16,전체리스트!C:C,D16)</f>
        <v>243180</v>
      </c>
      <c r="H16" s="25">
        <f t="shared" si="12"/>
        <v>12159</v>
      </c>
      <c r="I16" s="28">
        <f t="shared" si="13"/>
        <v>231021</v>
      </c>
      <c r="J16" s="24"/>
    </row>
    <row r="17" spans="2:10">
      <c r="B17" s="24" t="s">
        <v>123</v>
      </c>
      <c r="C17" s="55" t="str">
        <f t="shared" si="10"/>
        <v>10월분</v>
      </c>
      <c r="D17" s="24" t="s">
        <v>134</v>
      </c>
      <c r="E17" s="25">
        <f>SUMIFS(전체리스트!D:D,전체리스트!A:A,B17,전체리스트!C:C,D17)</f>
        <v>198720</v>
      </c>
      <c r="F17" s="26">
        <f t="shared" si="11"/>
        <v>0</v>
      </c>
      <c r="G17" s="27">
        <f>SUMIFS(전체리스트!E:E,전체리스트!A:A,B17,전체리스트!C:C,D17)</f>
        <v>198720</v>
      </c>
      <c r="H17" s="25">
        <f t="shared" si="12"/>
        <v>9936</v>
      </c>
      <c r="I17" s="28">
        <f t="shared" si="13"/>
        <v>188784</v>
      </c>
      <c r="J17" s="24"/>
    </row>
    <row r="18" spans="2:10">
      <c r="B18" s="24" t="s">
        <v>123</v>
      </c>
      <c r="C18" s="55" t="str">
        <f t="shared" si="10"/>
        <v>10월분</v>
      </c>
      <c r="D18" s="24" t="s">
        <v>395</v>
      </c>
      <c r="E18" s="25">
        <f>SUMIFS(전체리스트!D:D,전체리스트!A:A,B18,전체리스트!C:C,D18)</f>
        <v>113400</v>
      </c>
      <c r="F18" s="26">
        <f t="shared" si="11"/>
        <v>0</v>
      </c>
      <c r="G18" s="27">
        <f>SUMIFS(전체리스트!E:E,전체리스트!A:A,B18,전체리스트!C:C,D18)</f>
        <v>113400</v>
      </c>
      <c r="H18" s="25">
        <f>G18*0.05</f>
        <v>5670</v>
      </c>
      <c r="I18" s="28">
        <f>G18-H18</f>
        <v>107730</v>
      </c>
      <c r="J18" s="24"/>
    </row>
    <row r="19" spans="2:10">
      <c r="B19" s="24" t="s">
        <v>123</v>
      </c>
      <c r="C19" s="55" t="str">
        <f t="shared" si="7"/>
        <v>10월분</v>
      </c>
      <c r="D19" s="24" t="s">
        <v>135</v>
      </c>
      <c r="E19" s="25">
        <f>SUMIFS(전체리스트!D:D,전체리스트!A:A,B19,전체리스트!C:C,D19)</f>
        <v>1026000</v>
      </c>
      <c r="F19" s="26">
        <f t="shared" si="8"/>
        <v>0</v>
      </c>
      <c r="G19" s="27">
        <f>SUMIFS(전체리스트!E:E,전체리스트!A:A,B19,전체리스트!C:C,D19)</f>
        <v>1026000</v>
      </c>
      <c r="H19" s="25">
        <f t="shared" si="2"/>
        <v>51300</v>
      </c>
      <c r="I19" s="28">
        <f t="shared" si="9"/>
        <v>974700</v>
      </c>
      <c r="J19" s="24"/>
    </row>
    <row r="20" spans="2:10">
      <c r="B20" s="24" t="s">
        <v>123</v>
      </c>
      <c r="C20" s="55" t="str">
        <f t="shared" ref="C20:C21" si="14">VLOOKUP(B20,raw_a,2,0)</f>
        <v>10월분</v>
      </c>
      <c r="D20" s="24" t="s">
        <v>136</v>
      </c>
      <c r="E20" s="25">
        <f>SUMIFS(전체리스트!D:D,전체리스트!A:A,B20,전체리스트!C:C,D20)</f>
        <v>307980</v>
      </c>
      <c r="F20" s="26">
        <f t="shared" ref="F20:F21" si="15">E20-G20</f>
        <v>0</v>
      </c>
      <c r="G20" s="27">
        <f>SUMIFS(전체리스트!E:E,전체리스트!A:A,B20,전체리스트!C:C,D20)</f>
        <v>307980</v>
      </c>
      <c r="H20" s="25">
        <f t="shared" ref="H20:H21" si="16">G20*0.05</f>
        <v>15399</v>
      </c>
      <c r="I20" s="28">
        <f t="shared" ref="I20:I21" si="17">G20-H20</f>
        <v>292581</v>
      </c>
      <c r="J20" s="24"/>
    </row>
    <row r="21" spans="2:10">
      <c r="B21" s="24" t="s">
        <v>123</v>
      </c>
      <c r="C21" s="55" t="str">
        <f t="shared" si="14"/>
        <v>10월분</v>
      </c>
      <c r="D21" s="24" t="s">
        <v>137</v>
      </c>
      <c r="E21" s="25">
        <f>SUMIFS(전체리스트!D:D,전체리스트!A:A,B21,전체리스트!C:C,D21)</f>
        <v>419940</v>
      </c>
      <c r="F21" s="26">
        <f t="shared" si="15"/>
        <v>0</v>
      </c>
      <c r="G21" s="27">
        <f>SUMIFS(전체리스트!E:E,전체리스트!A:A,B21,전체리스트!C:C,D21)</f>
        <v>419940</v>
      </c>
      <c r="H21" s="25">
        <f t="shared" si="16"/>
        <v>20997</v>
      </c>
      <c r="I21" s="28">
        <f t="shared" si="17"/>
        <v>398943</v>
      </c>
      <c r="J21" s="24"/>
    </row>
    <row r="22" spans="2:10">
      <c r="B22" s="24" t="s">
        <v>123</v>
      </c>
      <c r="C22" s="55" t="str">
        <f t="shared" si="7"/>
        <v>10월분</v>
      </c>
      <c r="D22" s="24" t="s">
        <v>396</v>
      </c>
      <c r="E22" s="25">
        <f>SUMIFS(전체리스트!D:D,전체리스트!A:A,B22,전체리스트!C:C,D22)</f>
        <v>902880</v>
      </c>
      <c r="F22" s="26">
        <f t="shared" si="8"/>
        <v>0</v>
      </c>
      <c r="G22" s="27">
        <f>SUMIFS(전체리스트!E:E,전체리스트!A:A,B22,전체리스트!C:C,D22)</f>
        <v>902880</v>
      </c>
      <c r="H22" s="25">
        <f t="shared" si="2"/>
        <v>45144</v>
      </c>
      <c r="I22" s="28">
        <f t="shared" si="9"/>
        <v>857736</v>
      </c>
      <c r="J22" s="24"/>
    </row>
    <row r="23" spans="2:10">
      <c r="B23" s="29" t="s">
        <v>322</v>
      </c>
      <c r="C23" s="29"/>
      <c r="D23" s="30"/>
      <c r="E23" s="31">
        <f t="shared" ref="E23:J23" si="18">SUM(E6:E22)</f>
        <v>10846800</v>
      </c>
      <c r="F23" s="31">
        <f t="shared" si="18"/>
        <v>0</v>
      </c>
      <c r="G23" s="31">
        <f>SUM(G6:G22)</f>
        <v>10846800</v>
      </c>
      <c r="H23" s="31">
        <f t="shared" si="18"/>
        <v>542340</v>
      </c>
      <c r="I23" s="31">
        <f t="shared" si="18"/>
        <v>10304460</v>
      </c>
      <c r="J23" s="31">
        <f t="shared" si="18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4:J25"/>
  <sheetViews>
    <sheetView zoomScaleNormal="100" workbookViewId="0">
      <selection activeCell="H29" sqref="H29:H30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334</v>
      </c>
      <c r="C6" s="55" t="str">
        <f t="shared" ref="C6:C9" si="0">VLOOKUP(B6,raw_a,2,0)</f>
        <v>11월분</v>
      </c>
      <c r="D6" s="24" t="s">
        <v>46</v>
      </c>
      <c r="E6" s="25">
        <f>SUMIFS(전체리스트!D:D,전체리스트!A:A,B6,전체리스트!C:C,D6)</f>
        <v>647225</v>
      </c>
      <c r="F6" s="26">
        <f>E6-G6</f>
        <v>0</v>
      </c>
      <c r="G6" s="27">
        <f>SUMIFS(전체리스트!E:E,전체리스트!A:A,B6,전체리스트!C:C,D6)</f>
        <v>647225</v>
      </c>
      <c r="H6" s="25">
        <f>G6*0.05</f>
        <v>32361.25</v>
      </c>
      <c r="I6" s="28">
        <f>G6-H6</f>
        <v>614863.75</v>
      </c>
      <c r="J6" s="24"/>
    </row>
    <row r="7" spans="2:10">
      <c r="B7" s="24" t="s">
        <v>334</v>
      </c>
      <c r="C7" s="55" t="str">
        <f t="shared" si="0"/>
        <v>11월분</v>
      </c>
      <c r="D7" s="24" t="s">
        <v>361</v>
      </c>
      <c r="E7" s="25">
        <f>SUMIFS(전체리스트!D:D,전체리스트!A:A,B7,전체리스트!C:C,D7)</f>
        <v>159503</v>
      </c>
      <c r="F7" s="26">
        <f t="shared" ref="F7:F9" si="1">E7-G7</f>
        <v>0</v>
      </c>
      <c r="G7" s="27">
        <f>SUMIFS(전체리스트!E:E,전체리스트!A:A,B7,전체리스트!C:C,D7)</f>
        <v>159503</v>
      </c>
      <c r="H7" s="25">
        <f t="shared" ref="H7:H24" si="2">G7*0.05</f>
        <v>7975.1500000000005</v>
      </c>
      <c r="I7" s="28">
        <f t="shared" ref="I7:I9" si="3">G7-H7</f>
        <v>151527.85</v>
      </c>
      <c r="J7" s="24"/>
    </row>
    <row r="8" spans="2:10">
      <c r="B8" s="24" t="s">
        <v>334</v>
      </c>
      <c r="C8" s="55" t="str">
        <f t="shared" si="0"/>
        <v>11월분</v>
      </c>
      <c r="D8" s="24" t="s">
        <v>255</v>
      </c>
      <c r="E8" s="25">
        <f>SUMIFS(전체리스트!D:D,전체리스트!A:A,B8,전체리스트!C:C,D8)</f>
        <v>118465</v>
      </c>
      <c r="F8" s="26">
        <f t="shared" si="1"/>
        <v>0</v>
      </c>
      <c r="G8" s="27">
        <f>SUMIFS(전체리스트!E:E,전체리스트!A:A,B8,전체리스트!C:C,D8)</f>
        <v>118465</v>
      </c>
      <c r="H8" s="25">
        <f t="shared" si="2"/>
        <v>5923.25</v>
      </c>
      <c r="I8" s="28">
        <f t="shared" si="3"/>
        <v>112541.75</v>
      </c>
      <c r="J8" s="24"/>
    </row>
    <row r="9" spans="2:10">
      <c r="B9" s="24" t="s">
        <v>334</v>
      </c>
      <c r="C9" s="55" t="str">
        <f t="shared" si="0"/>
        <v>11월분</v>
      </c>
      <c r="D9" s="24" t="s">
        <v>140</v>
      </c>
      <c r="E9" s="25">
        <f>SUMIFS(전체리스트!D:D,전체리스트!A:A,B9,전체리스트!C:C,D9)</f>
        <v>115103</v>
      </c>
      <c r="F9" s="26">
        <f t="shared" si="1"/>
        <v>0</v>
      </c>
      <c r="G9" s="27">
        <f>SUMIFS(전체리스트!E:E,전체리스트!A:A,B9,전체리스트!C:C,D9)</f>
        <v>115103</v>
      </c>
      <c r="H9" s="25">
        <f t="shared" si="2"/>
        <v>5755.1500000000005</v>
      </c>
      <c r="I9" s="28">
        <f t="shared" si="3"/>
        <v>109347.85</v>
      </c>
      <c r="J9" s="24"/>
    </row>
    <row r="10" spans="2:10">
      <c r="B10" s="24" t="s">
        <v>334</v>
      </c>
      <c r="C10" s="55" t="str">
        <f>VLOOKUP(B10,raw_a,2,0)</f>
        <v>11월분</v>
      </c>
      <c r="D10" s="24" t="s">
        <v>44</v>
      </c>
      <c r="E10" s="25">
        <f>SUMIFS(전체리스트!D:D,전체리스트!A:A,B10,전체리스트!C:C,D10)</f>
        <v>107244</v>
      </c>
      <c r="F10" s="26">
        <f t="shared" ref="F10:F21" si="4">E10-G10</f>
        <v>0</v>
      </c>
      <c r="G10" s="27">
        <f>SUMIFS(전체리스트!E:E,전체리스트!A:A,B10,전체리스트!C:C,D10)</f>
        <v>107244</v>
      </c>
      <c r="H10" s="25">
        <f t="shared" ref="H10:H21" si="5">G10*0.05</f>
        <v>5362.2000000000007</v>
      </c>
      <c r="I10" s="28">
        <f t="shared" ref="I10:I21" si="6">G10-H10</f>
        <v>101881.8</v>
      </c>
      <c r="J10" s="24"/>
    </row>
    <row r="11" spans="2:10">
      <c r="B11" s="24" t="s">
        <v>334</v>
      </c>
      <c r="C11" s="55" t="str">
        <f t="shared" ref="C11:C16" si="7">VLOOKUP(B11,raw_a,2,0)</f>
        <v>11월분</v>
      </c>
      <c r="D11" s="24" t="s">
        <v>59</v>
      </c>
      <c r="E11" s="25">
        <f>SUMIFS(전체리스트!D:D,전체리스트!A:A,B11,전체리스트!C:C,D11)</f>
        <v>105113</v>
      </c>
      <c r="F11" s="26">
        <f t="shared" ref="F11:F16" si="8">E11-G11</f>
        <v>0</v>
      </c>
      <c r="G11" s="27">
        <f>SUMIFS(전체리스트!E:E,전체리스트!A:A,B11,전체리스트!C:C,D11)</f>
        <v>105113</v>
      </c>
      <c r="H11" s="25">
        <f t="shared" ref="H11:H16" si="9">G11*0.05</f>
        <v>5255.6500000000005</v>
      </c>
      <c r="I11" s="28">
        <f t="shared" ref="I11:I16" si="10">G11-H11</f>
        <v>99857.35</v>
      </c>
      <c r="J11" s="24"/>
    </row>
    <row r="12" spans="2:10">
      <c r="B12" s="24" t="s">
        <v>334</v>
      </c>
      <c r="C12" s="55" t="str">
        <f t="shared" si="7"/>
        <v>11월분</v>
      </c>
      <c r="D12" s="24" t="s">
        <v>58</v>
      </c>
      <c r="E12" s="25">
        <f>SUMIFS(전체리스트!D:D,전체리스트!A:A,B12,전체리스트!C:C,D12)</f>
        <v>86669</v>
      </c>
      <c r="F12" s="26">
        <f t="shared" si="8"/>
        <v>0</v>
      </c>
      <c r="G12" s="27">
        <f>SUMIFS(전체리스트!E:E,전체리스트!A:A,B12,전체리스트!C:C,D12)</f>
        <v>86669</v>
      </c>
      <c r="H12" s="25">
        <f t="shared" si="9"/>
        <v>4333.45</v>
      </c>
      <c r="I12" s="28">
        <f t="shared" si="10"/>
        <v>82335.55</v>
      </c>
      <c r="J12" s="24"/>
    </row>
    <row r="13" spans="2:10">
      <c r="B13" s="24" t="s">
        <v>334</v>
      </c>
      <c r="C13" s="55" t="str">
        <f t="shared" si="7"/>
        <v>11월분</v>
      </c>
      <c r="D13" s="24" t="s">
        <v>55</v>
      </c>
      <c r="E13" s="25">
        <f>SUMIFS(전체리스트!D:D,전체리스트!A:A,B13,전체리스트!C:C,D13)</f>
        <v>77579</v>
      </c>
      <c r="F13" s="26">
        <f t="shared" si="8"/>
        <v>0</v>
      </c>
      <c r="G13" s="27">
        <f>SUMIFS(전체리스트!E:E,전체리스트!A:A,B13,전체리스트!C:C,D13)</f>
        <v>77579</v>
      </c>
      <c r="H13" s="25">
        <f t="shared" si="9"/>
        <v>3878.9500000000003</v>
      </c>
      <c r="I13" s="28">
        <f t="shared" si="10"/>
        <v>73700.05</v>
      </c>
      <c r="J13" s="24"/>
    </row>
    <row r="14" spans="2:10">
      <c r="B14" s="24" t="s">
        <v>334</v>
      </c>
      <c r="C14" s="55" t="str">
        <f t="shared" si="7"/>
        <v>11월분</v>
      </c>
      <c r="D14" s="24" t="s">
        <v>36</v>
      </c>
      <c r="E14" s="25">
        <f>SUMIFS(전체리스트!D:D,전체리스트!A:A,B14,전체리스트!C:C,D14)</f>
        <v>53366</v>
      </c>
      <c r="F14" s="26">
        <f t="shared" si="8"/>
        <v>0</v>
      </c>
      <c r="G14" s="27">
        <f>SUMIFS(전체리스트!E:E,전체리스트!A:A,B14,전체리스트!C:C,D14)</f>
        <v>53366</v>
      </c>
      <c r="H14" s="25">
        <f t="shared" si="9"/>
        <v>2668.3</v>
      </c>
      <c r="I14" s="28">
        <f t="shared" si="10"/>
        <v>50697.7</v>
      </c>
      <c r="J14" s="24"/>
    </row>
    <row r="15" spans="2:10">
      <c r="B15" s="24" t="s">
        <v>334</v>
      </c>
      <c r="C15" s="55" t="str">
        <f t="shared" si="7"/>
        <v>11월분</v>
      </c>
      <c r="D15" s="24" t="s">
        <v>130</v>
      </c>
      <c r="E15" s="25">
        <f>SUMIFS(전체리스트!D:D,전체리스트!A:A,B15,전체리스트!C:C,D15)</f>
        <v>51124</v>
      </c>
      <c r="F15" s="26">
        <f t="shared" si="8"/>
        <v>0</v>
      </c>
      <c r="G15" s="27">
        <f>SUMIFS(전체리스트!E:E,전체리스트!A:A,B15,전체리스트!C:C,D15)</f>
        <v>51124</v>
      </c>
      <c r="H15" s="25">
        <f t="shared" si="9"/>
        <v>2556.2000000000003</v>
      </c>
      <c r="I15" s="28">
        <f t="shared" si="10"/>
        <v>48567.8</v>
      </c>
      <c r="J15" s="24"/>
    </row>
    <row r="16" spans="2:10">
      <c r="B16" s="24" t="s">
        <v>334</v>
      </c>
      <c r="C16" s="55" t="str">
        <f t="shared" si="7"/>
        <v>11월분</v>
      </c>
      <c r="D16" s="24" t="s">
        <v>466</v>
      </c>
      <c r="E16" s="25">
        <f>SUMIFS(전체리스트!D:D,전체리스트!A:A,B16,전체리스트!C:C,D16)</f>
        <v>46669</v>
      </c>
      <c r="F16" s="26">
        <f t="shared" si="8"/>
        <v>0</v>
      </c>
      <c r="G16" s="27">
        <f>SUMIFS(전체리스트!E:E,전체리스트!A:A,B16,전체리스트!C:C,D16)</f>
        <v>46669</v>
      </c>
      <c r="H16" s="25">
        <f t="shared" si="9"/>
        <v>2333.4500000000003</v>
      </c>
      <c r="I16" s="28">
        <f t="shared" si="10"/>
        <v>44335.55</v>
      </c>
      <c r="J16" s="24"/>
    </row>
    <row r="17" spans="2:10">
      <c r="B17" s="24" t="s">
        <v>334</v>
      </c>
      <c r="C17" s="55" t="str">
        <f t="shared" ref="C17:C21" si="11">VLOOKUP(B17,raw_a,2,0)</f>
        <v>11월분</v>
      </c>
      <c r="D17" s="24" t="s">
        <v>64</v>
      </c>
      <c r="E17" s="25">
        <f>SUMIFS(전체리스트!D:D,전체리스트!A:A,B17,전체리스트!C:C,D17)</f>
        <v>35932</v>
      </c>
      <c r="F17" s="26">
        <f t="shared" si="4"/>
        <v>0</v>
      </c>
      <c r="G17" s="27">
        <f>SUMIFS(전체리스트!E:E,전체리스트!A:A,B17,전체리스트!C:C,D17)</f>
        <v>35932</v>
      </c>
      <c r="H17" s="25">
        <f t="shared" si="5"/>
        <v>1796.6000000000001</v>
      </c>
      <c r="I17" s="28">
        <f t="shared" si="6"/>
        <v>34135.4</v>
      </c>
      <c r="J17" s="24"/>
    </row>
    <row r="18" spans="2:10">
      <c r="B18" s="24" t="s">
        <v>334</v>
      </c>
      <c r="C18" s="55" t="str">
        <f t="shared" si="11"/>
        <v>11월분</v>
      </c>
      <c r="D18" s="24" t="s">
        <v>467</v>
      </c>
      <c r="E18" s="25">
        <f>SUMIFS(전체리스트!D:D,전체리스트!A:A,B18,전체리스트!C:C,D18)</f>
        <v>17862</v>
      </c>
      <c r="F18" s="26">
        <f t="shared" si="4"/>
        <v>0</v>
      </c>
      <c r="G18" s="27">
        <f>SUMIFS(전체리스트!E:E,전체리스트!A:A,B18,전체리스트!C:C,D18)</f>
        <v>17862</v>
      </c>
      <c r="H18" s="25">
        <f t="shared" si="5"/>
        <v>893.1</v>
      </c>
      <c r="I18" s="28">
        <f t="shared" si="6"/>
        <v>16968.900000000001</v>
      </c>
      <c r="J18" s="24"/>
    </row>
    <row r="19" spans="2:10">
      <c r="B19" s="24" t="s">
        <v>334</v>
      </c>
      <c r="C19" s="55" t="str">
        <f t="shared" si="11"/>
        <v>11월분</v>
      </c>
      <c r="D19" s="24" t="s">
        <v>23</v>
      </c>
      <c r="E19" s="25">
        <f>SUMIFS(전체리스트!D:D,전체리스트!A:A,B19,전체리스트!C:C,D19)</f>
        <v>17074</v>
      </c>
      <c r="F19" s="26">
        <f t="shared" si="4"/>
        <v>0</v>
      </c>
      <c r="G19" s="27">
        <f>SUMIFS(전체리스트!E:E,전체리스트!A:A,B19,전체리스트!C:C,D19)</f>
        <v>17074</v>
      </c>
      <c r="H19" s="25">
        <f t="shared" si="5"/>
        <v>853.7</v>
      </c>
      <c r="I19" s="28">
        <f t="shared" si="6"/>
        <v>16220.3</v>
      </c>
      <c r="J19" s="24"/>
    </row>
    <row r="20" spans="2:10">
      <c r="B20" s="24" t="s">
        <v>334</v>
      </c>
      <c r="C20" s="55" t="str">
        <f t="shared" si="11"/>
        <v>11월분</v>
      </c>
      <c r="D20" s="24" t="s">
        <v>124</v>
      </c>
      <c r="E20" s="25">
        <f>SUMIFS(전체리스트!D:D,전체리스트!A:A,B20,전체리스트!C:C,D20)</f>
        <v>14307</v>
      </c>
      <c r="F20" s="26">
        <f t="shared" si="4"/>
        <v>0</v>
      </c>
      <c r="G20" s="27">
        <f>SUMIFS(전체리스트!E:E,전체리스트!A:A,B20,전체리스트!C:C,D20)</f>
        <v>14307</v>
      </c>
      <c r="H20" s="25">
        <f t="shared" si="5"/>
        <v>715.35</v>
      </c>
      <c r="I20" s="28">
        <f t="shared" si="6"/>
        <v>13591.65</v>
      </c>
      <c r="J20" s="24"/>
    </row>
    <row r="21" spans="2:10">
      <c r="B21" s="24" t="s">
        <v>334</v>
      </c>
      <c r="C21" s="55" t="str">
        <f t="shared" si="11"/>
        <v>11월분</v>
      </c>
      <c r="D21" s="24" t="s">
        <v>372</v>
      </c>
      <c r="E21" s="25">
        <f>SUMIFS(전체리스트!D:D,전체리스트!A:A,B21,전체리스트!C:C,D21)</f>
        <v>12909</v>
      </c>
      <c r="F21" s="26">
        <f t="shared" si="4"/>
        <v>0</v>
      </c>
      <c r="G21" s="27">
        <f>SUMIFS(전체리스트!E:E,전체리스트!A:A,B21,전체리스트!C:C,D21)</f>
        <v>12909</v>
      </c>
      <c r="H21" s="25">
        <f t="shared" si="5"/>
        <v>645.45000000000005</v>
      </c>
      <c r="I21" s="28">
        <f t="shared" si="6"/>
        <v>12263.55</v>
      </c>
      <c r="J21" s="24"/>
    </row>
    <row r="22" spans="2:10">
      <c r="B22" s="96" t="s">
        <v>141</v>
      </c>
      <c r="C22" s="55" t="str">
        <f t="shared" ref="C22:C23" si="12">VLOOKUP(B22,raw_a,2,0)</f>
        <v>11월분</v>
      </c>
      <c r="D22" s="24" t="s">
        <v>59</v>
      </c>
      <c r="E22" s="25">
        <f>SUMIFS(전체리스트!D:D,전체리스트!A:A,B22,전체리스트!C:C,D22)</f>
        <v>125549</v>
      </c>
      <c r="F22" s="26">
        <f t="shared" ref="F22:F23" si="13">E22-G22</f>
        <v>0</v>
      </c>
      <c r="G22" s="27">
        <f>SUMIFS(전체리스트!E:E,전체리스트!A:A,B22,전체리스트!C:C,D22)</f>
        <v>125549</v>
      </c>
      <c r="H22" s="25">
        <f t="shared" si="2"/>
        <v>6277.4500000000007</v>
      </c>
      <c r="I22" s="28">
        <f t="shared" ref="I22:I23" si="14">G22-H22</f>
        <v>119271.55</v>
      </c>
      <c r="J22" s="24"/>
    </row>
    <row r="23" spans="2:10">
      <c r="B23" s="96" t="s">
        <v>141</v>
      </c>
      <c r="C23" s="55" t="str">
        <f t="shared" si="12"/>
        <v>11월분</v>
      </c>
      <c r="D23" s="24" t="s">
        <v>44</v>
      </c>
      <c r="E23" s="25">
        <f>SUMIFS(전체리스트!D:D,전체리스트!A:A,B23,전체리스트!C:C,D23)</f>
        <v>54099</v>
      </c>
      <c r="F23" s="26">
        <f t="shared" si="13"/>
        <v>0</v>
      </c>
      <c r="G23" s="27">
        <f>SUMIFS(전체리스트!E:E,전체리스트!A:A,B23,전체리스트!C:C,D23)</f>
        <v>54099</v>
      </c>
      <c r="H23" s="25">
        <f t="shared" ref="H23" si="15">G23*0.05</f>
        <v>2704.9500000000003</v>
      </c>
      <c r="I23" s="28">
        <f t="shared" si="14"/>
        <v>51394.05</v>
      </c>
      <c r="J23" s="24"/>
    </row>
    <row r="24" spans="2:10">
      <c r="B24" s="96" t="s">
        <v>141</v>
      </c>
      <c r="C24" s="55" t="str">
        <f t="shared" ref="C24" si="16">VLOOKUP(B24,raw_a,2,0)</f>
        <v>11월분</v>
      </c>
      <c r="D24" s="24" t="s">
        <v>465</v>
      </c>
      <c r="E24" s="25">
        <f>SUMIFS(전체리스트!D:D,전체리스트!A:A,B24,전체리스트!C:C,D24)</f>
        <v>105473</v>
      </c>
      <c r="F24" s="26">
        <f t="shared" ref="F24" si="17">E24-G24</f>
        <v>0</v>
      </c>
      <c r="G24" s="27">
        <f>SUMIFS(전체리스트!E:E,전체리스트!A:A,B24,전체리스트!C:C,D24)</f>
        <v>105473</v>
      </c>
      <c r="H24" s="25">
        <f t="shared" si="2"/>
        <v>5273.6500000000005</v>
      </c>
      <c r="I24" s="28">
        <f t="shared" ref="I24" si="18">G24-H24</f>
        <v>100199.35</v>
      </c>
      <c r="J24" s="24"/>
    </row>
    <row r="25" spans="2:10">
      <c r="B25" s="29" t="s">
        <v>322</v>
      </c>
      <c r="C25" s="29"/>
      <c r="D25" s="30"/>
      <c r="E25" s="31">
        <f>SUM(E6:E24)</f>
        <v>1951265</v>
      </c>
      <c r="F25" s="31">
        <f t="shared" ref="F25:J25" si="19">SUM(F6:F24)</f>
        <v>0</v>
      </c>
      <c r="G25" s="31">
        <f>SUM(G6:G24)</f>
        <v>1951265</v>
      </c>
      <c r="H25" s="31">
        <f>SUM(H6:H24)</f>
        <v>97563.25</v>
      </c>
      <c r="I25" s="31">
        <f t="shared" si="19"/>
        <v>1853701.7500000002</v>
      </c>
      <c r="J25" s="31">
        <f t="shared" si="1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4:J24"/>
  <sheetViews>
    <sheetView workbookViewId="0">
      <selection activeCell="G29" sqref="G29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142</v>
      </c>
      <c r="C6" s="55" t="str">
        <f t="shared" ref="C6:C15" si="0">VLOOKUP(B6,raw_a,2,0)</f>
        <v>11월분</v>
      </c>
      <c r="D6" s="24" t="s">
        <v>55</v>
      </c>
      <c r="E6" s="25">
        <f>SUMIFS(전체리스트!D:D,전체리스트!A:A,B6,전체리스트!C:C,D6)</f>
        <v>71333</v>
      </c>
      <c r="F6" s="26">
        <f>E6-G6</f>
        <v>0</v>
      </c>
      <c r="G6" s="27">
        <f>SUMIFS(전체리스트!E:E,전체리스트!A:A,B6,전체리스트!C:C,D6)</f>
        <v>71333</v>
      </c>
      <c r="H6" s="25">
        <f>G6*0.05</f>
        <v>3566.65</v>
      </c>
      <c r="I6" s="28">
        <f>G6-H6</f>
        <v>67766.350000000006</v>
      </c>
      <c r="J6" s="24"/>
    </row>
    <row r="7" spans="2:10">
      <c r="B7" s="24" t="s">
        <v>142</v>
      </c>
      <c r="C7" s="55" t="str">
        <f t="shared" si="0"/>
        <v>11월분</v>
      </c>
      <c r="D7" s="24" t="s">
        <v>143</v>
      </c>
      <c r="E7" s="25">
        <f>SUMIFS(전체리스트!D:D,전체리스트!A:A,B7,전체리스트!C:C,D7)</f>
        <v>715297</v>
      </c>
      <c r="F7" s="26">
        <f t="shared" ref="F7:F15" si="1">E7-G7</f>
        <v>0</v>
      </c>
      <c r="G7" s="27">
        <f>SUMIFS(전체리스트!E:E,전체리스트!A:A,B7,전체리스트!C:C,D7)</f>
        <v>715297</v>
      </c>
      <c r="H7" s="25">
        <f t="shared" ref="H7:H14" si="2">G7*0.05</f>
        <v>35764.85</v>
      </c>
      <c r="I7" s="28">
        <f t="shared" ref="I7:I15" si="3">G7-H7</f>
        <v>679532.15</v>
      </c>
      <c r="J7" s="24"/>
    </row>
    <row r="8" spans="2:10">
      <c r="B8" s="24" t="s">
        <v>142</v>
      </c>
      <c r="C8" s="55" t="str">
        <f t="shared" si="0"/>
        <v>11월분</v>
      </c>
      <c r="D8" s="24" t="s">
        <v>62</v>
      </c>
      <c r="E8" s="25">
        <f>SUMIFS(전체리스트!D:D,전체리스트!A:A,B8,전체리스트!C:C,D8)</f>
        <v>3115</v>
      </c>
      <c r="F8" s="26">
        <f t="shared" si="1"/>
        <v>0</v>
      </c>
      <c r="G8" s="27">
        <f>SUMIFS(전체리스트!E:E,전체리스트!A:A,B8,전체리스트!C:C,D8)</f>
        <v>3115</v>
      </c>
      <c r="H8" s="25">
        <f t="shared" si="2"/>
        <v>155.75</v>
      </c>
      <c r="I8" s="28">
        <f t="shared" si="3"/>
        <v>2959.25</v>
      </c>
      <c r="J8" s="24"/>
    </row>
    <row r="9" spans="2:10">
      <c r="B9" s="24" t="s">
        <v>142</v>
      </c>
      <c r="C9" s="55" t="str">
        <f t="shared" si="0"/>
        <v>11월분</v>
      </c>
      <c r="D9" s="24" t="s">
        <v>484</v>
      </c>
      <c r="E9" s="25">
        <f>SUMIFS(전체리스트!D:D,전체리스트!A:A,B9,전체리스트!C:C,D9)</f>
        <v>863</v>
      </c>
      <c r="F9" s="26">
        <f t="shared" si="1"/>
        <v>0</v>
      </c>
      <c r="G9" s="27">
        <f>SUMIFS(전체리스트!E:E,전체리스트!A:A,B9,전체리스트!C:C,D9)</f>
        <v>863</v>
      </c>
      <c r="H9" s="25">
        <f t="shared" si="2"/>
        <v>43.150000000000006</v>
      </c>
      <c r="I9" s="28">
        <f t="shared" si="3"/>
        <v>819.85</v>
      </c>
      <c r="J9" s="24"/>
    </row>
    <row r="10" spans="2:10">
      <c r="B10" s="24" t="s">
        <v>142</v>
      </c>
      <c r="C10" s="55" t="str">
        <f t="shared" si="0"/>
        <v>11월분</v>
      </c>
      <c r="D10" s="24" t="s">
        <v>115</v>
      </c>
      <c r="E10" s="25">
        <f>SUMIFS(전체리스트!D:D,전체리스트!A:A,B10,전체리스트!C:C,D10)</f>
        <v>115954</v>
      </c>
      <c r="F10" s="26">
        <f t="shared" si="1"/>
        <v>0</v>
      </c>
      <c r="G10" s="27">
        <f>SUMIFS(전체리스트!E:E,전체리스트!A:A,B10,전체리스트!C:C,D10)</f>
        <v>115954</v>
      </c>
      <c r="H10" s="25">
        <f t="shared" si="2"/>
        <v>5797.7000000000007</v>
      </c>
      <c r="I10" s="28">
        <f t="shared" si="3"/>
        <v>110156.3</v>
      </c>
      <c r="J10" s="24"/>
    </row>
    <row r="11" spans="2:10">
      <c r="B11" s="24" t="s">
        <v>142</v>
      </c>
      <c r="C11" s="55" t="str">
        <f t="shared" si="0"/>
        <v>11월분</v>
      </c>
      <c r="D11" s="24" t="s">
        <v>91</v>
      </c>
      <c r="E11" s="25">
        <f>SUMIFS(전체리스트!D:D,전체리스트!A:A,B11,전체리스트!C:C,D11)</f>
        <v>104338</v>
      </c>
      <c r="F11" s="26">
        <f t="shared" si="1"/>
        <v>0</v>
      </c>
      <c r="G11" s="27">
        <f>SUMIFS(전체리스트!E:E,전체리스트!A:A,B11,전체리스트!C:C,D11)</f>
        <v>104338</v>
      </c>
      <c r="H11" s="25">
        <f t="shared" si="2"/>
        <v>5216.9000000000005</v>
      </c>
      <c r="I11" s="28">
        <f t="shared" si="3"/>
        <v>99121.1</v>
      </c>
      <c r="J11" s="24"/>
    </row>
    <row r="12" spans="2:10">
      <c r="B12" s="24" t="s">
        <v>142</v>
      </c>
      <c r="C12" s="55" t="str">
        <f t="shared" si="0"/>
        <v>11월분</v>
      </c>
      <c r="D12" s="24" t="s">
        <v>88</v>
      </c>
      <c r="E12" s="25">
        <f>SUMIFS(전체리스트!D:D,전체리스트!A:A,B12,전체리스트!C:C,D12)</f>
        <v>34096</v>
      </c>
      <c r="F12" s="26">
        <f t="shared" si="1"/>
        <v>0</v>
      </c>
      <c r="G12" s="27">
        <f>SUMIFS(전체리스트!E:E,전체리스트!A:A,B12,전체리스트!C:C,D12)</f>
        <v>34096</v>
      </c>
      <c r="H12" s="25">
        <f t="shared" si="2"/>
        <v>1704.8000000000002</v>
      </c>
      <c r="I12" s="28">
        <f t="shared" si="3"/>
        <v>32391.200000000001</v>
      </c>
      <c r="J12" s="24"/>
    </row>
    <row r="13" spans="2:10">
      <c r="B13" s="24" t="s">
        <v>142</v>
      </c>
      <c r="C13" s="55" t="str">
        <f t="shared" si="0"/>
        <v>11월분</v>
      </c>
      <c r="D13" s="24" t="s">
        <v>23</v>
      </c>
      <c r="E13" s="25">
        <f>SUMIFS(전체리스트!D:D,전체리스트!A:A,B13,전체리스트!C:C,D13)</f>
        <v>11858</v>
      </c>
      <c r="F13" s="26">
        <f t="shared" si="1"/>
        <v>0</v>
      </c>
      <c r="G13" s="27">
        <f>SUMIFS(전체리스트!E:E,전체리스트!A:A,B13,전체리스트!C:C,D13)</f>
        <v>11858</v>
      </c>
      <c r="H13" s="25">
        <f t="shared" si="2"/>
        <v>592.9</v>
      </c>
      <c r="I13" s="28">
        <f t="shared" si="3"/>
        <v>11265.1</v>
      </c>
      <c r="J13" s="24"/>
    </row>
    <row r="14" spans="2:10">
      <c r="B14" s="24" t="s">
        <v>142</v>
      </c>
      <c r="C14" s="55" t="str">
        <f t="shared" si="0"/>
        <v>11월분</v>
      </c>
      <c r="D14" s="24" t="s">
        <v>66</v>
      </c>
      <c r="E14" s="25">
        <f>SUMIFS(전체리스트!D:D,전체리스트!A:A,B14,전체리스트!C:C,D14)</f>
        <v>97767</v>
      </c>
      <c r="F14" s="26">
        <f t="shared" si="1"/>
        <v>0</v>
      </c>
      <c r="G14" s="27">
        <f>SUMIFS(전체리스트!E:E,전체리스트!A:A,B14,전체리스트!C:C,D14)</f>
        <v>97767</v>
      </c>
      <c r="H14" s="25">
        <f t="shared" si="2"/>
        <v>4888.3500000000004</v>
      </c>
      <c r="I14" s="28">
        <f t="shared" si="3"/>
        <v>92878.65</v>
      </c>
      <c r="J14" s="24"/>
    </row>
    <row r="15" spans="2:10">
      <c r="B15" s="24" t="s">
        <v>142</v>
      </c>
      <c r="C15" s="55" t="str">
        <f t="shared" si="0"/>
        <v>11월분</v>
      </c>
      <c r="D15" s="24" t="s">
        <v>144</v>
      </c>
      <c r="E15" s="25">
        <f>SUMIFS(전체리스트!D:D,전체리스트!A:A,B15,전체리스트!C:C,D15)</f>
        <v>9662839</v>
      </c>
      <c r="F15" s="26">
        <f t="shared" si="1"/>
        <v>0</v>
      </c>
      <c r="G15" s="27">
        <f>SUMIFS(전체리스트!E:E,전체리스트!A:A,B15,전체리스트!C:C,D15)</f>
        <v>9662839</v>
      </c>
      <c r="H15" s="25">
        <f t="shared" ref="H15" si="4">G15*0.05</f>
        <v>483141.95</v>
      </c>
      <c r="I15" s="28">
        <f t="shared" si="3"/>
        <v>9179697.0500000007</v>
      </c>
      <c r="J15" s="24"/>
    </row>
    <row r="16" spans="2:10">
      <c r="B16" s="24" t="s">
        <v>142</v>
      </c>
      <c r="C16" s="55" t="str">
        <f t="shared" ref="C16:C23" si="5">VLOOKUP(B16,raw_a,2,0)</f>
        <v>11월분</v>
      </c>
      <c r="D16" s="24" t="s">
        <v>36</v>
      </c>
      <c r="E16" s="25">
        <f>SUMIFS(전체리스트!D:D,전체리스트!A:A,B16,전체리스트!C:C,D16)</f>
        <v>75444</v>
      </c>
      <c r="F16" s="26">
        <f t="shared" ref="F16:F23" si="6">E16-G16</f>
        <v>0</v>
      </c>
      <c r="G16" s="27">
        <f>SUMIFS(전체리스트!E:E,전체리스트!A:A,B16,전체리스트!C:C,D16)</f>
        <v>75444</v>
      </c>
      <c r="H16" s="25">
        <f t="shared" ref="H16:H23" si="7">G16*0.05</f>
        <v>3772.2000000000003</v>
      </c>
      <c r="I16" s="28">
        <f t="shared" ref="I16:I23" si="8">G16-H16</f>
        <v>71671.8</v>
      </c>
      <c r="J16" s="24"/>
    </row>
    <row r="17" spans="2:10">
      <c r="B17" s="24" t="s">
        <v>142</v>
      </c>
      <c r="C17" s="55" t="str">
        <f t="shared" si="5"/>
        <v>11월분</v>
      </c>
      <c r="D17" s="24" t="s">
        <v>43</v>
      </c>
      <c r="E17" s="25">
        <f>SUMIFS(전체리스트!D:D,전체리스트!A:A,B17,전체리스트!C:C,D17)</f>
        <v>299693</v>
      </c>
      <c r="F17" s="26">
        <f t="shared" si="6"/>
        <v>0</v>
      </c>
      <c r="G17" s="27">
        <f>SUMIFS(전체리스트!E:E,전체리스트!A:A,B17,전체리스트!C:C,D17)</f>
        <v>299693</v>
      </c>
      <c r="H17" s="25">
        <f t="shared" si="7"/>
        <v>14984.650000000001</v>
      </c>
      <c r="I17" s="28">
        <f t="shared" si="8"/>
        <v>284708.34999999998</v>
      </c>
      <c r="J17" s="24"/>
    </row>
    <row r="18" spans="2:10">
      <c r="B18" s="24" t="s">
        <v>142</v>
      </c>
      <c r="C18" s="55" t="str">
        <f t="shared" si="5"/>
        <v>11월분</v>
      </c>
      <c r="D18" s="24" t="s">
        <v>146</v>
      </c>
      <c r="E18" s="25">
        <f>SUMIFS(전체리스트!D:D,전체리스트!A:A,B18,전체리스트!C:C,D18)</f>
        <v>262508</v>
      </c>
      <c r="F18" s="26">
        <f t="shared" si="6"/>
        <v>0</v>
      </c>
      <c r="G18" s="27">
        <f>SUMIFS(전체리스트!E:E,전체리스트!A:A,B18,전체리스트!C:C,D18)</f>
        <v>262508</v>
      </c>
      <c r="H18" s="25">
        <f t="shared" si="7"/>
        <v>13125.400000000001</v>
      </c>
      <c r="I18" s="28">
        <f t="shared" si="8"/>
        <v>249382.6</v>
      </c>
      <c r="J18" s="24"/>
    </row>
    <row r="19" spans="2:10">
      <c r="B19" s="24" t="s">
        <v>142</v>
      </c>
      <c r="C19" s="55" t="str">
        <f t="shared" si="5"/>
        <v>11월분</v>
      </c>
      <c r="D19" s="24" t="s">
        <v>44</v>
      </c>
      <c r="E19" s="25">
        <f>SUMIFS(전체리스트!D:D,전체리스트!A:A,B19,전체리스트!C:C,D19)</f>
        <v>22558</v>
      </c>
      <c r="F19" s="26">
        <f t="shared" si="6"/>
        <v>0</v>
      </c>
      <c r="G19" s="27">
        <f>SUMIFS(전체리스트!E:E,전체리스트!A:A,B19,전체리스트!C:C,D19)</f>
        <v>22558</v>
      </c>
      <c r="H19" s="25">
        <f t="shared" si="7"/>
        <v>1127.9000000000001</v>
      </c>
      <c r="I19" s="28">
        <f t="shared" si="8"/>
        <v>21430.1</v>
      </c>
      <c r="J19" s="24"/>
    </row>
    <row r="20" spans="2:10">
      <c r="B20" s="24" t="s">
        <v>142</v>
      </c>
      <c r="C20" s="55" t="str">
        <f t="shared" si="5"/>
        <v>11월분</v>
      </c>
      <c r="D20" s="24" t="s">
        <v>53</v>
      </c>
      <c r="E20" s="25">
        <f>SUMIFS(전체리스트!D:D,전체리스트!A:A,B20,전체리스트!C:C,D20)</f>
        <v>195790</v>
      </c>
      <c r="F20" s="26">
        <f t="shared" si="6"/>
        <v>0</v>
      </c>
      <c r="G20" s="27">
        <f>SUMIFS(전체리스트!E:E,전체리스트!A:A,B20,전체리스트!C:C,D20)</f>
        <v>195790</v>
      </c>
      <c r="H20" s="25">
        <f t="shared" si="7"/>
        <v>9789.5</v>
      </c>
      <c r="I20" s="28">
        <f t="shared" si="8"/>
        <v>186000.5</v>
      </c>
      <c r="J20" s="24"/>
    </row>
    <row r="21" spans="2:10">
      <c r="B21" s="24" t="s">
        <v>142</v>
      </c>
      <c r="C21" s="55" t="str">
        <f t="shared" si="5"/>
        <v>11월분</v>
      </c>
      <c r="D21" s="24" t="s">
        <v>485</v>
      </c>
      <c r="E21" s="25">
        <f>SUMIFS(전체리스트!D:D,전체리스트!A:A,B21,전체리스트!C:C,D21)</f>
        <v>42436</v>
      </c>
      <c r="F21" s="26">
        <f t="shared" si="6"/>
        <v>0</v>
      </c>
      <c r="G21" s="27">
        <f>SUMIFS(전체리스트!E:E,전체리스트!A:A,B21,전체리스트!C:C,D21)</f>
        <v>42436</v>
      </c>
      <c r="H21" s="25">
        <f t="shared" si="7"/>
        <v>2121.8000000000002</v>
      </c>
      <c r="I21" s="28">
        <f t="shared" si="8"/>
        <v>40314.199999999997</v>
      </c>
      <c r="J21" s="24"/>
    </row>
    <row r="22" spans="2:10">
      <c r="B22" s="24" t="s">
        <v>142</v>
      </c>
      <c r="C22" s="55" t="str">
        <f t="shared" si="5"/>
        <v>11월분</v>
      </c>
      <c r="D22" s="24" t="s">
        <v>45</v>
      </c>
      <c r="E22" s="25">
        <f>SUMIFS(전체리스트!D:D,전체리스트!A:A,B22,전체리스트!C:C,D22)</f>
        <v>151651</v>
      </c>
      <c r="F22" s="26">
        <f t="shared" si="6"/>
        <v>0</v>
      </c>
      <c r="G22" s="27">
        <f>SUMIFS(전체리스트!E:E,전체리스트!A:A,B22,전체리스트!C:C,D22)</f>
        <v>151651</v>
      </c>
      <c r="H22" s="25">
        <f t="shared" si="7"/>
        <v>7582.55</v>
      </c>
      <c r="I22" s="28">
        <f t="shared" si="8"/>
        <v>144068.45000000001</v>
      </c>
      <c r="J22" s="24"/>
    </row>
    <row r="23" spans="2:10">
      <c r="B23" s="24" t="s">
        <v>142</v>
      </c>
      <c r="C23" s="55" t="str">
        <f t="shared" si="5"/>
        <v>11월분</v>
      </c>
      <c r="D23" s="24" t="s">
        <v>139</v>
      </c>
      <c r="E23" s="25">
        <f>SUMIFS(전체리스트!D:D,전체리스트!A:A,B23,전체리스트!C:C,D23)</f>
        <v>192839</v>
      </c>
      <c r="F23" s="26">
        <f t="shared" si="6"/>
        <v>0</v>
      </c>
      <c r="G23" s="27">
        <f>SUMIFS(전체리스트!E:E,전체리스트!A:A,B23,전체리스트!C:C,D23)</f>
        <v>192839</v>
      </c>
      <c r="H23" s="25">
        <f t="shared" si="7"/>
        <v>9641.9500000000007</v>
      </c>
      <c r="I23" s="28">
        <f t="shared" si="8"/>
        <v>183197.05</v>
      </c>
      <c r="J23" s="24"/>
    </row>
    <row r="24" spans="2:10">
      <c r="B24" s="29" t="s">
        <v>322</v>
      </c>
      <c r="C24" s="29"/>
      <c r="D24" s="30"/>
      <c r="E24" s="31">
        <f t="shared" ref="E24:J24" si="9">SUM(E6:E23)</f>
        <v>12060379</v>
      </c>
      <c r="F24" s="31">
        <f t="shared" si="9"/>
        <v>0</v>
      </c>
      <c r="G24" s="31">
        <f t="shared" si="9"/>
        <v>12060379</v>
      </c>
      <c r="H24" s="31">
        <f t="shared" si="9"/>
        <v>603018.95000000007</v>
      </c>
      <c r="I24" s="31">
        <f t="shared" si="9"/>
        <v>11457360.049999999</v>
      </c>
      <c r="J24" s="31">
        <f t="shared" si="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4:J16"/>
  <sheetViews>
    <sheetView workbookViewId="0">
      <selection activeCell="C29" sqref="C29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147</v>
      </c>
      <c r="C6" s="55" t="str">
        <f t="shared" ref="C6:C14" si="0">VLOOKUP(B6,raw_a,2,0)</f>
        <v>8월분</v>
      </c>
      <c r="D6" s="24" t="s">
        <v>145</v>
      </c>
      <c r="E6" s="25">
        <f>SUMIFS(전체리스트!D:D,전체리스트!A:A,B6,전체리스트!C:C,D6)</f>
        <v>212</v>
      </c>
      <c r="F6" s="26">
        <f>E6-G6</f>
        <v>0</v>
      </c>
      <c r="G6" s="27">
        <f>SUMIFS(전체리스트!E:E,전체리스트!A:A,B6,전체리스트!C:C,D6)</f>
        <v>212</v>
      </c>
      <c r="H6" s="25">
        <f>G6*0.05</f>
        <v>10.600000000000001</v>
      </c>
      <c r="I6" s="28">
        <f>G6-H6</f>
        <v>201.4</v>
      </c>
      <c r="J6" s="24"/>
    </row>
    <row r="7" spans="2:10">
      <c r="B7" s="24" t="s">
        <v>147</v>
      </c>
      <c r="C7" s="55" t="str">
        <f t="shared" si="0"/>
        <v>8월분</v>
      </c>
      <c r="D7" s="24" t="s">
        <v>91</v>
      </c>
      <c r="E7" s="25">
        <f>SUMIFS(전체리스트!D:D,전체리스트!A:A,B7,전체리스트!C:C,D7)</f>
        <v>9315</v>
      </c>
      <c r="F7" s="26">
        <f t="shared" ref="F7:F14" si="1">E7-G7</f>
        <v>0</v>
      </c>
      <c r="G7" s="27">
        <f>SUMIFS(전체리스트!E:E,전체리스트!A:A,B7,전체리스트!C:C,D7)</f>
        <v>9315</v>
      </c>
      <c r="H7" s="25">
        <f t="shared" ref="H7:H14" si="2">G7*0.05</f>
        <v>465.75</v>
      </c>
      <c r="I7" s="28">
        <f t="shared" ref="I7:I14" si="3">G7-H7</f>
        <v>8849.25</v>
      </c>
      <c r="J7" s="24"/>
    </row>
    <row r="8" spans="2:10">
      <c r="B8" s="24" t="s">
        <v>147</v>
      </c>
      <c r="C8" s="55" t="str">
        <f t="shared" si="0"/>
        <v>8월분</v>
      </c>
      <c r="D8" s="24" t="s">
        <v>62</v>
      </c>
      <c r="E8" s="25">
        <f>SUMIFS(전체리스트!D:D,전체리스트!A:A,B8,전체리스트!C:C,D8)</f>
        <v>661</v>
      </c>
      <c r="F8" s="26">
        <f t="shared" si="1"/>
        <v>0</v>
      </c>
      <c r="G8" s="27">
        <f>SUMIFS(전체리스트!E:E,전체리스트!A:A,B8,전체리스트!C:C,D8)</f>
        <v>661</v>
      </c>
      <c r="H8" s="25">
        <f t="shared" si="2"/>
        <v>33.050000000000004</v>
      </c>
      <c r="I8" s="28">
        <f t="shared" si="3"/>
        <v>627.95000000000005</v>
      </c>
      <c r="J8" s="24"/>
    </row>
    <row r="9" spans="2:10">
      <c r="B9" s="24" t="s">
        <v>147</v>
      </c>
      <c r="C9" s="55" t="str">
        <f t="shared" si="0"/>
        <v>8월분</v>
      </c>
      <c r="D9" s="24" t="s">
        <v>143</v>
      </c>
      <c r="E9" s="25">
        <f>SUMIFS(전체리스트!D:D,전체리스트!A:A,B9,전체리스트!C:C,D9)</f>
        <v>40585</v>
      </c>
      <c r="F9" s="26">
        <f t="shared" si="1"/>
        <v>0</v>
      </c>
      <c r="G9" s="27">
        <f>SUMIFS(전체리스트!E:E,전체리스트!A:A,B9,전체리스트!C:C,D9)</f>
        <v>40585</v>
      </c>
      <c r="H9" s="25">
        <f t="shared" si="2"/>
        <v>2029.25</v>
      </c>
      <c r="I9" s="28">
        <f t="shared" si="3"/>
        <v>38555.75</v>
      </c>
      <c r="J9" s="24"/>
    </row>
    <row r="10" spans="2:10">
      <c r="B10" s="24" t="s">
        <v>147</v>
      </c>
      <c r="C10" s="55" t="str">
        <f t="shared" si="0"/>
        <v>8월분</v>
      </c>
      <c r="D10" s="24" t="s">
        <v>148</v>
      </c>
      <c r="E10" s="25">
        <f>SUMIFS(전체리스트!D:D,전체리스트!A:A,B10,전체리스트!C:C,D10)</f>
        <v>12476</v>
      </c>
      <c r="F10" s="26">
        <f t="shared" si="1"/>
        <v>0</v>
      </c>
      <c r="G10" s="27">
        <f>SUMIFS(전체리스트!E:E,전체리스트!A:A,B10,전체리스트!C:C,D10)</f>
        <v>12476</v>
      </c>
      <c r="H10" s="25">
        <f t="shared" si="2"/>
        <v>623.80000000000007</v>
      </c>
      <c r="I10" s="28">
        <f t="shared" si="3"/>
        <v>11852.2</v>
      </c>
      <c r="J10" s="24"/>
    </row>
    <row r="11" spans="2:10">
      <c r="B11" s="24" t="s">
        <v>147</v>
      </c>
      <c r="C11" s="55" t="str">
        <f t="shared" si="0"/>
        <v>8월분</v>
      </c>
      <c r="D11" s="24" t="s">
        <v>149</v>
      </c>
      <c r="E11" s="25">
        <f>SUMIFS(전체리스트!D:D,전체리스트!A:A,B11,전체리스트!C:C,D11)</f>
        <v>27259</v>
      </c>
      <c r="F11" s="26">
        <f t="shared" si="1"/>
        <v>0</v>
      </c>
      <c r="G11" s="27">
        <f>SUMIFS(전체리스트!E:E,전체리스트!A:A,B11,전체리스트!C:C,D11)</f>
        <v>27259</v>
      </c>
      <c r="H11" s="25">
        <f t="shared" si="2"/>
        <v>1362.95</v>
      </c>
      <c r="I11" s="28">
        <f t="shared" si="3"/>
        <v>25896.05</v>
      </c>
      <c r="J11" s="24"/>
    </row>
    <row r="12" spans="2:10">
      <c r="B12" s="24" t="s">
        <v>147</v>
      </c>
      <c r="C12" s="55" t="str">
        <f t="shared" si="0"/>
        <v>8월분</v>
      </c>
      <c r="D12" s="24" t="s">
        <v>115</v>
      </c>
      <c r="E12" s="25">
        <f>SUMIFS(전체리스트!D:D,전체리스트!A:A,B12,전체리스트!C:C,D12)</f>
        <v>26282</v>
      </c>
      <c r="F12" s="26">
        <f t="shared" si="1"/>
        <v>0</v>
      </c>
      <c r="G12" s="27">
        <f>SUMIFS(전체리스트!E:E,전체리스트!A:A,B12,전체리스트!C:C,D12)</f>
        <v>26282</v>
      </c>
      <c r="H12" s="25">
        <f t="shared" si="2"/>
        <v>1314.1000000000001</v>
      </c>
      <c r="I12" s="28">
        <f t="shared" si="3"/>
        <v>24967.9</v>
      </c>
      <c r="J12" s="24"/>
    </row>
    <row r="13" spans="2:10">
      <c r="B13" s="24" t="s">
        <v>147</v>
      </c>
      <c r="C13" s="55" t="str">
        <f t="shared" si="0"/>
        <v>8월분</v>
      </c>
      <c r="D13" s="24" t="s">
        <v>23</v>
      </c>
      <c r="E13" s="25">
        <f>SUMIFS(전체리스트!D:D,전체리스트!A:A,B13,전체리스트!C:C,D13)</f>
        <v>2266</v>
      </c>
      <c r="F13" s="26">
        <f t="shared" si="1"/>
        <v>0</v>
      </c>
      <c r="G13" s="27">
        <f>SUMIFS(전체리스트!E:E,전체리스트!A:A,B13,전체리스트!C:C,D13)</f>
        <v>2266</v>
      </c>
      <c r="H13" s="25">
        <f t="shared" si="2"/>
        <v>113.30000000000001</v>
      </c>
      <c r="I13" s="28">
        <f t="shared" si="3"/>
        <v>2152.6999999999998</v>
      </c>
      <c r="J13" s="24"/>
    </row>
    <row r="14" spans="2:10">
      <c r="B14" s="24" t="s">
        <v>147</v>
      </c>
      <c r="C14" s="55" t="str">
        <f t="shared" si="0"/>
        <v>8월분</v>
      </c>
      <c r="D14" s="24" t="s">
        <v>55</v>
      </c>
      <c r="E14" s="25">
        <f>SUMIFS(전체리스트!D:D,전체리스트!A:A,B14,전체리스트!C:C,D14)</f>
        <v>5999</v>
      </c>
      <c r="F14" s="26">
        <f t="shared" si="1"/>
        <v>0</v>
      </c>
      <c r="G14" s="27">
        <f>SUMIFS(전체리스트!E:E,전체리스트!A:A,B14,전체리스트!C:C,D14)</f>
        <v>5999</v>
      </c>
      <c r="H14" s="25">
        <f t="shared" si="2"/>
        <v>299.95</v>
      </c>
      <c r="I14" s="28">
        <f t="shared" si="3"/>
        <v>5699.05</v>
      </c>
      <c r="J14" s="24"/>
    </row>
    <row r="15" spans="2:10">
      <c r="B15" s="24" t="s">
        <v>147</v>
      </c>
      <c r="C15" s="55" t="str">
        <f>VLOOKUP(B15,raw_a,2,0)</f>
        <v>8월분</v>
      </c>
      <c r="D15" s="24" t="s">
        <v>26</v>
      </c>
      <c r="E15" s="25">
        <f>SUMIFS(전체리스트!D:D,전체리스트!A:A,B15,전체리스트!C:C,D15)</f>
        <v>10224</v>
      </c>
      <c r="F15" s="26">
        <f>E15-G15</f>
        <v>0</v>
      </c>
      <c r="G15" s="27">
        <f>SUMIFS(전체리스트!E:E,전체리스트!A:A,B15,전체리스트!C:C,D15)</f>
        <v>10224</v>
      </c>
      <c r="H15" s="25">
        <f>G15*0.05</f>
        <v>511.20000000000005</v>
      </c>
      <c r="I15" s="28">
        <f>G15-H15</f>
        <v>9712.7999999999993</v>
      </c>
      <c r="J15" s="24"/>
    </row>
    <row r="16" spans="2:10">
      <c r="B16" s="29" t="s">
        <v>322</v>
      </c>
      <c r="C16" s="29"/>
      <c r="D16" s="30"/>
      <c r="E16" s="31">
        <f>SUM(E6:E15)</f>
        <v>135279</v>
      </c>
      <c r="F16" s="31">
        <f>SUM(F6:F15)</f>
        <v>0</v>
      </c>
      <c r="G16" s="31">
        <f>SUM(G6:G15)</f>
        <v>135279</v>
      </c>
      <c r="H16" s="31">
        <f>SUM(H6:H15)</f>
        <v>6763.9500000000007</v>
      </c>
      <c r="I16" s="31">
        <f>SUM(I6:I15)</f>
        <v>128515.05</v>
      </c>
      <c r="J16" s="31">
        <f t="shared" ref="J16" si="4">SUM(J6:J14)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3:J16"/>
  <sheetViews>
    <sheetView workbookViewId="0">
      <selection activeCell="G25" sqref="G25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335</v>
      </c>
      <c r="G4" s="41">
        <f>VLOOKUP(B6,raw_a,6,0)</f>
        <v>37.630000000000003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246</v>
      </c>
      <c r="C6" s="55" t="str">
        <f t="shared" ref="C6:C9" si="0">VLOOKUP(B6,raw_a,2,0)</f>
        <v>11월분</v>
      </c>
      <c r="D6" s="24" t="s">
        <v>247</v>
      </c>
      <c r="E6" s="33">
        <f>SUMIFS(전체리스트!D:D,전체리스트!A:A,B6,전체리스트!C:C,D6)</f>
        <v>268.27049999999997</v>
      </c>
      <c r="F6" s="26"/>
      <c r="G6" s="27">
        <f>SUMIFS(전체리스트!E:E,전체리스트!A:A,B6,전체리스트!C:C,D6)</f>
        <v>10095.018914999999</v>
      </c>
      <c r="H6" s="25">
        <f>G6*0.05</f>
        <v>504.75094574999997</v>
      </c>
      <c r="I6" s="28">
        <f>G6-H6</f>
        <v>9590.2679692499987</v>
      </c>
      <c r="J6" s="24"/>
    </row>
    <row r="7" spans="2:10">
      <c r="B7" s="24" t="s">
        <v>246</v>
      </c>
      <c r="C7" s="55" t="str">
        <f t="shared" si="0"/>
        <v>11월분</v>
      </c>
      <c r="D7" s="24" t="s">
        <v>114</v>
      </c>
      <c r="E7" s="33">
        <f>SUMIFS(전체리스트!D:D,전체리스트!A:A,B7,전체리스트!C:C,D7)</f>
        <v>1550.0865000000001</v>
      </c>
      <c r="F7" s="26"/>
      <c r="G7" s="27">
        <f>SUMIFS(전체리스트!E:E,전체리스트!A:A,B7,전체리스트!C:C,D7)</f>
        <v>58329.75499500001</v>
      </c>
      <c r="H7" s="25">
        <f t="shared" ref="H7:H15" si="1">G7*0.05</f>
        <v>2916.4877497500006</v>
      </c>
      <c r="I7" s="28">
        <f t="shared" ref="I7:I9" si="2">G7-H7</f>
        <v>55413.267245250012</v>
      </c>
      <c r="J7" s="24"/>
    </row>
    <row r="8" spans="2:10">
      <c r="B8" s="24" t="s">
        <v>246</v>
      </c>
      <c r="C8" s="55" t="str">
        <f t="shared" si="0"/>
        <v>11월분</v>
      </c>
      <c r="D8" s="24" t="s">
        <v>248</v>
      </c>
      <c r="E8" s="33">
        <f>SUMIFS(전체리스트!D:D,전체리스트!A:A,B8,전체리스트!C:C,D8)</f>
        <v>108.72750000000001</v>
      </c>
      <c r="F8" s="26"/>
      <c r="G8" s="27">
        <f>SUMIFS(전체리스트!E:E,전체리스트!A:A,B8,전체리스트!C:C,D8)</f>
        <v>4091.4158250000005</v>
      </c>
      <c r="H8" s="25">
        <f>G8*0.05</f>
        <v>204.57079125000004</v>
      </c>
      <c r="I8" s="28">
        <f t="shared" si="2"/>
        <v>3886.8450337500003</v>
      </c>
      <c r="J8" s="24"/>
    </row>
    <row r="9" spans="2:10">
      <c r="B9" s="24" t="s">
        <v>246</v>
      </c>
      <c r="C9" s="55" t="str">
        <f t="shared" si="0"/>
        <v>11월분</v>
      </c>
      <c r="D9" s="24" t="s">
        <v>151</v>
      </c>
      <c r="E9" s="33">
        <f>SUMIFS(전체리스트!D:D,전체리스트!A:A,B9,전체리스트!C:C,D9)</f>
        <v>1371.3344999999999</v>
      </c>
      <c r="F9" s="26"/>
      <c r="G9" s="27">
        <f>SUMIFS(전체리스트!E:E,전체리스트!A:A,B9,전체리스트!C:C,D9)</f>
        <v>51603.317235000002</v>
      </c>
      <c r="H9" s="25">
        <f>G9*0.05</f>
        <v>2580.1658617500002</v>
      </c>
      <c r="I9" s="28">
        <f t="shared" si="2"/>
        <v>49023.151373250003</v>
      </c>
      <c r="J9" s="24"/>
    </row>
    <row r="10" spans="2:10">
      <c r="B10" s="24" t="s">
        <v>246</v>
      </c>
      <c r="C10" s="55" t="str">
        <f t="shared" ref="C10:C15" si="3">VLOOKUP(B10,raw_a,2,0)</f>
        <v>11월분</v>
      </c>
      <c r="D10" s="24" t="s">
        <v>46</v>
      </c>
      <c r="E10" s="33">
        <f>SUMIFS(전체리스트!D:D,전체리스트!A:A,B10,전체리스트!C:C,D10)</f>
        <v>7635.4634999999998</v>
      </c>
      <c r="F10" s="26"/>
      <c r="G10" s="27">
        <f>SUMIFS(전체리스트!E:E,전체리스트!A:A,B10,전체리스트!C:C,D10)</f>
        <v>287322.49150500004</v>
      </c>
      <c r="H10" s="25">
        <f t="shared" si="1"/>
        <v>14366.124575250004</v>
      </c>
      <c r="I10" s="28">
        <f t="shared" ref="I10:I15" si="4">G10-H10</f>
        <v>272956.36692975002</v>
      </c>
      <c r="J10" s="24"/>
    </row>
    <row r="11" spans="2:10">
      <c r="B11" s="24" t="s">
        <v>246</v>
      </c>
      <c r="C11" s="55" t="str">
        <f t="shared" si="3"/>
        <v>11월분</v>
      </c>
      <c r="D11" s="24" t="s">
        <v>249</v>
      </c>
      <c r="E11" s="33">
        <f>SUMIFS(전체리스트!D:D,전체리스트!A:A,B11,전체리스트!C:C,D11)</f>
        <v>710.25800000000004</v>
      </c>
      <c r="F11" s="26"/>
      <c r="G11" s="27">
        <f>SUMIFS(전체리스트!E:E,전체리스트!A:A,B11,전체리스트!C:C,D11)</f>
        <v>26727.008540000003</v>
      </c>
      <c r="H11" s="25">
        <f t="shared" si="1"/>
        <v>1336.3504270000003</v>
      </c>
      <c r="I11" s="28">
        <f>G11-H11</f>
        <v>25390.658113000001</v>
      </c>
      <c r="J11" s="24"/>
    </row>
    <row r="12" spans="2:10">
      <c r="B12" s="24" t="s">
        <v>246</v>
      </c>
      <c r="C12" s="55" t="str">
        <f t="shared" si="3"/>
        <v>11월분</v>
      </c>
      <c r="D12" s="24" t="s">
        <v>250</v>
      </c>
      <c r="E12" s="33">
        <f>SUMIFS(전체리스트!D:D,전체리스트!A:A,B12,전체리스트!C:C,D12)</f>
        <v>192.7835</v>
      </c>
      <c r="F12" s="26"/>
      <c r="G12" s="27">
        <f>SUMIFS(전체리스트!E:E,전체리스트!A:A,B12,전체리스트!C:C,D12)</f>
        <v>7254.4431050000003</v>
      </c>
      <c r="H12" s="25">
        <f>G12*0.05</f>
        <v>362.72215525000001</v>
      </c>
      <c r="I12" s="28">
        <f t="shared" si="4"/>
        <v>6891.7209497500007</v>
      </c>
      <c r="J12" s="24"/>
    </row>
    <row r="13" spans="2:10">
      <c r="B13" s="24" t="s">
        <v>246</v>
      </c>
      <c r="C13" s="55" t="str">
        <f t="shared" ref="C13:C14" si="5">VLOOKUP(B13,raw_a,2,0)</f>
        <v>11월분</v>
      </c>
      <c r="D13" s="24" t="s">
        <v>140</v>
      </c>
      <c r="E13" s="33">
        <f>SUMIFS(전체리스트!D:D,전체리스트!A:A,B13,전체리스트!C:C,D13)</f>
        <v>914.90699999999993</v>
      </c>
      <c r="F13" s="26"/>
      <c r="G13" s="27">
        <f>SUMIFS(전체리스트!E:E,전체리스트!A:A,B13,전체리스트!C:C,D13)</f>
        <v>34427.950409999998</v>
      </c>
      <c r="H13" s="25">
        <f t="shared" si="1"/>
        <v>1721.3975204999999</v>
      </c>
      <c r="I13" s="28">
        <f t="shared" ref="I13:I14" si="6">G13-H13</f>
        <v>32706.552889499999</v>
      </c>
      <c r="J13" s="24"/>
    </row>
    <row r="14" spans="2:10">
      <c r="B14" s="24" t="s">
        <v>246</v>
      </c>
      <c r="C14" s="55" t="str">
        <f t="shared" si="5"/>
        <v>11월분</v>
      </c>
      <c r="D14" s="24" t="s">
        <v>59</v>
      </c>
      <c r="E14" s="33">
        <f>SUMIFS(전체리스트!D:D,전체리스트!A:A,B14,전체리스트!C:C,D14)</f>
        <v>625.89800000000002</v>
      </c>
      <c r="F14" s="26"/>
      <c r="G14" s="27">
        <f>SUMIFS(전체리스트!E:E,전체리스트!A:A,B14,전체리스트!C:C,D14)</f>
        <v>23552.541740000004</v>
      </c>
      <c r="H14" s="25">
        <f t="shared" ref="H14" si="7">G14*0.05</f>
        <v>1177.6270870000003</v>
      </c>
      <c r="I14" s="28">
        <f t="shared" si="6"/>
        <v>22374.914653000003</v>
      </c>
      <c r="J14" s="24"/>
    </row>
    <row r="15" spans="2:10">
      <c r="B15" s="24" t="s">
        <v>246</v>
      </c>
      <c r="C15" s="55" t="str">
        <f t="shared" si="3"/>
        <v>11월분</v>
      </c>
      <c r="D15" s="24" t="s">
        <v>42</v>
      </c>
      <c r="E15" s="33">
        <f>SUMIFS(전체리스트!D:D,전체리스트!A:A,B15,전체리스트!C:C,D15)</f>
        <v>716.35699999999997</v>
      </c>
      <c r="F15" s="26"/>
      <c r="G15" s="27">
        <f>SUMIFS(전체리스트!E:E,전체리스트!A:A,B15,전체리스트!C:C,D15)</f>
        <v>26956.513910000001</v>
      </c>
      <c r="H15" s="25">
        <f t="shared" si="1"/>
        <v>1347.8256955000002</v>
      </c>
      <c r="I15" s="28">
        <f t="shared" si="4"/>
        <v>25608.688214500002</v>
      </c>
      <c r="J15" s="24"/>
    </row>
    <row r="16" spans="2:10">
      <c r="B16" s="29" t="s">
        <v>322</v>
      </c>
      <c r="C16" s="29"/>
      <c r="D16" s="30"/>
      <c r="E16" s="31">
        <f>SUM(E6:E15)</f>
        <v>14094.085999999998</v>
      </c>
      <c r="F16" s="31">
        <f t="shared" ref="F16:J16" si="8">SUM(F6:F15)</f>
        <v>0</v>
      </c>
      <c r="G16" s="31">
        <f>SUM(G6:G15)</f>
        <v>530360.4561800001</v>
      </c>
      <c r="H16" s="31">
        <f t="shared" si="8"/>
        <v>26518.022809000006</v>
      </c>
      <c r="I16" s="31">
        <f t="shared" si="8"/>
        <v>503842.43337099999</v>
      </c>
      <c r="J16" s="31">
        <f t="shared" si="8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B3:J7"/>
  <sheetViews>
    <sheetView workbookViewId="0">
      <selection activeCell="G22" sqref="G22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336</v>
      </c>
      <c r="G4" s="41">
        <f>VLOOKUP(B6,raw_a,6,0)</f>
        <v>9.56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251</v>
      </c>
      <c r="C6" s="55" t="str">
        <f>VLOOKUP(B6,raw_a,2,0)</f>
        <v>11월분</v>
      </c>
      <c r="D6" s="24" t="s">
        <v>114</v>
      </c>
      <c r="E6" s="25">
        <f>SUMIFS(전체리스트!D:D,전체리스트!A:A,B6,전체리스트!C:C,D6)</f>
        <v>2051.1</v>
      </c>
      <c r="F6" s="26"/>
      <c r="G6" s="27">
        <f>SUMIFS(전체리스트!E:E,전체리스트!A:A,B6,전체리스트!C:C,D6)</f>
        <v>19608.516</v>
      </c>
      <c r="H6" s="25">
        <f>G6*0.05</f>
        <v>980.42579999999998</v>
      </c>
      <c r="I6" s="28">
        <f>G6-H6</f>
        <v>18628.090199999999</v>
      </c>
      <c r="J6" s="24"/>
    </row>
    <row r="7" spans="2:10">
      <c r="B7" s="29" t="s">
        <v>322</v>
      </c>
      <c r="C7" s="29"/>
      <c r="D7" s="30"/>
      <c r="E7" s="31">
        <f>SUM(E6:E6)</f>
        <v>2051.1</v>
      </c>
      <c r="F7" s="31">
        <f>SUM(F6:F6)</f>
        <v>0</v>
      </c>
      <c r="G7" s="31">
        <f>SUM(G6:G6)</f>
        <v>19608.516</v>
      </c>
      <c r="H7" s="31">
        <f>SUM(H6:H6)</f>
        <v>980.42579999999998</v>
      </c>
      <c r="I7" s="31">
        <f>SUM(I6:I6)</f>
        <v>18628.090199999999</v>
      </c>
      <c r="J7" s="3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4:J58"/>
  <sheetViews>
    <sheetView topLeftCell="A31" zoomScaleNormal="100" workbookViewId="0">
      <selection activeCell="K63" sqref="K63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3.09765625" bestFit="1" customWidth="1"/>
    <col min="9" max="9" width="14.59765625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2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150</v>
      </c>
      <c r="C6" s="55" t="str">
        <f t="shared" ref="C6:C10" si="0">VLOOKUP(B6,raw_a,2,0)</f>
        <v>12월분</v>
      </c>
      <c r="D6" s="24" t="s">
        <v>386</v>
      </c>
      <c r="E6" s="25">
        <f>SUMIFS(전체리스트!D:D,전체리스트!A:A,B6,전체리스트!C:C,D6)</f>
        <v>676540</v>
      </c>
      <c r="F6" s="26">
        <f>E6-G6</f>
        <v>266998</v>
      </c>
      <c r="G6" s="27">
        <f>SUMIFS(전체리스트!E:E,전체리스트!A:A,B6,전체리스트!C:C,D6)</f>
        <v>409542</v>
      </c>
      <c r="H6" s="25">
        <f>G6*0.05</f>
        <v>20477.100000000002</v>
      </c>
      <c r="I6" s="28">
        <f>G6-H6</f>
        <v>389064.9</v>
      </c>
      <c r="J6" s="24"/>
    </row>
    <row r="7" spans="2:10">
      <c r="B7" s="24" t="s">
        <v>150</v>
      </c>
      <c r="C7" s="55" t="str">
        <f t="shared" si="0"/>
        <v>12월분</v>
      </c>
      <c r="D7" s="24" t="s">
        <v>387</v>
      </c>
      <c r="E7" s="25">
        <f>SUMIFS(전체리스트!D:D,전체리스트!A:A,B7,전체리스트!C:C,D7)</f>
        <v>28360</v>
      </c>
      <c r="F7" s="26">
        <f t="shared" ref="F7:F10" si="1">E7-G7</f>
        <v>11315.2</v>
      </c>
      <c r="G7" s="27">
        <f>SUMIFS(전체리스트!E:E,전체리스트!A:A,B7,전체리스트!C:C,D7)</f>
        <v>17044.8</v>
      </c>
      <c r="H7" s="25">
        <f t="shared" ref="H7:H20" si="2">G7*0.05</f>
        <v>852.24</v>
      </c>
      <c r="I7" s="28">
        <f t="shared" ref="I7:I10" si="3">G7-H7</f>
        <v>16192.56</v>
      </c>
      <c r="J7" s="24"/>
    </row>
    <row r="8" spans="2:10">
      <c r="B8" s="24" t="s">
        <v>150</v>
      </c>
      <c r="C8" s="55" t="str">
        <f t="shared" si="0"/>
        <v>12월분</v>
      </c>
      <c r="D8" s="24" t="s">
        <v>155</v>
      </c>
      <c r="E8" s="25">
        <f>SUMIFS(전체리스트!D:D,전체리스트!A:A,B8,전체리스트!C:C,D8)</f>
        <v>303060</v>
      </c>
      <c r="F8" s="26">
        <f t="shared" si="1"/>
        <v>127704</v>
      </c>
      <c r="G8" s="27">
        <f>SUMIFS(전체리스트!E:E,전체리스트!A:A,B8,전체리스트!C:C,D8)</f>
        <v>175356</v>
      </c>
      <c r="H8" s="25">
        <f t="shared" si="2"/>
        <v>8767.8000000000011</v>
      </c>
      <c r="I8" s="28">
        <f t="shared" si="3"/>
        <v>166588.20000000001</v>
      </c>
      <c r="J8" s="24"/>
    </row>
    <row r="9" spans="2:10">
      <c r="B9" s="24" t="s">
        <v>150</v>
      </c>
      <c r="C9" s="55" t="str">
        <f t="shared" si="0"/>
        <v>12월분</v>
      </c>
      <c r="D9" s="24" t="s">
        <v>508</v>
      </c>
      <c r="E9" s="25">
        <f>SUMIFS(전체리스트!D:D,전체리스트!A:A,B9,전체리스트!C:C,D9)</f>
        <v>240</v>
      </c>
      <c r="F9" s="26">
        <f t="shared" si="1"/>
        <v>88.800000000000011</v>
      </c>
      <c r="G9" s="27">
        <f>SUMIFS(전체리스트!E:E,전체리스트!A:A,B9,전체리스트!C:C,D9)</f>
        <v>151.19999999999999</v>
      </c>
      <c r="H9" s="25">
        <f t="shared" si="2"/>
        <v>7.56</v>
      </c>
      <c r="I9" s="28">
        <f t="shared" si="3"/>
        <v>143.63999999999999</v>
      </c>
      <c r="J9" s="24"/>
    </row>
    <row r="10" spans="2:10">
      <c r="B10" s="24" t="s">
        <v>150</v>
      </c>
      <c r="C10" s="55" t="str">
        <f t="shared" si="0"/>
        <v>12월분</v>
      </c>
      <c r="D10" s="24" t="s">
        <v>156</v>
      </c>
      <c r="E10" s="25">
        <f>SUMIFS(전체리스트!D:D,전체리스트!A:A,B10,전체리스트!C:C,D10)</f>
        <v>70040</v>
      </c>
      <c r="F10" s="26">
        <f t="shared" si="1"/>
        <v>27656</v>
      </c>
      <c r="G10" s="27">
        <f>SUMIFS(전체리스트!E:E,전체리스트!A:A,B10,전체리스트!C:C,D10)</f>
        <v>42384</v>
      </c>
      <c r="H10" s="25">
        <f t="shared" si="2"/>
        <v>2119.2000000000003</v>
      </c>
      <c r="I10" s="28">
        <f t="shared" si="3"/>
        <v>40264.800000000003</v>
      </c>
      <c r="J10" s="24"/>
    </row>
    <row r="11" spans="2:10">
      <c r="B11" s="24" t="s">
        <v>150</v>
      </c>
      <c r="C11" s="55" t="str">
        <f t="shared" ref="C11:C17" si="4">VLOOKUP(B11,raw_a,2,0)</f>
        <v>12월분</v>
      </c>
      <c r="D11" s="24" t="s">
        <v>157</v>
      </c>
      <c r="E11" s="25">
        <f>SUMIFS(전체리스트!D:D,전체리스트!A:A,B11,전체리스트!C:C,D11)</f>
        <v>119780</v>
      </c>
      <c r="F11" s="26">
        <f t="shared" ref="F11:F17" si="5">E11-G11</f>
        <v>46738.399999999994</v>
      </c>
      <c r="G11" s="27">
        <f>SUMIFS(전체리스트!E:E,전체리스트!A:A,B11,전체리스트!C:C,D11)</f>
        <v>73041.600000000006</v>
      </c>
      <c r="H11" s="25">
        <f t="shared" si="2"/>
        <v>3652.0800000000004</v>
      </c>
      <c r="I11" s="28">
        <f t="shared" ref="I11:I17" si="6">G11-H11</f>
        <v>69389.52</v>
      </c>
      <c r="J11" s="24"/>
    </row>
    <row r="12" spans="2:10">
      <c r="B12" s="24" t="s">
        <v>150</v>
      </c>
      <c r="C12" s="55" t="str">
        <f t="shared" si="4"/>
        <v>12월분</v>
      </c>
      <c r="D12" s="24" t="s">
        <v>509</v>
      </c>
      <c r="E12" s="25">
        <f>SUMIFS(전체리스트!D:D,전체리스트!A:A,B12,전체리스트!C:C,D12)</f>
        <v>376752</v>
      </c>
      <c r="F12" s="26">
        <f t="shared" si="5"/>
        <v>148670.04</v>
      </c>
      <c r="G12" s="27">
        <f>SUMIFS(전체리스트!E:E,전체리스트!A:A,B12,전체리스트!C:C,D12)</f>
        <v>228081.96</v>
      </c>
      <c r="H12" s="25">
        <f t="shared" si="2"/>
        <v>11404.098</v>
      </c>
      <c r="I12" s="28">
        <f t="shared" si="6"/>
        <v>216677.86199999999</v>
      </c>
      <c r="J12" s="24"/>
    </row>
    <row r="13" spans="2:10">
      <c r="B13" s="24" t="s">
        <v>150</v>
      </c>
      <c r="C13" s="55" t="str">
        <f t="shared" si="4"/>
        <v>12월분</v>
      </c>
      <c r="D13" s="24" t="s">
        <v>158</v>
      </c>
      <c r="E13" s="25">
        <f>SUMIFS(전체리스트!D:D,전체리스트!A:A,B13,전체리스트!C:C,D13)</f>
        <v>664340</v>
      </c>
      <c r="F13" s="26">
        <f t="shared" si="5"/>
        <v>267312.8</v>
      </c>
      <c r="G13" s="27">
        <f>SUMIFS(전체리스트!E:E,전체리스트!A:A,B13,전체리스트!C:C,D13)</f>
        <v>397027.2</v>
      </c>
      <c r="H13" s="25">
        <f t="shared" si="2"/>
        <v>19851.36</v>
      </c>
      <c r="I13" s="28">
        <f t="shared" si="6"/>
        <v>377175.84</v>
      </c>
      <c r="J13" s="24"/>
    </row>
    <row r="14" spans="2:10">
      <c r="B14" s="24" t="s">
        <v>150</v>
      </c>
      <c r="C14" s="55" t="str">
        <f t="shared" si="4"/>
        <v>12월분</v>
      </c>
      <c r="D14" s="24" t="s">
        <v>159</v>
      </c>
      <c r="E14" s="25">
        <f>SUMIFS(전체리스트!D:D,전체리스트!A:A,B14,전체리스트!C:C,D14)</f>
        <v>43660</v>
      </c>
      <c r="F14" s="26">
        <f t="shared" si="5"/>
        <v>17464</v>
      </c>
      <c r="G14" s="27">
        <f>SUMIFS(전체리스트!E:E,전체리스트!A:A,B14,전체리스트!C:C,D14)</f>
        <v>26196</v>
      </c>
      <c r="H14" s="25">
        <f t="shared" si="2"/>
        <v>1309.8000000000002</v>
      </c>
      <c r="I14" s="28">
        <f t="shared" si="6"/>
        <v>24886.2</v>
      </c>
      <c r="J14" s="24"/>
    </row>
    <row r="15" spans="2:10">
      <c r="B15" s="24" t="s">
        <v>150</v>
      </c>
      <c r="C15" s="55" t="str">
        <f t="shared" si="4"/>
        <v>12월분</v>
      </c>
      <c r="D15" s="24" t="s">
        <v>510</v>
      </c>
      <c r="E15" s="25">
        <f>SUMIFS(전체리스트!D:D,전체리스트!A:A,B15,전체리스트!C:C,D15)</f>
        <v>1200</v>
      </c>
      <c r="F15" s="26">
        <f t="shared" si="5"/>
        <v>444</v>
      </c>
      <c r="G15" s="27">
        <f>SUMIFS(전체리스트!E:E,전체리스트!A:A,B15,전체리스트!C:C,D15)</f>
        <v>756</v>
      </c>
      <c r="H15" s="25">
        <f t="shared" si="2"/>
        <v>37.800000000000004</v>
      </c>
      <c r="I15" s="28">
        <f t="shared" si="6"/>
        <v>718.2</v>
      </c>
      <c r="J15" s="24"/>
    </row>
    <row r="16" spans="2:10">
      <c r="B16" s="24" t="s">
        <v>150</v>
      </c>
      <c r="C16" s="55" t="str">
        <f t="shared" si="4"/>
        <v>12월분</v>
      </c>
      <c r="D16" s="24" t="s">
        <v>160</v>
      </c>
      <c r="E16" s="25">
        <f>SUMIFS(전체리스트!D:D,전체리스트!A:A,B16,전체리스트!C:C,D16)</f>
        <v>2400</v>
      </c>
      <c r="F16" s="26">
        <f t="shared" si="5"/>
        <v>960</v>
      </c>
      <c r="G16" s="27">
        <f>SUMIFS(전체리스트!E:E,전체리스트!A:A,B16,전체리스트!C:C,D16)</f>
        <v>1440</v>
      </c>
      <c r="H16" s="25">
        <f t="shared" si="2"/>
        <v>72</v>
      </c>
      <c r="I16" s="28">
        <f t="shared" si="6"/>
        <v>1368</v>
      </c>
      <c r="J16" s="24"/>
    </row>
    <row r="17" spans="2:10">
      <c r="B17" s="24" t="s">
        <v>150</v>
      </c>
      <c r="C17" s="55" t="str">
        <f t="shared" si="4"/>
        <v>12월분</v>
      </c>
      <c r="D17" s="24" t="s">
        <v>511</v>
      </c>
      <c r="E17" s="25">
        <f>SUMIFS(전체리스트!D:D,전체리스트!A:A,B17,전체리스트!C:C,D17)</f>
        <v>5000</v>
      </c>
      <c r="F17" s="26">
        <f t="shared" si="5"/>
        <v>2000</v>
      </c>
      <c r="G17" s="27">
        <f>SUMIFS(전체리스트!E:E,전체리스트!A:A,B17,전체리스트!C:C,D17)</f>
        <v>3000</v>
      </c>
      <c r="H17" s="25">
        <f t="shared" si="2"/>
        <v>150</v>
      </c>
      <c r="I17" s="28">
        <f t="shared" si="6"/>
        <v>2850</v>
      </c>
      <c r="J17" s="24"/>
    </row>
    <row r="18" spans="2:10">
      <c r="B18" s="24" t="s">
        <v>150</v>
      </c>
      <c r="C18" s="55" t="str">
        <f t="shared" ref="C18:C20" si="7">VLOOKUP(B18,raw_a,2,0)</f>
        <v>12월분</v>
      </c>
      <c r="D18" s="24" t="s">
        <v>512</v>
      </c>
      <c r="E18" s="25">
        <f>SUMIFS(전체리스트!D:D,전체리스트!A:A,B18,전체리스트!C:C,D18)</f>
        <v>115610</v>
      </c>
      <c r="F18" s="26">
        <f t="shared" ref="F18:F20" si="8">E18-G18</f>
        <v>46020.800000000003</v>
      </c>
      <c r="G18" s="27">
        <f>SUMIFS(전체리스트!E:E,전체리스트!A:A,B18,전체리스트!C:C,D18)</f>
        <v>69589.2</v>
      </c>
      <c r="H18" s="25">
        <f t="shared" si="2"/>
        <v>3479.46</v>
      </c>
      <c r="I18" s="28">
        <f t="shared" ref="I18:I20" si="9">G18-H18</f>
        <v>66109.739999999991</v>
      </c>
      <c r="J18" s="24"/>
    </row>
    <row r="19" spans="2:10">
      <c r="B19" s="24" t="s">
        <v>150</v>
      </c>
      <c r="C19" s="55" t="str">
        <f t="shared" si="7"/>
        <v>12월분</v>
      </c>
      <c r="D19" s="24" t="s">
        <v>388</v>
      </c>
      <c r="E19" s="25">
        <f>SUMIFS(전체리스트!D:D,전체리스트!A:A,B19,전체리스트!C:C,D19)</f>
        <v>56800</v>
      </c>
      <c r="F19" s="26">
        <f t="shared" si="8"/>
        <v>22583.199999999997</v>
      </c>
      <c r="G19" s="27">
        <f>SUMIFS(전체리스트!E:E,전체리스트!A:A,B19,전체리스트!C:C,D19)</f>
        <v>34216.800000000003</v>
      </c>
      <c r="H19" s="25">
        <f t="shared" si="2"/>
        <v>1710.8400000000001</v>
      </c>
      <c r="I19" s="28">
        <f t="shared" si="9"/>
        <v>32505.960000000003</v>
      </c>
      <c r="J19" s="24"/>
    </row>
    <row r="20" spans="2:10">
      <c r="B20" s="24" t="s">
        <v>150</v>
      </c>
      <c r="C20" s="55" t="str">
        <f t="shared" si="7"/>
        <v>12월분</v>
      </c>
      <c r="D20" s="24" t="s">
        <v>357</v>
      </c>
      <c r="E20" s="25">
        <f>SUMIFS(전체리스트!D:D,전체리스트!A:A,B20,전체리스트!C:C,D20)</f>
        <v>18440</v>
      </c>
      <c r="F20" s="26">
        <f t="shared" si="8"/>
        <v>7239.2000000000007</v>
      </c>
      <c r="G20" s="27">
        <f>SUMIFS(전체리스트!E:E,전체리스트!A:A,B20,전체리스트!C:C,D20)</f>
        <v>11200.8</v>
      </c>
      <c r="H20" s="25">
        <f t="shared" si="2"/>
        <v>560.04</v>
      </c>
      <c r="I20" s="28">
        <f t="shared" si="9"/>
        <v>10640.759999999998</v>
      </c>
      <c r="J20" s="24"/>
    </row>
    <row r="21" spans="2:10">
      <c r="B21" s="24" t="s">
        <v>150</v>
      </c>
      <c r="C21" s="55" t="str">
        <f t="shared" ref="C21:C24" si="10">VLOOKUP(B21,raw_a,2,0)</f>
        <v>12월분</v>
      </c>
      <c r="D21" s="24" t="s">
        <v>161</v>
      </c>
      <c r="E21" s="25">
        <f>SUMIFS(전체리스트!D:D,전체리스트!A:A,B21,전체리스트!C:C,D21)</f>
        <v>149808</v>
      </c>
      <c r="F21" s="26">
        <f t="shared" ref="F21:F24" si="11">E21-G21</f>
        <v>58179.360000000001</v>
      </c>
      <c r="G21" s="27">
        <f>SUMIFS(전체리스트!E:E,전체리스트!A:A,B21,전체리스트!C:C,D21)</f>
        <v>91628.64</v>
      </c>
      <c r="H21" s="25">
        <f t="shared" ref="H21:H24" si="12">G21*0.05</f>
        <v>4581.4319999999998</v>
      </c>
      <c r="I21" s="28">
        <f t="shared" ref="I21:I24" si="13">G21-H21</f>
        <v>87047.207999999999</v>
      </c>
      <c r="J21" s="24"/>
    </row>
    <row r="22" spans="2:10">
      <c r="B22" s="24" t="s">
        <v>150</v>
      </c>
      <c r="C22" s="55" t="str">
        <f t="shared" si="10"/>
        <v>12월분</v>
      </c>
      <c r="D22" s="24" t="s">
        <v>162</v>
      </c>
      <c r="E22" s="25">
        <f>SUMIFS(전체리스트!D:D,전체리스트!A:A,B22,전체리스트!C:C,D22)</f>
        <v>464760</v>
      </c>
      <c r="F22" s="26">
        <f t="shared" si="11"/>
        <v>180403.20000000001</v>
      </c>
      <c r="G22" s="27">
        <f>SUMIFS(전체리스트!E:E,전체리스트!A:A,B22,전체리스트!C:C,D22)</f>
        <v>284356.8</v>
      </c>
      <c r="H22" s="25">
        <f t="shared" si="12"/>
        <v>14217.84</v>
      </c>
      <c r="I22" s="28">
        <f t="shared" si="13"/>
        <v>270138.95999999996</v>
      </c>
      <c r="J22" s="24"/>
    </row>
    <row r="23" spans="2:10">
      <c r="B23" s="24" t="s">
        <v>150</v>
      </c>
      <c r="C23" s="55" t="str">
        <f t="shared" si="10"/>
        <v>12월분</v>
      </c>
      <c r="D23" s="24" t="s">
        <v>513</v>
      </c>
      <c r="E23" s="25">
        <f>SUMIFS(전체리스트!D:D,전체리스트!A:A,B23,전체리스트!C:C,D23)</f>
        <v>199320</v>
      </c>
      <c r="F23" s="26">
        <f t="shared" si="11"/>
        <v>79195.199999999997</v>
      </c>
      <c r="G23" s="27">
        <f>SUMIFS(전체리스트!E:E,전체리스트!A:A,B23,전체리스트!C:C,D23)</f>
        <v>120124.8</v>
      </c>
      <c r="H23" s="25">
        <f t="shared" si="12"/>
        <v>6006.2400000000007</v>
      </c>
      <c r="I23" s="28">
        <f t="shared" si="13"/>
        <v>114118.56</v>
      </c>
      <c r="J23" s="24"/>
    </row>
    <row r="24" spans="2:10">
      <c r="B24" s="24" t="s">
        <v>150</v>
      </c>
      <c r="C24" s="55" t="str">
        <f t="shared" si="10"/>
        <v>12월분</v>
      </c>
      <c r="D24" s="24" t="s">
        <v>358</v>
      </c>
      <c r="E24" s="25">
        <f>SUMIFS(전체리스트!D:D,전체리스트!A:A,B24,전체리스트!C:C,D24)</f>
        <v>4694942</v>
      </c>
      <c r="F24" s="26">
        <f t="shared" si="11"/>
        <v>1876021.6400000001</v>
      </c>
      <c r="G24" s="27">
        <f>SUMIFS(전체리스트!E:E,전체리스트!A:A,B24,전체리스트!C:C,D24)</f>
        <v>2818920.36</v>
      </c>
      <c r="H24" s="25">
        <f t="shared" si="12"/>
        <v>140946.01800000001</v>
      </c>
      <c r="I24" s="28">
        <f t="shared" si="13"/>
        <v>2677974.3419999997</v>
      </c>
      <c r="J24" s="24"/>
    </row>
    <row r="25" spans="2:10">
      <c r="B25" s="24" t="s">
        <v>150</v>
      </c>
      <c r="C25" s="55" t="str">
        <f t="shared" ref="C25:C47" si="14">VLOOKUP(B25,raw_a,2,0)</f>
        <v>12월분</v>
      </c>
      <c r="D25" s="24" t="s">
        <v>374</v>
      </c>
      <c r="E25" s="25">
        <f>SUMIFS(전체리스트!D:D,전체리스트!A:A,B25,전체리스트!C:C,D25)</f>
        <v>161680</v>
      </c>
      <c r="F25" s="26">
        <f t="shared" ref="F25:F47" si="15">E25-G25</f>
        <v>63289.600000000006</v>
      </c>
      <c r="G25" s="27">
        <f>SUMIFS(전체리스트!E:E,전체리스트!A:A,B25,전체리스트!C:C,D25)</f>
        <v>98390.399999999994</v>
      </c>
      <c r="H25" s="25">
        <f t="shared" ref="H25:H47" si="16">G25*0.05</f>
        <v>4919.5200000000004</v>
      </c>
      <c r="I25" s="28">
        <f t="shared" ref="I25:I47" si="17">G25-H25</f>
        <v>93470.87999999999</v>
      </c>
      <c r="J25" s="24"/>
    </row>
    <row r="26" spans="2:10">
      <c r="B26" s="24" t="s">
        <v>150</v>
      </c>
      <c r="C26" s="55" t="str">
        <f t="shared" si="14"/>
        <v>12월분</v>
      </c>
      <c r="D26" s="24" t="s">
        <v>375</v>
      </c>
      <c r="E26" s="25">
        <f>SUMIFS(전체리스트!D:D,전체리스트!A:A,B26,전체리스트!C:C,D26)</f>
        <v>626712</v>
      </c>
      <c r="F26" s="26">
        <f t="shared" si="15"/>
        <v>247327.44</v>
      </c>
      <c r="G26" s="27">
        <f>SUMIFS(전체리스트!E:E,전체리스트!A:A,B26,전체리스트!C:C,D26)</f>
        <v>379384.56</v>
      </c>
      <c r="H26" s="25">
        <f t="shared" si="16"/>
        <v>18969.227999999999</v>
      </c>
      <c r="I26" s="28">
        <f t="shared" si="17"/>
        <v>360415.33199999999</v>
      </c>
      <c r="J26" s="24"/>
    </row>
    <row r="27" spans="2:10">
      <c r="B27" s="24" t="s">
        <v>150</v>
      </c>
      <c r="C27" s="55" t="str">
        <f t="shared" si="14"/>
        <v>12월분</v>
      </c>
      <c r="D27" s="24" t="s">
        <v>163</v>
      </c>
      <c r="E27" s="25">
        <f>SUMIFS(전체리스트!D:D,전체리스트!A:A,B27,전체리스트!C:C,D27)</f>
        <v>170280</v>
      </c>
      <c r="F27" s="26">
        <f t="shared" si="15"/>
        <v>66909.600000000006</v>
      </c>
      <c r="G27" s="27">
        <f>SUMIFS(전체리스트!E:E,전체리스트!A:A,B27,전체리스트!C:C,D27)</f>
        <v>103370.4</v>
      </c>
      <c r="H27" s="25">
        <f t="shared" si="16"/>
        <v>5168.5200000000004</v>
      </c>
      <c r="I27" s="28">
        <f t="shared" si="17"/>
        <v>98201.87999999999</v>
      </c>
      <c r="J27" s="24"/>
    </row>
    <row r="28" spans="2:10">
      <c r="B28" s="24" t="s">
        <v>150</v>
      </c>
      <c r="C28" s="55" t="str">
        <f t="shared" si="14"/>
        <v>12월분</v>
      </c>
      <c r="D28" s="24" t="s">
        <v>359</v>
      </c>
      <c r="E28" s="25">
        <f>SUMIFS(전체리스트!D:D,전체리스트!A:A,B28,전체리스트!C:C,D28)</f>
        <v>3900</v>
      </c>
      <c r="F28" s="26">
        <f t="shared" si="15"/>
        <v>1560</v>
      </c>
      <c r="G28" s="27">
        <f>SUMIFS(전체리스트!E:E,전체리스트!A:A,B28,전체리스트!C:C,D28)</f>
        <v>2340</v>
      </c>
      <c r="H28" s="25">
        <f t="shared" si="16"/>
        <v>117</v>
      </c>
      <c r="I28" s="28">
        <f t="shared" si="17"/>
        <v>2223</v>
      </c>
      <c r="J28" s="24"/>
    </row>
    <row r="29" spans="2:10">
      <c r="B29" s="24" t="s">
        <v>150</v>
      </c>
      <c r="C29" s="55" t="str">
        <f t="shared" si="14"/>
        <v>12월분</v>
      </c>
      <c r="D29" s="24" t="s">
        <v>151</v>
      </c>
      <c r="E29" s="25">
        <f>SUMIFS(전체리스트!D:D,전체리스트!A:A,B29,전체리스트!C:C,D29)</f>
        <v>105040</v>
      </c>
      <c r="F29" s="26">
        <f t="shared" si="15"/>
        <v>41612.800000000003</v>
      </c>
      <c r="G29" s="27">
        <f>SUMIFS(전체리스트!E:E,전체리스트!A:A,B29,전체리스트!C:C,D29)</f>
        <v>63427.199999999997</v>
      </c>
      <c r="H29" s="25">
        <f t="shared" si="16"/>
        <v>3171.36</v>
      </c>
      <c r="I29" s="28">
        <f t="shared" si="17"/>
        <v>60255.839999999997</v>
      </c>
      <c r="J29" s="24"/>
    </row>
    <row r="30" spans="2:10">
      <c r="B30" s="24" t="s">
        <v>150</v>
      </c>
      <c r="C30" s="55" t="str">
        <f t="shared" si="14"/>
        <v>12월분</v>
      </c>
      <c r="D30" s="24" t="s">
        <v>43</v>
      </c>
      <c r="E30" s="25">
        <f>SUMIFS(전체리스트!D:D,전체리스트!A:A,B30,전체리스트!C:C,D30)</f>
        <v>81440</v>
      </c>
      <c r="F30" s="26">
        <f t="shared" si="15"/>
        <v>32136.800000000003</v>
      </c>
      <c r="G30" s="27">
        <f>SUMIFS(전체리스트!E:E,전체리스트!A:A,B30,전체리스트!C:C,D30)</f>
        <v>49303.199999999997</v>
      </c>
      <c r="H30" s="25">
        <f t="shared" si="16"/>
        <v>2465.16</v>
      </c>
      <c r="I30" s="28">
        <f t="shared" si="17"/>
        <v>46838.039999999994</v>
      </c>
      <c r="J30" s="24"/>
    </row>
    <row r="31" spans="2:10">
      <c r="B31" s="24" t="s">
        <v>150</v>
      </c>
      <c r="C31" s="55" t="str">
        <f t="shared" si="14"/>
        <v>12월분</v>
      </c>
      <c r="D31" s="24" t="s">
        <v>9</v>
      </c>
      <c r="E31" s="25">
        <f>SUMIFS(전체리스트!D:D,전체리스트!A:A,B31,전체리스트!C:C,D31)</f>
        <v>221152</v>
      </c>
      <c r="F31" s="26">
        <f t="shared" si="15"/>
        <v>89391.640000000014</v>
      </c>
      <c r="G31" s="27">
        <f>SUMIFS(전체리스트!E:E,전체리스트!A:A,B31,전체리스트!C:C,D31)</f>
        <v>131760.35999999999</v>
      </c>
      <c r="H31" s="25">
        <f t="shared" si="16"/>
        <v>6588.018</v>
      </c>
      <c r="I31" s="28">
        <f t="shared" si="17"/>
        <v>125172.34199999999</v>
      </c>
      <c r="J31" s="24"/>
    </row>
    <row r="32" spans="2:10">
      <c r="B32" s="24" t="s">
        <v>150</v>
      </c>
      <c r="C32" s="55" t="str">
        <f t="shared" si="14"/>
        <v>12월분</v>
      </c>
      <c r="D32" s="24" t="s">
        <v>11</v>
      </c>
      <c r="E32" s="25">
        <f>SUMIFS(전체리스트!D:D,전체리스트!A:A,B32,전체리스트!C:C,D32)</f>
        <v>1491620</v>
      </c>
      <c r="F32" s="26">
        <f t="shared" si="15"/>
        <v>595887.19999999995</v>
      </c>
      <c r="G32" s="27">
        <f>SUMIFS(전체리스트!E:E,전체리스트!A:A,B32,전체리스트!C:C,D32)</f>
        <v>895732.8</v>
      </c>
      <c r="H32" s="25">
        <f t="shared" si="16"/>
        <v>44786.640000000007</v>
      </c>
      <c r="I32" s="28">
        <f t="shared" si="17"/>
        <v>850946.16</v>
      </c>
      <c r="J32" s="24"/>
    </row>
    <row r="33" spans="2:10">
      <c r="B33" s="24" t="s">
        <v>150</v>
      </c>
      <c r="C33" s="55" t="str">
        <f t="shared" si="14"/>
        <v>12월분</v>
      </c>
      <c r="D33" s="24" t="s">
        <v>12</v>
      </c>
      <c r="E33" s="25">
        <f>SUMIFS(전체리스트!D:D,전체리스트!A:A,B33,전체리스트!C:C,D33)</f>
        <v>299268</v>
      </c>
      <c r="F33" s="26">
        <f t="shared" si="15"/>
        <v>120719.51999999999</v>
      </c>
      <c r="G33" s="27">
        <f>SUMIFS(전체리스트!E:E,전체리스트!A:A,B33,전체리스트!C:C,D33)</f>
        <v>178548.48000000001</v>
      </c>
      <c r="H33" s="25">
        <f t="shared" si="16"/>
        <v>8927.4240000000009</v>
      </c>
      <c r="I33" s="28">
        <f t="shared" si="17"/>
        <v>169621.05600000001</v>
      </c>
      <c r="J33" s="24"/>
    </row>
    <row r="34" spans="2:10">
      <c r="B34" s="24" t="s">
        <v>150</v>
      </c>
      <c r="C34" s="55" t="str">
        <f t="shared" si="14"/>
        <v>12월분</v>
      </c>
      <c r="D34" s="24" t="s">
        <v>90</v>
      </c>
      <c r="E34" s="25">
        <f>SUMIFS(전체리스트!D:D,전체리스트!A:A,B34,전체리스트!C:C,D34)</f>
        <v>614104</v>
      </c>
      <c r="F34" s="26">
        <f t="shared" si="15"/>
        <v>245142.03999999998</v>
      </c>
      <c r="G34" s="27">
        <f>SUMIFS(전체리스트!E:E,전체리스트!A:A,B34,전체리스트!C:C,D34)</f>
        <v>368961.96</v>
      </c>
      <c r="H34" s="25">
        <f t="shared" si="16"/>
        <v>18448.098000000002</v>
      </c>
      <c r="I34" s="28">
        <f t="shared" si="17"/>
        <v>350513.86200000002</v>
      </c>
      <c r="J34" s="24"/>
    </row>
    <row r="35" spans="2:10">
      <c r="B35" s="24" t="s">
        <v>150</v>
      </c>
      <c r="C35" s="55" t="str">
        <f t="shared" si="14"/>
        <v>12월분</v>
      </c>
      <c r="D35" s="24" t="s">
        <v>16</v>
      </c>
      <c r="E35" s="25">
        <f>SUMIFS(전체리스트!D:D,전체리스트!A:A,B35,전체리스트!C:C,D35)</f>
        <v>75520</v>
      </c>
      <c r="F35" s="26">
        <f t="shared" si="15"/>
        <v>29927.199999999997</v>
      </c>
      <c r="G35" s="27">
        <f>SUMIFS(전체리스트!E:E,전체리스트!A:A,B35,전체리스트!C:C,D35)</f>
        <v>45592.800000000003</v>
      </c>
      <c r="H35" s="25">
        <f t="shared" si="16"/>
        <v>2279.6400000000003</v>
      </c>
      <c r="I35" s="28">
        <f t="shared" si="17"/>
        <v>43313.16</v>
      </c>
      <c r="J35" s="24"/>
    </row>
    <row r="36" spans="2:10">
      <c r="B36" s="24" t="s">
        <v>150</v>
      </c>
      <c r="C36" s="55" t="str">
        <f t="shared" si="14"/>
        <v>12월분</v>
      </c>
      <c r="D36" s="24" t="s">
        <v>53</v>
      </c>
      <c r="E36" s="25">
        <f>SUMIFS(전체리스트!D:D,전체리스트!A:A,B36,전체리스트!C:C,D36)</f>
        <v>315060</v>
      </c>
      <c r="F36" s="26">
        <f t="shared" si="15"/>
        <v>126013.20000000001</v>
      </c>
      <c r="G36" s="27">
        <f>SUMIFS(전체리스트!E:E,전체리스트!A:A,B36,전체리스트!C:C,D36)</f>
        <v>189046.8</v>
      </c>
      <c r="H36" s="25">
        <f t="shared" si="16"/>
        <v>9452.34</v>
      </c>
      <c r="I36" s="28">
        <f t="shared" si="17"/>
        <v>179594.46</v>
      </c>
      <c r="J36" s="24"/>
    </row>
    <row r="37" spans="2:10">
      <c r="B37" s="24" t="s">
        <v>150</v>
      </c>
      <c r="C37" s="55" t="str">
        <f t="shared" si="14"/>
        <v>12월분</v>
      </c>
      <c r="D37" s="24" t="s">
        <v>356</v>
      </c>
      <c r="E37" s="25">
        <f>SUMIFS(전체리스트!D:D,전체리스트!A:A,B37,전체리스트!C:C,D37)</f>
        <v>67128</v>
      </c>
      <c r="F37" s="26">
        <f t="shared" si="15"/>
        <v>27465</v>
      </c>
      <c r="G37" s="27">
        <f>SUMIFS(전체리스트!E:E,전체리스트!A:A,B37,전체리스트!C:C,D37)</f>
        <v>39663</v>
      </c>
      <c r="H37" s="25">
        <f t="shared" si="16"/>
        <v>1983.15</v>
      </c>
      <c r="I37" s="28">
        <f t="shared" si="17"/>
        <v>37679.85</v>
      </c>
      <c r="J37" s="24"/>
    </row>
    <row r="38" spans="2:10">
      <c r="B38" s="24" t="s">
        <v>150</v>
      </c>
      <c r="C38" s="55" t="str">
        <f t="shared" si="14"/>
        <v>12월분</v>
      </c>
      <c r="D38" s="24" t="s">
        <v>58</v>
      </c>
      <c r="E38" s="25">
        <f>SUMIFS(전체리스트!D:D,전체리스트!A:A,B38,전체리스트!C:C,D38)</f>
        <v>55800</v>
      </c>
      <c r="F38" s="26">
        <f t="shared" si="15"/>
        <v>22320</v>
      </c>
      <c r="G38" s="27">
        <f>SUMIFS(전체리스트!E:E,전체리스트!A:A,B38,전체리스트!C:C,D38)</f>
        <v>33480</v>
      </c>
      <c r="H38" s="25">
        <f t="shared" si="16"/>
        <v>1674</v>
      </c>
      <c r="I38" s="28">
        <f t="shared" si="17"/>
        <v>31806</v>
      </c>
      <c r="J38" s="24"/>
    </row>
    <row r="39" spans="2:10">
      <c r="B39" s="24" t="s">
        <v>150</v>
      </c>
      <c r="C39" s="55" t="str">
        <f t="shared" ref="C39:C42" si="18">VLOOKUP(B39,raw_a,2,0)</f>
        <v>12월분</v>
      </c>
      <c r="D39" s="24" t="s">
        <v>152</v>
      </c>
      <c r="E39" s="25">
        <f>SUMIFS(전체리스트!D:D,전체리스트!A:A,B39,전체리스트!C:C,D39)</f>
        <v>300</v>
      </c>
      <c r="F39" s="26">
        <f t="shared" ref="F39:F42" si="19">E39-G39</f>
        <v>120</v>
      </c>
      <c r="G39" s="27">
        <f>SUMIFS(전체리스트!E:E,전체리스트!A:A,B39,전체리스트!C:C,D39)</f>
        <v>180</v>
      </c>
      <c r="H39" s="25">
        <f t="shared" ref="H39:H42" si="20">G39*0.05</f>
        <v>9</v>
      </c>
      <c r="I39" s="28">
        <f t="shared" ref="I39:I42" si="21">G39-H39</f>
        <v>171</v>
      </c>
      <c r="J39" s="24"/>
    </row>
    <row r="40" spans="2:10">
      <c r="B40" s="24" t="s">
        <v>150</v>
      </c>
      <c r="C40" s="55" t="str">
        <f t="shared" si="18"/>
        <v>12월분</v>
      </c>
      <c r="D40" s="24" t="s">
        <v>21</v>
      </c>
      <c r="E40" s="25">
        <f>SUMIFS(전체리스트!D:D,전체리스트!A:A,B40,전체리스트!C:C,D40)</f>
        <v>200</v>
      </c>
      <c r="F40" s="26">
        <f t="shared" si="19"/>
        <v>80</v>
      </c>
      <c r="G40" s="27">
        <f>SUMIFS(전체리스트!E:E,전체리스트!A:A,B40,전체리스트!C:C,D40)</f>
        <v>120</v>
      </c>
      <c r="H40" s="25">
        <f t="shared" si="20"/>
        <v>6</v>
      </c>
      <c r="I40" s="28">
        <f t="shared" si="21"/>
        <v>114</v>
      </c>
      <c r="J40" s="24"/>
    </row>
    <row r="41" spans="2:10">
      <c r="B41" s="24" t="s">
        <v>150</v>
      </c>
      <c r="C41" s="55" t="str">
        <f t="shared" si="18"/>
        <v>12월분</v>
      </c>
      <c r="D41" s="24" t="s">
        <v>22</v>
      </c>
      <c r="E41" s="25">
        <f>SUMIFS(전체리스트!D:D,전체리스트!A:A,B41,전체리스트!C:C,D41)</f>
        <v>1032480</v>
      </c>
      <c r="F41" s="26">
        <f t="shared" si="19"/>
        <v>412286.4</v>
      </c>
      <c r="G41" s="27">
        <f>SUMIFS(전체리스트!E:E,전체리스트!A:A,B41,전체리스트!C:C,D41)</f>
        <v>620193.6</v>
      </c>
      <c r="H41" s="25">
        <f t="shared" si="20"/>
        <v>31009.68</v>
      </c>
      <c r="I41" s="28">
        <f t="shared" si="21"/>
        <v>589183.91999999993</v>
      </c>
      <c r="J41" s="24"/>
    </row>
    <row r="42" spans="2:10">
      <c r="B42" s="24" t="s">
        <v>150</v>
      </c>
      <c r="C42" s="55" t="str">
        <f t="shared" si="18"/>
        <v>12월분</v>
      </c>
      <c r="D42" s="24" t="s">
        <v>95</v>
      </c>
      <c r="E42" s="25">
        <f>SUMIFS(전체리스트!D:D,전체리스트!A:A,B42,전체리스트!C:C,D42)</f>
        <v>19880</v>
      </c>
      <c r="F42" s="26">
        <f t="shared" si="19"/>
        <v>7937.6</v>
      </c>
      <c r="G42" s="27">
        <f>SUMIFS(전체리스트!E:E,전체리스트!A:A,B42,전체리스트!C:C,D42)</f>
        <v>11942.4</v>
      </c>
      <c r="H42" s="25">
        <f t="shared" si="20"/>
        <v>597.12</v>
      </c>
      <c r="I42" s="28">
        <f t="shared" si="21"/>
        <v>11345.279999999999</v>
      </c>
      <c r="J42" s="24"/>
    </row>
    <row r="43" spans="2:10">
      <c r="B43" s="24" t="s">
        <v>150</v>
      </c>
      <c r="C43" s="55" t="str">
        <f t="shared" ref="C43:C44" si="22">VLOOKUP(B43,raw_a,2,0)</f>
        <v>12월분</v>
      </c>
      <c r="D43" s="24" t="s">
        <v>23</v>
      </c>
      <c r="E43" s="25">
        <f>SUMIFS(전체리스트!D:D,전체리스트!A:A,B43,전체리스트!C:C,D43)</f>
        <v>400</v>
      </c>
      <c r="F43" s="26">
        <f t="shared" ref="F43:F44" si="23">E43-G43</f>
        <v>160</v>
      </c>
      <c r="G43" s="27">
        <f>SUMIFS(전체리스트!E:E,전체리스트!A:A,B43,전체리스트!C:C,D43)</f>
        <v>240</v>
      </c>
      <c r="H43" s="25">
        <f t="shared" ref="H43:H44" si="24">G43*0.05</f>
        <v>12</v>
      </c>
      <c r="I43" s="28">
        <f t="shared" ref="I43:I44" si="25">G43-H43</f>
        <v>228</v>
      </c>
      <c r="J43" s="24"/>
    </row>
    <row r="44" spans="2:10">
      <c r="B44" s="24" t="s">
        <v>150</v>
      </c>
      <c r="C44" s="55" t="str">
        <f t="shared" si="22"/>
        <v>12월분</v>
      </c>
      <c r="D44" s="24" t="s">
        <v>64</v>
      </c>
      <c r="E44" s="25">
        <f>SUMIFS(전체리스트!D:D,전체리스트!A:A,B44,전체리스트!C:C,D44)</f>
        <v>54600</v>
      </c>
      <c r="F44" s="26">
        <f t="shared" si="23"/>
        <v>21840</v>
      </c>
      <c r="G44" s="27">
        <f>SUMIFS(전체리스트!E:E,전체리스트!A:A,B44,전체리스트!C:C,D44)</f>
        <v>32760</v>
      </c>
      <c r="H44" s="25">
        <f t="shared" si="24"/>
        <v>1638</v>
      </c>
      <c r="I44" s="28">
        <f t="shared" si="25"/>
        <v>31122</v>
      </c>
      <c r="J44" s="24"/>
    </row>
    <row r="45" spans="2:10">
      <c r="B45" s="24" t="s">
        <v>150</v>
      </c>
      <c r="C45" s="55" t="str">
        <f t="shared" si="14"/>
        <v>12월분</v>
      </c>
      <c r="D45" s="24" t="s">
        <v>219</v>
      </c>
      <c r="E45" s="25">
        <f>SUMIFS(전체리스트!D:D,전체리스트!A:A,B45,전체리스트!C:C,D45)</f>
        <v>216930</v>
      </c>
      <c r="F45" s="26">
        <f t="shared" si="15"/>
        <v>86772</v>
      </c>
      <c r="G45" s="27">
        <f>SUMIFS(전체리스트!E:E,전체리스트!A:A,B45,전체리스트!C:C,D45)</f>
        <v>130158</v>
      </c>
      <c r="H45" s="25">
        <f t="shared" si="16"/>
        <v>6507.9000000000005</v>
      </c>
      <c r="I45" s="28">
        <f t="shared" si="17"/>
        <v>123650.1</v>
      </c>
      <c r="J45" s="24"/>
    </row>
    <row r="46" spans="2:10">
      <c r="B46" s="24" t="s">
        <v>150</v>
      </c>
      <c r="C46" s="55" t="str">
        <f t="shared" si="14"/>
        <v>12월분</v>
      </c>
      <c r="D46" s="24" t="s">
        <v>514</v>
      </c>
      <c r="E46" s="25">
        <f>SUMIFS(전체리스트!D:D,전체리스트!A:A,B46,전체리스트!C:C,D46)</f>
        <v>22848</v>
      </c>
      <c r="F46" s="26">
        <f t="shared" si="15"/>
        <v>8660.76</v>
      </c>
      <c r="G46" s="27">
        <f>SUMIFS(전체리스트!E:E,전체리스트!A:A,B46,전체리스트!C:C,D46)</f>
        <v>14187.24</v>
      </c>
      <c r="H46" s="25">
        <f t="shared" si="16"/>
        <v>709.36200000000008</v>
      </c>
      <c r="I46" s="28">
        <f t="shared" si="17"/>
        <v>13477.878000000001</v>
      </c>
      <c r="J46" s="24"/>
    </row>
    <row r="47" spans="2:10">
      <c r="B47" s="24" t="s">
        <v>150</v>
      </c>
      <c r="C47" s="55" t="str">
        <f t="shared" si="14"/>
        <v>12월분</v>
      </c>
      <c r="D47" s="24" t="s">
        <v>27</v>
      </c>
      <c r="E47" s="25">
        <f>SUMIFS(전체리스트!D:D,전체리스트!A:A,B47,전체리스트!C:C,D47)</f>
        <v>15690</v>
      </c>
      <c r="F47" s="26">
        <f t="shared" si="15"/>
        <v>6276</v>
      </c>
      <c r="G47" s="27">
        <f>SUMIFS(전체리스트!E:E,전체리스트!A:A,B47,전체리스트!C:C,D47)</f>
        <v>9414</v>
      </c>
      <c r="H47" s="25">
        <f t="shared" si="16"/>
        <v>470.70000000000005</v>
      </c>
      <c r="I47" s="28">
        <f t="shared" si="17"/>
        <v>8943.2999999999993</v>
      </c>
      <c r="J47" s="24"/>
    </row>
    <row r="48" spans="2:10">
      <c r="B48" s="24" t="s">
        <v>150</v>
      </c>
      <c r="C48" s="55" t="str">
        <f t="shared" ref="C48:C57" si="26">VLOOKUP(B48,raw_a,2,0)</f>
        <v>12월분</v>
      </c>
      <c r="D48" s="24" t="s">
        <v>101</v>
      </c>
      <c r="E48" s="25">
        <f>SUMIFS(전체리스트!D:D,전체리스트!A:A,B48,전체리스트!C:C,D48)</f>
        <v>5400</v>
      </c>
      <c r="F48" s="26">
        <f t="shared" ref="F48:F57" si="27">E48-G48</f>
        <v>2160</v>
      </c>
      <c r="G48" s="27">
        <f>SUMIFS(전체리스트!E:E,전체리스트!A:A,B48,전체리스트!C:C,D48)</f>
        <v>3240</v>
      </c>
      <c r="H48" s="25">
        <f t="shared" ref="H48:H57" si="28">G48*0.05</f>
        <v>162</v>
      </c>
      <c r="I48" s="28">
        <f t="shared" ref="I48:I57" si="29">G48-H48</f>
        <v>3078</v>
      </c>
      <c r="J48" s="24"/>
    </row>
    <row r="49" spans="2:10">
      <c r="B49" s="24" t="s">
        <v>150</v>
      </c>
      <c r="C49" s="55" t="str">
        <f t="shared" si="26"/>
        <v>12월분</v>
      </c>
      <c r="D49" s="24" t="s">
        <v>153</v>
      </c>
      <c r="E49" s="25">
        <f>SUMIFS(전체리스트!D:D,전체리스트!A:A,B49,전체리스트!C:C,D49)</f>
        <v>41760</v>
      </c>
      <c r="F49" s="26">
        <f t="shared" si="27"/>
        <v>16704</v>
      </c>
      <c r="G49" s="27">
        <f>SUMIFS(전체리스트!E:E,전체리스트!A:A,B49,전체리스트!C:C,D49)</f>
        <v>25056</v>
      </c>
      <c r="H49" s="25">
        <f t="shared" si="28"/>
        <v>1252.8000000000002</v>
      </c>
      <c r="I49" s="28">
        <f t="shared" si="29"/>
        <v>23803.200000000001</v>
      </c>
      <c r="J49" s="24"/>
    </row>
    <row r="50" spans="2:10">
      <c r="B50" s="24" t="s">
        <v>150</v>
      </c>
      <c r="C50" s="55" t="str">
        <f t="shared" si="26"/>
        <v>12월분</v>
      </c>
      <c r="D50" s="24" t="s">
        <v>154</v>
      </c>
      <c r="E50" s="25">
        <f>SUMIFS(전체리스트!D:D,전체리스트!A:A,B50,전체리스트!C:C,D50)</f>
        <v>360</v>
      </c>
      <c r="F50" s="26">
        <f t="shared" si="27"/>
        <v>133.19999999999999</v>
      </c>
      <c r="G50" s="27">
        <f>SUMIFS(전체리스트!E:E,전체리스트!A:A,B50,전체리스트!C:C,D50)</f>
        <v>226.8</v>
      </c>
      <c r="H50" s="25">
        <f t="shared" si="28"/>
        <v>11.340000000000002</v>
      </c>
      <c r="I50" s="28">
        <f t="shared" si="29"/>
        <v>215.46</v>
      </c>
      <c r="J50" s="24"/>
    </row>
    <row r="51" spans="2:10">
      <c r="B51" s="24" t="s">
        <v>150</v>
      </c>
      <c r="C51" s="55" t="str">
        <f t="shared" ref="C51:C56" si="30">VLOOKUP(B51,raw_a,2,0)</f>
        <v>12월분</v>
      </c>
      <c r="D51" s="24" t="s">
        <v>30</v>
      </c>
      <c r="E51" s="25">
        <f>SUMIFS(전체리스트!D:D,전체리스트!A:A,B51,전체리스트!C:C,D51)</f>
        <v>1610824</v>
      </c>
      <c r="F51" s="26">
        <f t="shared" ref="F51:F56" si="31">E51-G51</f>
        <v>647042.31999999995</v>
      </c>
      <c r="G51" s="27">
        <f>SUMIFS(전체리스트!E:E,전체리스트!A:A,B51,전체리스트!C:C,D51)</f>
        <v>963781.68</v>
      </c>
      <c r="H51" s="25">
        <f t="shared" ref="H51:H56" si="32">G51*0.05</f>
        <v>48189.084000000003</v>
      </c>
      <c r="I51" s="28">
        <f t="shared" ref="I51:I56" si="33">G51-H51</f>
        <v>915592.59600000002</v>
      </c>
      <c r="J51" s="24"/>
    </row>
    <row r="52" spans="2:10">
      <c r="B52" s="24" t="s">
        <v>150</v>
      </c>
      <c r="C52" s="55" t="str">
        <f t="shared" si="30"/>
        <v>12월분</v>
      </c>
      <c r="D52" s="24" t="s">
        <v>33</v>
      </c>
      <c r="E52" s="25">
        <f>SUMIFS(전체리스트!D:D,전체리스트!A:A,B52,전체리스트!C:C,D52)</f>
        <v>5140</v>
      </c>
      <c r="F52" s="26">
        <f t="shared" si="31"/>
        <v>1994.8000000000002</v>
      </c>
      <c r="G52" s="27">
        <f>SUMIFS(전체리스트!E:E,전체리스트!A:A,B52,전체리스트!C:C,D52)</f>
        <v>3145.2</v>
      </c>
      <c r="H52" s="25">
        <f t="shared" si="32"/>
        <v>157.26</v>
      </c>
      <c r="I52" s="28">
        <f t="shared" si="33"/>
        <v>2987.9399999999996</v>
      </c>
      <c r="J52" s="24"/>
    </row>
    <row r="53" spans="2:10">
      <c r="B53" s="24" t="s">
        <v>150</v>
      </c>
      <c r="C53" s="55" t="str">
        <f t="shared" si="30"/>
        <v>12월분</v>
      </c>
      <c r="D53" s="24" t="s">
        <v>62</v>
      </c>
      <c r="E53" s="25">
        <f>SUMIFS(전체리스트!D:D,전체리스트!A:A,B53,전체리스트!C:C,D53)</f>
        <v>5000</v>
      </c>
      <c r="F53" s="26">
        <f t="shared" si="31"/>
        <v>2000</v>
      </c>
      <c r="G53" s="27">
        <f>SUMIFS(전체리스트!E:E,전체리스트!A:A,B53,전체리스트!C:C,D53)</f>
        <v>3000</v>
      </c>
      <c r="H53" s="25">
        <f t="shared" si="32"/>
        <v>150</v>
      </c>
      <c r="I53" s="28">
        <f t="shared" si="33"/>
        <v>2850</v>
      </c>
      <c r="J53" s="24"/>
    </row>
    <row r="54" spans="2:10">
      <c r="B54" s="24" t="s">
        <v>150</v>
      </c>
      <c r="C54" s="55" t="str">
        <f t="shared" si="30"/>
        <v>12월분</v>
      </c>
      <c r="D54" s="24" t="s">
        <v>70</v>
      </c>
      <c r="E54" s="25">
        <f>SUMIFS(전체리스트!D:D,전체리스트!A:A,B54,전체리스트!C:C,D54)</f>
        <v>640</v>
      </c>
      <c r="F54" s="26">
        <f t="shared" si="31"/>
        <v>248.8</v>
      </c>
      <c r="G54" s="27">
        <f>SUMIFS(전체리스트!E:E,전체리스트!A:A,B54,전체리스트!C:C,D54)</f>
        <v>391.2</v>
      </c>
      <c r="H54" s="25">
        <f t="shared" si="32"/>
        <v>19.560000000000002</v>
      </c>
      <c r="I54" s="28">
        <f t="shared" si="33"/>
        <v>371.64</v>
      </c>
      <c r="J54" s="24"/>
    </row>
    <row r="55" spans="2:10">
      <c r="B55" s="24" t="s">
        <v>150</v>
      </c>
      <c r="C55" s="55" t="str">
        <f t="shared" si="30"/>
        <v>12월분</v>
      </c>
      <c r="D55" s="24" t="s">
        <v>56</v>
      </c>
      <c r="E55" s="25">
        <f>SUMIFS(전체리스트!D:D,전체리스트!A:A,B55,전체리스트!C:C,D55)</f>
        <v>3600</v>
      </c>
      <c r="F55" s="26">
        <f t="shared" si="31"/>
        <v>1440</v>
      </c>
      <c r="G55" s="27">
        <f>SUMIFS(전체리스트!E:E,전체리스트!A:A,B55,전체리스트!C:C,D55)</f>
        <v>2160</v>
      </c>
      <c r="H55" s="25">
        <f t="shared" si="32"/>
        <v>108</v>
      </c>
      <c r="I55" s="28">
        <f t="shared" si="33"/>
        <v>2052</v>
      </c>
      <c r="J55" s="24"/>
    </row>
    <row r="56" spans="2:10">
      <c r="B56" s="24" t="s">
        <v>150</v>
      </c>
      <c r="C56" s="55" t="str">
        <f t="shared" si="30"/>
        <v>12월분</v>
      </c>
      <c r="D56" s="24" t="s">
        <v>80</v>
      </c>
      <c r="E56" s="25">
        <f>SUMIFS(전체리스트!D:D,전체리스트!A:A,B56,전체리스트!C:C,D56)</f>
        <v>4800</v>
      </c>
      <c r="F56" s="26">
        <f t="shared" si="31"/>
        <v>1920</v>
      </c>
      <c r="G56" s="27">
        <f>SUMIFS(전체리스트!E:E,전체리스트!A:A,B56,전체리스트!C:C,D56)</f>
        <v>2880</v>
      </c>
      <c r="H56" s="25">
        <f t="shared" si="32"/>
        <v>144</v>
      </c>
      <c r="I56" s="28">
        <f t="shared" si="33"/>
        <v>2736</v>
      </c>
      <c r="J56" s="24"/>
    </row>
    <row r="57" spans="2:10">
      <c r="B57" s="24" t="s">
        <v>150</v>
      </c>
      <c r="C57" s="55" t="str">
        <f t="shared" si="26"/>
        <v>12월분</v>
      </c>
      <c r="D57" s="24" t="s">
        <v>104</v>
      </c>
      <c r="E57" s="25">
        <f>SUMIFS(전체리스트!D:D,전체리스트!A:A,B57,전체리스트!C:C,D57)</f>
        <v>360</v>
      </c>
      <c r="F57" s="26">
        <f t="shared" si="27"/>
        <v>133.19999999999999</v>
      </c>
      <c r="G57" s="27">
        <f>SUMIFS(전체리스트!E:E,전체리스트!A:A,B57,전체리스트!C:C,D57)</f>
        <v>226.8</v>
      </c>
      <c r="H57" s="25">
        <f t="shared" si="28"/>
        <v>11.340000000000002</v>
      </c>
      <c r="I57" s="28">
        <f t="shared" si="29"/>
        <v>215.46</v>
      </c>
      <c r="J57" s="24"/>
    </row>
    <row r="58" spans="2:10">
      <c r="B58" s="29" t="s">
        <v>322</v>
      </c>
      <c r="C58" s="29"/>
      <c r="D58" s="30"/>
      <c r="E58" s="31">
        <f t="shared" ref="E58:J58" si="34">SUM(E6:E57)</f>
        <v>15320968</v>
      </c>
      <c r="F58" s="31">
        <f t="shared" si="34"/>
        <v>6114604.96</v>
      </c>
      <c r="G58" s="31">
        <f t="shared" si="34"/>
        <v>9206363.040000001</v>
      </c>
      <c r="H58" s="31">
        <f t="shared" si="34"/>
        <v>460318.15200000012</v>
      </c>
      <c r="I58" s="31">
        <f t="shared" si="34"/>
        <v>8746044.8880000003</v>
      </c>
      <c r="J58" s="31">
        <f t="shared" si="3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B4:J49"/>
  <sheetViews>
    <sheetView topLeftCell="A34" workbookViewId="0">
      <selection activeCell="D53" sqref="D53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102</v>
      </c>
      <c r="C6" s="55" t="str">
        <f t="shared" ref="C6:C18" si="0">VLOOKUP(B6,raw_a,2,0)</f>
        <v>11월분</v>
      </c>
      <c r="D6" s="24" t="s">
        <v>66</v>
      </c>
      <c r="E6" s="25">
        <f>SUMIFS(전체리스트!D:D,전체리스트!A:A,B6,전체리스트!C:C,D6)</f>
        <v>7350</v>
      </c>
      <c r="F6" s="26">
        <f>E6-G6</f>
        <v>0</v>
      </c>
      <c r="G6" s="27">
        <f>SUMIFS(전체리스트!E:E,전체리스트!A:A,B6,전체리스트!C:C,D6)</f>
        <v>7350</v>
      </c>
      <c r="H6" s="25">
        <f>G6*0.05</f>
        <v>367.5</v>
      </c>
      <c r="I6" s="28">
        <f>G6-H6</f>
        <v>6982.5</v>
      </c>
      <c r="J6" s="24"/>
    </row>
    <row r="7" spans="2:10">
      <c r="B7" s="24" t="s">
        <v>102</v>
      </c>
      <c r="C7" s="55" t="str">
        <f t="shared" si="0"/>
        <v>11월분</v>
      </c>
      <c r="D7" s="24" t="s">
        <v>382</v>
      </c>
      <c r="E7" s="25">
        <f>SUMIFS(전체리스트!D:D,전체리스트!A:A,B7,전체리스트!C:C,D7)</f>
        <v>50010.800000000039</v>
      </c>
      <c r="F7" s="26">
        <f t="shared" ref="F7:F18" si="1">E7-G7</f>
        <v>0</v>
      </c>
      <c r="G7" s="27">
        <f>SUMIFS(전체리스트!E:E,전체리스트!A:A,B7,전체리스트!C:C,D7)</f>
        <v>50010.800000000039</v>
      </c>
      <c r="H7" s="25">
        <f t="shared" ref="H7:H18" si="2">G7*0.05</f>
        <v>2500.5400000000022</v>
      </c>
      <c r="I7" s="28">
        <f t="shared" ref="I7:I18" si="3">G7-H7</f>
        <v>47510.260000000038</v>
      </c>
      <c r="J7" s="24"/>
    </row>
    <row r="8" spans="2:10">
      <c r="B8" s="24" t="s">
        <v>102</v>
      </c>
      <c r="C8" s="55" t="str">
        <f t="shared" si="0"/>
        <v>11월분</v>
      </c>
      <c r="D8" s="24" t="s">
        <v>389</v>
      </c>
      <c r="E8" s="25">
        <f>SUMIFS(전체리스트!D:D,전체리스트!A:A,B8,전체리스트!C:C,D8)</f>
        <v>5740</v>
      </c>
      <c r="F8" s="26">
        <f t="shared" si="1"/>
        <v>0</v>
      </c>
      <c r="G8" s="27">
        <f>SUMIFS(전체리스트!E:E,전체리스트!A:A,B8,전체리스트!C:C,D8)</f>
        <v>5740</v>
      </c>
      <c r="H8" s="25">
        <f t="shared" si="2"/>
        <v>287</v>
      </c>
      <c r="I8" s="28">
        <f t="shared" si="3"/>
        <v>5453</v>
      </c>
      <c r="J8" s="24"/>
    </row>
    <row r="9" spans="2:10">
      <c r="B9" s="24" t="s">
        <v>102</v>
      </c>
      <c r="C9" s="55" t="str">
        <f t="shared" si="0"/>
        <v>11월분</v>
      </c>
      <c r="D9" s="24" t="s">
        <v>8</v>
      </c>
      <c r="E9" s="25">
        <f>SUMIFS(전체리스트!D:D,전체리스트!A:A,B9,전체리스트!C:C,D9)</f>
        <v>5448.8</v>
      </c>
      <c r="F9" s="26">
        <f t="shared" si="1"/>
        <v>0</v>
      </c>
      <c r="G9" s="27">
        <f>SUMIFS(전체리스트!E:E,전체리스트!A:A,B9,전체리스트!C:C,D9)</f>
        <v>5448.8</v>
      </c>
      <c r="H9" s="25">
        <f t="shared" si="2"/>
        <v>272.44</v>
      </c>
      <c r="I9" s="28">
        <f t="shared" si="3"/>
        <v>5176.3600000000006</v>
      </c>
      <c r="J9" s="24"/>
    </row>
    <row r="10" spans="2:10">
      <c r="B10" s="24" t="s">
        <v>102</v>
      </c>
      <c r="C10" s="55" t="str">
        <f t="shared" si="0"/>
        <v>11월분</v>
      </c>
      <c r="D10" s="24" t="s">
        <v>9</v>
      </c>
      <c r="E10" s="25">
        <f>SUMIFS(전체리스트!D:D,전체리스트!A:A,B10,전체리스트!C:C,D10)</f>
        <v>15215.200000000004</v>
      </c>
      <c r="F10" s="26">
        <f t="shared" si="1"/>
        <v>0</v>
      </c>
      <c r="G10" s="27">
        <f>SUMIFS(전체리스트!E:E,전체리스트!A:A,B10,전체리스트!C:C,D10)</f>
        <v>15215.200000000004</v>
      </c>
      <c r="H10" s="25">
        <f t="shared" si="2"/>
        <v>760.76000000000022</v>
      </c>
      <c r="I10" s="28">
        <f t="shared" si="3"/>
        <v>14454.440000000004</v>
      </c>
      <c r="J10" s="24"/>
    </row>
    <row r="11" spans="2:10">
      <c r="B11" s="24" t="s">
        <v>102</v>
      </c>
      <c r="C11" s="55" t="str">
        <f t="shared" si="0"/>
        <v>11월분</v>
      </c>
      <c r="D11" s="24" t="s">
        <v>10</v>
      </c>
      <c r="E11" s="25">
        <f>SUMIFS(전체리스트!D:D,전체리스트!A:A,B11,전체리스트!C:C,D11)</f>
        <v>12674.899999999998</v>
      </c>
      <c r="F11" s="26">
        <f t="shared" si="1"/>
        <v>0</v>
      </c>
      <c r="G11" s="27">
        <f>SUMIFS(전체리스트!E:E,전체리스트!A:A,B11,전체리스트!C:C,D11)</f>
        <v>12674.899999999998</v>
      </c>
      <c r="H11" s="25">
        <f t="shared" si="2"/>
        <v>633.74499999999989</v>
      </c>
      <c r="I11" s="28">
        <f t="shared" si="3"/>
        <v>12041.154999999999</v>
      </c>
      <c r="J11" s="24"/>
    </row>
    <row r="12" spans="2:10">
      <c r="B12" s="24" t="s">
        <v>102</v>
      </c>
      <c r="C12" s="55" t="str">
        <f t="shared" ref="C12:C17" si="4">VLOOKUP(B12,raw_a,2,0)</f>
        <v>11월분</v>
      </c>
      <c r="D12" s="24" t="s">
        <v>11</v>
      </c>
      <c r="E12" s="25">
        <f>SUMIFS(전체리스트!D:D,전체리스트!A:A,B12,전체리스트!C:C,D12)</f>
        <v>117954.9</v>
      </c>
      <c r="F12" s="26">
        <f t="shared" ref="F12:F17" si="5">E12-G12</f>
        <v>0</v>
      </c>
      <c r="G12" s="27">
        <f>SUMIFS(전체리스트!E:E,전체리스트!A:A,B12,전체리스트!C:C,D12)</f>
        <v>117954.9</v>
      </c>
      <c r="H12" s="25">
        <f t="shared" si="2"/>
        <v>5897.7449999999999</v>
      </c>
      <c r="I12" s="28">
        <f t="shared" ref="I12:I17" si="6">G12-H12</f>
        <v>112057.155</v>
      </c>
      <c r="J12" s="24"/>
    </row>
    <row r="13" spans="2:10">
      <c r="B13" s="24" t="s">
        <v>102</v>
      </c>
      <c r="C13" s="55" t="str">
        <f t="shared" si="4"/>
        <v>11월분</v>
      </c>
      <c r="D13" s="24" t="s">
        <v>12</v>
      </c>
      <c r="E13" s="25">
        <f>SUMIFS(전체리스트!D:D,전체리스트!A:A,B13,전체리스트!C:C,D13)</f>
        <v>11970</v>
      </c>
      <c r="F13" s="26">
        <f t="shared" si="5"/>
        <v>0</v>
      </c>
      <c r="G13" s="27">
        <f>SUMIFS(전체리스트!E:E,전체리스트!A:A,B13,전체리스트!C:C,D13)</f>
        <v>11970</v>
      </c>
      <c r="H13" s="25">
        <f t="shared" si="2"/>
        <v>598.5</v>
      </c>
      <c r="I13" s="28">
        <f t="shared" si="6"/>
        <v>11371.5</v>
      </c>
      <c r="J13" s="24"/>
    </row>
    <row r="14" spans="2:10">
      <c r="B14" s="24" t="s">
        <v>102</v>
      </c>
      <c r="C14" s="55" t="str">
        <f t="shared" si="4"/>
        <v>11월분</v>
      </c>
      <c r="D14" s="24" t="s">
        <v>13</v>
      </c>
      <c r="E14" s="25">
        <f>SUMIFS(전체리스트!D:D,전체리스트!A:A,B14,전체리스트!C:C,D14)</f>
        <v>107198</v>
      </c>
      <c r="F14" s="26">
        <f t="shared" si="5"/>
        <v>0</v>
      </c>
      <c r="G14" s="27">
        <f>SUMIFS(전체리스트!E:E,전체리스트!A:A,B14,전체리스트!C:C,D14)</f>
        <v>107198</v>
      </c>
      <c r="H14" s="25">
        <f t="shared" si="2"/>
        <v>5359.9000000000005</v>
      </c>
      <c r="I14" s="28">
        <f t="shared" si="6"/>
        <v>101838.1</v>
      </c>
      <c r="J14" s="24"/>
    </row>
    <row r="15" spans="2:10">
      <c r="B15" s="24" t="s">
        <v>102</v>
      </c>
      <c r="C15" s="55" t="str">
        <f t="shared" si="4"/>
        <v>11월분</v>
      </c>
      <c r="D15" s="24" t="s">
        <v>90</v>
      </c>
      <c r="E15" s="25">
        <f>SUMIFS(전체리스트!D:D,전체리스트!A:A,B15,전체리스트!C:C,D15)</f>
        <v>355512.49100000033</v>
      </c>
      <c r="F15" s="26">
        <f t="shared" si="5"/>
        <v>0</v>
      </c>
      <c r="G15" s="27">
        <f>SUMIFS(전체리스트!E:E,전체리스트!A:A,B15,전체리스트!C:C,D15)</f>
        <v>355512.49100000033</v>
      </c>
      <c r="H15" s="25">
        <f t="shared" si="2"/>
        <v>17775.624550000019</v>
      </c>
      <c r="I15" s="28">
        <f t="shared" si="6"/>
        <v>337736.86645000032</v>
      </c>
      <c r="J15" s="24"/>
    </row>
    <row r="16" spans="2:10">
      <c r="B16" s="24" t="s">
        <v>102</v>
      </c>
      <c r="C16" s="55" t="str">
        <f t="shared" si="4"/>
        <v>11월분</v>
      </c>
      <c r="D16" s="24" t="s">
        <v>419</v>
      </c>
      <c r="E16" s="25">
        <f>SUMIFS(전체리스트!D:D,전체리스트!A:A,B16,전체리스트!C:C,D16)</f>
        <v>4474.3999999999996</v>
      </c>
      <c r="F16" s="26">
        <f t="shared" si="5"/>
        <v>0</v>
      </c>
      <c r="G16" s="27">
        <f>SUMIFS(전체리스트!E:E,전체리스트!A:A,B16,전체리스트!C:C,D16)</f>
        <v>4474.3999999999996</v>
      </c>
      <c r="H16" s="25">
        <f t="shared" si="2"/>
        <v>223.72</v>
      </c>
      <c r="I16" s="28">
        <f t="shared" si="6"/>
        <v>4250.6799999999994</v>
      </c>
      <c r="J16" s="24"/>
    </row>
    <row r="17" spans="2:10">
      <c r="B17" s="24" t="s">
        <v>102</v>
      </c>
      <c r="C17" s="55" t="str">
        <f t="shared" si="4"/>
        <v>11월분</v>
      </c>
      <c r="D17" s="24" t="s">
        <v>14</v>
      </c>
      <c r="E17" s="25">
        <f>SUMIFS(전체리스트!D:D,전체리스트!A:A,B17,전체리스트!C:C,D17)</f>
        <v>93926.001999999979</v>
      </c>
      <c r="F17" s="26">
        <f t="shared" si="5"/>
        <v>0</v>
      </c>
      <c r="G17" s="27">
        <f>SUMIFS(전체리스트!E:E,전체리스트!A:A,B17,전체리스트!C:C,D17)</f>
        <v>93926.001999999979</v>
      </c>
      <c r="H17" s="25">
        <f t="shared" si="2"/>
        <v>4696.3000999999995</v>
      </c>
      <c r="I17" s="28">
        <f t="shared" si="6"/>
        <v>89229.701899999985</v>
      </c>
      <c r="J17" s="24"/>
    </row>
    <row r="18" spans="2:10">
      <c r="B18" s="24" t="s">
        <v>102</v>
      </c>
      <c r="C18" s="55" t="str">
        <f t="shared" si="0"/>
        <v>11월분</v>
      </c>
      <c r="D18" s="24" t="s">
        <v>15</v>
      </c>
      <c r="E18" s="25">
        <f>SUMIFS(전체리스트!D:D,전체리스트!A:A,B18,전체리스트!C:C,D18)</f>
        <v>16982</v>
      </c>
      <c r="F18" s="26">
        <f t="shared" si="1"/>
        <v>0</v>
      </c>
      <c r="G18" s="27">
        <f>SUMIFS(전체리스트!E:E,전체리스트!A:A,B18,전체리스트!C:C,D18)</f>
        <v>16982</v>
      </c>
      <c r="H18" s="25">
        <f t="shared" si="2"/>
        <v>849.1</v>
      </c>
      <c r="I18" s="28">
        <f t="shared" si="3"/>
        <v>16132.9</v>
      </c>
      <c r="J18" s="24"/>
    </row>
    <row r="19" spans="2:10">
      <c r="B19" s="24" t="s">
        <v>102</v>
      </c>
      <c r="C19" s="55" t="str">
        <f t="shared" ref="C19:C23" si="7">VLOOKUP(B19,raw_a,2,0)</f>
        <v>11월분</v>
      </c>
      <c r="D19" s="24" t="s">
        <v>16</v>
      </c>
      <c r="E19" s="25">
        <f>SUMIFS(전체리스트!D:D,전체리스트!A:A,B19,전체리스트!C:C,D19)</f>
        <v>1540</v>
      </c>
      <c r="F19" s="26">
        <f t="shared" ref="F19:F23" si="8">E19-G19</f>
        <v>0</v>
      </c>
      <c r="G19" s="27">
        <f>SUMIFS(전체리스트!E:E,전체리스트!A:A,B19,전체리스트!C:C,D19)</f>
        <v>1540</v>
      </c>
      <c r="H19" s="25">
        <f t="shared" ref="H19:H23" si="9">G19*0.05</f>
        <v>77</v>
      </c>
      <c r="I19" s="28">
        <f t="shared" ref="I19:I23" si="10">G19-H19</f>
        <v>1463</v>
      </c>
      <c r="J19" s="24"/>
    </row>
    <row r="20" spans="2:10">
      <c r="B20" s="24" t="s">
        <v>102</v>
      </c>
      <c r="C20" s="55" t="str">
        <f t="shared" si="7"/>
        <v>11월분</v>
      </c>
      <c r="D20" s="24" t="s">
        <v>205</v>
      </c>
      <c r="E20" s="25">
        <f>SUMIFS(전체리스트!D:D,전체리스트!A:A,B20,전체리스트!C:C,D20)</f>
        <v>160544.99799999999</v>
      </c>
      <c r="F20" s="26">
        <f t="shared" si="8"/>
        <v>0</v>
      </c>
      <c r="G20" s="27">
        <f>SUMIFS(전체리스트!E:E,전체리스트!A:A,B20,전체리스트!C:C,D20)</f>
        <v>160544.99799999999</v>
      </c>
      <c r="H20" s="25">
        <f t="shared" si="9"/>
        <v>8027.2498999999998</v>
      </c>
      <c r="I20" s="28">
        <f t="shared" si="10"/>
        <v>152517.7481</v>
      </c>
      <c r="J20" s="24"/>
    </row>
    <row r="21" spans="2:10">
      <c r="B21" s="24" t="s">
        <v>102</v>
      </c>
      <c r="C21" s="55" t="str">
        <f t="shared" si="7"/>
        <v>11월분</v>
      </c>
      <c r="D21" s="24" t="s">
        <v>383</v>
      </c>
      <c r="E21" s="25">
        <f>SUMIFS(전체리스트!D:D,전체리스트!A:A,B21,전체리스트!C:C,D21)</f>
        <v>16128</v>
      </c>
      <c r="F21" s="26">
        <f t="shared" si="8"/>
        <v>0</v>
      </c>
      <c r="G21" s="27">
        <f>SUMIFS(전체리스트!E:E,전체리스트!A:A,B21,전체리스트!C:C,D21)</f>
        <v>16128</v>
      </c>
      <c r="H21" s="25">
        <f t="shared" si="9"/>
        <v>806.40000000000009</v>
      </c>
      <c r="I21" s="28">
        <f t="shared" si="10"/>
        <v>15321.6</v>
      </c>
      <c r="J21" s="24"/>
    </row>
    <row r="22" spans="2:10">
      <c r="B22" s="24" t="s">
        <v>102</v>
      </c>
      <c r="C22" s="55" t="str">
        <f t="shared" si="7"/>
        <v>11월분</v>
      </c>
      <c r="D22" s="24" t="s">
        <v>53</v>
      </c>
      <c r="E22" s="25">
        <f>SUMIFS(전체리스트!D:D,전체리스트!A:A,B22,전체리스트!C:C,D22)</f>
        <v>52290</v>
      </c>
      <c r="F22" s="26">
        <f t="shared" si="8"/>
        <v>0</v>
      </c>
      <c r="G22" s="27">
        <f>SUMIFS(전체리스트!E:E,전체리스트!A:A,B22,전체리스트!C:C,D22)</f>
        <v>52290</v>
      </c>
      <c r="H22" s="25">
        <f t="shared" si="9"/>
        <v>2614.5</v>
      </c>
      <c r="I22" s="28">
        <f t="shared" si="10"/>
        <v>49675.5</v>
      </c>
      <c r="J22" s="24"/>
    </row>
    <row r="23" spans="2:10">
      <c r="B23" s="24" t="s">
        <v>102</v>
      </c>
      <c r="C23" s="55" t="str">
        <f t="shared" si="7"/>
        <v>11월분</v>
      </c>
      <c r="D23" s="24" t="s">
        <v>58</v>
      </c>
      <c r="E23" s="25">
        <f>SUMIFS(전체리스트!D:D,전체리스트!A:A,B23,전체리스트!C:C,D23)</f>
        <v>13230</v>
      </c>
      <c r="F23" s="26">
        <f t="shared" si="8"/>
        <v>0</v>
      </c>
      <c r="G23" s="27">
        <f>SUMIFS(전체리스트!E:E,전체리스트!A:A,B23,전체리스트!C:C,D23)</f>
        <v>13230</v>
      </c>
      <c r="H23" s="25">
        <f t="shared" si="9"/>
        <v>661.5</v>
      </c>
      <c r="I23" s="28">
        <f t="shared" si="10"/>
        <v>12568.5</v>
      </c>
      <c r="J23" s="24"/>
    </row>
    <row r="24" spans="2:10">
      <c r="B24" s="24" t="s">
        <v>102</v>
      </c>
      <c r="C24" s="55" t="str">
        <f t="shared" ref="C24:C39" si="11">VLOOKUP(B24,raw_a,2,0)</f>
        <v>11월분</v>
      </c>
      <c r="D24" s="24" t="s">
        <v>21</v>
      </c>
      <c r="E24" s="25">
        <f>SUMIFS(전체리스트!D:D,전체리스트!A:A,B24,전체리스트!C:C,D24)</f>
        <v>5894</v>
      </c>
      <c r="F24" s="26">
        <f t="shared" ref="F24:F39" si="12">E24-G24</f>
        <v>0</v>
      </c>
      <c r="G24" s="27">
        <f>SUMIFS(전체리스트!E:E,전체리스트!A:A,B24,전체리스트!C:C,D24)</f>
        <v>5894</v>
      </c>
      <c r="H24" s="25">
        <f t="shared" ref="H24:H39" si="13">G24*0.05</f>
        <v>294.7</v>
      </c>
      <c r="I24" s="28">
        <f t="shared" ref="I24:I39" si="14">G24-H24</f>
        <v>5599.3</v>
      </c>
      <c r="J24" s="24"/>
    </row>
    <row r="25" spans="2:10">
      <c r="B25" s="24" t="s">
        <v>102</v>
      </c>
      <c r="C25" s="55" t="str">
        <f t="shared" ref="C25" si="15">VLOOKUP(B25,raw_a,2,0)</f>
        <v>11월분</v>
      </c>
      <c r="D25" s="24" t="s">
        <v>401</v>
      </c>
      <c r="E25" s="25">
        <f>SUMIFS(전체리스트!D:D,전체리스트!A:A,B25,전체리스트!C:C,D25)</f>
        <v>49431.200000000012</v>
      </c>
      <c r="F25" s="26">
        <f t="shared" ref="F25" si="16">E25-G25</f>
        <v>0</v>
      </c>
      <c r="G25" s="27">
        <f>SUMIFS(전체리스트!E:E,전체리스트!A:A,B25,전체리스트!C:C,D25)</f>
        <v>49431.200000000012</v>
      </c>
      <c r="H25" s="25">
        <f t="shared" ref="H25" si="17">G25*0.05</f>
        <v>2471.5600000000009</v>
      </c>
      <c r="I25" s="28">
        <f t="shared" ref="I25" si="18">G25-H25</f>
        <v>46959.640000000014</v>
      </c>
      <c r="J25" s="24"/>
    </row>
    <row r="26" spans="2:10">
      <c r="B26" s="24" t="s">
        <v>102</v>
      </c>
      <c r="C26" s="55" t="str">
        <f t="shared" si="11"/>
        <v>11월분</v>
      </c>
      <c r="D26" s="24" t="s">
        <v>22</v>
      </c>
      <c r="E26" s="25">
        <f>SUMIFS(전체리스트!D:D,전체리스트!A:A,B26,전체리스트!C:C,D26)</f>
        <v>278819.79999999981</v>
      </c>
      <c r="F26" s="26">
        <f t="shared" si="12"/>
        <v>0</v>
      </c>
      <c r="G26" s="27">
        <f>SUMIFS(전체리스트!E:E,전체리스트!A:A,B26,전체리스트!C:C,D26)</f>
        <v>278819.79999999981</v>
      </c>
      <c r="H26" s="25">
        <f t="shared" si="13"/>
        <v>13940.989999999991</v>
      </c>
      <c r="I26" s="28">
        <f t="shared" si="14"/>
        <v>264878.80999999982</v>
      </c>
      <c r="J26" s="24"/>
    </row>
    <row r="27" spans="2:10">
      <c r="B27" s="24" t="s">
        <v>102</v>
      </c>
      <c r="C27" s="55" t="str">
        <f t="shared" ref="C27:C32" si="19">VLOOKUP(B27,raw_a,2,0)</f>
        <v>11월분</v>
      </c>
      <c r="D27" s="24" t="s">
        <v>64</v>
      </c>
      <c r="E27" s="25">
        <f>SUMIFS(전체리스트!D:D,전체리스트!A:A,B27,전체리스트!C:C,D27)</f>
        <v>30072</v>
      </c>
      <c r="F27" s="26">
        <f t="shared" ref="F27:F32" si="20">E27-G27</f>
        <v>0</v>
      </c>
      <c r="G27" s="27">
        <f>SUMIFS(전체리스트!E:E,전체리스트!A:A,B27,전체리스트!C:C,D27)</f>
        <v>30072</v>
      </c>
      <c r="H27" s="25">
        <f t="shared" ref="H27:H32" si="21">G27*0.05</f>
        <v>1503.6000000000001</v>
      </c>
      <c r="I27" s="28">
        <f t="shared" ref="I27:I32" si="22">G27-H27</f>
        <v>28568.400000000001</v>
      </c>
      <c r="J27" s="24"/>
    </row>
    <row r="28" spans="2:10">
      <c r="B28" s="24" t="s">
        <v>102</v>
      </c>
      <c r="C28" s="55" t="str">
        <f t="shared" si="19"/>
        <v>11월분</v>
      </c>
      <c r="D28" s="24" t="s">
        <v>200</v>
      </c>
      <c r="E28" s="25">
        <f>SUMIFS(전체리스트!D:D,전체리스트!A:A,B28,전체리스트!C:C,D28)</f>
        <v>20475.000000000007</v>
      </c>
      <c r="F28" s="26">
        <f t="shared" si="20"/>
        <v>0</v>
      </c>
      <c r="G28" s="27">
        <f>SUMIFS(전체리스트!E:E,전체리스트!A:A,B28,전체리스트!C:C,D28)</f>
        <v>20475.000000000007</v>
      </c>
      <c r="H28" s="25">
        <f t="shared" si="21"/>
        <v>1023.7500000000005</v>
      </c>
      <c r="I28" s="28">
        <f t="shared" si="22"/>
        <v>19451.250000000007</v>
      </c>
      <c r="J28" s="24"/>
    </row>
    <row r="29" spans="2:10">
      <c r="B29" s="24" t="s">
        <v>102</v>
      </c>
      <c r="C29" s="55" t="str">
        <f t="shared" si="19"/>
        <v>11월분</v>
      </c>
      <c r="D29" s="24" t="s">
        <v>219</v>
      </c>
      <c r="E29" s="25">
        <f>SUMIFS(전체리스트!D:D,전체리스트!A:A,B29,전체리스트!C:C,D29)</f>
        <v>96663.003999999986</v>
      </c>
      <c r="F29" s="26">
        <f t="shared" si="20"/>
        <v>0</v>
      </c>
      <c r="G29" s="27">
        <f>SUMIFS(전체리스트!E:E,전체리스트!A:A,B29,전체리스트!C:C,D29)</f>
        <v>96663.003999999986</v>
      </c>
      <c r="H29" s="25">
        <f t="shared" si="21"/>
        <v>4833.1501999999991</v>
      </c>
      <c r="I29" s="28">
        <f t="shared" si="22"/>
        <v>91829.853799999983</v>
      </c>
      <c r="J29" s="24"/>
    </row>
    <row r="30" spans="2:10">
      <c r="B30" s="24" t="s">
        <v>102</v>
      </c>
      <c r="C30" s="55" t="str">
        <f t="shared" si="19"/>
        <v>11월분</v>
      </c>
      <c r="D30" s="24" t="s">
        <v>417</v>
      </c>
      <c r="E30" s="25">
        <f>SUMIFS(전체리스트!D:D,전체리스트!A:A,B30,전체리스트!C:C,D30)</f>
        <v>39174.100000000013</v>
      </c>
      <c r="F30" s="26">
        <f t="shared" si="20"/>
        <v>0</v>
      </c>
      <c r="G30" s="27">
        <f>SUMIFS(전체리스트!E:E,전체리스트!A:A,B30,전체리스트!C:C,D30)</f>
        <v>39174.100000000013</v>
      </c>
      <c r="H30" s="25">
        <f t="shared" si="21"/>
        <v>1958.7050000000008</v>
      </c>
      <c r="I30" s="28">
        <f t="shared" si="22"/>
        <v>37215.395000000011</v>
      </c>
      <c r="J30" s="24"/>
    </row>
    <row r="31" spans="2:10">
      <c r="B31" s="24" t="s">
        <v>102</v>
      </c>
      <c r="C31" s="55" t="str">
        <f t="shared" si="19"/>
        <v>11월분</v>
      </c>
      <c r="D31" s="24" t="s">
        <v>390</v>
      </c>
      <c r="E31" s="25">
        <f>SUMIFS(전체리스트!D:D,전체리스트!A:A,B31,전체리스트!C:C,D31)</f>
        <v>25146.799999999999</v>
      </c>
      <c r="F31" s="26">
        <f t="shared" si="20"/>
        <v>0</v>
      </c>
      <c r="G31" s="27">
        <f>SUMIFS(전체리스트!E:E,전체리스트!A:A,B31,전체리스트!C:C,D31)</f>
        <v>25146.799999999999</v>
      </c>
      <c r="H31" s="25">
        <f t="shared" si="21"/>
        <v>1257.3400000000001</v>
      </c>
      <c r="I31" s="28">
        <f t="shared" si="22"/>
        <v>23889.46</v>
      </c>
      <c r="J31" s="24"/>
    </row>
    <row r="32" spans="2:10">
      <c r="B32" s="24" t="s">
        <v>102</v>
      </c>
      <c r="C32" s="55" t="str">
        <f t="shared" si="19"/>
        <v>11월분</v>
      </c>
      <c r="D32" s="24" t="s">
        <v>55</v>
      </c>
      <c r="E32" s="25">
        <f>SUMIFS(전체리스트!D:D,전체리스트!A:A,B32,전체리스트!C:C,D32)</f>
        <v>18354</v>
      </c>
      <c r="F32" s="26">
        <f t="shared" si="20"/>
        <v>0</v>
      </c>
      <c r="G32" s="27">
        <f>SUMIFS(전체리스트!E:E,전체리스트!A:A,B32,전체리스트!C:C,D32)</f>
        <v>18354</v>
      </c>
      <c r="H32" s="25">
        <f t="shared" si="21"/>
        <v>917.7</v>
      </c>
      <c r="I32" s="28">
        <f t="shared" si="22"/>
        <v>17436.3</v>
      </c>
      <c r="J32" s="24"/>
    </row>
    <row r="33" spans="2:10">
      <c r="B33" s="24" t="s">
        <v>102</v>
      </c>
      <c r="C33" s="55" t="str">
        <f t="shared" si="11"/>
        <v>11월분</v>
      </c>
      <c r="D33" s="24" t="s">
        <v>100</v>
      </c>
      <c r="E33" s="25">
        <f>SUMIFS(전체리스트!D:D,전체리스트!A:A,B33,전체리스트!C:C,D33)</f>
        <v>3834.5999999999995</v>
      </c>
      <c r="F33" s="26">
        <f t="shared" si="12"/>
        <v>0</v>
      </c>
      <c r="G33" s="27">
        <f>SUMIFS(전체리스트!E:E,전체리스트!A:A,B33,전체리스트!C:C,D33)</f>
        <v>3834.5999999999995</v>
      </c>
      <c r="H33" s="25">
        <f t="shared" si="13"/>
        <v>191.73</v>
      </c>
      <c r="I33" s="28">
        <f t="shared" si="14"/>
        <v>3642.8699999999994</v>
      </c>
      <c r="J33" s="24"/>
    </row>
    <row r="34" spans="2:10">
      <c r="B34" s="24" t="s">
        <v>102</v>
      </c>
      <c r="C34" s="55" t="str">
        <f t="shared" si="11"/>
        <v>11월분</v>
      </c>
      <c r="D34" s="24" t="s">
        <v>29</v>
      </c>
      <c r="E34" s="25">
        <f>SUMIFS(전체리스트!D:D,전체리스트!A:A,B34,전체리스트!C:C,D34)</f>
        <v>23408</v>
      </c>
      <c r="F34" s="26">
        <f t="shared" si="12"/>
        <v>0</v>
      </c>
      <c r="G34" s="27">
        <f>SUMIFS(전체리스트!E:E,전체리스트!A:A,B34,전체리스트!C:C,D34)</f>
        <v>23408</v>
      </c>
      <c r="H34" s="25">
        <f t="shared" si="13"/>
        <v>1170.4000000000001</v>
      </c>
      <c r="I34" s="28">
        <f t="shared" si="14"/>
        <v>22237.599999999999</v>
      </c>
      <c r="J34" s="24"/>
    </row>
    <row r="35" spans="2:10">
      <c r="B35" s="24" t="s">
        <v>102</v>
      </c>
      <c r="C35" s="55" t="str">
        <f t="shared" si="11"/>
        <v>11월분</v>
      </c>
      <c r="D35" s="24" t="s">
        <v>372</v>
      </c>
      <c r="E35" s="25">
        <f>SUMIFS(전체리스트!D:D,전체리스트!A:A,B35,전체리스트!C:C,D35)</f>
        <v>15922.199999999999</v>
      </c>
      <c r="F35" s="26">
        <f t="shared" si="12"/>
        <v>0</v>
      </c>
      <c r="G35" s="27">
        <f>SUMIFS(전체리스트!E:E,전체리스트!A:A,B35,전체리스트!C:C,D35)</f>
        <v>15922.199999999999</v>
      </c>
      <c r="H35" s="25">
        <f t="shared" si="13"/>
        <v>796.11</v>
      </c>
      <c r="I35" s="28">
        <f t="shared" si="14"/>
        <v>15126.089999999998</v>
      </c>
      <c r="J35" s="24"/>
    </row>
    <row r="36" spans="2:10">
      <c r="B36" s="24" t="s">
        <v>102</v>
      </c>
      <c r="C36" s="55" t="str">
        <f t="shared" si="11"/>
        <v>11월분</v>
      </c>
      <c r="D36" s="24" t="s">
        <v>30</v>
      </c>
      <c r="E36" s="25">
        <f>SUMIFS(전체리스트!D:D,전체리스트!A:A,B36,전체리스트!C:C,D36)</f>
        <v>170222.511</v>
      </c>
      <c r="F36" s="26">
        <f t="shared" si="12"/>
        <v>0</v>
      </c>
      <c r="G36" s="27">
        <f>SUMIFS(전체리스트!E:E,전체리스트!A:A,B36,전체리스트!C:C,D36)</f>
        <v>170222.511</v>
      </c>
      <c r="H36" s="25">
        <f t="shared" si="13"/>
        <v>8511.1255500000007</v>
      </c>
      <c r="I36" s="28">
        <f t="shared" si="14"/>
        <v>161711.38545</v>
      </c>
      <c r="J36" s="24"/>
    </row>
    <row r="37" spans="2:10">
      <c r="B37" s="24" t="s">
        <v>102</v>
      </c>
      <c r="C37" s="55" t="str">
        <f t="shared" si="11"/>
        <v>11월분</v>
      </c>
      <c r="D37" s="24" t="s">
        <v>32</v>
      </c>
      <c r="E37" s="25">
        <f>SUMIFS(전체리스트!D:D,전체리스트!A:A,B37,전체리스트!C:C,D37)</f>
        <v>456153.59700000001</v>
      </c>
      <c r="F37" s="26">
        <f t="shared" si="12"/>
        <v>0</v>
      </c>
      <c r="G37" s="27">
        <f>SUMIFS(전체리스트!E:E,전체리스트!A:A,B37,전체리스트!C:C,D37)</f>
        <v>456153.59700000001</v>
      </c>
      <c r="H37" s="25">
        <f t="shared" si="13"/>
        <v>22807.67985</v>
      </c>
      <c r="I37" s="28">
        <f t="shared" si="14"/>
        <v>433345.91714999999</v>
      </c>
      <c r="J37" s="24"/>
    </row>
    <row r="38" spans="2:10">
      <c r="B38" s="24" t="s">
        <v>102</v>
      </c>
      <c r="C38" s="55" t="str">
        <f t="shared" si="11"/>
        <v>11월분</v>
      </c>
      <c r="D38" s="24" t="s">
        <v>413</v>
      </c>
      <c r="E38" s="25">
        <f>SUMIFS(전체리스트!D:D,전체리스트!A:A,B38,전체리스트!C:C,D38)</f>
        <v>42302.400000000009</v>
      </c>
      <c r="F38" s="26">
        <f t="shared" si="12"/>
        <v>0</v>
      </c>
      <c r="G38" s="27">
        <f>SUMIFS(전체리스트!E:E,전체리스트!A:A,B38,전체리스트!C:C,D38)</f>
        <v>42302.400000000009</v>
      </c>
      <c r="H38" s="25">
        <f t="shared" si="13"/>
        <v>2115.1200000000003</v>
      </c>
      <c r="I38" s="28">
        <f t="shared" si="14"/>
        <v>40187.280000000006</v>
      </c>
      <c r="J38" s="24"/>
    </row>
    <row r="39" spans="2:10">
      <c r="B39" s="24" t="s">
        <v>102</v>
      </c>
      <c r="C39" s="55" t="str">
        <f t="shared" si="11"/>
        <v>11월분</v>
      </c>
      <c r="D39" s="24" t="s">
        <v>360</v>
      </c>
      <c r="E39" s="25">
        <f>SUMIFS(전체리스트!D:D,전체리스트!A:A,B39,전체리스트!C:C,D39)</f>
        <v>190810.89999999994</v>
      </c>
      <c r="F39" s="26">
        <f t="shared" si="12"/>
        <v>0</v>
      </c>
      <c r="G39" s="27">
        <f>SUMIFS(전체리스트!E:E,전체리스트!A:A,B39,전체리스트!C:C,D39)</f>
        <v>190810.89999999994</v>
      </c>
      <c r="H39" s="25">
        <f t="shared" si="13"/>
        <v>9540.5449999999964</v>
      </c>
      <c r="I39" s="28">
        <f t="shared" si="14"/>
        <v>181270.35499999995</v>
      </c>
      <c r="J39" s="24"/>
    </row>
    <row r="40" spans="2:10">
      <c r="B40" s="24" t="s">
        <v>102</v>
      </c>
      <c r="C40" s="55" t="str">
        <f t="shared" ref="C40:C48" si="23">VLOOKUP(B40,raw_a,2,0)</f>
        <v>11월분</v>
      </c>
      <c r="D40" s="24" t="s">
        <v>373</v>
      </c>
      <c r="E40" s="25">
        <f>SUMIFS(전체리스트!D:D,전체리스트!A:A,B40,전체리스트!C:C,D40)</f>
        <v>17946.599999999999</v>
      </c>
      <c r="F40" s="26">
        <f t="shared" ref="F40:F48" si="24">E40-G40</f>
        <v>0</v>
      </c>
      <c r="G40" s="27">
        <f>SUMIFS(전체리스트!E:E,전체리스트!A:A,B40,전체리스트!C:C,D40)</f>
        <v>17946.599999999999</v>
      </c>
      <c r="H40" s="25">
        <f t="shared" ref="H40:H48" si="25">G40*0.05</f>
        <v>897.32999999999993</v>
      </c>
      <c r="I40" s="28">
        <f t="shared" ref="I40:I48" si="26">G40-H40</f>
        <v>17049.269999999997</v>
      </c>
      <c r="J40" s="24"/>
    </row>
    <row r="41" spans="2:10">
      <c r="B41" s="24" t="s">
        <v>102</v>
      </c>
      <c r="C41" s="55" t="str">
        <f t="shared" si="23"/>
        <v>11월분</v>
      </c>
      <c r="D41" s="24" t="s">
        <v>34</v>
      </c>
      <c r="E41" s="25">
        <f>SUMIFS(전체리스트!D:D,전체리스트!A:A,B41,전체리스트!C:C,D41)</f>
        <v>13370</v>
      </c>
      <c r="F41" s="26">
        <f t="shared" si="24"/>
        <v>0</v>
      </c>
      <c r="G41" s="27">
        <f>SUMIFS(전체리스트!E:E,전체리스트!A:A,B41,전체리스트!C:C,D41)</f>
        <v>13370</v>
      </c>
      <c r="H41" s="25">
        <f t="shared" si="25"/>
        <v>668.5</v>
      </c>
      <c r="I41" s="28">
        <f t="shared" si="26"/>
        <v>12701.5</v>
      </c>
      <c r="J41" s="24"/>
    </row>
    <row r="42" spans="2:10">
      <c r="B42" s="24" t="s">
        <v>102</v>
      </c>
      <c r="C42" s="55" t="str">
        <f t="shared" si="23"/>
        <v>11월분</v>
      </c>
      <c r="D42" s="24" t="s">
        <v>112</v>
      </c>
      <c r="E42" s="25">
        <f>SUMIFS(전체리스트!D:D,전체리스트!A:A,B42,전체리스트!C:C,D42)</f>
        <v>25046</v>
      </c>
      <c r="F42" s="26">
        <f t="shared" si="24"/>
        <v>0</v>
      </c>
      <c r="G42" s="27">
        <f>SUMIFS(전체리스트!E:E,전체리스트!A:A,B42,전체리스트!C:C,D42)</f>
        <v>25046</v>
      </c>
      <c r="H42" s="25">
        <f t="shared" si="25"/>
        <v>1252.3000000000002</v>
      </c>
      <c r="I42" s="28">
        <f t="shared" si="26"/>
        <v>23793.7</v>
      </c>
      <c r="J42" s="24"/>
    </row>
    <row r="43" spans="2:10">
      <c r="B43" s="24" t="s">
        <v>102</v>
      </c>
      <c r="C43" s="55" t="str">
        <f t="shared" si="23"/>
        <v>11월분</v>
      </c>
      <c r="D43" s="24" t="s">
        <v>70</v>
      </c>
      <c r="E43" s="25">
        <f>SUMIFS(전체리스트!D:D,전체리스트!A:A,B43,전체리스트!C:C,D43)</f>
        <v>2100</v>
      </c>
      <c r="F43" s="26">
        <f t="shared" si="24"/>
        <v>0</v>
      </c>
      <c r="G43" s="27">
        <f>SUMIFS(전체리스트!E:E,전체리스트!A:A,B43,전체리스트!C:C,D43)</f>
        <v>2100</v>
      </c>
      <c r="H43" s="25">
        <f t="shared" si="25"/>
        <v>105</v>
      </c>
      <c r="I43" s="28">
        <f t="shared" si="26"/>
        <v>1995</v>
      </c>
      <c r="J43" s="24"/>
    </row>
    <row r="44" spans="2:10">
      <c r="B44" s="24" t="s">
        <v>102</v>
      </c>
      <c r="C44" s="55" t="str">
        <f t="shared" si="23"/>
        <v>11월분</v>
      </c>
      <c r="D44" s="24" t="s">
        <v>38</v>
      </c>
      <c r="E44" s="25">
        <f>SUMIFS(전체리스트!D:D,전체리스트!A:A,B44,전체리스트!C:C,D44)</f>
        <v>28042.009000000002</v>
      </c>
      <c r="F44" s="26">
        <f t="shared" si="24"/>
        <v>0</v>
      </c>
      <c r="G44" s="27">
        <f>SUMIFS(전체리스트!E:E,전체리스트!A:A,B44,전체리스트!C:C,D44)</f>
        <v>28042.009000000002</v>
      </c>
      <c r="H44" s="25">
        <f t="shared" si="25"/>
        <v>1402.1004500000001</v>
      </c>
      <c r="I44" s="28">
        <f t="shared" si="26"/>
        <v>26639.90855</v>
      </c>
      <c r="J44" s="24"/>
    </row>
    <row r="45" spans="2:10">
      <c r="B45" s="24" t="s">
        <v>102</v>
      </c>
      <c r="C45" s="55" t="str">
        <f t="shared" si="23"/>
        <v>11월분</v>
      </c>
      <c r="D45" s="24" t="s">
        <v>103</v>
      </c>
      <c r="E45" s="25">
        <f>SUMIFS(전체리스트!D:D,전체리스트!A:A,B45,전체리스트!C:C,D45)</f>
        <v>1890</v>
      </c>
      <c r="F45" s="26">
        <f t="shared" si="24"/>
        <v>0</v>
      </c>
      <c r="G45" s="27">
        <f>SUMIFS(전체리스트!E:E,전체리스트!A:A,B45,전체리스트!C:C,D45)</f>
        <v>1890</v>
      </c>
      <c r="H45" s="25">
        <f t="shared" si="25"/>
        <v>94.5</v>
      </c>
      <c r="I45" s="28">
        <f t="shared" si="26"/>
        <v>1795.5</v>
      </c>
      <c r="J45" s="24"/>
    </row>
    <row r="46" spans="2:10">
      <c r="B46" s="24" t="s">
        <v>102</v>
      </c>
      <c r="C46" s="55" t="str">
        <f t="shared" si="23"/>
        <v>11월분</v>
      </c>
      <c r="D46" s="24" t="s">
        <v>40</v>
      </c>
      <c r="E46" s="25">
        <f>SUMIFS(전체리스트!D:D,전체리스트!A:A,B46,전체리스트!C:C,D46)</f>
        <v>1470</v>
      </c>
      <c r="F46" s="26">
        <f t="shared" si="24"/>
        <v>0</v>
      </c>
      <c r="G46" s="27">
        <f>SUMIFS(전체리스트!E:E,전체리스트!A:A,B46,전체리스트!C:C,D46)</f>
        <v>1470</v>
      </c>
      <c r="H46" s="25">
        <f t="shared" si="25"/>
        <v>73.5</v>
      </c>
      <c r="I46" s="28">
        <f t="shared" si="26"/>
        <v>1396.5</v>
      </c>
      <c r="J46" s="24"/>
    </row>
    <row r="47" spans="2:10">
      <c r="B47" s="24" t="s">
        <v>102</v>
      </c>
      <c r="C47" s="55" t="str">
        <f t="shared" si="23"/>
        <v>11월분</v>
      </c>
      <c r="D47" s="24" t="s">
        <v>80</v>
      </c>
      <c r="E47" s="25">
        <f>SUMIFS(전체리스트!D:D,전체리스트!A:A,B47,전체리스트!C:C,D47)</f>
        <v>31290</v>
      </c>
      <c r="F47" s="26">
        <f t="shared" si="24"/>
        <v>0</v>
      </c>
      <c r="G47" s="27">
        <f>SUMIFS(전체리스트!E:E,전체리스트!A:A,B47,전체리스트!C:C,D47)</f>
        <v>31290</v>
      </c>
      <c r="H47" s="25">
        <f t="shared" si="25"/>
        <v>1564.5</v>
      </c>
      <c r="I47" s="28">
        <f t="shared" si="26"/>
        <v>29725.5</v>
      </c>
      <c r="J47" s="24"/>
    </row>
    <row r="48" spans="2:10">
      <c r="B48" s="24" t="s">
        <v>102</v>
      </c>
      <c r="C48" s="55" t="str">
        <f t="shared" si="23"/>
        <v>11월분</v>
      </c>
      <c r="D48" s="24" t="s">
        <v>104</v>
      </c>
      <c r="E48" s="25">
        <f>SUMIFS(전체리스트!D:D,전체리스트!A:A,B48,전체리스트!C:C,D48)</f>
        <v>634.20000000000005</v>
      </c>
      <c r="F48" s="26">
        <f t="shared" si="24"/>
        <v>0</v>
      </c>
      <c r="G48" s="27">
        <f>SUMIFS(전체리스트!E:E,전체리스트!A:A,B48,전체리스트!C:C,D48)</f>
        <v>634.20000000000005</v>
      </c>
      <c r="H48" s="25">
        <f t="shared" si="25"/>
        <v>31.710000000000004</v>
      </c>
      <c r="I48" s="28">
        <f t="shared" si="26"/>
        <v>602.49</v>
      </c>
      <c r="J48" s="24"/>
    </row>
    <row r="49" spans="2:10">
      <c r="B49" s="29" t="s">
        <v>322</v>
      </c>
      <c r="C49" s="29"/>
      <c r="D49" s="30"/>
      <c r="E49" s="31">
        <f t="shared" ref="E49:J49" si="27">SUM(E6:E48)</f>
        <v>2636663.4120000005</v>
      </c>
      <c r="F49" s="31">
        <f t="shared" si="27"/>
        <v>0</v>
      </c>
      <c r="G49" s="31">
        <f t="shared" si="27"/>
        <v>2636663.4120000005</v>
      </c>
      <c r="H49" s="31">
        <f t="shared" si="27"/>
        <v>131833.17059999998</v>
      </c>
      <c r="I49" s="31">
        <f t="shared" si="27"/>
        <v>2504830.2414000002</v>
      </c>
      <c r="J49" s="31">
        <f t="shared" si="2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B4:J43"/>
  <sheetViews>
    <sheetView topLeftCell="A22" workbookViewId="0">
      <selection activeCell="E48" sqref="E48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3.0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192</v>
      </c>
      <c r="C6" s="55" t="str">
        <f t="shared" ref="C6:C11" si="0">VLOOKUP(B6,raw_a,2,0)</f>
        <v>11월분</v>
      </c>
      <c r="D6" s="88" t="s">
        <v>360</v>
      </c>
      <c r="E6" s="25">
        <f>SUMIFS(전체리스트!D:D,전체리스트!A:A,B6,전체리스트!C:C,D6)</f>
        <v>15204840</v>
      </c>
      <c r="F6" s="26">
        <f>E6-G6</f>
        <v>6081936</v>
      </c>
      <c r="G6" s="27">
        <f>SUMIFS(전체리스트!E:E,전체리스트!A:A,B6,전체리스트!C:C,D6)</f>
        <v>9122904</v>
      </c>
      <c r="H6" s="25">
        <f>G6*0.05</f>
        <v>456145.2</v>
      </c>
      <c r="I6" s="28">
        <f>G6-H6</f>
        <v>8666758.8000000007</v>
      </c>
      <c r="J6" s="24"/>
    </row>
    <row r="7" spans="2:10">
      <c r="B7" s="24" t="s">
        <v>192</v>
      </c>
      <c r="C7" s="55" t="str">
        <f t="shared" si="0"/>
        <v>11월분</v>
      </c>
      <c r="D7" s="88" t="s">
        <v>11</v>
      </c>
      <c r="E7" s="25">
        <f>SUMIFS(전체리스트!D:D,전체리스트!A:A,B7,전체리스트!C:C,D7)</f>
        <v>8092980</v>
      </c>
      <c r="F7" s="26">
        <f t="shared" ref="F7:F11" si="1">E7-G7</f>
        <v>3237192</v>
      </c>
      <c r="G7" s="27">
        <f>SUMIFS(전체리스트!E:E,전체리스트!A:A,B7,전체리스트!C:C,D7)</f>
        <v>4855788</v>
      </c>
      <c r="H7" s="25">
        <f t="shared" ref="H7:H22" si="2">G7*0.05</f>
        <v>242789.40000000002</v>
      </c>
      <c r="I7" s="28">
        <f t="shared" ref="I7:I11" si="3">G7-H7</f>
        <v>4612998.5999999996</v>
      </c>
      <c r="J7" s="24"/>
    </row>
    <row r="8" spans="2:10">
      <c r="B8" s="24" t="s">
        <v>192</v>
      </c>
      <c r="C8" s="55" t="str">
        <f t="shared" si="0"/>
        <v>11월분</v>
      </c>
      <c r="D8" s="88" t="s">
        <v>30</v>
      </c>
      <c r="E8" s="25">
        <f>SUMIFS(전체리스트!D:D,전체리스트!A:A,B8,전체리스트!C:C,D8)</f>
        <v>6698160</v>
      </c>
      <c r="F8" s="26">
        <f t="shared" si="1"/>
        <v>2679264</v>
      </c>
      <c r="G8" s="27">
        <f>SUMIFS(전체리스트!E:E,전체리스트!A:A,B8,전체리스트!C:C,D8)</f>
        <v>4018896</v>
      </c>
      <c r="H8" s="25">
        <f t="shared" si="2"/>
        <v>200944.80000000002</v>
      </c>
      <c r="I8" s="28">
        <f t="shared" si="3"/>
        <v>3817951.2</v>
      </c>
      <c r="J8" s="24"/>
    </row>
    <row r="9" spans="2:10">
      <c r="B9" s="24" t="s">
        <v>192</v>
      </c>
      <c r="C9" s="55" t="str">
        <f t="shared" si="0"/>
        <v>11월분</v>
      </c>
      <c r="D9" s="88" t="s">
        <v>90</v>
      </c>
      <c r="E9" s="25">
        <f>SUMIFS(전체리스트!D:D,전체리스트!A:A,B9,전체리스트!C:C,D9)</f>
        <v>2786280</v>
      </c>
      <c r="F9" s="26">
        <f t="shared" si="1"/>
        <v>1114512</v>
      </c>
      <c r="G9" s="27">
        <f>SUMIFS(전체리스트!E:E,전체리스트!A:A,B9,전체리스트!C:C,D9)</f>
        <v>1671768</v>
      </c>
      <c r="H9" s="25">
        <f t="shared" si="2"/>
        <v>83588.400000000009</v>
      </c>
      <c r="I9" s="28">
        <f t="shared" si="3"/>
        <v>1588179.6</v>
      </c>
      <c r="J9" s="24"/>
    </row>
    <row r="10" spans="2:10">
      <c r="B10" s="24" t="s">
        <v>192</v>
      </c>
      <c r="C10" s="55" t="str">
        <f t="shared" si="0"/>
        <v>11월분</v>
      </c>
      <c r="D10" s="88" t="s">
        <v>22</v>
      </c>
      <c r="E10" s="25">
        <f>SUMIFS(전체리스트!D:D,전체리스트!A:A,B10,전체리스트!C:C,D10)</f>
        <v>2530080</v>
      </c>
      <c r="F10" s="26">
        <f t="shared" si="1"/>
        <v>1012032</v>
      </c>
      <c r="G10" s="27">
        <f>SUMIFS(전체리스트!E:E,전체리스트!A:A,B10,전체리스트!C:C,D10)</f>
        <v>1518048</v>
      </c>
      <c r="H10" s="25">
        <f t="shared" si="2"/>
        <v>75902.400000000009</v>
      </c>
      <c r="I10" s="28">
        <f t="shared" si="3"/>
        <v>1442145.6</v>
      </c>
      <c r="J10" s="24"/>
    </row>
    <row r="11" spans="2:10">
      <c r="B11" s="24" t="s">
        <v>192</v>
      </c>
      <c r="C11" s="55" t="str">
        <f t="shared" si="0"/>
        <v>11월분</v>
      </c>
      <c r="D11" s="88" t="s">
        <v>8</v>
      </c>
      <c r="E11" s="25">
        <f>SUMIFS(전체리스트!D:D,전체리스트!A:A,B11,전체리스트!C:C,D11)</f>
        <v>2461900</v>
      </c>
      <c r="F11" s="26">
        <f t="shared" si="1"/>
        <v>984760</v>
      </c>
      <c r="G11" s="27">
        <f>SUMIFS(전체리스트!E:E,전체리스트!A:A,B11,전체리스트!C:C,D11)</f>
        <v>1477140</v>
      </c>
      <c r="H11" s="25">
        <f t="shared" si="2"/>
        <v>73857</v>
      </c>
      <c r="I11" s="28">
        <f t="shared" si="3"/>
        <v>1403283</v>
      </c>
      <c r="J11" s="24"/>
    </row>
    <row r="12" spans="2:10">
      <c r="B12" s="24" t="s">
        <v>192</v>
      </c>
      <c r="C12" s="55" t="str">
        <f t="shared" ref="C12:C18" si="4">VLOOKUP(B12,raw_a,2,0)</f>
        <v>11월분</v>
      </c>
      <c r="D12" s="88" t="s">
        <v>13</v>
      </c>
      <c r="E12" s="25">
        <f>SUMIFS(전체리스트!D:D,전체리스트!A:A,B12,전체리스트!C:C,D12)</f>
        <v>1486380</v>
      </c>
      <c r="F12" s="26">
        <f t="shared" ref="F12:F18" si="5">E12-G12</f>
        <v>594552</v>
      </c>
      <c r="G12" s="27">
        <f>SUMIFS(전체리스트!E:E,전체리스트!A:A,B12,전체리스트!C:C,D12)</f>
        <v>891828</v>
      </c>
      <c r="H12" s="25">
        <f t="shared" si="2"/>
        <v>44591.4</v>
      </c>
      <c r="I12" s="28">
        <f t="shared" ref="I12:I18" si="6">G12-H12</f>
        <v>847236.6</v>
      </c>
      <c r="J12" s="24"/>
    </row>
    <row r="13" spans="2:10">
      <c r="B13" s="24" t="s">
        <v>192</v>
      </c>
      <c r="C13" s="55" t="str">
        <f t="shared" si="4"/>
        <v>11월분</v>
      </c>
      <c r="D13" s="88" t="s">
        <v>9</v>
      </c>
      <c r="E13" s="25">
        <f>SUMIFS(전체리스트!D:D,전체리스트!A:A,B13,전체리스트!C:C,D13)</f>
        <v>780360</v>
      </c>
      <c r="F13" s="26">
        <f t="shared" si="5"/>
        <v>312144</v>
      </c>
      <c r="G13" s="27">
        <f>SUMIFS(전체리스트!E:E,전체리스트!A:A,B13,전체리스트!C:C,D13)</f>
        <v>468216</v>
      </c>
      <c r="H13" s="25">
        <f t="shared" si="2"/>
        <v>23410.800000000003</v>
      </c>
      <c r="I13" s="28">
        <f t="shared" si="6"/>
        <v>444805.2</v>
      </c>
      <c r="J13" s="24"/>
    </row>
    <row r="14" spans="2:10">
      <c r="B14" s="24" t="s">
        <v>192</v>
      </c>
      <c r="C14" s="55" t="str">
        <f t="shared" si="4"/>
        <v>11월분</v>
      </c>
      <c r="D14" s="88" t="s">
        <v>219</v>
      </c>
      <c r="E14" s="25">
        <f>SUMIFS(전체리스트!D:D,전체리스트!A:A,B14,전체리스트!C:C,D14)</f>
        <v>700980</v>
      </c>
      <c r="F14" s="26">
        <f t="shared" si="5"/>
        <v>280392</v>
      </c>
      <c r="G14" s="27">
        <f>SUMIFS(전체리스트!E:E,전체리스트!A:A,B14,전체리스트!C:C,D14)</f>
        <v>420588</v>
      </c>
      <c r="H14" s="25">
        <f t="shared" si="2"/>
        <v>21029.4</v>
      </c>
      <c r="I14" s="28">
        <f t="shared" si="6"/>
        <v>399558.6</v>
      </c>
      <c r="J14" s="24"/>
    </row>
    <row r="15" spans="2:10">
      <c r="B15" s="24" t="s">
        <v>192</v>
      </c>
      <c r="C15" s="55" t="str">
        <f t="shared" si="4"/>
        <v>11월분</v>
      </c>
      <c r="D15" s="88" t="s">
        <v>66</v>
      </c>
      <c r="E15" s="25">
        <f>SUMIFS(전체리스트!D:D,전체리스트!A:A,B15,전체리스트!C:C,D15)</f>
        <v>422520</v>
      </c>
      <c r="F15" s="26">
        <f t="shared" si="5"/>
        <v>169008</v>
      </c>
      <c r="G15" s="27">
        <f>SUMIFS(전체리스트!E:E,전체리스트!A:A,B15,전체리스트!C:C,D15)</f>
        <v>253512</v>
      </c>
      <c r="H15" s="25">
        <f t="shared" si="2"/>
        <v>12675.6</v>
      </c>
      <c r="I15" s="28">
        <f t="shared" si="6"/>
        <v>240836.4</v>
      </c>
      <c r="J15" s="24"/>
    </row>
    <row r="16" spans="2:10">
      <c r="B16" s="24" t="s">
        <v>192</v>
      </c>
      <c r="C16" s="55" t="str">
        <f t="shared" si="4"/>
        <v>11월분</v>
      </c>
      <c r="D16" s="88" t="s">
        <v>21</v>
      </c>
      <c r="E16" s="25">
        <f>SUMIFS(전체리스트!D:D,전체리스트!A:A,B16,전체리스트!C:C,D16)</f>
        <v>390880</v>
      </c>
      <c r="F16" s="26">
        <f t="shared" si="5"/>
        <v>156352</v>
      </c>
      <c r="G16" s="27">
        <f>SUMIFS(전체리스트!E:E,전체리스트!A:A,B16,전체리스트!C:C,D16)</f>
        <v>234528</v>
      </c>
      <c r="H16" s="25">
        <f t="shared" si="2"/>
        <v>11726.400000000001</v>
      </c>
      <c r="I16" s="28">
        <f t="shared" si="6"/>
        <v>222801.6</v>
      </c>
      <c r="J16" s="24"/>
    </row>
    <row r="17" spans="2:10">
      <c r="B17" s="24" t="s">
        <v>192</v>
      </c>
      <c r="C17" s="55" t="str">
        <f t="shared" si="4"/>
        <v>11월분</v>
      </c>
      <c r="D17" s="88" t="s">
        <v>53</v>
      </c>
      <c r="E17" s="25">
        <f>SUMIFS(전체리스트!D:D,전체리스트!A:A,B17,전체리스트!C:C,D17)</f>
        <v>296380</v>
      </c>
      <c r="F17" s="26">
        <f t="shared" si="5"/>
        <v>118552</v>
      </c>
      <c r="G17" s="27">
        <f>SUMIFS(전체리스트!E:E,전체리스트!A:A,B17,전체리스트!C:C,D17)</f>
        <v>177828</v>
      </c>
      <c r="H17" s="25">
        <f t="shared" si="2"/>
        <v>8891.4</v>
      </c>
      <c r="I17" s="28">
        <f t="shared" si="6"/>
        <v>168936.6</v>
      </c>
      <c r="J17" s="24"/>
    </row>
    <row r="18" spans="2:10">
      <c r="B18" s="24" t="s">
        <v>192</v>
      </c>
      <c r="C18" s="55" t="str">
        <f t="shared" si="4"/>
        <v>11월분</v>
      </c>
      <c r="D18" s="87" t="s">
        <v>29</v>
      </c>
      <c r="E18" s="25">
        <f>SUMIFS(전체리스트!D:D,전체리스트!A:A,B18,전체리스트!C:C,D18)</f>
        <v>260400</v>
      </c>
      <c r="F18" s="26">
        <f t="shared" si="5"/>
        <v>104160</v>
      </c>
      <c r="G18" s="27">
        <f>SUMIFS(전체리스트!E:E,전체리스트!A:A,B18,전체리스트!C:C,D18)</f>
        <v>156240</v>
      </c>
      <c r="H18" s="25">
        <f t="shared" si="2"/>
        <v>7812</v>
      </c>
      <c r="I18" s="28">
        <f t="shared" si="6"/>
        <v>148428</v>
      </c>
      <c r="J18" s="24"/>
    </row>
    <row r="19" spans="2:10">
      <c r="B19" s="24" t="s">
        <v>192</v>
      </c>
      <c r="C19" s="55" t="str">
        <f t="shared" ref="C19:C20" si="7">VLOOKUP(B19,raw_a,2,0)</f>
        <v>11월분</v>
      </c>
      <c r="D19" s="87" t="s">
        <v>38</v>
      </c>
      <c r="E19" s="25">
        <f>SUMIFS(전체리스트!D:D,전체리스트!A:A,B19,전체리스트!C:C,D19)</f>
        <v>216720</v>
      </c>
      <c r="F19" s="26">
        <f t="shared" ref="F19:F20" si="8">E19-G19</f>
        <v>86688</v>
      </c>
      <c r="G19" s="27">
        <f>SUMIFS(전체리스트!E:E,전체리스트!A:A,B19,전체리스트!C:C,D19)</f>
        <v>130032</v>
      </c>
      <c r="H19" s="25">
        <f t="shared" si="2"/>
        <v>6501.6</v>
      </c>
      <c r="I19" s="28">
        <f t="shared" ref="I19:I20" si="9">G19-H19</f>
        <v>123530.4</v>
      </c>
      <c r="J19" s="24"/>
    </row>
    <row r="20" spans="2:10">
      <c r="B20" s="24" t="s">
        <v>192</v>
      </c>
      <c r="C20" s="55" t="str">
        <f t="shared" si="7"/>
        <v>11월분</v>
      </c>
      <c r="D20" s="87" t="s">
        <v>10</v>
      </c>
      <c r="E20" s="25">
        <f>SUMIFS(전체리스트!D:D,전체리스트!A:A,B20,전체리스트!C:C,D20)</f>
        <v>160440</v>
      </c>
      <c r="F20" s="26">
        <f t="shared" si="8"/>
        <v>64176</v>
      </c>
      <c r="G20" s="27">
        <f>SUMIFS(전체리스트!E:E,전체리스트!A:A,B20,전체리스트!C:C,D20)</f>
        <v>96264</v>
      </c>
      <c r="H20" s="25">
        <f t="shared" si="2"/>
        <v>4813.2</v>
      </c>
      <c r="I20" s="28">
        <f t="shared" si="9"/>
        <v>91450.8</v>
      </c>
      <c r="J20" s="24"/>
    </row>
    <row r="21" spans="2:10">
      <c r="B21" s="24" t="s">
        <v>192</v>
      </c>
      <c r="C21" s="55" t="str">
        <f t="shared" ref="C21:C22" si="10">VLOOKUP(B21,raw_a,2,0)</f>
        <v>11월분</v>
      </c>
      <c r="D21" s="87" t="s">
        <v>193</v>
      </c>
      <c r="E21" s="25">
        <f>SUMIFS(전체리스트!D:D,전체리스트!A:A,B21,전체리스트!C:C,D21)</f>
        <v>159600</v>
      </c>
      <c r="F21" s="26">
        <f t="shared" ref="F21:F22" si="11">E21-G21</f>
        <v>63840</v>
      </c>
      <c r="G21" s="27">
        <f>SUMIFS(전체리스트!E:E,전체리스트!A:A,B21,전체리스트!C:C,D21)</f>
        <v>95760</v>
      </c>
      <c r="H21" s="25">
        <f t="shared" si="2"/>
        <v>4788</v>
      </c>
      <c r="I21" s="28">
        <f t="shared" ref="I21:I22" si="12">G21-H21</f>
        <v>90972</v>
      </c>
      <c r="J21" s="24"/>
    </row>
    <row r="22" spans="2:10">
      <c r="B22" s="24" t="s">
        <v>192</v>
      </c>
      <c r="C22" s="55" t="str">
        <f t="shared" si="10"/>
        <v>11월분</v>
      </c>
      <c r="D22" s="87" t="s">
        <v>401</v>
      </c>
      <c r="E22" s="25">
        <f>SUMIFS(전체리스트!D:D,전체리스트!A:A,B22,전체리스트!C:C,D22)</f>
        <v>108080</v>
      </c>
      <c r="F22" s="26">
        <f t="shared" si="11"/>
        <v>43232</v>
      </c>
      <c r="G22" s="27">
        <f>SUMIFS(전체리스트!E:E,전체리스트!A:A,B22,전체리스트!C:C,D22)</f>
        <v>64848</v>
      </c>
      <c r="H22" s="25">
        <f t="shared" si="2"/>
        <v>3242.4</v>
      </c>
      <c r="I22" s="28">
        <f t="shared" si="12"/>
        <v>61605.599999999999</v>
      </c>
      <c r="J22" s="24"/>
    </row>
    <row r="23" spans="2:10">
      <c r="B23" s="24" t="s">
        <v>192</v>
      </c>
      <c r="C23" s="55" t="str">
        <f t="shared" ref="C23:C26" si="13">VLOOKUP(B23,raw_a,2,0)</f>
        <v>11월분</v>
      </c>
      <c r="D23" s="87" t="s">
        <v>58</v>
      </c>
      <c r="E23" s="25">
        <f>SUMIFS(전체리스트!D:D,전체리스트!A:A,B23,전체리스트!C:C,D23)</f>
        <v>93520</v>
      </c>
      <c r="F23" s="26">
        <f t="shared" ref="F23:F26" si="14">E23-G23</f>
        <v>37408</v>
      </c>
      <c r="G23" s="27">
        <f>SUMIFS(전체리스트!E:E,전체리스트!A:A,B23,전체리스트!C:C,D23)</f>
        <v>56112</v>
      </c>
      <c r="H23" s="25">
        <f t="shared" ref="H23:H26" si="15">G23*0.05</f>
        <v>2805.6000000000004</v>
      </c>
      <c r="I23" s="28">
        <f t="shared" ref="I23:I26" si="16">G23-H23</f>
        <v>53306.400000000001</v>
      </c>
      <c r="J23" s="24"/>
    </row>
    <row r="24" spans="2:10">
      <c r="B24" s="24" t="s">
        <v>192</v>
      </c>
      <c r="C24" s="55" t="str">
        <f t="shared" si="13"/>
        <v>11월분</v>
      </c>
      <c r="D24" s="87" t="s">
        <v>417</v>
      </c>
      <c r="E24" s="25">
        <f>SUMIFS(전체리스트!D:D,전체리스트!A:A,B24,전체리스트!C:C,D24)</f>
        <v>89460</v>
      </c>
      <c r="F24" s="26">
        <f t="shared" si="14"/>
        <v>35784</v>
      </c>
      <c r="G24" s="27">
        <f>SUMIFS(전체리스트!E:E,전체리스트!A:A,B24,전체리스트!C:C,D24)</f>
        <v>53676</v>
      </c>
      <c r="H24" s="25">
        <f>G24*0.05</f>
        <v>2683.8</v>
      </c>
      <c r="I24" s="28">
        <f t="shared" si="16"/>
        <v>50992.2</v>
      </c>
      <c r="J24" s="24"/>
    </row>
    <row r="25" spans="2:10">
      <c r="B25" s="24" t="s">
        <v>192</v>
      </c>
      <c r="C25" s="55" t="str">
        <f t="shared" si="13"/>
        <v>11월분</v>
      </c>
      <c r="D25" s="87" t="s">
        <v>91</v>
      </c>
      <c r="E25" s="25">
        <f>SUMIFS(전체리스트!D:D,전체리스트!A:A,B25,전체리스트!C:C,D25)</f>
        <v>82320</v>
      </c>
      <c r="F25" s="26">
        <f t="shared" si="14"/>
        <v>32928</v>
      </c>
      <c r="G25" s="27">
        <f>SUMIFS(전체리스트!E:E,전체리스트!A:A,B25,전체리스트!C:C,D25)</f>
        <v>49392</v>
      </c>
      <c r="H25" s="25">
        <f t="shared" si="15"/>
        <v>2469.6000000000004</v>
      </c>
      <c r="I25" s="28">
        <f t="shared" si="16"/>
        <v>46922.400000000001</v>
      </c>
      <c r="J25" s="24"/>
    </row>
    <row r="26" spans="2:10">
      <c r="B26" s="24" t="s">
        <v>192</v>
      </c>
      <c r="C26" s="55" t="str">
        <f t="shared" si="13"/>
        <v>11월분</v>
      </c>
      <c r="D26" s="87" t="s">
        <v>390</v>
      </c>
      <c r="E26" s="25">
        <f>SUMIFS(전체리스트!D:D,전체리스트!A:A,B26,전체리스트!C:C,D26)</f>
        <v>80220</v>
      </c>
      <c r="F26" s="26">
        <f t="shared" si="14"/>
        <v>32088</v>
      </c>
      <c r="G26" s="27">
        <f>SUMIFS(전체리스트!E:E,전체리스트!A:A,B26,전체리스트!C:C,D26)</f>
        <v>48132</v>
      </c>
      <c r="H26" s="25">
        <f t="shared" si="15"/>
        <v>2406.6</v>
      </c>
      <c r="I26" s="28">
        <f t="shared" si="16"/>
        <v>45725.4</v>
      </c>
      <c r="J26" s="24"/>
    </row>
    <row r="27" spans="2:10">
      <c r="B27" s="24" t="s">
        <v>192</v>
      </c>
      <c r="C27" s="55" t="str">
        <f t="shared" ref="C27:C42" si="17">VLOOKUP(B27,raw_a,2,0)</f>
        <v>11월분</v>
      </c>
      <c r="D27" s="87" t="s">
        <v>12</v>
      </c>
      <c r="E27" s="25">
        <f>SUMIFS(전체리스트!D:D,전체리스트!A:A,B27,전체리스트!C:C,D27)</f>
        <v>72240</v>
      </c>
      <c r="F27" s="26">
        <f t="shared" ref="F27:F42" si="18">E27-G27</f>
        <v>28896</v>
      </c>
      <c r="G27" s="27">
        <f>SUMIFS(전체리스트!E:E,전체리스트!A:A,B27,전체리스트!C:C,D27)</f>
        <v>43344</v>
      </c>
      <c r="H27" s="25">
        <f t="shared" ref="H27:H42" si="19">G27*0.05</f>
        <v>2167.2000000000003</v>
      </c>
      <c r="I27" s="28">
        <f t="shared" ref="I27:I42" si="20">G27-H27</f>
        <v>41176.800000000003</v>
      </c>
      <c r="J27" s="24"/>
    </row>
    <row r="28" spans="2:10">
      <c r="B28" s="24" t="s">
        <v>192</v>
      </c>
      <c r="C28" s="55" t="str">
        <f t="shared" si="17"/>
        <v>11월분</v>
      </c>
      <c r="D28" s="87" t="s">
        <v>16</v>
      </c>
      <c r="E28" s="25">
        <f>SUMIFS(전체리스트!D:D,전체리스트!A:A,B28,전체리스트!C:C,D28)</f>
        <v>59220</v>
      </c>
      <c r="F28" s="26">
        <f t="shared" si="18"/>
        <v>23688</v>
      </c>
      <c r="G28" s="27">
        <f>SUMIFS(전체리스트!E:E,전체리스트!A:A,B28,전체리스트!C:C,D28)</f>
        <v>35532</v>
      </c>
      <c r="H28" s="25">
        <f t="shared" si="19"/>
        <v>1776.6000000000001</v>
      </c>
      <c r="I28" s="28">
        <f t="shared" si="20"/>
        <v>33755.4</v>
      </c>
      <c r="J28" s="24"/>
    </row>
    <row r="29" spans="2:10">
      <c r="B29" s="24" t="s">
        <v>192</v>
      </c>
      <c r="C29" s="55" t="str">
        <f t="shared" si="17"/>
        <v>11월분</v>
      </c>
      <c r="D29" s="87" t="s">
        <v>194</v>
      </c>
      <c r="E29" s="25">
        <f>SUMIFS(전체리스트!D:D,전체리스트!A:A,B29,전체리스트!C:C,D29)</f>
        <v>50400</v>
      </c>
      <c r="F29" s="26">
        <f t="shared" si="18"/>
        <v>20160</v>
      </c>
      <c r="G29" s="27">
        <f>SUMIFS(전체리스트!E:E,전체리스트!A:A,B29,전체리스트!C:C,D29)</f>
        <v>30240</v>
      </c>
      <c r="H29" s="25">
        <f t="shared" si="19"/>
        <v>1512</v>
      </c>
      <c r="I29" s="28">
        <f t="shared" si="20"/>
        <v>28728</v>
      </c>
      <c r="J29" s="24"/>
    </row>
    <row r="30" spans="2:10">
      <c r="B30" s="24" t="s">
        <v>192</v>
      </c>
      <c r="C30" s="55" t="str">
        <f t="shared" si="17"/>
        <v>11월분</v>
      </c>
      <c r="D30" s="87" t="s">
        <v>15</v>
      </c>
      <c r="E30" s="25">
        <f>SUMIFS(전체리스트!D:D,전체리스트!A:A,B30,전체리스트!C:C,D30)</f>
        <v>49280</v>
      </c>
      <c r="F30" s="26">
        <f t="shared" si="18"/>
        <v>19712</v>
      </c>
      <c r="G30" s="27">
        <f>SUMIFS(전체리스트!E:E,전체리스트!A:A,B30,전체리스트!C:C,D30)</f>
        <v>29568</v>
      </c>
      <c r="H30" s="25">
        <f t="shared" si="19"/>
        <v>1478.4</v>
      </c>
      <c r="I30" s="28">
        <f t="shared" si="20"/>
        <v>28089.599999999999</v>
      </c>
      <c r="J30" s="24"/>
    </row>
    <row r="31" spans="2:10">
      <c r="B31" s="24" t="s">
        <v>192</v>
      </c>
      <c r="C31" s="55" t="str">
        <f t="shared" si="17"/>
        <v>11월분</v>
      </c>
      <c r="D31" s="87" t="s">
        <v>367</v>
      </c>
      <c r="E31" s="25">
        <f>SUMIFS(전체리스트!D:D,전체리스트!A:A,B31,전체리스트!C:C,D31)</f>
        <v>35840</v>
      </c>
      <c r="F31" s="26">
        <f t="shared" si="18"/>
        <v>14336</v>
      </c>
      <c r="G31" s="27">
        <f>SUMIFS(전체리스트!E:E,전체리스트!A:A,B31,전체리스트!C:C,D31)</f>
        <v>21504</v>
      </c>
      <c r="H31" s="25">
        <f t="shared" si="19"/>
        <v>1075.2</v>
      </c>
      <c r="I31" s="28">
        <f t="shared" si="20"/>
        <v>20428.8</v>
      </c>
      <c r="J31" s="24"/>
    </row>
    <row r="32" spans="2:10">
      <c r="B32" s="24" t="s">
        <v>192</v>
      </c>
      <c r="C32" s="55" t="str">
        <f t="shared" si="17"/>
        <v>11월분</v>
      </c>
      <c r="D32" s="87" t="s">
        <v>372</v>
      </c>
      <c r="E32" s="25">
        <f>SUMIFS(전체리스트!D:D,전체리스트!A:A,B32,전체리스트!C:C,D32)</f>
        <v>34020</v>
      </c>
      <c r="F32" s="26">
        <f t="shared" si="18"/>
        <v>13608</v>
      </c>
      <c r="G32" s="27">
        <f>SUMIFS(전체리스트!E:E,전체리스트!A:A,B32,전체리스트!C:C,D32)</f>
        <v>20412</v>
      </c>
      <c r="H32" s="25">
        <f t="shared" si="19"/>
        <v>1020.6</v>
      </c>
      <c r="I32" s="28">
        <f t="shared" si="20"/>
        <v>19391.400000000001</v>
      </c>
      <c r="J32" s="24"/>
    </row>
    <row r="33" spans="2:10">
      <c r="B33" s="24" t="s">
        <v>192</v>
      </c>
      <c r="C33" s="55" t="str">
        <f t="shared" si="17"/>
        <v>11월분</v>
      </c>
      <c r="D33" s="87" t="s">
        <v>366</v>
      </c>
      <c r="E33" s="25">
        <f>SUMIFS(전체리스트!D:D,전체리스트!A:A,B33,전체리스트!C:C,D33)</f>
        <v>25620</v>
      </c>
      <c r="F33" s="26">
        <f t="shared" si="18"/>
        <v>10248</v>
      </c>
      <c r="G33" s="27">
        <f>SUMIFS(전체리스트!E:E,전체리스트!A:A,B33,전체리스트!C:C,D33)</f>
        <v>15372</v>
      </c>
      <c r="H33" s="25">
        <f t="shared" si="19"/>
        <v>768.6</v>
      </c>
      <c r="I33" s="28">
        <f t="shared" si="20"/>
        <v>14603.4</v>
      </c>
      <c r="J33" s="24"/>
    </row>
    <row r="34" spans="2:10">
      <c r="B34" s="24" t="s">
        <v>192</v>
      </c>
      <c r="C34" s="55" t="str">
        <f t="shared" si="17"/>
        <v>11월분</v>
      </c>
      <c r="D34" s="87" t="s">
        <v>80</v>
      </c>
      <c r="E34" s="25">
        <f>SUMIFS(전체리스트!D:D,전체리스트!A:A,B34,전체리스트!C:C,D34)</f>
        <v>12880</v>
      </c>
      <c r="F34" s="26">
        <f t="shared" si="18"/>
        <v>5152</v>
      </c>
      <c r="G34" s="27">
        <f>SUMIFS(전체리스트!E:E,전체리스트!A:A,B34,전체리스트!C:C,D34)</f>
        <v>7728</v>
      </c>
      <c r="H34" s="25">
        <f t="shared" si="19"/>
        <v>386.40000000000003</v>
      </c>
      <c r="I34" s="28">
        <f t="shared" si="20"/>
        <v>7341.6</v>
      </c>
      <c r="J34" s="24"/>
    </row>
    <row r="35" spans="2:10">
      <c r="B35" s="24" t="s">
        <v>192</v>
      </c>
      <c r="C35" s="55" t="str">
        <f t="shared" si="17"/>
        <v>11월분</v>
      </c>
      <c r="D35" s="87" t="s">
        <v>55</v>
      </c>
      <c r="E35" s="25">
        <f>SUMIFS(전체리스트!D:D,전체리스트!A:A,B35,전체리스트!C:C,D35)</f>
        <v>6720</v>
      </c>
      <c r="F35" s="26">
        <f t="shared" si="18"/>
        <v>2688</v>
      </c>
      <c r="G35" s="27">
        <f>SUMIFS(전체리스트!E:E,전체리스트!A:A,B35,전체리스트!C:C,D35)</f>
        <v>4032</v>
      </c>
      <c r="H35" s="25">
        <f>G35*0.05</f>
        <v>201.60000000000002</v>
      </c>
      <c r="I35" s="28">
        <f t="shared" si="20"/>
        <v>3830.4</v>
      </c>
      <c r="J35" s="24"/>
    </row>
    <row r="36" spans="2:10">
      <c r="B36" s="24" t="s">
        <v>192</v>
      </c>
      <c r="C36" s="55" t="str">
        <f t="shared" si="17"/>
        <v>11월분</v>
      </c>
      <c r="D36" s="87" t="s">
        <v>88</v>
      </c>
      <c r="E36" s="25">
        <f>SUMIFS(전체리스트!D:D,전체리스트!A:A,B36,전체리스트!C:C,D36)</f>
        <v>6720</v>
      </c>
      <c r="F36" s="26">
        <f t="shared" si="18"/>
        <v>2688</v>
      </c>
      <c r="G36" s="27">
        <f>SUMIFS(전체리스트!E:E,전체리스트!A:A,B36,전체리스트!C:C,D36)</f>
        <v>4032</v>
      </c>
      <c r="H36" s="25">
        <f t="shared" ref="H36:H40" si="21">G36*0.05</f>
        <v>201.60000000000002</v>
      </c>
      <c r="I36" s="28">
        <f t="shared" si="20"/>
        <v>3830.4</v>
      </c>
      <c r="J36" s="24"/>
    </row>
    <row r="37" spans="2:10">
      <c r="B37" s="24" t="s">
        <v>192</v>
      </c>
      <c r="C37" s="55" t="str">
        <f t="shared" si="17"/>
        <v>11월분</v>
      </c>
      <c r="D37" s="87" t="s">
        <v>64</v>
      </c>
      <c r="E37" s="25">
        <f>SUMIFS(전체리스트!D:D,전체리스트!A:A,B37,전체리스트!C:C,D37)</f>
        <v>5880</v>
      </c>
      <c r="F37" s="26">
        <f t="shared" si="18"/>
        <v>2352</v>
      </c>
      <c r="G37" s="27">
        <f>SUMIFS(전체리스트!E:E,전체리스트!A:A,B37,전체리스트!C:C,D37)</f>
        <v>3528</v>
      </c>
      <c r="H37" s="25">
        <f t="shared" si="21"/>
        <v>176.4</v>
      </c>
      <c r="I37" s="28">
        <f t="shared" si="20"/>
        <v>3351.6</v>
      </c>
      <c r="J37" s="24"/>
    </row>
    <row r="38" spans="2:10">
      <c r="B38" s="24" t="s">
        <v>192</v>
      </c>
      <c r="C38" s="55" t="str">
        <f t="shared" ref="C38:C40" si="22">VLOOKUP(B38,raw_a,2,0)</f>
        <v>11월분</v>
      </c>
      <c r="D38" s="87" t="s">
        <v>24</v>
      </c>
      <c r="E38" s="25">
        <f>SUMIFS(전체리스트!D:D,전체리스트!A:A,B38,전체리스트!C:C,D38)</f>
        <v>2240</v>
      </c>
      <c r="F38" s="26">
        <f t="shared" ref="F38:F40" si="23">E38-G38</f>
        <v>896</v>
      </c>
      <c r="G38" s="27">
        <f>SUMIFS(전체리스트!E:E,전체리스트!A:A,B38,전체리스트!C:C,D38)</f>
        <v>1344</v>
      </c>
      <c r="H38" s="25">
        <f t="shared" si="21"/>
        <v>67.2</v>
      </c>
      <c r="I38" s="28">
        <f t="shared" ref="I38:I40" si="24">G38-H38</f>
        <v>1276.8</v>
      </c>
      <c r="J38" s="24"/>
    </row>
    <row r="39" spans="2:10">
      <c r="B39" s="24" t="s">
        <v>192</v>
      </c>
      <c r="C39" s="55" t="str">
        <f t="shared" si="22"/>
        <v>11월분</v>
      </c>
      <c r="D39" s="87" t="s">
        <v>195</v>
      </c>
      <c r="E39" s="25">
        <f>SUMIFS(전체리스트!D:D,전체리스트!A:A,B39,전체리스트!C:C,D39)</f>
        <v>1120</v>
      </c>
      <c r="F39" s="26">
        <f t="shared" si="23"/>
        <v>448</v>
      </c>
      <c r="G39" s="27">
        <f>SUMIFS(전체리스트!E:E,전체리스트!A:A,B39,전체리스트!C:C,D39)</f>
        <v>672</v>
      </c>
      <c r="H39" s="25">
        <f t="shared" si="21"/>
        <v>33.6</v>
      </c>
      <c r="I39" s="28">
        <f t="shared" si="24"/>
        <v>638.4</v>
      </c>
      <c r="J39" s="24"/>
    </row>
    <row r="40" spans="2:10">
      <c r="B40" s="24" t="s">
        <v>192</v>
      </c>
      <c r="C40" s="55" t="str">
        <f t="shared" si="22"/>
        <v>11월분</v>
      </c>
      <c r="D40" s="87" t="s">
        <v>56</v>
      </c>
      <c r="E40" s="25">
        <f>SUMIFS(전체리스트!D:D,전체리스트!A:A,B40,전체리스트!C:C,D40)</f>
        <v>1120</v>
      </c>
      <c r="F40" s="26">
        <f t="shared" si="23"/>
        <v>448</v>
      </c>
      <c r="G40" s="27">
        <f>SUMIFS(전체리스트!E:E,전체리스트!A:A,B40,전체리스트!C:C,D40)</f>
        <v>672</v>
      </c>
      <c r="H40" s="25">
        <f t="shared" si="21"/>
        <v>33.6</v>
      </c>
      <c r="I40" s="28">
        <f t="shared" si="24"/>
        <v>638.4</v>
      </c>
      <c r="J40" s="24"/>
    </row>
    <row r="41" spans="2:10">
      <c r="B41" s="24" t="s">
        <v>192</v>
      </c>
      <c r="C41" s="55" t="str">
        <f t="shared" si="17"/>
        <v>11월분</v>
      </c>
      <c r="D41" s="87" t="s">
        <v>34</v>
      </c>
      <c r="E41" s="25">
        <f>SUMIFS(전체리스트!D:D,전체리스트!A:A,B41,전체리스트!C:C,D41)</f>
        <v>840</v>
      </c>
      <c r="F41" s="26">
        <f t="shared" si="18"/>
        <v>336</v>
      </c>
      <c r="G41" s="27">
        <f>SUMIFS(전체리스트!E:E,전체리스트!A:A,B41,전체리스트!C:C,D41)</f>
        <v>504</v>
      </c>
      <c r="H41" s="25">
        <f t="shared" si="19"/>
        <v>25.200000000000003</v>
      </c>
      <c r="I41" s="28">
        <f t="shared" si="20"/>
        <v>478.8</v>
      </c>
      <c r="J41" s="24"/>
    </row>
    <row r="42" spans="2:10">
      <c r="B42" s="24" t="s">
        <v>192</v>
      </c>
      <c r="C42" s="55" t="str">
        <f t="shared" si="17"/>
        <v>11월분</v>
      </c>
      <c r="D42" s="87" t="s">
        <v>26</v>
      </c>
      <c r="E42" s="25">
        <f>SUMIFS(전체리스트!D:D,전체리스트!A:A,B42,전체리스트!C:C,D42)</f>
        <v>420</v>
      </c>
      <c r="F42" s="26">
        <f t="shared" si="18"/>
        <v>168</v>
      </c>
      <c r="G42" s="27">
        <f>SUMIFS(전체리스트!E:E,전체리스트!A:A,B42,전체리스트!C:C,D42)</f>
        <v>252</v>
      </c>
      <c r="H42" s="25">
        <f t="shared" si="19"/>
        <v>12.600000000000001</v>
      </c>
      <c r="I42" s="28">
        <f t="shared" si="20"/>
        <v>239.4</v>
      </c>
      <c r="J42" s="24"/>
    </row>
    <row r="43" spans="2:10">
      <c r="B43" s="29" t="s">
        <v>322</v>
      </c>
      <c r="C43" s="29"/>
      <c r="D43" s="30"/>
      <c r="E43" s="31">
        <f t="shared" ref="E43:J43" si="25">SUM(E6:E42)</f>
        <v>43467060</v>
      </c>
      <c r="F43" s="31">
        <f t="shared" si="25"/>
        <v>17386824</v>
      </c>
      <c r="G43" s="31">
        <f t="shared" si="25"/>
        <v>26080236</v>
      </c>
      <c r="H43" s="31">
        <f t="shared" si="25"/>
        <v>1304011.8000000005</v>
      </c>
      <c r="I43" s="31">
        <f t="shared" si="25"/>
        <v>24776224.199999999</v>
      </c>
      <c r="J43" s="31">
        <f t="shared" si="25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B3:J14"/>
  <sheetViews>
    <sheetView workbookViewId="0">
      <selection activeCell="I29" sqref="I29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330</v>
      </c>
      <c r="G4" s="41">
        <f>VLOOKUP(B6,raw_a,6,0)</f>
        <v>183.2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252</v>
      </c>
      <c r="C6" s="55" t="str">
        <f t="shared" ref="C6:C13" si="0">VLOOKUP(B6,raw_a,2,0)</f>
        <v>11월분</v>
      </c>
      <c r="D6" s="24" t="s">
        <v>499</v>
      </c>
      <c r="E6" s="25">
        <f>SUMIFS(전체리스트!D:D,전체리스트!A:A,B6,전체리스트!C:C,D6)</f>
        <v>41.414999999999999</v>
      </c>
      <c r="F6" s="26"/>
      <c r="G6" s="98">
        <f>SUMIFS(전체리스트!E:E,전체리스트!A:A,B6,전체리스트!C:C,D6)</f>
        <v>7587.2279999999992</v>
      </c>
      <c r="H6" s="25">
        <f>G6*0.05</f>
        <v>379.3614</v>
      </c>
      <c r="I6" s="28">
        <f>G6-H6</f>
        <v>7207.8665999999994</v>
      </c>
      <c r="J6" s="24"/>
    </row>
    <row r="7" spans="2:10">
      <c r="B7" s="24" t="s">
        <v>252</v>
      </c>
      <c r="C7" s="55" t="str">
        <f t="shared" si="0"/>
        <v>11월분</v>
      </c>
      <c r="D7" s="24" t="s">
        <v>500</v>
      </c>
      <c r="E7" s="25">
        <f>SUMIFS(전체리스트!D:D,전체리스트!A:A,B7,전체리스트!C:C,D7)</f>
        <v>21.603749999999998</v>
      </c>
      <c r="F7" s="26"/>
      <c r="G7" s="98">
        <f>SUMIFS(전체리스트!E:E,전체리스트!A:A,B7,전체리스트!C:C,D7)</f>
        <v>3957.8069999999993</v>
      </c>
      <c r="H7" s="25">
        <f t="shared" ref="H7:H13" si="1">G7*0.05</f>
        <v>197.89034999999998</v>
      </c>
      <c r="I7" s="28">
        <f t="shared" ref="I7:I13" si="2">G7-H7</f>
        <v>3759.9166499999992</v>
      </c>
      <c r="J7" s="24"/>
    </row>
    <row r="8" spans="2:10">
      <c r="B8" s="24" t="s">
        <v>252</v>
      </c>
      <c r="C8" s="55" t="str">
        <f t="shared" si="0"/>
        <v>11월분</v>
      </c>
      <c r="D8" s="24" t="s">
        <v>501</v>
      </c>
      <c r="E8" s="25">
        <f>SUMIFS(전체리스트!D:D,전체리스트!A:A,B8,전체리스트!C:C,D8)</f>
        <v>261.26287500000001</v>
      </c>
      <c r="F8" s="26"/>
      <c r="G8" s="98">
        <f>SUMIFS(전체리스트!E:E,전체리스트!A:A,B8,전체리스트!C:C,D8)</f>
        <v>47863.358699999997</v>
      </c>
      <c r="H8" s="25">
        <f t="shared" si="1"/>
        <v>2393.1679349999999</v>
      </c>
      <c r="I8" s="28">
        <f t="shared" si="2"/>
        <v>45470.190764999999</v>
      </c>
      <c r="J8" s="24"/>
    </row>
    <row r="9" spans="2:10">
      <c r="B9" s="24" t="s">
        <v>252</v>
      </c>
      <c r="C9" s="55" t="str">
        <f t="shared" si="0"/>
        <v>11월분</v>
      </c>
      <c r="D9" s="24" t="s">
        <v>502</v>
      </c>
      <c r="E9" s="25">
        <f>SUMIFS(전체리스트!D:D,전체리스트!A:A,B9,전체리스트!C:C,D9)</f>
        <v>154.92449999999999</v>
      </c>
      <c r="F9" s="26"/>
      <c r="G9" s="98">
        <f>SUMIFS(전체리스트!E:E,전체리스트!A:A,B9,전체리스트!C:C,D9)</f>
        <v>28382.168399999999</v>
      </c>
      <c r="H9" s="25">
        <f>G9*0.05</f>
        <v>1419.10842</v>
      </c>
      <c r="I9" s="28">
        <f t="shared" si="2"/>
        <v>26963.059979999998</v>
      </c>
      <c r="J9" s="24"/>
    </row>
    <row r="10" spans="2:10">
      <c r="B10" s="24" t="s">
        <v>252</v>
      </c>
      <c r="C10" s="55" t="str">
        <f t="shared" si="0"/>
        <v>11월분</v>
      </c>
      <c r="D10" s="24" t="s">
        <v>503</v>
      </c>
      <c r="E10" s="25">
        <f>SUMIFS(전체리스트!D:D,전체리스트!A:A,B10,전체리스트!C:C,D10)</f>
        <v>376.068375</v>
      </c>
      <c r="F10" s="26"/>
      <c r="G10" s="98">
        <f>SUMIFS(전체리스트!E:E,전체리스트!A:A,B10,전체리스트!C:C,D10)</f>
        <v>68895.726299999995</v>
      </c>
      <c r="H10" s="25">
        <f>G10*0.05</f>
        <v>3444.7863149999998</v>
      </c>
      <c r="I10" s="28">
        <f t="shared" si="2"/>
        <v>65450.939984999997</v>
      </c>
      <c r="J10" s="24"/>
    </row>
    <row r="11" spans="2:10">
      <c r="B11" s="24" t="s">
        <v>252</v>
      </c>
      <c r="C11" s="55" t="str">
        <f t="shared" ref="C11:C12" si="3">VLOOKUP(B11,raw_a,2,0)</f>
        <v>11월분</v>
      </c>
      <c r="D11" s="24" t="s">
        <v>504</v>
      </c>
      <c r="E11" s="25">
        <f>SUMIFS(전체리스트!D:D,전체리스트!A:A,B11,전체리스트!C:C,D11)</f>
        <v>74.614125000000001</v>
      </c>
      <c r="F11" s="26"/>
      <c r="G11" s="98">
        <f>SUMIFS(전체리스트!E:E,전체리스트!A:A,B11,전체리스트!C:C,D11)</f>
        <v>13669.307699999999</v>
      </c>
      <c r="H11" s="25">
        <f t="shared" si="1"/>
        <v>683.46538499999997</v>
      </c>
      <c r="I11" s="28">
        <f t="shared" ref="I11:I12" si="4">G11-H11</f>
        <v>12985.842315</v>
      </c>
      <c r="J11" s="24"/>
    </row>
    <row r="12" spans="2:10">
      <c r="B12" s="24" t="s">
        <v>252</v>
      </c>
      <c r="C12" s="55" t="str">
        <f t="shared" si="3"/>
        <v>11월분</v>
      </c>
      <c r="D12" s="24" t="s">
        <v>505</v>
      </c>
      <c r="E12" s="25">
        <f>SUMIFS(전체리스트!D:D,전체리스트!A:A,B12,전체리스트!C:C,D12)</f>
        <v>151.479375</v>
      </c>
      <c r="F12" s="26"/>
      <c r="G12" s="98">
        <f>SUMIFS(전체리스트!E:E,전체리스트!A:A,B12,전체리스트!C:C,D12)</f>
        <v>27751.021499999999</v>
      </c>
      <c r="H12" s="25">
        <f t="shared" ref="H12" si="5">G12*0.05</f>
        <v>1387.5510750000001</v>
      </c>
      <c r="I12" s="28">
        <f t="shared" si="4"/>
        <v>26363.470425</v>
      </c>
      <c r="J12" s="24"/>
    </row>
    <row r="13" spans="2:10">
      <c r="B13" s="24" t="s">
        <v>252</v>
      </c>
      <c r="C13" s="55" t="str">
        <f t="shared" si="0"/>
        <v>11월분</v>
      </c>
      <c r="D13" s="24" t="s">
        <v>506</v>
      </c>
      <c r="E13" s="25">
        <f>SUMIFS(전체리스트!D:D,전체리스트!A:A,B13,전체리스트!C:C,D13)</f>
        <v>21.156375000000001</v>
      </c>
      <c r="F13" s="26"/>
      <c r="G13" s="98">
        <f>SUMIFS(전체리스트!E:E,전체리스트!A:A,B13,전체리스트!C:C,D13)</f>
        <v>3875.8478999999998</v>
      </c>
      <c r="H13" s="25">
        <f t="shared" si="1"/>
        <v>193.792395</v>
      </c>
      <c r="I13" s="28">
        <f t="shared" si="2"/>
        <v>3682.0555049999998</v>
      </c>
      <c r="J13" s="24"/>
    </row>
    <row r="14" spans="2:10">
      <c r="B14" s="29" t="s">
        <v>322</v>
      </c>
      <c r="C14" s="29"/>
      <c r="D14" s="30"/>
      <c r="E14" s="31">
        <f>SUM(E6:E13)</f>
        <v>1102.524375</v>
      </c>
      <c r="F14" s="31">
        <f t="shared" ref="F14:J14" si="6">SUM(F6:F13)</f>
        <v>0</v>
      </c>
      <c r="G14" s="31">
        <f t="shared" si="6"/>
        <v>201982.46549999999</v>
      </c>
      <c r="H14" s="31">
        <f t="shared" si="6"/>
        <v>10099.123274999998</v>
      </c>
      <c r="I14" s="31">
        <f t="shared" si="6"/>
        <v>191883.342225</v>
      </c>
      <c r="J14" s="31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B3:J24"/>
  <sheetViews>
    <sheetView workbookViewId="0">
      <selection activeCell="E31" sqref="E31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333</v>
      </c>
      <c r="G4" s="41">
        <f>VLOOKUP(B6,raw_a,6,0)</f>
        <v>1282.2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253</v>
      </c>
      <c r="C6" s="55" t="str">
        <f t="shared" ref="C6:C15" si="0">VLOOKUP(B6,raw_a,2,0)</f>
        <v>10월분</v>
      </c>
      <c r="D6" s="24" t="s">
        <v>91</v>
      </c>
      <c r="E6" s="33">
        <f>SUMIFS(전체리스트!D:D,전체리스트!A:A,B6,전체리스트!C:C,D6)</f>
        <v>1.4529152288154226E-2</v>
      </c>
      <c r="F6" s="26"/>
      <c r="G6" s="27">
        <f>SUMIFS(전체리스트!E:E,전체리스트!A:A,B6,전체리스트!C:C,D6)</f>
        <v>18.629279063871351</v>
      </c>
      <c r="H6" s="25">
        <f t="shared" ref="H6:H15" si="1">G6*0.05</f>
        <v>0.93146395319356756</v>
      </c>
      <c r="I6" s="28">
        <f t="shared" ref="I6:I15" si="2">G6-H6</f>
        <v>17.697815110677784</v>
      </c>
      <c r="J6" s="24"/>
    </row>
    <row r="7" spans="2:10">
      <c r="B7" s="24" t="s">
        <v>253</v>
      </c>
      <c r="C7" s="55" t="str">
        <f t="shared" si="0"/>
        <v>10월분</v>
      </c>
      <c r="D7" s="24" t="s">
        <v>64</v>
      </c>
      <c r="E7" s="33">
        <f>SUMIFS(전체리스트!D:D,전체리스트!A:A,B7,전체리스트!C:C,D7)</f>
        <v>5.8556188370921269</v>
      </c>
      <c r="F7" s="26"/>
      <c r="G7" s="27">
        <f>SUMIFS(전체리스트!E:E,전체리스트!A:A,B7,전체리스트!C:C,D7)</f>
        <v>7508.0744729195258</v>
      </c>
      <c r="H7" s="25">
        <f t="shared" si="1"/>
        <v>375.4037236459763</v>
      </c>
      <c r="I7" s="28">
        <f t="shared" si="2"/>
        <v>7132.6707492735495</v>
      </c>
      <c r="J7" s="24"/>
    </row>
    <row r="8" spans="2:10">
      <c r="B8" s="24" t="s">
        <v>253</v>
      </c>
      <c r="C8" s="55" t="str">
        <f t="shared" si="0"/>
        <v>10월분</v>
      </c>
      <c r="D8" s="24" t="s">
        <v>53</v>
      </c>
      <c r="E8" s="33">
        <f>SUMIFS(전체리스트!D:D,전체리스트!A:A,B8,전체리스트!C:C,D8)</f>
        <v>8.4747502298450303</v>
      </c>
      <c r="F8" s="26"/>
      <c r="G8" s="27">
        <f>SUMIFS(전체리스트!E:E,전체리스트!A:A,B8,전체리스트!C:C,D8)</f>
        <v>10866.324744707299</v>
      </c>
      <c r="H8" s="25">
        <f t="shared" si="1"/>
        <v>543.31623723536495</v>
      </c>
      <c r="I8" s="28">
        <f t="shared" si="2"/>
        <v>10323.008507471934</v>
      </c>
      <c r="J8" s="24"/>
    </row>
    <row r="9" spans="2:10">
      <c r="B9" s="24" t="s">
        <v>253</v>
      </c>
      <c r="C9" s="55" t="str">
        <f t="shared" si="0"/>
        <v>10월분</v>
      </c>
      <c r="D9" s="24" t="s">
        <v>469</v>
      </c>
      <c r="E9" s="33">
        <f>SUMIFS(전체리스트!D:D,전체리스트!A:A,B9,전체리스트!C:C,D9)</f>
        <v>55.004110957308804</v>
      </c>
      <c r="F9" s="26"/>
      <c r="G9" s="27">
        <f>SUMIFS(전체리스트!E:E,전체리스트!A:A,B9,전체리스트!C:C,D9)</f>
        <v>70526.271069461349</v>
      </c>
      <c r="H9" s="25">
        <f t="shared" si="1"/>
        <v>3526.3135534730677</v>
      </c>
      <c r="I9" s="28">
        <f t="shared" si="2"/>
        <v>66999.957515988281</v>
      </c>
      <c r="J9" s="24"/>
    </row>
    <row r="10" spans="2:10">
      <c r="B10" s="24" t="s">
        <v>253</v>
      </c>
      <c r="C10" s="55" t="str">
        <f t="shared" si="0"/>
        <v>10월분</v>
      </c>
      <c r="D10" s="24" t="s">
        <v>124</v>
      </c>
      <c r="E10" s="33">
        <f>SUMIFS(전체리스트!D:D,전체리스트!A:A,B10,전체리스트!C:C,D10)</f>
        <v>4.0090055071511357E-3</v>
      </c>
      <c r="F10" s="26"/>
      <c r="G10" s="27">
        <f>SUMIFS(전체리스트!E:E,전체리스트!A:A,B10,전체리스트!C:C,D10)</f>
        <v>5.1403468612691867</v>
      </c>
      <c r="H10" s="25">
        <f t="shared" si="1"/>
        <v>0.25701734306345936</v>
      </c>
      <c r="I10" s="28">
        <f t="shared" si="2"/>
        <v>4.883329518205727</v>
      </c>
      <c r="J10" s="24"/>
    </row>
    <row r="11" spans="2:10">
      <c r="B11" s="24" t="s">
        <v>253</v>
      </c>
      <c r="C11" s="55" t="str">
        <f t="shared" si="0"/>
        <v>10월분</v>
      </c>
      <c r="D11" s="24" t="s">
        <v>101</v>
      </c>
      <c r="E11" s="33">
        <f>SUMIFS(전체리스트!D:D,전체리스트!A:A,B11,전체리스트!C:C,D11)</f>
        <v>2.4039889051932297</v>
      </c>
      <c r="F11" s="26"/>
      <c r="G11" s="27">
        <f>SUMIFS(전체리스트!E:E,전체리스트!A:A,B11,전체리스트!C:C,D11)</f>
        <v>3082.3945742387591</v>
      </c>
      <c r="H11" s="25">
        <f t="shared" si="1"/>
        <v>154.11972871193797</v>
      </c>
      <c r="I11" s="28">
        <f t="shared" si="2"/>
        <v>2928.2748455268211</v>
      </c>
      <c r="J11" s="24"/>
    </row>
    <row r="12" spans="2:10">
      <c r="B12" s="24" t="s">
        <v>253</v>
      </c>
      <c r="C12" s="55" t="str">
        <f t="shared" si="0"/>
        <v>10월분</v>
      </c>
      <c r="D12" s="24" t="s">
        <v>79</v>
      </c>
      <c r="E12" s="33">
        <f>SUMIFS(전체리스트!D:D,전체리스트!A:A,B12,전체리스트!C:C,D12)</f>
        <v>1.742506811154936</v>
      </c>
      <c r="F12" s="26"/>
      <c r="G12" s="27">
        <f>SUMIFS(전체리스트!E:E,전체리스트!A:A,B12,전체리스트!C:C,D12)</f>
        <v>2234.2422332628589</v>
      </c>
      <c r="H12" s="25">
        <f t="shared" si="1"/>
        <v>111.71211166314295</v>
      </c>
      <c r="I12" s="28">
        <f t="shared" si="2"/>
        <v>2122.530121599716</v>
      </c>
      <c r="J12" s="24"/>
    </row>
    <row r="13" spans="2:10">
      <c r="B13" s="24" t="s">
        <v>253</v>
      </c>
      <c r="C13" s="55" t="str">
        <f t="shared" si="0"/>
        <v>10월분</v>
      </c>
      <c r="D13" s="24" t="s">
        <v>254</v>
      </c>
      <c r="E13" s="33">
        <f>SUMIFS(전체리스트!D:D,전체리스트!A:A,B13,전체리스트!C:C,D13)</f>
        <v>2.1403974026450268</v>
      </c>
      <c r="F13" s="26"/>
      <c r="G13" s="27">
        <f>SUMIFS(전체리스트!E:E,전체리스트!A:A,B13,전체리스트!C:C,D13)</f>
        <v>2744.4175496714533</v>
      </c>
      <c r="H13" s="25">
        <f t="shared" si="1"/>
        <v>137.22087748357268</v>
      </c>
      <c r="I13" s="28">
        <f t="shared" si="2"/>
        <v>2607.1966721878807</v>
      </c>
      <c r="J13" s="24"/>
    </row>
    <row r="14" spans="2:10">
      <c r="B14" s="24" t="s">
        <v>253</v>
      </c>
      <c r="C14" s="55" t="str">
        <f t="shared" si="0"/>
        <v>10월분</v>
      </c>
      <c r="D14" s="24" t="s">
        <v>255</v>
      </c>
      <c r="E14" s="33">
        <f>SUMIFS(전체리스트!D:D,전체리스트!A:A,B14,전체리스트!C:C,D14)</f>
        <v>19.315480455639168</v>
      </c>
      <c r="F14" s="26"/>
      <c r="G14" s="27">
        <f>SUMIFS(전체리스트!E:E,전체리스트!A:A,B14,전체리스트!C:C,D14)</f>
        <v>24766.309040220542</v>
      </c>
      <c r="H14" s="25">
        <f t="shared" si="1"/>
        <v>1238.3154520110272</v>
      </c>
      <c r="I14" s="28">
        <f t="shared" si="2"/>
        <v>23527.993588209516</v>
      </c>
      <c r="J14" s="24"/>
    </row>
    <row r="15" spans="2:10">
      <c r="B15" s="24" t="s">
        <v>253</v>
      </c>
      <c r="C15" s="55" t="str">
        <f t="shared" si="0"/>
        <v>10월분</v>
      </c>
      <c r="D15" s="24" t="s">
        <v>483</v>
      </c>
      <c r="E15" s="33">
        <f>SUMIFS(전체리스트!D:D,전체리스트!A:A,B15,전체리스트!C:C,D15)</f>
        <v>15.811740134904751</v>
      </c>
      <c r="F15" s="26"/>
      <c r="G15" s="27">
        <f>SUMIFS(전체리스트!E:E,전체리스트!A:A,B15,전체리스트!C:C,D15)</f>
        <v>20273.813200974873</v>
      </c>
      <c r="H15" s="25">
        <f t="shared" si="1"/>
        <v>1013.6906600487437</v>
      </c>
      <c r="I15" s="28">
        <f t="shared" si="2"/>
        <v>19260.122540926131</v>
      </c>
      <c r="J15" s="24"/>
    </row>
    <row r="16" spans="2:10">
      <c r="B16" s="24" t="s">
        <v>253</v>
      </c>
      <c r="C16" s="55" t="str">
        <f t="shared" ref="C16:C23" si="3">VLOOKUP(B16,raw_a,2,0)</f>
        <v>10월분</v>
      </c>
      <c r="D16" s="24" t="s">
        <v>95</v>
      </c>
      <c r="E16" s="33">
        <f>SUMIFS(전체리스트!D:D,전체리스트!A:A,B16,전체리스트!C:C,D16)</f>
        <v>13.04950463695141</v>
      </c>
      <c r="F16" s="26"/>
      <c r="G16" s="27">
        <f>SUMIFS(전체리스트!E:E,전체리스트!A:A,B16,전체리스트!C:C,D16)</f>
        <v>16732.074845499097</v>
      </c>
      <c r="H16" s="25">
        <f t="shared" ref="H16:H23" si="4">G16*0.05</f>
        <v>836.60374227495493</v>
      </c>
      <c r="I16" s="28">
        <f t="shared" ref="I16:I23" si="5">G16-H16</f>
        <v>15895.471103224143</v>
      </c>
      <c r="J16" s="24"/>
    </row>
    <row r="17" spans="2:10">
      <c r="B17" s="24" t="s">
        <v>253</v>
      </c>
      <c r="C17" s="55" t="str">
        <f t="shared" si="3"/>
        <v>10월분</v>
      </c>
      <c r="D17" s="24" t="s">
        <v>36</v>
      </c>
      <c r="E17" s="33">
        <f>SUMIFS(전체리스트!D:D,전체리스트!A:A,B17,전체리스트!C:C,D17)</f>
        <v>3.4559913357579664</v>
      </c>
      <c r="F17" s="26"/>
      <c r="G17" s="27">
        <f>SUMIFS(전체리스트!E:E,전체리스트!A:A,B17,전체리스트!C:C,D17)</f>
        <v>4431.2720907088642</v>
      </c>
      <c r="H17" s="25">
        <f t="shared" si="4"/>
        <v>221.56360453544323</v>
      </c>
      <c r="I17" s="28">
        <f t="shared" si="5"/>
        <v>4209.7084861734211</v>
      </c>
      <c r="J17" s="24"/>
    </row>
    <row r="18" spans="2:10">
      <c r="B18" s="24" t="s">
        <v>253</v>
      </c>
      <c r="C18" s="55" t="str">
        <f t="shared" si="3"/>
        <v>10월분</v>
      </c>
      <c r="D18" s="24" t="s">
        <v>23</v>
      </c>
      <c r="E18" s="33">
        <f>SUMIFS(전체리스트!D:D,전체리스트!A:A,B18,전체리스트!C:C,D18)</f>
        <v>6.2205021160274079</v>
      </c>
      <c r="F18" s="26"/>
      <c r="G18" s="27">
        <f>SUMIFS(전체리스트!E:E,전체리스트!A:A,B18,전체리스트!C:C,D18)</f>
        <v>7975.9278131703422</v>
      </c>
      <c r="H18" s="25">
        <f t="shared" si="4"/>
        <v>398.79639065851711</v>
      </c>
      <c r="I18" s="28">
        <f t="shared" si="5"/>
        <v>7577.1314225118249</v>
      </c>
      <c r="J18" s="24"/>
    </row>
    <row r="19" spans="2:10">
      <c r="B19" s="24" t="s">
        <v>253</v>
      </c>
      <c r="C19" s="55" t="str">
        <f t="shared" si="3"/>
        <v>10월분</v>
      </c>
      <c r="D19" s="24" t="s">
        <v>125</v>
      </c>
      <c r="E19" s="33">
        <f>SUMIFS(전체리스트!D:D,전체리스트!A:A,B19,전체리스트!C:C,D19)</f>
        <v>3.1942172550556354</v>
      </c>
      <c r="F19" s="26"/>
      <c r="G19" s="27">
        <f>SUMIFS(전체리스트!E:E,전체리스트!A:A,B19,전체리스트!C:C,D19)</f>
        <v>4095.625364432336</v>
      </c>
      <c r="H19" s="25">
        <f t="shared" si="4"/>
        <v>204.78126822161681</v>
      </c>
      <c r="I19" s="28">
        <f t="shared" si="5"/>
        <v>3890.8440962107193</v>
      </c>
      <c r="J19" s="24"/>
    </row>
    <row r="20" spans="2:10">
      <c r="B20" s="24" t="s">
        <v>253</v>
      </c>
      <c r="C20" s="55" t="str">
        <f t="shared" si="3"/>
        <v>10월분</v>
      </c>
      <c r="D20" s="24" t="s">
        <v>256</v>
      </c>
      <c r="E20" s="33">
        <f>SUMIFS(전체리스트!D:D,전체리스트!A:A,B20,전체리스트!C:C,D20)</f>
        <v>16.049195126025339</v>
      </c>
      <c r="F20" s="26"/>
      <c r="G20" s="27">
        <f>SUMIFS(전체리스트!E:E,전체리스트!A:A,B20,전체리스트!C:C,D20)</f>
        <v>20578.27799058969</v>
      </c>
      <c r="H20" s="25">
        <f t="shared" si="4"/>
        <v>1028.9138995294845</v>
      </c>
      <c r="I20" s="28">
        <f t="shared" si="5"/>
        <v>19549.364091060204</v>
      </c>
      <c r="J20" s="24"/>
    </row>
    <row r="21" spans="2:10">
      <c r="B21" s="24" t="s">
        <v>253</v>
      </c>
      <c r="C21" s="55" t="str">
        <f t="shared" si="3"/>
        <v>10월분</v>
      </c>
      <c r="D21" s="24" t="s">
        <v>58</v>
      </c>
      <c r="E21" s="33">
        <f>SUMIFS(전체리스트!D:D,전체리스트!A:A,B21,전체리스트!C:C,D21)</f>
        <v>8.6295099399448159</v>
      </c>
      <c r="F21" s="26"/>
      <c r="G21" s="27">
        <f>SUMIFS(전체리스트!E:E,전체리스트!A:A,B21,전체리스트!C:C,D21)</f>
        <v>11064.757644997244</v>
      </c>
      <c r="H21" s="25">
        <f t="shared" si="4"/>
        <v>553.2378822498622</v>
      </c>
      <c r="I21" s="28">
        <f t="shared" si="5"/>
        <v>10511.519762747383</v>
      </c>
      <c r="J21" s="24"/>
    </row>
    <row r="22" spans="2:10">
      <c r="B22" s="24" t="s">
        <v>253</v>
      </c>
      <c r="C22" s="55" t="str">
        <f t="shared" si="3"/>
        <v>10월분</v>
      </c>
      <c r="D22" s="24" t="s">
        <v>195</v>
      </c>
      <c r="E22" s="33">
        <f>SUMIFS(전체리스트!D:D,전체리스트!A:A,B22,전체리스트!C:C,D22)</f>
        <v>70.581514903563132</v>
      </c>
      <c r="F22" s="26"/>
      <c r="G22" s="27">
        <f>SUMIFS(전체리스트!E:E,전체리스트!A:A,B22,전체리스트!C:C,D22)</f>
        <v>90499.618409348652</v>
      </c>
      <c r="H22" s="25">
        <f t="shared" si="4"/>
        <v>4524.980920467433</v>
      </c>
      <c r="I22" s="28">
        <f t="shared" si="5"/>
        <v>85974.637488881213</v>
      </c>
      <c r="J22" s="24"/>
    </row>
    <row r="23" spans="2:10">
      <c r="B23" s="24" t="s">
        <v>253</v>
      </c>
      <c r="C23" s="55" t="str">
        <f t="shared" si="3"/>
        <v>10월분</v>
      </c>
      <c r="D23" s="24" t="s">
        <v>257</v>
      </c>
      <c r="E23" s="33">
        <f>SUMIFS(전체리스트!D:D,전체리스트!A:A,B23,전체리스트!C:C,D23)</f>
        <v>10.61764465084789</v>
      </c>
      <c r="F23" s="26"/>
      <c r="G23" s="27">
        <f>SUMIFS(전체리스트!E:E,전체리스트!A:A,B23,전체리스트!C:C,D23)</f>
        <v>13613.943971317165</v>
      </c>
      <c r="H23" s="25">
        <f t="shared" si="4"/>
        <v>680.69719856585834</v>
      </c>
      <c r="I23" s="28">
        <f t="shared" si="5"/>
        <v>12933.246772751307</v>
      </c>
      <c r="J23" s="24"/>
    </row>
    <row r="24" spans="2:10">
      <c r="B24" s="29" t="s">
        <v>322</v>
      </c>
      <c r="C24" s="29"/>
      <c r="D24" s="30"/>
      <c r="E24" s="133">
        <f t="shared" ref="E24:J24" si="6">SUM(E6:E23)</f>
        <v>242.56521185575204</v>
      </c>
      <c r="F24" s="133">
        <f t="shared" si="6"/>
        <v>0</v>
      </c>
      <c r="G24" s="134">
        <f t="shared" si="6"/>
        <v>311017.11464144522</v>
      </c>
      <c r="H24" s="134">
        <f t="shared" si="6"/>
        <v>15550.855732072261</v>
      </c>
      <c r="I24" s="134">
        <f t="shared" si="6"/>
        <v>295466.25890937296</v>
      </c>
      <c r="J24" s="133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B4:J55"/>
  <sheetViews>
    <sheetView topLeftCell="A34" workbookViewId="0">
      <selection activeCell="J60" sqref="J60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196</v>
      </c>
      <c r="C6" s="55" t="str">
        <f t="shared" ref="C6:C20" si="0">VLOOKUP(B6,raw_a,2,0)</f>
        <v>11월분</v>
      </c>
      <c r="D6" s="24" t="s">
        <v>22</v>
      </c>
      <c r="E6" s="25">
        <f>SUMIFS(전체리스트!D:D,전체리스트!A:A,B6,전체리스트!C:C,D6)</f>
        <v>395892</v>
      </c>
      <c r="F6" s="26">
        <f>E6-G6</f>
        <v>0</v>
      </c>
      <c r="G6" s="27">
        <f>SUMIFS(전체리스트!E:E,전체리스트!A:A,B6,전체리스트!C:C,D6)</f>
        <v>395892</v>
      </c>
      <c r="H6" s="25">
        <f>G6*0.05</f>
        <v>19794.600000000002</v>
      </c>
      <c r="I6" s="28">
        <f>G6-H6</f>
        <v>376097.4</v>
      </c>
      <c r="J6" s="24"/>
    </row>
    <row r="7" spans="2:10">
      <c r="B7" s="24" t="s">
        <v>196</v>
      </c>
      <c r="C7" s="55" t="str">
        <f t="shared" si="0"/>
        <v>11월분</v>
      </c>
      <c r="D7" s="24" t="s">
        <v>21</v>
      </c>
      <c r="E7" s="25">
        <f>SUMIFS(전체리스트!D:D,전체리스트!A:A,B7,전체리스트!C:C,D7)</f>
        <v>50022</v>
      </c>
      <c r="F7" s="26">
        <f t="shared" ref="F7:F17" si="1">E7-G7</f>
        <v>0</v>
      </c>
      <c r="G7" s="27">
        <f>SUMIFS(전체리스트!E:E,전체리스트!A:A,B7,전체리스트!C:C,D7)</f>
        <v>50022</v>
      </c>
      <c r="H7" s="25">
        <f t="shared" ref="H7:H47" si="2">G7*0.05</f>
        <v>2501.1000000000004</v>
      </c>
      <c r="I7" s="28">
        <f t="shared" ref="I7:I17" si="3">G7-H7</f>
        <v>47520.9</v>
      </c>
      <c r="J7" s="24"/>
    </row>
    <row r="8" spans="2:10">
      <c r="B8" s="24" t="s">
        <v>196</v>
      </c>
      <c r="C8" s="55" t="str">
        <f t="shared" si="0"/>
        <v>11월분</v>
      </c>
      <c r="D8" s="24" t="s">
        <v>59</v>
      </c>
      <c r="E8" s="25">
        <f>SUMIFS(전체리스트!D:D,전체리스트!A:A,B8,전체리스트!C:C,D8)</f>
        <v>3150</v>
      </c>
      <c r="F8" s="26">
        <f t="shared" si="1"/>
        <v>0</v>
      </c>
      <c r="G8" s="27">
        <f>SUMIFS(전체리스트!E:E,전체리스트!A:A,B8,전체리스트!C:C,D8)</f>
        <v>3150</v>
      </c>
      <c r="H8" s="25">
        <f t="shared" si="2"/>
        <v>157.5</v>
      </c>
      <c r="I8" s="28">
        <f t="shared" si="3"/>
        <v>2992.5</v>
      </c>
      <c r="J8" s="24"/>
    </row>
    <row r="9" spans="2:10">
      <c r="B9" s="24" t="s">
        <v>196</v>
      </c>
      <c r="C9" s="55" t="str">
        <f t="shared" si="0"/>
        <v>11월분</v>
      </c>
      <c r="D9" s="24" t="s">
        <v>197</v>
      </c>
      <c r="E9" s="25">
        <f>SUMIFS(전체리스트!D:D,전체리스트!A:A,B9,전체리스트!C:C,D9)</f>
        <v>33390</v>
      </c>
      <c r="F9" s="26">
        <f t="shared" si="1"/>
        <v>0</v>
      </c>
      <c r="G9" s="27">
        <f>SUMIFS(전체리스트!E:E,전체리스트!A:A,B9,전체리스트!C:C,D9)</f>
        <v>33390</v>
      </c>
      <c r="H9" s="25">
        <f t="shared" si="2"/>
        <v>1669.5</v>
      </c>
      <c r="I9" s="28">
        <f t="shared" si="3"/>
        <v>31720.5</v>
      </c>
      <c r="J9" s="24"/>
    </row>
    <row r="10" spans="2:10">
      <c r="B10" s="24" t="s">
        <v>196</v>
      </c>
      <c r="C10" s="55" t="str">
        <f t="shared" si="0"/>
        <v>11월분</v>
      </c>
      <c r="D10" s="24" t="s">
        <v>88</v>
      </c>
      <c r="E10" s="25">
        <f>SUMIFS(전체리스트!D:D,전체리스트!A:A,B10,전체리스트!C:C,D10)</f>
        <v>756</v>
      </c>
      <c r="F10" s="26">
        <f t="shared" si="1"/>
        <v>0</v>
      </c>
      <c r="G10" s="27">
        <f>SUMIFS(전체리스트!E:E,전체리스트!A:A,B10,전체리스트!C:C,D10)</f>
        <v>756</v>
      </c>
      <c r="H10" s="25">
        <f t="shared" si="2"/>
        <v>37.800000000000004</v>
      </c>
      <c r="I10" s="28">
        <f t="shared" si="3"/>
        <v>718.2</v>
      </c>
      <c r="J10" s="24"/>
    </row>
    <row r="11" spans="2:10">
      <c r="B11" s="24" t="s">
        <v>196</v>
      </c>
      <c r="C11" s="55" t="str">
        <f t="shared" ref="C11:C15" si="4">VLOOKUP(B11,raw_a,2,0)</f>
        <v>11월분</v>
      </c>
      <c r="D11" s="24" t="s">
        <v>55</v>
      </c>
      <c r="E11" s="25">
        <f>SUMIFS(전체리스트!D:D,전체리스트!A:A,B11,전체리스트!C:C,D11)</f>
        <v>8820</v>
      </c>
      <c r="F11" s="26">
        <f>E11-G11</f>
        <v>0</v>
      </c>
      <c r="G11" s="27">
        <f>SUMIFS(전체리스트!E:E,전체리스트!A:A,B11,전체리스트!C:C,D11)</f>
        <v>8820</v>
      </c>
      <c r="H11" s="25">
        <f>G11*0.05</f>
        <v>441</v>
      </c>
      <c r="I11" s="28">
        <f>G11-H11</f>
        <v>8379</v>
      </c>
      <c r="J11" s="24"/>
    </row>
    <row r="12" spans="2:10">
      <c r="B12" s="24" t="s">
        <v>196</v>
      </c>
      <c r="C12" s="55" t="str">
        <f t="shared" si="4"/>
        <v>11월분</v>
      </c>
      <c r="D12" s="24" t="s">
        <v>100</v>
      </c>
      <c r="E12" s="25">
        <f>SUMIFS(전체리스트!D:D,전체리스트!A:A,B12,전체리스트!C:C,D12)</f>
        <v>2263</v>
      </c>
      <c r="F12" s="26">
        <f t="shared" ref="F12:F15" si="5">E12-G12</f>
        <v>0</v>
      </c>
      <c r="G12" s="27">
        <f>SUMIFS(전체리스트!E:E,전체리스트!A:A,B12,전체리스트!C:C,D12)</f>
        <v>2263</v>
      </c>
      <c r="H12" s="25">
        <f t="shared" ref="H12:H15" si="6">G12*0.05</f>
        <v>113.15</v>
      </c>
      <c r="I12" s="28">
        <f t="shared" ref="I12:I15" si="7">G12-H12</f>
        <v>2149.85</v>
      </c>
      <c r="J12" s="24"/>
    </row>
    <row r="13" spans="2:10">
      <c r="B13" s="24" t="s">
        <v>196</v>
      </c>
      <c r="C13" s="55" t="str">
        <f t="shared" si="4"/>
        <v>11월분</v>
      </c>
      <c r="D13" s="24" t="s">
        <v>58</v>
      </c>
      <c r="E13" s="25">
        <f>SUMIFS(전체리스트!D:D,전체리스트!A:A,B13,전체리스트!C:C,D13)</f>
        <v>27846</v>
      </c>
      <c r="F13" s="26">
        <f t="shared" si="5"/>
        <v>0</v>
      </c>
      <c r="G13" s="27">
        <f>SUMIFS(전체리스트!E:E,전체리스트!A:A,B13,전체리스트!C:C,D13)</f>
        <v>27846</v>
      </c>
      <c r="H13" s="25">
        <f t="shared" si="6"/>
        <v>1392.3000000000002</v>
      </c>
      <c r="I13" s="28">
        <f t="shared" si="7"/>
        <v>26453.7</v>
      </c>
      <c r="J13" s="24"/>
    </row>
    <row r="14" spans="2:10">
      <c r="B14" s="24" t="s">
        <v>196</v>
      </c>
      <c r="C14" s="55" t="str">
        <f t="shared" si="4"/>
        <v>11월분</v>
      </c>
      <c r="D14" s="24" t="s">
        <v>101</v>
      </c>
      <c r="E14" s="25">
        <f>SUMIFS(전체리스트!D:D,전체리스트!A:A,B14,전체리스트!C:C,D14)</f>
        <v>1764</v>
      </c>
      <c r="F14" s="26">
        <f t="shared" si="5"/>
        <v>0</v>
      </c>
      <c r="G14" s="27">
        <f>SUMIFS(전체리스트!E:E,전체리스트!A:A,B14,전체리스트!C:C,D14)</f>
        <v>1764</v>
      </c>
      <c r="H14" s="25">
        <f t="shared" si="6"/>
        <v>88.2</v>
      </c>
      <c r="I14" s="28">
        <f t="shared" si="7"/>
        <v>1675.8</v>
      </c>
      <c r="J14" s="24"/>
    </row>
    <row r="15" spans="2:10">
      <c r="B15" s="24" t="s">
        <v>196</v>
      </c>
      <c r="C15" s="55" t="str">
        <f t="shared" si="4"/>
        <v>11월분</v>
      </c>
      <c r="D15" s="24" t="s">
        <v>57</v>
      </c>
      <c r="E15" s="25">
        <f>SUMIFS(전체리스트!D:D,전체리스트!A:A,B15,전체리스트!C:C,D15)</f>
        <v>2268</v>
      </c>
      <c r="F15" s="26">
        <f t="shared" si="5"/>
        <v>0</v>
      </c>
      <c r="G15" s="27">
        <f>SUMIFS(전체리스트!E:E,전체리스트!A:A,B15,전체리스트!C:C,D15)</f>
        <v>2268</v>
      </c>
      <c r="H15" s="25">
        <f t="shared" si="6"/>
        <v>113.4</v>
      </c>
      <c r="I15" s="28">
        <f t="shared" si="7"/>
        <v>2154.6</v>
      </c>
      <c r="J15" s="24"/>
    </row>
    <row r="16" spans="2:10">
      <c r="B16" s="24" t="s">
        <v>196</v>
      </c>
      <c r="C16" s="55" t="str">
        <f t="shared" si="0"/>
        <v>11월분</v>
      </c>
      <c r="D16" s="24" t="s">
        <v>95</v>
      </c>
      <c r="E16" s="25">
        <f>SUMIFS(전체리스트!D:D,전체리스트!A:A,B16,전체리스트!C:C,D16)</f>
        <v>6300</v>
      </c>
      <c r="F16" s="26">
        <f t="shared" si="1"/>
        <v>0</v>
      </c>
      <c r="G16" s="27">
        <f>SUMIFS(전체리스트!E:E,전체리스트!A:A,B16,전체리스트!C:C,D16)</f>
        <v>6300</v>
      </c>
      <c r="H16" s="25">
        <f t="shared" si="2"/>
        <v>315</v>
      </c>
      <c r="I16" s="28">
        <f t="shared" si="3"/>
        <v>5985</v>
      </c>
      <c r="J16" s="24"/>
    </row>
    <row r="17" spans="2:10">
      <c r="B17" s="24" t="s">
        <v>196</v>
      </c>
      <c r="C17" s="55" t="str">
        <f t="shared" si="0"/>
        <v>11월분</v>
      </c>
      <c r="D17" s="24" t="s">
        <v>198</v>
      </c>
      <c r="E17" s="25">
        <f>SUMIFS(전체리스트!D:D,전체리스트!A:A,B17,전체리스트!C:C,D17)</f>
        <v>252</v>
      </c>
      <c r="F17" s="26">
        <f t="shared" si="1"/>
        <v>0</v>
      </c>
      <c r="G17" s="27">
        <f>SUMIFS(전체리스트!E:E,전체리스트!A:A,B17,전체리스트!C:C,D17)</f>
        <v>252</v>
      </c>
      <c r="H17" s="25">
        <f t="shared" si="2"/>
        <v>12.600000000000001</v>
      </c>
      <c r="I17" s="28">
        <f t="shared" si="3"/>
        <v>239.4</v>
      </c>
      <c r="J17" s="24"/>
    </row>
    <row r="18" spans="2:10">
      <c r="B18" s="24" t="s">
        <v>196</v>
      </c>
      <c r="C18" s="55" t="str">
        <f t="shared" si="0"/>
        <v>11월분</v>
      </c>
      <c r="D18" s="24" t="s">
        <v>199</v>
      </c>
      <c r="E18" s="25">
        <f>SUMIFS(전체리스트!D:D,전체리스트!A:A,B18,전체리스트!C:C,D18)</f>
        <v>3519</v>
      </c>
      <c r="F18" s="26">
        <f t="shared" ref="F18:F20" si="8">E18-G18</f>
        <v>0</v>
      </c>
      <c r="G18" s="27">
        <f>SUMIFS(전체리스트!E:E,전체리스트!A:A,B18,전체리스트!C:C,D18)</f>
        <v>3519</v>
      </c>
      <c r="H18" s="25">
        <f t="shared" si="2"/>
        <v>175.95000000000002</v>
      </c>
      <c r="I18" s="28">
        <f t="shared" ref="I18:I20" si="9">G18-H18</f>
        <v>3343.05</v>
      </c>
      <c r="J18" s="24"/>
    </row>
    <row r="19" spans="2:10">
      <c r="B19" s="24" t="s">
        <v>196</v>
      </c>
      <c r="C19" s="55" t="str">
        <f t="shared" si="0"/>
        <v>11월분</v>
      </c>
      <c r="D19" s="24" t="s">
        <v>64</v>
      </c>
      <c r="E19" s="25">
        <f>SUMIFS(전체리스트!D:D,전체리스트!A:A,B19,전체리스트!C:C,D19)</f>
        <v>7560</v>
      </c>
      <c r="F19" s="26">
        <f t="shared" si="8"/>
        <v>0</v>
      </c>
      <c r="G19" s="27">
        <f>SUMIFS(전체리스트!E:E,전체리스트!A:A,B19,전체리스트!C:C,D19)</f>
        <v>7560</v>
      </c>
      <c r="H19" s="25">
        <f t="shared" si="2"/>
        <v>378</v>
      </c>
      <c r="I19" s="28">
        <f t="shared" si="9"/>
        <v>7182</v>
      </c>
      <c r="J19" s="24"/>
    </row>
    <row r="20" spans="2:10">
      <c r="B20" s="24" t="s">
        <v>196</v>
      </c>
      <c r="C20" s="55" t="str">
        <f t="shared" si="0"/>
        <v>11월분</v>
      </c>
      <c r="D20" s="24" t="s">
        <v>200</v>
      </c>
      <c r="E20" s="25">
        <f>SUMIFS(전체리스트!D:D,전체리스트!A:A,B20,전체리스트!C:C,D20)</f>
        <v>7308</v>
      </c>
      <c r="F20" s="26">
        <f t="shared" si="8"/>
        <v>0</v>
      </c>
      <c r="G20" s="27">
        <f>SUMIFS(전체리스트!E:E,전체리스트!A:A,B20,전체리스트!C:C,D20)</f>
        <v>7308</v>
      </c>
      <c r="H20" s="25">
        <f t="shared" si="2"/>
        <v>365.40000000000003</v>
      </c>
      <c r="I20" s="28">
        <f t="shared" si="9"/>
        <v>6942.6</v>
      </c>
      <c r="J20" s="24"/>
    </row>
    <row r="21" spans="2:10">
      <c r="B21" s="24" t="s">
        <v>196</v>
      </c>
      <c r="C21" s="55" t="str">
        <f t="shared" ref="C21:C47" si="10">VLOOKUP(B21,raw_a,2,0)</f>
        <v>11월분</v>
      </c>
      <c r="D21" s="24" t="s">
        <v>201</v>
      </c>
      <c r="E21" s="25">
        <f>SUMIFS(전체리스트!D:D,전체리스트!A:A,B21,전체리스트!C:C,D21)</f>
        <v>1005</v>
      </c>
      <c r="F21" s="26">
        <f t="shared" ref="F21:F47" si="11">E21-G21</f>
        <v>0</v>
      </c>
      <c r="G21" s="27">
        <f>SUMIFS(전체리스트!E:E,전체리스트!A:A,B21,전체리스트!C:C,D21)</f>
        <v>1005</v>
      </c>
      <c r="H21" s="25">
        <f t="shared" si="2"/>
        <v>50.25</v>
      </c>
      <c r="I21" s="28">
        <f t="shared" ref="I21:I47" si="12">G21-H21</f>
        <v>954.75</v>
      </c>
      <c r="J21" s="24"/>
    </row>
    <row r="22" spans="2:10">
      <c r="B22" s="24" t="s">
        <v>196</v>
      </c>
      <c r="C22" s="55" t="str">
        <f t="shared" si="10"/>
        <v>11월분</v>
      </c>
      <c r="D22" s="24" t="s">
        <v>409</v>
      </c>
      <c r="E22" s="25">
        <f>SUMIFS(전체리스트!D:D,전체리스트!A:A,B22,전체리스트!C:C,D22)</f>
        <v>726</v>
      </c>
      <c r="F22" s="26">
        <f t="shared" si="11"/>
        <v>0</v>
      </c>
      <c r="G22" s="27">
        <f>SUMIFS(전체리스트!E:E,전체리스트!A:A,B22,전체리스트!C:C,D22)</f>
        <v>726</v>
      </c>
      <c r="H22" s="25">
        <f t="shared" si="2"/>
        <v>36.300000000000004</v>
      </c>
      <c r="I22" s="28">
        <f t="shared" si="12"/>
        <v>689.7</v>
      </c>
      <c r="J22" s="24"/>
    </row>
    <row r="23" spans="2:10">
      <c r="B23" s="24" t="s">
        <v>196</v>
      </c>
      <c r="C23" s="55" t="str">
        <f t="shared" si="10"/>
        <v>11월분</v>
      </c>
      <c r="D23" s="24" t="s">
        <v>202</v>
      </c>
      <c r="E23" s="25">
        <f>SUMIFS(전체리스트!D:D,전체리스트!A:A,B23,전체리스트!C:C,D23)</f>
        <v>168</v>
      </c>
      <c r="F23" s="26">
        <f t="shared" si="11"/>
        <v>0</v>
      </c>
      <c r="G23" s="27">
        <f>SUMIFS(전체리스트!E:E,전체리스트!A:A,B23,전체리스트!C:C,D23)</f>
        <v>168</v>
      </c>
      <c r="H23" s="25">
        <f t="shared" si="2"/>
        <v>8.4</v>
      </c>
      <c r="I23" s="28">
        <f t="shared" si="12"/>
        <v>159.6</v>
      </c>
      <c r="J23" s="24"/>
    </row>
    <row r="24" spans="2:10">
      <c r="B24" s="24" t="s">
        <v>196</v>
      </c>
      <c r="C24" s="55" t="str">
        <f t="shared" si="10"/>
        <v>11월분</v>
      </c>
      <c r="D24" s="24" t="s">
        <v>203</v>
      </c>
      <c r="E24" s="25">
        <f>SUMIFS(전체리스트!D:D,전체리스트!A:A,B24,전체리스트!C:C,D24)</f>
        <v>252</v>
      </c>
      <c r="F24" s="26">
        <f t="shared" si="11"/>
        <v>0</v>
      </c>
      <c r="G24" s="27">
        <f>SUMIFS(전체리스트!E:E,전체리스트!A:A,B24,전체리스트!C:C,D24)</f>
        <v>252</v>
      </c>
      <c r="H24" s="25">
        <f t="shared" si="2"/>
        <v>12.600000000000001</v>
      </c>
      <c r="I24" s="28">
        <f t="shared" si="12"/>
        <v>239.4</v>
      </c>
      <c r="J24" s="24"/>
    </row>
    <row r="25" spans="2:10">
      <c r="B25" s="24" t="s">
        <v>196</v>
      </c>
      <c r="C25" s="55" t="str">
        <f t="shared" ref="C25:C35" si="13">VLOOKUP(B25,raw_a,2,0)</f>
        <v>11월분</v>
      </c>
      <c r="D25" s="24" t="s">
        <v>410</v>
      </c>
      <c r="E25" s="25">
        <f>SUMIFS(전체리스트!D:D,전체리스트!A:A,B25,전체리스트!C:C,D25)</f>
        <v>3491</v>
      </c>
      <c r="F25" s="26">
        <f t="shared" ref="F25:F35" si="14">E25-G25</f>
        <v>0</v>
      </c>
      <c r="G25" s="27">
        <f>SUMIFS(전체리스트!E:E,전체리스트!A:A,B25,전체리스트!C:C,D25)</f>
        <v>3491</v>
      </c>
      <c r="H25" s="25">
        <f t="shared" si="2"/>
        <v>174.55</v>
      </c>
      <c r="I25" s="28">
        <f t="shared" ref="I25:I35" si="15">G25-H25</f>
        <v>3316.45</v>
      </c>
      <c r="J25" s="24"/>
    </row>
    <row r="26" spans="2:10">
      <c r="B26" s="24" t="s">
        <v>196</v>
      </c>
      <c r="C26" s="55" t="str">
        <f t="shared" si="13"/>
        <v>11월분</v>
      </c>
      <c r="D26" s="24" t="s">
        <v>204</v>
      </c>
      <c r="E26" s="25">
        <f>SUMIFS(전체리스트!D:D,전체리스트!A:A,B26,전체리스트!C:C,D26)</f>
        <v>5558</v>
      </c>
      <c r="F26" s="26">
        <f t="shared" si="14"/>
        <v>0</v>
      </c>
      <c r="G26" s="27">
        <f>SUMIFS(전체리스트!E:E,전체리스트!A:A,B26,전체리스트!C:C,D26)</f>
        <v>5558</v>
      </c>
      <c r="H26" s="25">
        <f t="shared" si="2"/>
        <v>277.90000000000003</v>
      </c>
      <c r="I26" s="28">
        <f t="shared" si="15"/>
        <v>5280.1</v>
      </c>
      <c r="J26" s="24"/>
    </row>
    <row r="27" spans="2:10">
      <c r="B27" s="24" t="s">
        <v>196</v>
      </c>
      <c r="C27" s="55" t="str">
        <f t="shared" si="13"/>
        <v>11월분</v>
      </c>
      <c r="D27" s="24" t="s">
        <v>36</v>
      </c>
      <c r="E27" s="25">
        <f>SUMIFS(전체리스트!D:D,전체리스트!A:A,B27,전체리스트!C:C,D27)</f>
        <v>3156</v>
      </c>
      <c r="F27" s="26">
        <f t="shared" si="14"/>
        <v>0</v>
      </c>
      <c r="G27" s="27">
        <f>SUMIFS(전체리스트!E:E,전체리스트!A:A,B27,전체리스트!C:C,D27)</f>
        <v>3156</v>
      </c>
      <c r="H27" s="25">
        <f t="shared" si="2"/>
        <v>157.80000000000001</v>
      </c>
      <c r="I27" s="28">
        <f t="shared" si="15"/>
        <v>2998.2</v>
      </c>
      <c r="J27" s="24"/>
    </row>
    <row r="28" spans="2:10">
      <c r="B28" s="24" t="s">
        <v>196</v>
      </c>
      <c r="C28" s="55" t="str">
        <f t="shared" si="13"/>
        <v>11월분</v>
      </c>
      <c r="D28" s="24" t="s">
        <v>90</v>
      </c>
      <c r="E28" s="25">
        <f>SUMIFS(전체리스트!D:D,전체리스트!A:A,B28,전체리스트!C:C,D28)</f>
        <v>209412</v>
      </c>
      <c r="F28" s="26">
        <f t="shared" si="14"/>
        <v>0</v>
      </c>
      <c r="G28" s="27">
        <f>SUMIFS(전체리스트!E:E,전체리스트!A:A,B28,전체리스트!C:C,D28)</f>
        <v>209412</v>
      </c>
      <c r="H28" s="25">
        <f t="shared" si="2"/>
        <v>10470.6</v>
      </c>
      <c r="I28" s="28">
        <f t="shared" si="15"/>
        <v>198941.4</v>
      </c>
      <c r="J28" s="24"/>
    </row>
    <row r="29" spans="2:10">
      <c r="B29" s="24" t="s">
        <v>196</v>
      </c>
      <c r="C29" s="55" t="str">
        <f t="shared" ref="C29:C34" si="16">VLOOKUP(B29,raw_a,2,0)</f>
        <v>11월분</v>
      </c>
      <c r="D29" s="24" t="s">
        <v>12</v>
      </c>
      <c r="E29" s="25">
        <f>SUMIFS(전체리스트!D:D,전체리스트!A:A,B29,전체리스트!C:C,D29)</f>
        <v>155988</v>
      </c>
      <c r="F29" s="26">
        <f t="shared" ref="F29:F34" si="17">E29-G29</f>
        <v>0</v>
      </c>
      <c r="G29" s="27">
        <f>SUMIFS(전체리스트!E:E,전체리스트!A:A,B29,전체리스트!C:C,D29)</f>
        <v>155988</v>
      </c>
      <c r="H29" s="25">
        <f t="shared" ref="H29:H34" si="18">G29*0.05</f>
        <v>7799.4000000000005</v>
      </c>
      <c r="I29" s="28">
        <f t="shared" ref="I29:I34" si="19">G29-H29</f>
        <v>148188.6</v>
      </c>
      <c r="J29" s="24"/>
    </row>
    <row r="30" spans="2:10">
      <c r="B30" s="24" t="s">
        <v>196</v>
      </c>
      <c r="C30" s="55" t="str">
        <f t="shared" si="16"/>
        <v>11월분</v>
      </c>
      <c r="D30" s="24" t="s">
        <v>190</v>
      </c>
      <c r="E30" s="25">
        <f>SUMIFS(전체리스트!D:D,전체리스트!A:A,B30,전체리스트!C:C,D30)</f>
        <v>9450</v>
      </c>
      <c r="F30" s="26">
        <f t="shared" si="17"/>
        <v>0</v>
      </c>
      <c r="G30" s="27">
        <f>SUMIFS(전체리스트!E:E,전체리스트!A:A,B30,전체리스트!C:C,D30)</f>
        <v>9450</v>
      </c>
      <c r="H30" s="25">
        <f t="shared" si="18"/>
        <v>472.5</v>
      </c>
      <c r="I30" s="28">
        <f t="shared" si="19"/>
        <v>8977.5</v>
      </c>
      <c r="J30" s="24"/>
    </row>
    <row r="31" spans="2:10">
      <c r="B31" s="24" t="s">
        <v>196</v>
      </c>
      <c r="C31" s="55" t="str">
        <f t="shared" si="16"/>
        <v>11월분</v>
      </c>
      <c r="D31" s="24" t="s">
        <v>368</v>
      </c>
      <c r="E31" s="25">
        <f>SUMIFS(전체리스트!D:D,전체리스트!A:A,B31,전체리스트!C:C,D31)</f>
        <v>168</v>
      </c>
      <c r="F31" s="26">
        <f t="shared" si="17"/>
        <v>0</v>
      </c>
      <c r="G31" s="27">
        <f>SUMIFS(전체리스트!E:E,전체리스트!A:A,B31,전체리스트!C:C,D31)</f>
        <v>168</v>
      </c>
      <c r="H31" s="25">
        <f t="shared" si="18"/>
        <v>8.4</v>
      </c>
      <c r="I31" s="28">
        <f t="shared" si="19"/>
        <v>159.6</v>
      </c>
      <c r="J31" s="24"/>
    </row>
    <row r="32" spans="2:10">
      <c r="B32" s="24" t="s">
        <v>196</v>
      </c>
      <c r="C32" s="55" t="str">
        <f t="shared" si="16"/>
        <v>11월분</v>
      </c>
      <c r="D32" s="24" t="s">
        <v>402</v>
      </c>
      <c r="E32" s="25">
        <f>SUMIFS(전체리스트!D:D,전체리스트!A:A,B32,전체리스트!C:C,D32)</f>
        <v>223</v>
      </c>
      <c r="F32" s="26">
        <f t="shared" si="17"/>
        <v>0</v>
      </c>
      <c r="G32" s="27">
        <f>SUMIFS(전체리스트!E:E,전체리스트!A:A,B32,전체리스트!C:C,D32)</f>
        <v>223</v>
      </c>
      <c r="H32" s="25">
        <f t="shared" si="18"/>
        <v>11.15</v>
      </c>
      <c r="I32" s="28">
        <f t="shared" si="19"/>
        <v>211.85</v>
      </c>
      <c r="J32" s="24"/>
    </row>
    <row r="33" spans="2:10">
      <c r="B33" s="24" t="s">
        <v>196</v>
      </c>
      <c r="C33" s="55" t="str">
        <f t="shared" si="16"/>
        <v>11월분</v>
      </c>
      <c r="D33" s="24" t="s">
        <v>29</v>
      </c>
      <c r="E33" s="25">
        <f>SUMIFS(전체리스트!D:D,전체리스트!A:A,B33,전체리스트!C:C,D33)</f>
        <v>49644</v>
      </c>
      <c r="F33" s="26">
        <f t="shared" si="17"/>
        <v>0</v>
      </c>
      <c r="G33" s="27">
        <f>SUMIFS(전체리스트!E:E,전체리스트!A:A,B33,전체리스트!C:C,D33)</f>
        <v>49644</v>
      </c>
      <c r="H33" s="25">
        <f t="shared" si="18"/>
        <v>2482.2000000000003</v>
      </c>
      <c r="I33" s="28">
        <f t="shared" si="19"/>
        <v>47161.8</v>
      </c>
      <c r="J33" s="24"/>
    </row>
    <row r="34" spans="2:10">
      <c r="B34" s="24" t="s">
        <v>196</v>
      </c>
      <c r="C34" s="55" t="str">
        <f t="shared" si="16"/>
        <v>11월분</v>
      </c>
      <c r="D34" s="24" t="s">
        <v>18</v>
      </c>
      <c r="E34" s="25">
        <f>SUMIFS(전체리스트!D:D,전체리스트!A:A,B34,전체리스트!C:C,D34)</f>
        <v>252</v>
      </c>
      <c r="F34" s="26">
        <f t="shared" si="17"/>
        <v>0</v>
      </c>
      <c r="G34" s="27">
        <f>SUMIFS(전체리스트!E:E,전체리스트!A:A,B34,전체리스트!C:C,D34)</f>
        <v>252</v>
      </c>
      <c r="H34" s="25">
        <f t="shared" si="18"/>
        <v>12.600000000000001</v>
      </c>
      <c r="I34" s="28">
        <f t="shared" si="19"/>
        <v>239.4</v>
      </c>
      <c r="J34" s="24"/>
    </row>
    <row r="35" spans="2:10">
      <c r="B35" s="24" t="s">
        <v>196</v>
      </c>
      <c r="C35" s="55" t="str">
        <f t="shared" si="13"/>
        <v>11월분</v>
      </c>
      <c r="D35" s="24" t="s">
        <v>66</v>
      </c>
      <c r="E35" s="25">
        <f>SUMIFS(전체리스트!D:D,전체리스트!A:A,B35,전체리스트!C:C,D35)</f>
        <v>24444</v>
      </c>
      <c r="F35" s="26">
        <f t="shared" si="14"/>
        <v>0</v>
      </c>
      <c r="G35" s="27">
        <f>SUMIFS(전체리스트!E:E,전체리스트!A:A,B35,전체리스트!C:C,D35)</f>
        <v>24444</v>
      </c>
      <c r="H35" s="25">
        <f t="shared" si="2"/>
        <v>1222.2</v>
      </c>
      <c r="I35" s="28">
        <f t="shared" si="15"/>
        <v>23221.8</v>
      </c>
      <c r="J35" s="24"/>
    </row>
    <row r="36" spans="2:10">
      <c r="B36" s="24" t="s">
        <v>196</v>
      </c>
      <c r="C36" s="55" t="str">
        <f t="shared" si="10"/>
        <v>11월분</v>
      </c>
      <c r="D36" s="24" t="s">
        <v>191</v>
      </c>
      <c r="E36" s="25">
        <f>SUMIFS(전체리스트!D:D,전체리스트!A:A,B36,전체리스트!C:C,D36)</f>
        <v>4536</v>
      </c>
      <c r="F36" s="26">
        <f t="shared" si="11"/>
        <v>0</v>
      </c>
      <c r="G36" s="27">
        <f>SUMIFS(전체리스트!E:E,전체리스트!A:A,B36,전체리스트!C:C,D36)</f>
        <v>4536</v>
      </c>
      <c r="H36" s="25">
        <f t="shared" si="2"/>
        <v>226.8</v>
      </c>
      <c r="I36" s="28">
        <f t="shared" si="12"/>
        <v>4309.2</v>
      </c>
      <c r="J36" s="24"/>
    </row>
    <row r="37" spans="2:10">
      <c r="B37" s="24" t="s">
        <v>196</v>
      </c>
      <c r="C37" s="55" t="str">
        <f t="shared" ref="C37:C46" si="20">VLOOKUP(B37,raw_a,2,0)</f>
        <v>11월분</v>
      </c>
      <c r="D37" s="24" t="s">
        <v>9</v>
      </c>
      <c r="E37" s="25">
        <f>SUMIFS(전체리스트!D:D,전체리스트!A:A,B37,전체리스트!C:C,D37)</f>
        <v>6930</v>
      </c>
      <c r="F37" s="26">
        <f t="shared" ref="F37:F46" si="21">E37-G37</f>
        <v>0</v>
      </c>
      <c r="G37" s="27">
        <f>SUMIFS(전체리스트!E:E,전체리스트!A:A,B37,전체리스트!C:C,D37)</f>
        <v>6930</v>
      </c>
      <c r="H37" s="25">
        <f t="shared" si="2"/>
        <v>346.5</v>
      </c>
      <c r="I37" s="28">
        <f t="shared" ref="I37:I46" si="22">G37-H37</f>
        <v>6583.5</v>
      </c>
      <c r="J37" s="24"/>
    </row>
    <row r="38" spans="2:10">
      <c r="B38" s="24" t="s">
        <v>196</v>
      </c>
      <c r="C38" s="55" t="str">
        <f t="shared" si="20"/>
        <v>11월분</v>
      </c>
      <c r="D38" s="24" t="s">
        <v>13</v>
      </c>
      <c r="E38" s="25">
        <f>SUMIFS(전체리스트!D:D,전체리스트!A:A,B38,전체리스트!C:C,D38)</f>
        <v>64764</v>
      </c>
      <c r="F38" s="26">
        <f t="shared" si="21"/>
        <v>0</v>
      </c>
      <c r="G38" s="27">
        <f>SUMIFS(전체리스트!E:E,전체리스트!A:A,B38,전체리스트!C:C,D38)</f>
        <v>64764</v>
      </c>
      <c r="H38" s="25">
        <f t="shared" si="2"/>
        <v>3238.2000000000003</v>
      </c>
      <c r="I38" s="28">
        <f t="shared" si="22"/>
        <v>61525.8</v>
      </c>
      <c r="J38" s="24"/>
    </row>
    <row r="39" spans="2:10">
      <c r="B39" s="24" t="s">
        <v>196</v>
      </c>
      <c r="C39" s="55" t="str">
        <f t="shared" si="20"/>
        <v>11월분</v>
      </c>
      <c r="D39" s="24" t="s">
        <v>34</v>
      </c>
      <c r="E39" s="25">
        <f>SUMIFS(전체리스트!D:D,전체리스트!A:A,B39,전체리스트!C:C,D39)</f>
        <v>2268</v>
      </c>
      <c r="F39" s="26">
        <f t="shared" si="21"/>
        <v>0</v>
      </c>
      <c r="G39" s="27">
        <f>SUMIFS(전체리스트!E:E,전체리스트!A:A,B39,전체리스트!C:C,D39)</f>
        <v>2268</v>
      </c>
      <c r="H39" s="25">
        <f t="shared" si="2"/>
        <v>113.4</v>
      </c>
      <c r="I39" s="28">
        <f t="shared" si="22"/>
        <v>2154.6</v>
      </c>
      <c r="J39" s="24"/>
    </row>
    <row r="40" spans="2:10">
      <c r="B40" s="24" t="s">
        <v>196</v>
      </c>
      <c r="C40" s="55" t="str">
        <f t="shared" si="20"/>
        <v>11월분</v>
      </c>
      <c r="D40" s="24" t="s">
        <v>205</v>
      </c>
      <c r="E40" s="25">
        <f>SUMIFS(전체리스트!D:D,전체리스트!A:A,B40,전체리스트!C:C,D40)</f>
        <v>55314</v>
      </c>
      <c r="F40" s="26">
        <f t="shared" si="21"/>
        <v>0</v>
      </c>
      <c r="G40" s="27">
        <f>SUMIFS(전체리스트!E:E,전체리스트!A:A,B40,전체리스트!C:C,D40)</f>
        <v>55314</v>
      </c>
      <c r="H40" s="25">
        <f t="shared" si="2"/>
        <v>2765.7000000000003</v>
      </c>
      <c r="I40" s="28">
        <f t="shared" si="22"/>
        <v>52548.3</v>
      </c>
      <c r="J40" s="24"/>
    </row>
    <row r="41" spans="2:10">
      <c r="B41" s="24" t="s">
        <v>196</v>
      </c>
      <c r="C41" s="55" t="str">
        <f t="shared" ref="C41:C45" si="23">VLOOKUP(B41,raw_a,2,0)</f>
        <v>11월분</v>
      </c>
      <c r="D41" s="24" t="s">
        <v>383</v>
      </c>
      <c r="E41" s="25">
        <f>SUMIFS(전체리스트!D:D,전체리스트!A:A,B41,전체리스트!C:C,D41)</f>
        <v>11088</v>
      </c>
      <c r="F41" s="26">
        <f t="shared" ref="F41:F45" si="24">E41-G41</f>
        <v>0</v>
      </c>
      <c r="G41" s="27">
        <f>SUMIFS(전체리스트!E:E,전체리스트!A:A,B41,전체리스트!C:C,D41)</f>
        <v>11088</v>
      </c>
      <c r="H41" s="25">
        <f t="shared" ref="H41:H45" si="25">G41*0.05</f>
        <v>554.4</v>
      </c>
      <c r="I41" s="28">
        <f t="shared" ref="I41:I45" si="26">G41-H41</f>
        <v>10533.6</v>
      </c>
      <c r="J41" s="24"/>
    </row>
    <row r="42" spans="2:10">
      <c r="B42" s="24" t="s">
        <v>196</v>
      </c>
      <c r="C42" s="55" t="str">
        <f t="shared" si="23"/>
        <v>11월분</v>
      </c>
      <c r="D42" s="24" t="s">
        <v>14</v>
      </c>
      <c r="E42" s="25">
        <f>SUMIFS(전체리스트!D:D,전체리스트!A:A,B42,전체리스트!C:C,D42)</f>
        <v>579600</v>
      </c>
      <c r="F42" s="26">
        <f t="shared" si="24"/>
        <v>0</v>
      </c>
      <c r="G42" s="27">
        <f>SUMIFS(전체리스트!E:E,전체리스트!A:A,B42,전체리스트!C:C,D42)</f>
        <v>579600</v>
      </c>
      <c r="H42" s="25">
        <f t="shared" si="25"/>
        <v>28980</v>
      </c>
      <c r="I42" s="28">
        <f t="shared" si="26"/>
        <v>550620</v>
      </c>
      <c r="J42" s="24"/>
    </row>
    <row r="43" spans="2:10">
      <c r="B43" s="24" t="s">
        <v>196</v>
      </c>
      <c r="C43" s="55" t="str">
        <f t="shared" si="23"/>
        <v>11월분</v>
      </c>
      <c r="D43" s="24" t="s">
        <v>11</v>
      </c>
      <c r="E43" s="25">
        <f>SUMIFS(전체리스트!D:D,전체리스트!A:A,B43,전체리스트!C:C,D43)</f>
        <v>10836</v>
      </c>
      <c r="F43" s="26">
        <f t="shared" si="24"/>
        <v>0</v>
      </c>
      <c r="G43" s="27">
        <f>SUMIFS(전체리스트!E:E,전체리스트!A:A,B43,전체리스트!C:C,D43)</f>
        <v>10836</v>
      </c>
      <c r="H43" s="25">
        <f t="shared" si="25"/>
        <v>541.80000000000007</v>
      </c>
      <c r="I43" s="28">
        <f t="shared" si="26"/>
        <v>10294.200000000001</v>
      </c>
      <c r="J43" s="24"/>
    </row>
    <row r="44" spans="2:10">
      <c r="B44" s="24" t="s">
        <v>196</v>
      </c>
      <c r="C44" s="55" t="str">
        <f t="shared" si="23"/>
        <v>11월분</v>
      </c>
      <c r="D44" s="24" t="s">
        <v>32</v>
      </c>
      <c r="E44" s="25">
        <f>SUMIFS(전체리스트!D:D,전체리스트!A:A,B44,전체리스트!C:C,D44)</f>
        <v>212184</v>
      </c>
      <c r="F44" s="26">
        <f t="shared" si="24"/>
        <v>0</v>
      </c>
      <c r="G44" s="27">
        <f>SUMIFS(전체리스트!E:E,전체리스트!A:A,B44,전체리스트!C:C,D44)</f>
        <v>212184</v>
      </c>
      <c r="H44" s="25">
        <f t="shared" si="25"/>
        <v>10609.2</v>
      </c>
      <c r="I44" s="28">
        <f t="shared" si="26"/>
        <v>201574.8</v>
      </c>
      <c r="J44" s="24"/>
    </row>
    <row r="45" spans="2:10">
      <c r="B45" s="24" t="s">
        <v>196</v>
      </c>
      <c r="C45" s="55" t="str">
        <f t="shared" si="23"/>
        <v>11월분</v>
      </c>
      <c r="D45" s="24" t="s">
        <v>30</v>
      </c>
      <c r="E45" s="25">
        <f>SUMIFS(전체리스트!D:D,전체리스트!A:A,B45,전체리스트!C:C,D45)</f>
        <v>32004</v>
      </c>
      <c r="F45" s="26">
        <f t="shared" si="24"/>
        <v>0</v>
      </c>
      <c r="G45" s="27">
        <f>SUMIFS(전체리스트!E:E,전체리스트!A:A,B45,전체리스트!C:C,D45)</f>
        <v>32004</v>
      </c>
      <c r="H45" s="25">
        <f t="shared" si="25"/>
        <v>1600.2</v>
      </c>
      <c r="I45" s="28">
        <f t="shared" si="26"/>
        <v>30403.8</v>
      </c>
      <c r="J45" s="24"/>
    </row>
    <row r="46" spans="2:10">
      <c r="B46" s="24" t="s">
        <v>196</v>
      </c>
      <c r="C46" s="55" t="str">
        <f t="shared" si="20"/>
        <v>11월분</v>
      </c>
      <c r="D46" s="24" t="s">
        <v>10</v>
      </c>
      <c r="E46" s="25">
        <f>SUMIFS(전체리스트!D:D,전체리스트!A:A,B46,전체리스트!C:C,D46)</f>
        <v>2268</v>
      </c>
      <c r="F46" s="26">
        <f t="shared" si="21"/>
        <v>0</v>
      </c>
      <c r="G46" s="27">
        <f>SUMIFS(전체리스트!E:E,전체리스트!A:A,B46,전체리스트!C:C,D46)</f>
        <v>2268</v>
      </c>
      <c r="H46" s="25">
        <f t="shared" si="2"/>
        <v>113.4</v>
      </c>
      <c r="I46" s="28">
        <f t="shared" si="22"/>
        <v>2154.6</v>
      </c>
      <c r="J46" s="24"/>
    </row>
    <row r="47" spans="2:10">
      <c r="B47" s="24" t="s">
        <v>196</v>
      </c>
      <c r="C47" s="55" t="str">
        <f t="shared" si="10"/>
        <v>11월분</v>
      </c>
      <c r="D47" s="24" t="s">
        <v>53</v>
      </c>
      <c r="E47" s="25">
        <f>SUMIFS(전체리스트!D:D,전체리스트!A:A,B47,전체리스트!C:C,D47)</f>
        <v>114282</v>
      </c>
      <c r="F47" s="26">
        <f t="shared" si="11"/>
        <v>0</v>
      </c>
      <c r="G47" s="27">
        <f>SUMIFS(전체리스트!E:E,전체리스트!A:A,B47,전체리스트!C:C,D47)</f>
        <v>114282</v>
      </c>
      <c r="H47" s="25">
        <f t="shared" si="2"/>
        <v>5714.1</v>
      </c>
      <c r="I47" s="28">
        <f t="shared" si="12"/>
        <v>108567.9</v>
      </c>
      <c r="J47" s="24"/>
    </row>
    <row r="48" spans="2:10">
      <c r="B48" s="24" t="s">
        <v>196</v>
      </c>
      <c r="C48" s="55" t="str">
        <f t="shared" ref="C48:C49" si="27">VLOOKUP(B48,raw_a,2,0)</f>
        <v>11월분</v>
      </c>
      <c r="D48" s="24" t="s">
        <v>367</v>
      </c>
      <c r="E48" s="25">
        <f>SUMIFS(전체리스트!D:D,전체리스트!A:A,B48,전체리스트!C:C,D48)</f>
        <v>6930</v>
      </c>
      <c r="F48" s="26">
        <f t="shared" ref="F48:F49" si="28">E48-G48</f>
        <v>0</v>
      </c>
      <c r="G48" s="27">
        <f>SUMIFS(전체리스트!E:E,전체리스트!A:A,B48,전체리스트!C:C,D48)</f>
        <v>6930</v>
      </c>
      <c r="H48" s="25">
        <f t="shared" ref="H48:H49" si="29">G48*0.05</f>
        <v>346.5</v>
      </c>
      <c r="I48" s="28">
        <f t="shared" ref="I48:I49" si="30">G48-H48</f>
        <v>6583.5</v>
      </c>
      <c r="J48" s="24"/>
    </row>
    <row r="49" spans="2:10">
      <c r="B49" s="24" t="s">
        <v>196</v>
      </c>
      <c r="C49" s="55" t="str">
        <f t="shared" si="27"/>
        <v>11월분</v>
      </c>
      <c r="D49" s="24" t="s">
        <v>112</v>
      </c>
      <c r="E49" s="25">
        <f>SUMIFS(전체리스트!D:D,전체리스트!A:A,B49,전체리스트!C:C,D49)</f>
        <v>257544</v>
      </c>
      <c r="F49" s="26">
        <f t="shared" si="28"/>
        <v>0</v>
      </c>
      <c r="G49" s="27">
        <f>SUMIFS(전체리스트!E:E,전체리스트!A:A,B49,전체리스트!C:C,D49)</f>
        <v>257544</v>
      </c>
      <c r="H49" s="25">
        <f t="shared" si="29"/>
        <v>12877.2</v>
      </c>
      <c r="I49" s="28">
        <f t="shared" si="30"/>
        <v>244666.8</v>
      </c>
      <c r="J49" s="24"/>
    </row>
    <row r="50" spans="2:10">
      <c r="B50" s="24" t="s">
        <v>196</v>
      </c>
      <c r="C50" s="55" t="str">
        <f t="shared" ref="C50:C53" si="31">VLOOKUP(B50,raw_a,2,0)</f>
        <v>11월분</v>
      </c>
      <c r="D50" s="24" t="s">
        <v>373</v>
      </c>
      <c r="E50" s="25">
        <f>SUMIFS(전체리스트!D:D,전체리스트!A:A,B50,전체리스트!C:C,D50)</f>
        <v>251496</v>
      </c>
      <c r="F50" s="26">
        <f t="shared" ref="F50:F53" si="32">E50-G50</f>
        <v>0</v>
      </c>
      <c r="G50" s="27">
        <f>SUMIFS(전체리스트!E:E,전체리스트!A:A,B50,전체리스트!C:C,D50)</f>
        <v>251496</v>
      </c>
      <c r="H50" s="25">
        <f t="shared" ref="H50:H53" si="33">G50*0.05</f>
        <v>12574.800000000001</v>
      </c>
      <c r="I50" s="28">
        <f t="shared" ref="I50:I53" si="34">G50-H50</f>
        <v>238921.2</v>
      </c>
      <c r="J50" s="24"/>
    </row>
    <row r="51" spans="2:10">
      <c r="B51" s="24" t="s">
        <v>196</v>
      </c>
      <c r="C51" s="55" t="str">
        <f t="shared" si="31"/>
        <v>11월분</v>
      </c>
      <c r="D51" s="24" t="s">
        <v>390</v>
      </c>
      <c r="E51" s="25">
        <f>SUMIFS(전체리스트!D:D,전체리스트!A:A,B51,전체리스트!C:C,D51)</f>
        <v>5292</v>
      </c>
      <c r="F51" s="26">
        <f t="shared" si="32"/>
        <v>0</v>
      </c>
      <c r="G51" s="27">
        <f>SUMIFS(전체리스트!E:E,전체리스트!A:A,B51,전체리스트!C:C,D51)</f>
        <v>5292</v>
      </c>
      <c r="H51" s="25">
        <f t="shared" si="33"/>
        <v>264.60000000000002</v>
      </c>
      <c r="I51" s="28">
        <f t="shared" si="34"/>
        <v>5027.3999999999996</v>
      </c>
      <c r="J51" s="24"/>
    </row>
    <row r="52" spans="2:10">
      <c r="B52" s="24" t="s">
        <v>196</v>
      </c>
      <c r="C52" s="55" t="str">
        <f t="shared" si="31"/>
        <v>11월분</v>
      </c>
      <c r="D52" s="24" t="s">
        <v>389</v>
      </c>
      <c r="E52" s="25">
        <f>SUMIFS(전체리스트!D:D,전체리스트!A:A,B52,전체리스트!C:C,D52)</f>
        <v>76608</v>
      </c>
      <c r="F52" s="26">
        <f t="shared" si="32"/>
        <v>0</v>
      </c>
      <c r="G52" s="27">
        <f>SUMIFS(전체리스트!E:E,전체리스트!A:A,B52,전체리스트!C:C,D52)</f>
        <v>76608</v>
      </c>
      <c r="H52" s="25">
        <f t="shared" si="33"/>
        <v>3830.4</v>
      </c>
      <c r="I52" s="28">
        <f t="shared" si="34"/>
        <v>72777.600000000006</v>
      </c>
      <c r="J52" s="24"/>
    </row>
    <row r="53" spans="2:10">
      <c r="B53" s="24" t="s">
        <v>196</v>
      </c>
      <c r="C53" s="55" t="str">
        <f t="shared" si="31"/>
        <v>11월분</v>
      </c>
      <c r="D53" s="24" t="s">
        <v>382</v>
      </c>
      <c r="E53" s="25">
        <f>SUMIFS(전체리스트!D:D,전체리스트!A:A,B53,전체리스트!C:C,D53)</f>
        <v>428526</v>
      </c>
      <c r="F53" s="26">
        <f t="shared" si="32"/>
        <v>0</v>
      </c>
      <c r="G53" s="27">
        <f>SUMIFS(전체리스트!E:E,전체리스트!A:A,B53,전체리스트!C:C,D53)</f>
        <v>428526</v>
      </c>
      <c r="H53" s="25">
        <f t="shared" si="33"/>
        <v>21426.300000000003</v>
      </c>
      <c r="I53" s="28">
        <f t="shared" si="34"/>
        <v>407099.7</v>
      </c>
      <c r="J53" s="24"/>
    </row>
    <row r="54" spans="2:10">
      <c r="B54" s="29" t="s">
        <v>322</v>
      </c>
      <c r="C54" s="29"/>
      <c r="D54" s="30"/>
      <c r="E54" s="31">
        <f t="shared" ref="E54:J54" si="35">SUM(E6:E53)</f>
        <v>3137517</v>
      </c>
      <c r="F54" s="31">
        <f t="shared" si="35"/>
        <v>0</v>
      </c>
      <c r="G54" s="31">
        <f t="shared" si="35"/>
        <v>3137517</v>
      </c>
      <c r="H54" s="31">
        <f t="shared" si="35"/>
        <v>156875.84999999998</v>
      </c>
      <c r="I54" s="31">
        <f t="shared" si="35"/>
        <v>2980641.1500000004</v>
      </c>
      <c r="J54" s="31">
        <f t="shared" si="35"/>
        <v>0</v>
      </c>
    </row>
    <row r="55" spans="2:10">
      <c r="D55" s="90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B4:J17"/>
  <sheetViews>
    <sheetView workbookViewId="0">
      <selection activeCell="D14" sqref="D14"/>
    </sheetView>
  </sheetViews>
  <sheetFormatPr defaultRowHeight="17.399999999999999"/>
  <cols>
    <col min="2" max="2" width="11.8984375" customWidth="1"/>
    <col min="3" max="3" width="11.3984375" customWidth="1"/>
    <col min="4" max="4" width="41.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3.0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215</v>
      </c>
      <c r="C6" s="55" t="str">
        <f t="shared" ref="C6:C10" si="0">VLOOKUP(B6,raw_a,2,0)</f>
        <v>11월분</v>
      </c>
      <c r="D6" s="24" t="s">
        <v>216</v>
      </c>
      <c r="E6" s="25">
        <f>SUMIFS(전체리스트!D:D,전체리스트!A:A,B6,전체리스트!C:C,D6)</f>
        <v>3662.0545161290324</v>
      </c>
      <c r="F6" s="26">
        <f t="shared" ref="F6:F10" si="1">E6-G6</f>
        <v>0</v>
      </c>
      <c r="G6" s="27">
        <f>SUMIFS(전체리스트!E:E,전체리스트!A:A,B6,전체리스트!C:C,D6)</f>
        <v>3662.0545161290324</v>
      </c>
      <c r="H6" s="25">
        <f>G6*0.05</f>
        <v>183.10272580645164</v>
      </c>
      <c r="I6" s="28">
        <f>G6-H6</f>
        <v>3478.9517903225806</v>
      </c>
      <c r="J6" s="24"/>
    </row>
    <row r="7" spans="2:10">
      <c r="B7" s="24" t="s">
        <v>215</v>
      </c>
      <c r="C7" s="55" t="str">
        <f t="shared" si="0"/>
        <v>11월분</v>
      </c>
      <c r="D7" s="24" t="s">
        <v>130</v>
      </c>
      <c r="E7" s="25">
        <f>SUMIFS(전체리스트!D:D,전체리스트!A:A,B7,전체리스트!C:C,D7)</f>
        <v>168</v>
      </c>
      <c r="F7" s="26">
        <f t="shared" si="1"/>
        <v>0</v>
      </c>
      <c r="G7" s="27">
        <f>SUMIFS(전체리스트!E:E,전체리스트!A:A,B7,전체리스트!C:C,D7)</f>
        <v>168</v>
      </c>
      <c r="H7" s="25">
        <f t="shared" ref="H7:H10" si="2">G7*0.05</f>
        <v>8.4</v>
      </c>
      <c r="I7" s="28">
        <f t="shared" ref="I7" si="3">G7-H7</f>
        <v>159.6</v>
      </c>
      <c r="J7" s="24"/>
    </row>
    <row r="8" spans="2:10">
      <c r="B8" s="24" t="s">
        <v>215</v>
      </c>
      <c r="C8" s="55" t="str">
        <f t="shared" si="0"/>
        <v>11월분</v>
      </c>
      <c r="D8" s="24" t="s">
        <v>217</v>
      </c>
      <c r="E8" s="25">
        <f>SUMIFS(전체리스트!D:D,전체리스트!A:A,B8,전체리스트!C:C,D8)</f>
        <v>1683.7032258064514</v>
      </c>
      <c r="F8" s="26">
        <f t="shared" si="1"/>
        <v>0</v>
      </c>
      <c r="G8" s="27">
        <f>SUMIFS(전체리스트!E:E,전체리스트!A:A,B8,전체리스트!C:C,D8)</f>
        <v>1683.7032258064514</v>
      </c>
      <c r="H8" s="25">
        <f t="shared" si="2"/>
        <v>84.185161290322583</v>
      </c>
      <c r="I8" s="28">
        <f t="shared" ref="I8:I10" si="4">G8-H8</f>
        <v>1599.5180645161288</v>
      </c>
      <c r="J8" s="24"/>
    </row>
    <row r="9" spans="2:10">
      <c r="B9" s="24" t="s">
        <v>215</v>
      </c>
      <c r="C9" s="55" t="str">
        <f t="shared" si="0"/>
        <v>11월분</v>
      </c>
      <c r="D9" s="24" t="s">
        <v>91</v>
      </c>
      <c r="E9" s="25">
        <f>SUMIFS(전체리스트!D:D,전체리스트!A:A,B9,전체리스트!C:C,D9)</f>
        <v>168.37032258064517</v>
      </c>
      <c r="F9" s="26">
        <f t="shared" si="1"/>
        <v>0</v>
      </c>
      <c r="G9" s="27">
        <f>SUMIFS(전체리스트!E:E,전체리스트!A:A,B9,전체리스트!C:C,D9)</f>
        <v>168.37032258064517</v>
      </c>
      <c r="H9" s="25">
        <f t="shared" si="2"/>
        <v>8.418516129032259</v>
      </c>
      <c r="I9" s="28">
        <f t="shared" si="4"/>
        <v>159.9518064516129</v>
      </c>
      <c r="J9" s="24"/>
    </row>
    <row r="10" spans="2:10">
      <c r="B10" s="24" t="s">
        <v>215</v>
      </c>
      <c r="C10" s="55" t="str">
        <f t="shared" si="0"/>
        <v>11월분</v>
      </c>
      <c r="D10" s="24" t="s">
        <v>58</v>
      </c>
      <c r="E10" s="25">
        <f>SUMIFS(전체리스트!D:D,전체리스트!A:A,B10,전체리스트!C:C,D10)</f>
        <v>1768</v>
      </c>
      <c r="F10" s="26">
        <f t="shared" si="1"/>
        <v>0</v>
      </c>
      <c r="G10" s="27">
        <f>SUMIFS(전체리스트!E:E,전체리스트!A:A,B10,전체리스트!C:C,D10)</f>
        <v>1768</v>
      </c>
      <c r="H10" s="25">
        <f t="shared" si="2"/>
        <v>88.4</v>
      </c>
      <c r="I10" s="28">
        <f t="shared" si="4"/>
        <v>1679.6</v>
      </c>
      <c r="J10" s="24"/>
    </row>
    <row r="11" spans="2:10">
      <c r="B11" s="24" t="s">
        <v>215</v>
      </c>
      <c r="C11" s="55" t="str">
        <f t="shared" ref="C11:C15" si="5">VLOOKUP(B11,raw_a,2,0)</f>
        <v>11월분</v>
      </c>
      <c r="D11" s="24" t="s">
        <v>64</v>
      </c>
      <c r="E11" s="25">
        <f>SUMIFS(전체리스트!D:D,전체리스트!A:A,B11,전체리스트!C:C,D11)</f>
        <v>126.27774193548386</v>
      </c>
      <c r="F11" s="26">
        <f t="shared" ref="F11:F15" si="6">E11-G11</f>
        <v>0</v>
      </c>
      <c r="G11" s="27">
        <f>SUMIFS(전체리스트!E:E,전체리스트!A:A,B11,전체리스트!C:C,D11)</f>
        <v>126.27774193548386</v>
      </c>
      <c r="H11" s="25">
        <f t="shared" ref="H11:H15" si="7">G11*0.05</f>
        <v>6.3138870967741934</v>
      </c>
      <c r="I11" s="28">
        <f t="shared" ref="I11:I15" si="8">G11-H11</f>
        <v>119.96385483870966</v>
      </c>
      <c r="J11" s="24"/>
    </row>
    <row r="12" spans="2:10">
      <c r="B12" s="24" t="s">
        <v>215</v>
      </c>
      <c r="C12" s="55" t="str">
        <f t="shared" si="5"/>
        <v>11월분</v>
      </c>
      <c r="D12" s="24" t="s">
        <v>26</v>
      </c>
      <c r="E12" s="25">
        <f>SUMIFS(전체리스트!D:D,전체리스트!A:A,B12,전체리스트!C:C,D12)</f>
        <v>926.03677419354835</v>
      </c>
      <c r="F12" s="26">
        <f t="shared" si="6"/>
        <v>0</v>
      </c>
      <c r="G12" s="27">
        <f>SUMIFS(전체리스트!E:E,전체리스트!A:A,B12,전체리스트!C:C,D12)</f>
        <v>926.03677419354835</v>
      </c>
      <c r="H12" s="25">
        <f t="shared" si="7"/>
        <v>46.301838709677419</v>
      </c>
      <c r="I12" s="28">
        <f t="shared" si="8"/>
        <v>879.73493548387091</v>
      </c>
      <c r="J12" s="24"/>
    </row>
    <row r="13" spans="2:10">
      <c r="B13" s="24" t="s">
        <v>215</v>
      </c>
      <c r="C13" s="55" t="str">
        <f t="shared" si="5"/>
        <v>11월분</v>
      </c>
      <c r="D13" s="24" t="s">
        <v>55</v>
      </c>
      <c r="E13" s="25">
        <f>SUMIFS(전체리스트!D:D,전체리스트!A:A,B13,전체리스트!C:C,D13)</f>
        <v>1178.592258064516</v>
      </c>
      <c r="F13" s="26">
        <f t="shared" si="6"/>
        <v>0</v>
      </c>
      <c r="G13" s="27">
        <f>SUMIFS(전체리스트!E:E,전체리스트!A:A,B13,전체리스트!C:C,D13)</f>
        <v>1178.592258064516</v>
      </c>
      <c r="H13" s="25">
        <f t="shared" si="7"/>
        <v>58.929612903225802</v>
      </c>
      <c r="I13" s="28">
        <f t="shared" si="8"/>
        <v>1119.6626451612901</v>
      </c>
      <c r="J13" s="24"/>
    </row>
    <row r="14" spans="2:10">
      <c r="B14" s="24" t="s">
        <v>215</v>
      </c>
      <c r="C14" s="55" t="str">
        <f t="shared" si="5"/>
        <v>11월분</v>
      </c>
      <c r="D14" s="24" t="s">
        <v>522</v>
      </c>
      <c r="E14" s="25">
        <f>SUMIFS(전체리스트!D:D,전체리스트!A:A,B14,전체리스트!C:C,D14)</f>
        <v>2525.5548387096774</v>
      </c>
      <c r="F14" s="26">
        <f t="shared" si="6"/>
        <v>0</v>
      </c>
      <c r="G14" s="27">
        <f>SUMIFS(전체리스트!E:E,전체리스트!A:A,B14,전체리스트!C:C,D14)</f>
        <v>2525.5548387096774</v>
      </c>
      <c r="H14" s="25">
        <f t="shared" si="7"/>
        <v>126.27774193548387</v>
      </c>
      <c r="I14" s="28">
        <f t="shared" si="8"/>
        <v>2399.2770967741935</v>
      </c>
      <c r="J14" s="24"/>
    </row>
    <row r="15" spans="2:10">
      <c r="B15" s="24" t="s">
        <v>215</v>
      </c>
      <c r="C15" s="55" t="str">
        <f t="shared" si="5"/>
        <v>11월분</v>
      </c>
      <c r="D15" s="24" t="s">
        <v>80</v>
      </c>
      <c r="E15" s="25">
        <f>SUMIFS(전체리스트!D:D,전체리스트!A:A,B15,전체리스트!C:C,D15)</f>
        <v>42.092580645161291</v>
      </c>
      <c r="F15" s="26">
        <f t="shared" si="6"/>
        <v>0</v>
      </c>
      <c r="G15" s="27">
        <f>SUMIFS(전체리스트!E:E,전체리스트!A:A,B15,전체리스트!C:C,D15)</f>
        <v>42.092580645161291</v>
      </c>
      <c r="H15" s="25">
        <f t="shared" si="7"/>
        <v>2.1046290322580647</v>
      </c>
      <c r="I15" s="28">
        <f t="shared" si="8"/>
        <v>39.987951612903224</v>
      </c>
      <c r="J15" s="24"/>
    </row>
    <row r="16" spans="2:10">
      <c r="B16" s="24" t="s">
        <v>215</v>
      </c>
      <c r="C16" s="55" t="str">
        <f t="shared" ref="C16" si="9">VLOOKUP(B16,raw_a,2,0)</f>
        <v>11월분</v>
      </c>
      <c r="D16" s="24" t="s">
        <v>46</v>
      </c>
      <c r="E16" s="25">
        <f>SUMIFS(전체리스트!D:D,전체리스트!A:A,B16,전체리스트!C:C,D16)</f>
        <v>3367.4064516129029</v>
      </c>
      <c r="F16" s="26">
        <f t="shared" ref="F16" si="10">E16-G16</f>
        <v>0</v>
      </c>
      <c r="G16" s="27">
        <f>SUMIFS(전체리스트!E:E,전체리스트!A:A,B16,전체리스트!C:C,D16)</f>
        <v>3367.4064516129029</v>
      </c>
      <c r="H16" s="25">
        <f t="shared" ref="H16" si="11">G16*0.05</f>
        <v>168.37032258064517</v>
      </c>
      <c r="I16" s="28">
        <f t="shared" ref="I16" si="12">G16-H16</f>
        <v>3199.0361290322576</v>
      </c>
      <c r="J16" s="24"/>
    </row>
    <row r="17" spans="2:10">
      <c r="B17" s="29" t="s">
        <v>322</v>
      </c>
      <c r="C17" s="29"/>
      <c r="D17" s="30"/>
      <c r="E17" s="31">
        <f t="shared" ref="E17:J17" si="13">SUM(E6:E16)</f>
        <v>15616.08870967742</v>
      </c>
      <c r="F17" s="31">
        <f t="shared" si="13"/>
        <v>0</v>
      </c>
      <c r="G17" s="31">
        <f t="shared" si="13"/>
        <v>15616.08870967742</v>
      </c>
      <c r="H17" s="31">
        <f t="shared" si="13"/>
        <v>780.80443548387109</v>
      </c>
      <c r="I17" s="31">
        <f t="shared" si="13"/>
        <v>14835.284274193549</v>
      </c>
      <c r="J17" s="31">
        <f t="shared" si="1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B3:J10"/>
  <sheetViews>
    <sheetView workbookViewId="0">
      <selection activeCell="E22" sqref="E22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D4" s="32" t="s">
        <v>279</v>
      </c>
      <c r="F4" s="34" t="s">
        <v>333</v>
      </c>
      <c r="G4" s="41">
        <f>VLOOKUP(B6,raw_a,6,0)</f>
        <v>1230.0999999999999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258</v>
      </c>
      <c r="C6" s="55" t="str">
        <f>VLOOKUP(B6,raw_a,2,0)</f>
        <v>4~9월분</v>
      </c>
      <c r="D6" s="24" t="s">
        <v>259</v>
      </c>
      <c r="E6" s="42">
        <f>SUMIFS(전체리스트!D:D,전체리스트!A:A,B6,전체리스트!C:C,D6)</f>
        <v>0</v>
      </c>
      <c r="F6" s="83"/>
      <c r="G6" s="84">
        <f>SUMIFS(전체리스트!E:E,전체리스트!A:A,B6,전체리스트!C:C,D6)</f>
        <v>0</v>
      </c>
      <c r="H6" s="42">
        <f>G6*0.05</f>
        <v>0</v>
      </c>
      <c r="I6" s="85">
        <f>G6-H6</f>
        <v>0</v>
      </c>
      <c r="J6" s="24"/>
    </row>
    <row r="7" spans="2:10">
      <c r="B7" s="24" t="s">
        <v>258</v>
      </c>
      <c r="C7" s="55" t="str">
        <f t="shared" ref="C7:C8" si="0">VLOOKUP(B7,raw_a,2,0)</f>
        <v>4~9월분</v>
      </c>
      <c r="D7" s="24" t="s">
        <v>260</v>
      </c>
      <c r="E7" s="42">
        <f>SUMIFS(전체리스트!D:D,전체리스트!A:A,B7,전체리스트!C:C,D7)</f>
        <v>0</v>
      </c>
      <c r="F7" s="83"/>
      <c r="G7" s="84">
        <f>SUMIFS(전체리스트!E:E,전체리스트!A:A,B7,전체리스트!C:C,D7)</f>
        <v>0</v>
      </c>
      <c r="H7" s="42">
        <f t="shared" ref="H7:H8" si="1">G7*0.05</f>
        <v>0</v>
      </c>
      <c r="I7" s="85">
        <f t="shared" ref="I7:I8" si="2">G7-H7</f>
        <v>0</v>
      </c>
      <c r="J7" s="24"/>
    </row>
    <row r="8" spans="2:10">
      <c r="B8" s="24" t="s">
        <v>258</v>
      </c>
      <c r="C8" s="55" t="str">
        <f t="shared" si="0"/>
        <v>4~9월분</v>
      </c>
      <c r="D8" s="24" t="s">
        <v>261</v>
      </c>
      <c r="E8" s="42">
        <f>SUMIFS(전체리스트!D:D,전체리스트!A:A,B8,전체리스트!C:C,D8)</f>
        <v>0</v>
      </c>
      <c r="F8" s="83"/>
      <c r="G8" s="84">
        <f>SUMIFS(전체리스트!E:E,전체리스트!A:A,B8,전체리스트!C:C,D8)</f>
        <v>0</v>
      </c>
      <c r="H8" s="42">
        <f t="shared" si="1"/>
        <v>0</v>
      </c>
      <c r="I8" s="85">
        <f t="shared" si="2"/>
        <v>0</v>
      </c>
      <c r="J8" s="24"/>
    </row>
    <row r="9" spans="2:10">
      <c r="B9" s="29" t="s">
        <v>322</v>
      </c>
      <c r="C9" s="29"/>
      <c r="D9" s="30"/>
      <c r="E9" s="92">
        <f>SUM(E6:E8)</f>
        <v>0</v>
      </c>
      <c r="F9" s="92">
        <f t="shared" ref="F9:J9" si="3">SUM(F6:F8)</f>
        <v>0</v>
      </c>
      <c r="G9" s="92">
        <f t="shared" si="3"/>
        <v>0</v>
      </c>
      <c r="H9" s="92">
        <f t="shared" si="3"/>
        <v>0</v>
      </c>
      <c r="I9" s="92">
        <f t="shared" si="3"/>
        <v>0</v>
      </c>
      <c r="J9" s="93">
        <f t="shared" si="3"/>
        <v>0</v>
      </c>
    </row>
    <row r="10" spans="2:10">
      <c r="E10" s="61"/>
      <c r="F10" s="61"/>
      <c r="G10" s="61"/>
      <c r="H10" s="61"/>
      <c r="I10" s="6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B4:J18"/>
  <sheetViews>
    <sheetView topLeftCell="A2" workbookViewId="0">
      <selection activeCell="D25" sqref="D25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218</v>
      </c>
      <c r="C6" s="55" t="str">
        <f t="shared" ref="C6:C11" si="0">VLOOKUP(B6,raw_a,2,0)</f>
        <v>11월분</v>
      </c>
      <c r="D6" s="24" t="s">
        <v>61</v>
      </c>
      <c r="E6" s="25">
        <f>SUMIFS(전체리스트!D:D,전체리스트!A:A,B6,전체리스트!C:C,D6)</f>
        <v>601689</v>
      </c>
      <c r="F6" s="26">
        <f>E6-G6</f>
        <v>300844</v>
      </c>
      <c r="G6" s="27">
        <f>SUMIFS(전체리스트!E:E,전체리스트!A:A,B6,전체리스트!C:C,D6)</f>
        <v>300845</v>
      </c>
      <c r="H6" s="25">
        <f>G6*0.05</f>
        <v>15042.25</v>
      </c>
      <c r="I6" s="28">
        <f>G6-H6</f>
        <v>285802.75</v>
      </c>
      <c r="J6" s="24"/>
    </row>
    <row r="7" spans="2:10">
      <c r="B7" s="24" t="s">
        <v>218</v>
      </c>
      <c r="C7" s="55" t="str">
        <f t="shared" si="0"/>
        <v>11월분</v>
      </c>
      <c r="D7" s="24" t="s">
        <v>27</v>
      </c>
      <c r="E7" s="25">
        <f>SUMIFS(전체리스트!D:D,전체리스트!A:A,B7,전체리스트!C:C,D7)</f>
        <v>16207</v>
      </c>
      <c r="F7" s="26">
        <f t="shared" ref="F7:F11" si="1">E7-G7</f>
        <v>8103</v>
      </c>
      <c r="G7" s="27">
        <f>SUMIFS(전체리스트!E:E,전체리스트!A:A,B7,전체리스트!C:C,D7)</f>
        <v>8104</v>
      </c>
      <c r="H7" s="25">
        <f t="shared" ref="H7:H12" si="2">G7*0.05</f>
        <v>405.20000000000005</v>
      </c>
      <c r="I7" s="28">
        <f t="shared" ref="I7:I11" si="3">G7-H7</f>
        <v>7698.8</v>
      </c>
      <c r="J7" s="24"/>
    </row>
    <row r="8" spans="2:10">
      <c r="B8" s="24" t="s">
        <v>218</v>
      </c>
      <c r="C8" s="55" t="str">
        <f t="shared" si="0"/>
        <v>11월분</v>
      </c>
      <c r="D8" s="24" t="s">
        <v>493</v>
      </c>
      <c r="E8" s="25">
        <f>SUMIFS(전체리스트!D:D,전체리스트!A:A,B8,전체리스트!C:C,D8)</f>
        <v>716455</v>
      </c>
      <c r="F8" s="26">
        <f t="shared" si="1"/>
        <v>358227</v>
      </c>
      <c r="G8" s="27">
        <f>SUMIFS(전체리스트!E:E,전체리스트!A:A,B8,전체리스트!C:C,D8)</f>
        <v>358228</v>
      </c>
      <c r="H8" s="25">
        <f t="shared" si="2"/>
        <v>17911.400000000001</v>
      </c>
      <c r="I8" s="28">
        <f t="shared" si="3"/>
        <v>340316.6</v>
      </c>
      <c r="J8" s="24"/>
    </row>
    <row r="9" spans="2:10">
      <c r="B9" s="24" t="s">
        <v>218</v>
      </c>
      <c r="C9" s="55" t="str">
        <f t="shared" ref="C9" si="4">VLOOKUP(B9,raw_a,2,0)</f>
        <v>11월분</v>
      </c>
      <c r="D9" s="24" t="s">
        <v>372</v>
      </c>
      <c r="E9" s="25">
        <f>SUMIFS(전체리스트!D:D,전체리스트!A:A,B9,전체리스트!C:C,D9)</f>
        <v>34649</v>
      </c>
      <c r="F9" s="26">
        <f t="shared" si="1"/>
        <v>17324</v>
      </c>
      <c r="G9" s="27">
        <f>SUMIFS(전체리스트!E:E,전체리스트!A:A,B9,전체리스트!C:C,D9)</f>
        <v>17325</v>
      </c>
      <c r="H9" s="25">
        <f t="shared" ref="H9" si="5">G9*0.05</f>
        <v>866.25</v>
      </c>
      <c r="I9" s="28">
        <f t="shared" si="3"/>
        <v>16458.75</v>
      </c>
      <c r="J9" s="24"/>
    </row>
    <row r="10" spans="2:10">
      <c r="B10" s="24" t="s">
        <v>218</v>
      </c>
      <c r="C10" s="55" t="str">
        <f t="shared" si="0"/>
        <v>11월분</v>
      </c>
      <c r="D10" s="24" t="s">
        <v>220</v>
      </c>
      <c r="E10" s="25">
        <f>SUMIFS(전체리스트!D:D,전체리스트!A:A,B10,전체리스트!C:C,D10)</f>
        <v>20487</v>
      </c>
      <c r="F10" s="26">
        <f t="shared" ref="F10" si="6">E10-G10</f>
        <v>10243</v>
      </c>
      <c r="G10" s="27">
        <f>SUMIFS(전체리스트!E:E,전체리스트!A:A,B10,전체리스트!C:C,D10)</f>
        <v>10244</v>
      </c>
      <c r="H10" s="25">
        <f t="shared" si="2"/>
        <v>512.20000000000005</v>
      </c>
      <c r="I10" s="28">
        <f t="shared" ref="I10" si="7">G10-H10</f>
        <v>9731.7999999999993</v>
      </c>
      <c r="J10" s="24"/>
    </row>
    <row r="11" spans="2:10">
      <c r="B11" s="24" t="s">
        <v>218</v>
      </c>
      <c r="C11" s="55" t="str">
        <f t="shared" si="0"/>
        <v>11월분</v>
      </c>
      <c r="D11" s="24" t="s">
        <v>85</v>
      </c>
      <c r="E11" s="25">
        <f>SUMIFS(전체리스트!D:D,전체리스트!A:A,B11,전체리스트!C:C,D11)</f>
        <v>1309</v>
      </c>
      <c r="F11" s="26">
        <f t="shared" si="1"/>
        <v>654</v>
      </c>
      <c r="G11" s="27">
        <f>SUMIFS(전체리스트!E:E,전체리스트!A:A,B11,전체리스트!C:C,D11)</f>
        <v>655</v>
      </c>
      <c r="H11" s="25">
        <f t="shared" si="2"/>
        <v>32.75</v>
      </c>
      <c r="I11" s="28">
        <f t="shared" si="3"/>
        <v>622.25</v>
      </c>
      <c r="J11" s="24"/>
    </row>
    <row r="12" spans="2:10">
      <c r="B12" s="24" t="s">
        <v>218</v>
      </c>
      <c r="C12" s="55" t="str">
        <f t="shared" ref="C12" si="8">VLOOKUP(B12,raw_a,2,0)</f>
        <v>11월분</v>
      </c>
      <c r="D12" s="24" t="s">
        <v>80</v>
      </c>
      <c r="E12" s="25">
        <f>SUMIFS(전체리스트!D:D,전체리스트!A:A,B12,전체리스트!C:C,D12)</f>
        <v>38206</v>
      </c>
      <c r="F12" s="26">
        <f t="shared" ref="F12" si="9">E12-G12</f>
        <v>19103</v>
      </c>
      <c r="G12" s="27">
        <f>SUMIFS(전체리스트!E:E,전체리스트!A:A,B12,전체리스트!C:C,D12)</f>
        <v>19103</v>
      </c>
      <c r="H12" s="25">
        <f t="shared" si="2"/>
        <v>955.15000000000009</v>
      </c>
      <c r="I12" s="28">
        <f t="shared" ref="I12" si="10">G12-H12</f>
        <v>18147.849999999999</v>
      </c>
      <c r="J12" s="24"/>
    </row>
    <row r="13" spans="2:10">
      <c r="B13" s="24" t="s">
        <v>218</v>
      </c>
      <c r="C13" s="55" t="str">
        <f t="shared" ref="C13:C17" si="11">VLOOKUP(B13,raw_a,2,0)</f>
        <v>11월분</v>
      </c>
      <c r="D13" s="24" t="s">
        <v>57</v>
      </c>
      <c r="E13" s="25">
        <f>SUMIFS(전체리스트!D:D,전체리스트!A:A,B13,전체리스트!C:C,D13)</f>
        <v>30253</v>
      </c>
      <c r="F13" s="26">
        <f t="shared" ref="F13:F17" si="12">E13-G13</f>
        <v>15126</v>
      </c>
      <c r="G13" s="27">
        <f>SUMIFS(전체리스트!E:E,전체리스트!A:A,B13,전체리스트!C:C,D13)</f>
        <v>15127</v>
      </c>
      <c r="H13" s="25">
        <f t="shared" ref="H13:H17" si="13">G13*0.05</f>
        <v>756.35</v>
      </c>
      <c r="I13" s="28">
        <f t="shared" ref="I13:I17" si="14">G13-H13</f>
        <v>14370.65</v>
      </c>
      <c r="J13" s="24"/>
    </row>
    <row r="14" spans="2:10">
      <c r="B14" s="24" t="s">
        <v>218</v>
      </c>
      <c r="C14" s="55" t="str">
        <f t="shared" ref="C14:C15" si="15">VLOOKUP(B14,raw_a,2,0)</f>
        <v>11월분</v>
      </c>
      <c r="D14" s="24" t="s">
        <v>26</v>
      </c>
      <c r="E14" s="25">
        <f>SUMIFS(전체리스트!D:D,전체리스트!A:A,B14,전체리스트!C:C,D14)</f>
        <v>137963</v>
      </c>
      <c r="F14" s="26">
        <f t="shared" ref="F14:F15" si="16">E14-G14</f>
        <v>68981</v>
      </c>
      <c r="G14" s="27">
        <f>SUMIFS(전체리스트!E:E,전체리스트!A:A,B14,전체리스트!C:C,D14)</f>
        <v>68982</v>
      </c>
      <c r="H14" s="25">
        <f t="shared" ref="H14:H15" si="17">G14*0.05</f>
        <v>3449.1000000000004</v>
      </c>
      <c r="I14" s="28">
        <f t="shared" ref="I14:I15" si="18">G14-H14</f>
        <v>65532.9</v>
      </c>
      <c r="J14" s="24"/>
    </row>
    <row r="15" spans="2:10">
      <c r="B15" s="24" t="s">
        <v>218</v>
      </c>
      <c r="C15" s="55" t="str">
        <f t="shared" si="15"/>
        <v>11월분</v>
      </c>
      <c r="D15" s="24" t="s">
        <v>55</v>
      </c>
      <c r="E15" s="25">
        <f>SUMIFS(전체리스트!D:D,전체리스트!A:A,B15,전체리스트!C:C,D15)</f>
        <v>19816</v>
      </c>
      <c r="F15" s="26">
        <f t="shared" si="16"/>
        <v>7926</v>
      </c>
      <c r="G15" s="27">
        <f>SUMIFS(전체리스트!E:E,전체리스트!A:A,B15,전체리스트!C:C,D15)</f>
        <v>11890</v>
      </c>
      <c r="H15" s="25">
        <f t="shared" si="17"/>
        <v>594.5</v>
      </c>
      <c r="I15" s="28">
        <f t="shared" si="18"/>
        <v>11295.5</v>
      </c>
      <c r="J15" s="24"/>
    </row>
    <row r="16" spans="2:10">
      <c r="B16" s="24" t="s">
        <v>218</v>
      </c>
      <c r="C16" s="55" t="str">
        <f t="shared" si="11"/>
        <v>11월분</v>
      </c>
      <c r="D16" s="24" t="s">
        <v>114</v>
      </c>
      <c r="E16" s="25">
        <f>SUMIFS(전체리스트!D:D,전체리스트!A:A,B16,전체리스트!C:C,D16)</f>
        <v>1957</v>
      </c>
      <c r="F16" s="26">
        <f t="shared" si="12"/>
        <v>783</v>
      </c>
      <c r="G16" s="27">
        <f>SUMIFS(전체리스트!E:E,전체리스트!A:A,B16,전체리스트!C:C,D16)</f>
        <v>1174</v>
      </c>
      <c r="H16" s="25">
        <f t="shared" si="13"/>
        <v>58.7</v>
      </c>
      <c r="I16" s="28">
        <f t="shared" si="14"/>
        <v>1115.3</v>
      </c>
      <c r="J16" s="24"/>
    </row>
    <row r="17" spans="2:10">
      <c r="B17" s="24" t="s">
        <v>218</v>
      </c>
      <c r="C17" s="55" t="str">
        <f t="shared" si="11"/>
        <v>11월분</v>
      </c>
      <c r="D17" s="24" t="s">
        <v>64</v>
      </c>
      <c r="E17" s="25">
        <f>SUMIFS(전체리스트!D:D,전체리스트!A:A,B17,전체리스트!C:C,D17)</f>
        <v>7724</v>
      </c>
      <c r="F17" s="26">
        <f t="shared" si="12"/>
        <v>3090</v>
      </c>
      <c r="G17" s="27">
        <f>SUMIFS(전체리스트!E:E,전체리스트!A:A,B17,전체리스트!C:C,D17)</f>
        <v>4634</v>
      </c>
      <c r="H17" s="25">
        <f t="shared" si="13"/>
        <v>231.70000000000002</v>
      </c>
      <c r="I17" s="28">
        <f t="shared" si="14"/>
        <v>4402.3</v>
      </c>
      <c r="J17" s="24"/>
    </row>
    <row r="18" spans="2:10">
      <c r="B18" s="29" t="s">
        <v>322</v>
      </c>
      <c r="C18" s="29"/>
      <c r="D18" s="30"/>
      <c r="E18" s="31">
        <f t="shared" ref="E18:J18" si="19">SUM(E6:E17)</f>
        <v>1626715</v>
      </c>
      <c r="F18" s="31">
        <f t="shared" si="19"/>
        <v>810404</v>
      </c>
      <c r="G18" s="31">
        <f t="shared" si="19"/>
        <v>816311</v>
      </c>
      <c r="H18" s="31">
        <f t="shared" si="19"/>
        <v>40815.549999999996</v>
      </c>
      <c r="I18" s="31">
        <f t="shared" si="19"/>
        <v>775495.45000000007</v>
      </c>
      <c r="J18" s="31">
        <f t="shared" si="1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B4:J18"/>
  <sheetViews>
    <sheetView workbookViewId="0">
      <selection activeCell="I27" sqref="I27"/>
    </sheetView>
  </sheetViews>
  <sheetFormatPr defaultRowHeight="17.399999999999999"/>
  <cols>
    <col min="2" max="2" width="11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117</v>
      </c>
      <c r="C6" s="55" t="str">
        <f t="shared" ref="C6:C8" si="0">VLOOKUP(B6,raw_a,2,0)</f>
        <v>11월분</v>
      </c>
      <c r="D6" s="55" t="s">
        <v>22</v>
      </c>
      <c r="E6" s="25">
        <f>SUMIFS(전체리스트!D:D,전체리스트!A:A,B6,전체리스트!C:C,D6)</f>
        <v>10200</v>
      </c>
      <c r="F6" s="26">
        <f>E6-G6</f>
        <v>3060</v>
      </c>
      <c r="G6" s="27">
        <f>SUMIFS(전체리스트!E:E,전체리스트!A:A,B6,전체리스트!C:C,D6)</f>
        <v>7140</v>
      </c>
      <c r="H6" s="25">
        <f>G6*0.05</f>
        <v>357</v>
      </c>
      <c r="I6" s="28">
        <f t="shared" ref="I6:I8" si="1">G6-H6</f>
        <v>6783</v>
      </c>
      <c r="J6" s="24"/>
    </row>
    <row r="7" spans="2:10">
      <c r="B7" s="24" t="s">
        <v>117</v>
      </c>
      <c r="C7" s="55" t="str">
        <f t="shared" si="0"/>
        <v>11월분</v>
      </c>
      <c r="D7" s="55" t="s">
        <v>497</v>
      </c>
      <c r="E7" s="25">
        <f>SUMIFS(전체리스트!D:D,전체리스트!A:A,B7,전체리스트!C:C,D7)</f>
        <v>1000</v>
      </c>
      <c r="F7" s="26">
        <f t="shared" ref="F7:F8" si="2">E7-G7</f>
        <v>300</v>
      </c>
      <c r="G7" s="27">
        <f>SUMIFS(전체리스트!E:E,전체리스트!A:A,B7,전체리스트!C:C,D7)</f>
        <v>700</v>
      </c>
      <c r="H7" s="25">
        <f t="shared" ref="H7:H8" si="3">G7*0.05</f>
        <v>35</v>
      </c>
      <c r="I7" s="28">
        <f t="shared" si="1"/>
        <v>665</v>
      </c>
      <c r="J7" s="24"/>
    </row>
    <row r="8" spans="2:10">
      <c r="B8" s="24" t="s">
        <v>117</v>
      </c>
      <c r="C8" s="55" t="str">
        <f t="shared" si="0"/>
        <v>11월분</v>
      </c>
      <c r="D8" s="55" t="s">
        <v>12</v>
      </c>
      <c r="E8" s="25">
        <f>SUMIFS(전체리스트!D:D,전체리스트!A:A,B8,전체리스트!C:C,D8)</f>
        <v>1600</v>
      </c>
      <c r="F8" s="26">
        <f t="shared" si="2"/>
        <v>480</v>
      </c>
      <c r="G8" s="27">
        <f>SUMIFS(전체리스트!E:E,전체리스트!A:A,B8,전체리스트!C:C,D8)</f>
        <v>1120</v>
      </c>
      <c r="H8" s="25">
        <f t="shared" si="3"/>
        <v>56</v>
      </c>
      <c r="I8" s="28">
        <f t="shared" si="1"/>
        <v>1064</v>
      </c>
      <c r="J8" s="24"/>
    </row>
    <row r="9" spans="2:10">
      <c r="B9" s="24" t="s">
        <v>117</v>
      </c>
      <c r="C9" s="55" t="str">
        <f t="shared" ref="C9" si="4">VLOOKUP(B9,raw_a,2,0)</f>
        <v>11월분</v>
      </c>
      <c r="D9" s="55" t="s">
        <v>90</v>
      </c>
      <c r="E9" s="25">
        <f>SUMIFS(전체리스트!D:D,전체리스트!A:A,B9,전체리스트!C:C,D9)</f>
        <v>45600</v>
      </c>
      <c r="F9" s="26">
        <f t="shared" ref="F9" si="5">E9-G9</f>
        <v>13680</v>
      </c>
      <c r="G9" s="27">
        <f>SUMIFS(전체리스트!E:E,전체리스트!A:A,B9,전체리스트!C:C,D9)</f>
        <v>31920</v>
      </c>
      <c r="H9" s="25">
        <f t="shared" ref="H9" si="6">G9*0.05</f>
        <v>1596</v>
      </c>
      <c r="I9" s="28">
        <f t="shared" ref="I9" si="7">G9-H9</f>
        <v>30324</v>
      </c>
      <c r="J9" s="24"/>
    </row>
    <row r="10" spans="2:10">
      <c r="B10" s="24" t="s">
        <v>117</v>
      </c>
      <c r="C10" s="55" t="str">
        <f t="shared" ref="C10:C12" si="8">VLOOKUP(B10,raw_a,2,0)</f>
        <v>11월분</v>
      </c>
      <c r="D10" s="55" t="s">
        <v>80</v>
      </c>
      <c r="E10" s="25">
        <f>SUMIFS(전체리스트!D:D,전체리스트!A:A,B10,전체리스트!C:C,D10)</f>
        <v>2400</v>
      </c>
      <c r="F10" s="26">
        <f t="shared" ref="F10:F12" si="9">E10-G10</f>
        <v>720</v>
      </c>
      <c r="G10" s="27">
        <f>SUMIFS(전체리스트!E:E,전체리스트!A:A,B10,전체리스트!C:C,D10)</f>
        <v>1680</v>
      </c>
      <c r="H10" s="25">
        <f t="shared" ref="H10:H12" si="10">G10*0.05</f>
        <v>84</v>
      </c>
      <c r="I10" s="28">
        <f t="shared" ref="I10:I12" si="11">G10-H10</f>
        <v>1596</v>
      </c>
      <c r="J10" s="24"/>
    </row>
    <row r="11" spans="2:10">
      <c r="B11" s="24" t="s">
        <v>117</v>
      </c>
      <c r="C11" s="55" t="str">
        <f t="shared" si="8"/>
        <v>11월분</v>
      </c>
      <c r="D11" s="55" t="s">
        <v>18</v>
      </c>
      <c r="E11" s="25">
        <f>SUMIFS(전체리스트!D:D,전체리스트!A:A,B11,전체리스트!C:C,D11)</f>
        <v>1500</v>
      </c>
      <c r="F11" s="26">
        <f t="shared" si="9"/>
        <v>450</v>
      </c>
      <c r="G11" s="27">
        <f>SUMIFS(전체리스트!E:E,전체리스트!A:A,B11,전체리스트!C:C,D11)</f>
        <v>1050</v>
      </c>
      <c r="H11" s="25">
        <f t="shared" si="10"/>
        <v>52.5</v>
      </c>
      <c r="I11" s="28">
        <f t="shared" si="11"/>
        <v>997.5</v>
      </c>
      <c r="J11" s="24"/>
    </row>
    <row r="12" spans="2:10">
      <c r="B12" s="24" t="s">
        <v>117</v>
      </c>
      <c r="C12" s="55" t="str">
        <f t="shared" si="8"/>
        <v>11월분</v>
      </c>
      <c r="D12" s="55" t="s">
        <v>16</v>
      </c>
      <c r="E12" s="25">
        <f>SUMIFS(전체리스트!D:D,전체리스트!A:A,B12,전체리스트!C:C,D12)</f>
        <v>400</v>
      </c>
      <c r="F12" s="26">
        <f t="shared" si="9"/>
        <v>120</v>
      </c>
      <c r="G12" s="27">
        <f>SUMIFS(전체리스트!E:E,전체리스트!A:A,B12,전체리스트!C:C,D12)</f>
        <v>280</v>
      </c>
      <c r="H12" s="25">
        <f t="shared" si="10"/>
        <v>14</v>
      </c>
      <c r="I12" s="28">
        <f t="shared" si="11"/>
        <v>266</v>
      </c>
      <c r="J12" s="24"/>
    </row>
    <row r="13" spans="2:10">
      <c r="B13" s="24" t="s">
        <v>117</v>
      </c>
      <c r="C13" s="55" t="str">
        <f t="shared" ref="C13:C17" si="12">VLOOKUP(B13,raw_a,2,0)</f>
        <v>11월분</v>
      </c>
      <c r="D13" s="55" t="s">
        <v>9</v>
      </c>
      <c r="E13" s="25">
        <f>SUMIFS(전체리스트!D:D,전체리스트!A:A,B13,전체리스트!C:C,D13)</f>
        <v>600</v>
      </c>
      <c r="F13" s="26">
        <f t="shared" ref="F13:F17" si="13">E13-G13</f>
        <v>180</v>
      </c>
      <c r="G13" s="27">
        <f>SUMIFS(전체리스트!E:E,전체리스트!A:A,B13,전체리스트!C:C,D13)</f>
        <v>420</v>
      </c>
      <c r="H13" s="25">
        <f t="shared" ref="H13:H17" si="14">G13*0.05</f>
        <v>21</v>
      </c>
      <c r="I13" s="28">
        <f t="shared" ref="I13:I17" si="15">G13-H13</f>
        <v>399</v>
      </c>
      <c r="J13" s="24"/>
    </row>
    <row r="14" spans="2:10">
      <c r="B14" s="24" t="s">
        <v>117</v>
      </c>
      <c r="C14" s="55" t="str">
        <f t="shared" si="12"/>
        <v>11월분</v>
      </c>
      <c r="D14" s="55" t="s">
        <v>10</v>
      </c>
      <c r="E14" s="25">
        <f>SUMIFS(전체리스트!D:D,전체리스트!A:A,B14,전체리스트!C:C,D14)</f>
        <v>400</v>
      </c>
      <c r="F14" s="26">
        <f t="shared" si="13"/>
        <v>120</v>
      </c>
      <c r="G14" s="27">
        <f>SUMIFS(전체리스트!E:E,전체리스트!A:A,B14,전체리스트!C:C,D14)</f>
        <v>280</v>
      </c>
      <c r="H14" s="25">
        <f t="shared" si="14"/>
        <v>14</v>
      </c>
      <c r="I14" s="28">
        <f t="shared" si="15"/>
        <v>266</v>
      </c>
      <c r="J14" s="24"/>
    </row>
    <row r="15" spans="2:10">
      <c r="B15" s="24" t="s">
        <v>117</v>
      </c>
      <c r="C15" s="55" t="str">
        <f t="shared" si="12"/>
        <v>11월분</v>
      </c>
      <c r="D15" s="55" t="s">
        <v>14</v>
      </c>
      <c r="E15" s="25">
        <f>SUMIFS(전체리스트!D:D,전체리스트!A:A,B15,전체리스트!C:C,D15)</f>
        <v>1000</v>
      </c>
      <c r="F15" s="26">
        <f t="shared" si="13"/>
        <v>300</v>
      </c>
      <c r="G15" s="27">
        <f>SUMIFS(전체리스트!E:E,전체리스트!A:A,B15,전체리스트!C:C,D15)</f>
        <v>700</v>
      </c>
      <c r="H15" s="25">
        <f t="shared" si="14"/>
        <v>35</v>
      </c>
      <c r="I15" s="28">
        <f t="shared" si="15"/>
        <v>665</v>
      </c>
      <c r="J15" s="24"/>
    </row>
    <row r="16" spans="2:10">
      <c r="B16" s="24" t="s">
        <v>117</v>
      </c>
      <c r="C16" s="55" t="str">
        <f t="shared" si="12"/>
        <v>11월분</v>
      </c>
      <c r="D16" s="55" t="s">
        <v>8</v>
      </c>
      <c r="E16" s="25">
        <f>SUMIFS(전체리스트!D:D,전체리스트!A:A,B16,전체리스트!C:C,D16)</f>
        <v>400</v>
      </c>
      <c r="F16" s="26">
        <f t="shared" si="13"/>
        <v>120</v>
      </c>
      <c r="G16" s="27">
        <f>SUMIFS(전체리스트!E:E,전체리스트!A:A,B16,전체리스트!C:C,D16)</f>
        <v>280</v>
      </c>
      <c r="H16" s="25">
        <f t="shared" si="14"/>
        <v>14</v>
      </c>
      <c r="I16" s="28">
        <f t="shared" si="15"/>
        <v>266</v>
      </c>
      <c r="J16" s="24"/>
    </row>
    <row r="17" spans="2:10">
      <c r="B17" s="24" t="s">
        <v>117</v>
      </c>
      <c r="C17" s="55" t="str">
        <f t="shared" si="12"/>
        <v>11월분</v>
      </c>
      <c r="D17" s="55" t="s">
        <v>36</v>
      </c>
      <c r="E17" s="25">
        <f>SUMIFS(전체리스트!D:D,전체리스트!A:A,B17,전체리스트!C:C,D17)</f>
        <v>200</v>
      </c>
      <c r="F17" s="26">
        <f t="shared" si="13"/>
        <v>60</v>
      </c>
      <c r="G17" s="27">
        <f>SUMIFS(전체리스트!E:E,전체리스트!A:A,B17,전체리스트!C:C,D17)</f>
        <v>140</v>
      </c>
      <c r="H17" s="25">
        <f t="shared" si="14"/>
        <v>7</v>
      </c>
      <c r="I17" s="28">
        <f t="shared" si="15"/>
        <v>133</v>
      </c>
      <c r="J17" s="24"/>
    </row>
    <row r="18" spans="2:10">
      <c r="B18" s="29" t="s">
        <v>322</v>
      </c>
      <c r="C18" s="29"/>
      <c r="D18" s="30"/>
      <c r="E18" s="31">
        <f t="shared" ref="E18:J18" si="16">SUM(E6:E17)</f>
        <v>65300</v>
      </c>
      <c r="F18" s="31">
        <f t="shared" si="16"/>
        <v>19590</v>
      </c>
      <c r="G18" s="31">
        <f t="shared" si="16"/>
        <v>45710</v>
      </c>
      <c r="H18" s="31">
        <f t="shared" si="16"/>
        <v>2285.5</v>
      </c>
      <c r="I18" s="31">
        <f t="shared" si="16"/>
        <v>43424.5</v>
      </c>
      <c r="J18" s="31">
        <f t="shared" si="1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B4:J39"/>
  <sheetViews>
    <sheetView topLeftCell="A22" workbookViewId="0">
      <selection activeCell="N40" sqref="N40"/>
    </sheetView>
  </sheetViews>
  <sheetFormatPr defaultRowHeight="17.399999999999999"/>
  <cols>
    <col min="2" max="2" width="15.0976562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206</v>
      </c>
      <c r="C6" s="55" t="str">
        <f t="shared" ref="C6:C17" si="0">VLOOKUP(B6,raw_a,2,0)</f>
        <v>12월분</v>
      </c>
      <c r="D6" s="24" t="s">
        <v>62</v>
      </c>
      <c r="E6" s="25">
        <f>SUMIFS(전체리스트!D:D,전체리스트!A:A,B6,전체리스트!C:C,D6)</f>
        <v>9540</v>
      </c>
      <c r="F6" s="26">
        <f t="shared" ref="F6:F13" si="1">E6-G6</f>
        <v>3816</v>
      </c>
      <c r="G6" s="27">
        <f>SUMIFS(전체리스트!E:E,전체리스트!A:A,B6,전체리스트!C:C,D6)</f>
        <v>5724</v>
      </c>
      <c r="H6" s="25">
        <f>G6*0.05</f>
        <v>286.2</v>
      </c>
      <c r="I6" s="28">
        <f>G6-H6</f>
        <v>5437.8</v>
      </c>
      <c r="J6" s="24"/>
    </row>
    <row r="7" spans="2:10">
      <c r="B7" s="24" t="s">
        <v>206</v>
      </c>
      <c r="C7" s="55" t="str">
        <f t="shared" si="0"/>
        <v>12월분</v>
      </c>
      <c r="D7" s="24" t="s">
        <v>96</v>
      </c>
      <c r="E7" s="25">
        <f>SUMIFS(전체리스트!D:D,전체리스트!A:A,B7,전체리스트!C:C,D7)</f>
        <v>14040</v>
      </c>
      <c r="F7" s="26">
        <f t="shared" si="1"/>
        <v>5616</v>
      </c>
      <c r="G7" s="27">
        <f>SUMIFS(전체리스트!E:E,전체리스트!A:A,B7,전체리스트!C:C,D7)</f>
        <v>8424</v>
      </c>
      <c r="H7" s="25">
        <f t="shared" ref="H7:H31" si="2">G7*0.05</f>
        <v>421.20000000000005</v>
      </c>
      <c r="I7" s="28">
        <f t="shared" ref="I7:I13" si="3">G7-H7</f>
        <v>8002.8</v>
      </c>
      <c r="J7" s="24"/>
    </row>
    <row r="8" spans="2:10">
      <c r="B8" s="24" t="s">
        <v>206</v>
      </c>
      <c r="C8" s="55" t="str">
        <f t="shared" si="0"/>
        <v>12월분</v>
      </c>
      <c r="D8" s="24" t="s">
        <v>207</v>
      </c>
      <c r="E8" s="25">
        <f>SUMIFS(전체리스트!D:D,전체리스트!A:A,B8,전체리스트!C:C,D8)</f>
        <v>3510</v>
      </c>
      <c r="F8" s="26">
        <f t="shared" si="1"/>
        <v>1404</v>
      </c>
      <c r="G8" s="27">
        <f>SUMIFS(전체리스트!E:E,전체리스트!A:A,B8,전체리스트!C:C,D8)</f>
        <v>2106</v>
      </c>
      <c r="H8" s="25">
        <f t="shared" si="2"/>
        <v>105.30000000000001</v>
      </c>
      <c r="I8" s="28">
        <f t="shared" si="3"/>
        <v>2000.7</v>
      </c>
      <c r="J8" s="24"/>
    </row>
    <row r="9" spans="2:10">
      <c r="B9" s="24" t="s">
        <v>206</v>
      </c>
      <c r="C9" s="55" t="str">
        <f t="shared" si="0"/>
        <v>12월분</v>
      </c>
      <c r="D9" s="24" t="s">
        <v>208</v>
      </c>
      <c r="E9" s="25">
        <f>SUMIFS(전체리스트!D:D,전체리스트!A:A,B9,전체리스트!C:C,D9)</f>
        <v>9720</v>
      </c>
      <c r="F9" s="26">
        <f t="shared" si="1"/>
        <v>3888</v>
      </c>
      <c r="G9" s="27">
        <f>SUMIFS(전체리스트!E:E,전체리스트!A:A,B9,전체리스트!C:C,D9)</f>
        <v>5832</v>
      </c>
      <c r="H9" s="25">
        <f t="shared" si="2"/>
        <v>291.60000000000002</v>
      </c>
      <c r="I9" s="28">
        <f t="shared" si="3"/>
        <v>5540.4</v>
      </c>
      <c r="J9" s="24"/>
    </row>
    <row r="10" spans="2:10">
      <c r="B10" s="24" t="s">
        <v>206</v>
      </c>
      <c r="C10" s="55" t="str">
        <f t="shared" si="0"/>
        <v>12월분</v>
      </c>
      <c r="D10" s="24" t="s">
        <v>61</v>
      </c>
      <c r="E10" s="25">
        <f>SUMIFS(전체리스트!D:D,전체리스트!A:A,B10,전체리스트!C:C,D10)</f>
        <v>19620</v>
      </c>
      <c r="F10" s="26">
        <f t="shared" si="1"/>
        <v>7848</v>
      </c>
      <c r="G10" s="27">
        <f>SUMIFS(전체리스트!E:E,전체리스트!A:A,B10,전체리스트!C:C,D10)</f>
        <v>11772</v>
      </c>
      <c r="H10" s="25">
        <f t="shared" si="2"/>
        <v>588.6</v>
      </c>
      <c r="I10" s="28">
        <f t="shared" si="3"/>
        <v>11183.4</v>
      </c>
      <c r="J10" s="24"/>
    </row>
    <row r="11" spans="2:10">
      <c r="B11" s="24" t="s">
        <v>206</v>
      </c>
      <c r="C11" s="55" t="str">
        <f t="shared" si="0"/>
        <v>12월분</v>
      </c>
      <c r="D11" s="24" t="s">
        <v>209</v>
      </c>
      <c r="E11" s="25">
        <f>SUMIFS(전체리스트!D:D,전체리스트!A:A,B11,전체리스트!C:C,D11)</f>
        <v>22140</v>
      </c>
      <c r="F11" s="26">
        <f t="shared" si="1"/>
        <v>8856</v>
      </c>
      <c r="G11" s="27">
        <f>SUMIFS(전체리스트!E:E,전체리스트!A:A,B11,전체리스트!C:C,D11)</f>
        <v>13284</v>
      </c>
      <c r="H11" s="25">
        <f t="shared" si="2"/>
        <v>664.2</v>
      </c>
      <c r="I11" s="28">
        <f t="shared" si="3"/>
        <v>12619.8</v>
      </c>
      <c r="J11" s="24"/>
    </row>
    <row r="12" spans="2:10" ht="15.75" customHeight="1">
      <c r="B12" s="24" t="s">
        <v>206</v>
      </c>
      <c r="C12" s="55" t="str">
        <f t="shared" si="0"/>
        <v>12월분</v>
      </c>
      <c r="D12" s="24" t="s">
        <v>210</v>
      </c>
      <c r="E12" s="25">
        <f>SUMIFS(전체리스트!D:D,전체리스트!A:A,B12,전체리스트!C:C,D12)</f>
        <v>540</v>
      </c>
      <c r="F12" s="26">
        <f t="shared" si="1"/>
        <v>216</v>
      </c>
      <c r="G12" s="27">
        <f>SUMIFS(전체리스트!E:E,전체리스트!A:A,B12,전체리스트!C:C,D12)</f>
        <v>324</v>
      </c>
      <c r="H12" s="25">
        <f t="shared" si="2"/>
        <v>16.2</v>
      </c>
      <c r="I12" s="28">
        <f t="shared" si="3"/>
        <v>307.8</v>
      </c>
      <c r="J12" s="24"/>
    </row>
    <row r="13" spans="2:10">
      <c r="B13" s="24" t="s">
        <v>206</v>
      </c>
      <c r="C13" s="55" t="str">
        <f t="shared" si="0"/>
        <v>12월분</v>
      </c>
      <c r="D13" s="24" t="s">
        <v>21</v>
      </c>
      <c r="E13" s="25">
        <f>SUMIFS(전체리스트!D:D,전체리스트!A:A,B13,전체리스트!C:C,D13)</f>
        <v>16380</v>
      </c>
      <c r="F13" s="26">
        <f t="shared" si="1"/>
        <v>6552</v>
      </c>
      <c r="G13" s="27">
        <f>SUMIFS(전체리스트!E:E,전체리스트!A:A,B13,전체리스트!C:C,D13)</f>
        <v>9828</v>
      </c>
      <c r="H13" s="25">
        <f t="shared" si="2"/>
        <v>491.40000000000003</v>
      </c>
      <c r="I13" s="28">
        <f t="shared" si="3"/>
        <v>9336.6</v>
      </c>
      <c r="J13" s="24"/>
    </row>
    <row r="14" spans="2:10">
      <c r="B14" s="24" t="s">
        <v>206</v>
      </c>
      <c r="C14" s="55" t="str">
        <f t="shared" si="0"/>
        <v>12월분</v>
      </c>
      <c r="D14" s="24" t="s">
        <v>22</v>
      </c>
      <c r="E14" s="25">
        <f>SUMIFS(전체리스트!D:D,전체리스트!A:A,B14,전체리스트!C:C,D14)</f>
        <v>349020</v>
      </c>
      <c r="F14" s="26">
        <f t="shared" ref="F14:F15" si="4">E14-G14</f>
        <v>139608</v>
      </c>
      <c r="G14" s="27">
        <f>SUMIFS(전체리스트!E:E,전체리스트!A:A,B14,전체리스트!C:C,D14)</f>
        <v>209412</v>
      </c>
      <c r="H14" s="25">
        <f t="shared" si="2"/>
        <v>10470.6</v>
      </c>
      <c r="I14" s="28">
        <f t="shared" ref="I14:I15" si="5">G14-H14</f>
        <v>198941.4</v>
      </c>
      <c r="J14" s="24"/>
    </row>
    <row r="15" spans="2:10" ht="15.75" customHeight="1">
      <c r="B15" s="24" t="s">
        <v>206</v>
      </c>
      <c r="C15" s="55" t="str">
        <f t="shared" si="0"/>
        <v>12월분</v>
      </c>
      <c r="D15" s="24" t="s">
        <v>12</v>
      </c>
      <c r="E15" s="25">
        <f>SUMIFS(전체리스트!D:D,전체리스트!A:A,B15,전체리스트!C:C,D15)</f>
        <v>30240</v>
      </c>
      <c r="F15" s="26">
        <f t="shared" si="4"/>
        <v>12096</v>
      </c>
      <c r="G15" s="27">
        <f>SUMIFS(전체리스트!E:E,전체리스트!A:A,B15,전체리스트!C:C,D15)</f>
        <v>18144</v>
      </c>
      <c r="H15" s="25">
        <f t="shared" si="2"/>
        <v>907.2</v>
      </c>
      <c r="I15" s="28">
        <f t="shared" si="5"/>
        <v>17236.8</v>
      </c>
      <c r="J15" s="24"/>
    </row>
    <row r="16" spans="2:10">
      <c r="B16" s="24" t="s">
        <v>206</v>
      </c>
      <c r="C16" s="55" t="str">
        <f t="shared" si="0"/>
        <v>12월분</v>
      </c>
      <c r="D16" s="24" t="s">
        <v>90</v>
      </c>
      <c r="E16" s="25">
        <f>SUMIFS(전체리스트!D:D,전체리스트!A:A,B16,전체리스트!C:C,D16)</f>
        <v>194490</v>
      </c>
      <c r="F16" s="26">
        <f t="shared" ref="F16:F17" si="6">E16-G16</f>
        <v>77796</v>
      </c>
      <c r="G16" s="27">
        <f>SUMIFS(전체리스트!E:E,전체리스트!A:A,B16,전체리스트!C:C,D16)</f>
        <v>116694</v>
      </c>
      <c r="H16" s="25">
        <f t="shared" si="2"/>
        <v>5834.7000000000007</v>
      </c>
      <c r="I16" s="28">
        <f t="shared" ref="I16:I17" si="7">G16-H16</f>
        <v>110859.3</v>
      </c>
      <c r="J16" s="24"/>
    </row>
    <row r="17" spans="2:10">
      <c r="B17" s="24" t="s">
        <v>206</v>
      </c>
      <c r="C17" s="55" t="str">
        <f t="shared" si="0"/>
        <v>12월분</v>
      </c>
      <c r="D17" s="24" t="s">
        <v>29</v>
      </c>
      <c r="E17" s="25">
        <f>SUMIFS(전체리스트!D:D,전체리스트!A:A,B17,전체리스트!C:C,D17)</f>
        <v>53280</v>
      </c>
      <c r="F17" s="26">
        <f t="shared" si="6"/>
        <v>21312</v>
      </c>
      <c r="G17" s="27">
        <f>SUMIFS(전체리스트!E:E,전체리스트!A:A,B17,전체리스트!C:C,D17)</f>
        <v>31968</v>
      </c>
      <c r="H17" s="25">
        <f t="shared" si="2"/>
        <v>1598.4</v>
      </c>
      <c r="I17" s="28">
        <f t="shared" si="7"/>
        <v>30369.599999999999</v>
      </c>
      <c r="J17" s="24"/>
    </row>
    <row r="18" spans="2:10">
      <c r="B18" s="24" t="s">
        <v>206</v>
      </c>
      <c r="C18" s="55" t="str">
        <f t="shared" ref="C18:C25" si="8">VLOOKUP(B18,raw_a,2,0)</f>
        <v>12월분</v>
      </c>
      <c r="D18" s="24" t="s">
        <v>211</v>
      </c>
      <c r="E18" s="25">
        <f>SUMIFS(전체리스트!D:D,전체리스트!A:A,B18,전체리스트!C:C,D18)</f>
        <v>19080</v>
      </c>
      <c r="F18" s="26">
        <f t="shared" ref="F18:F25" si="9">E18-G18</f>
        <v>7632</v>
      </c>
      <c r="G18" s="27">
        <f>SUMIFS(전체리스트!E:E,전체리스트!A:A,B18,전체리스트!C:C,D18)</f>
        <v>11448</v>
      </c>
      <c r="H18" s="25">
        <f t="shared" ref="H18:H25" si="10">G18*0.05</f>
        <v>572.4</v>
      </c>
      <c r="I18" s="28">
        <f t="shared" ref="I18:I25" si="11">G18-H18</f>
        <v>10875.6</v>
      </c>
      <c r="J18" s="24"/>
    </row>
    <row r="19" spans="2:10">
      <c r="B19" s="24" t="s">
        <v>206</v>
      </c>
      <c r="C19" s="55" t="str">
        <f t="shared" si="8"/>
        <v>12월분</v>
      </c>
      <c r="D19" s="24" t="s">
        <v>23</v>
      </c>
      <c r="E19" s="25">
        <f>SUMIFS(전체리스트!D:D,전체리스트!A:A,B19,전체리스트!C:C,D19)</f>
        <v>180</v>
      </c>
      <c r="F19" s="26">
        <f t="shared" si="9"/>
        <v>72</v>
      </c>
      <c r="G19" s="27">
        <f>SUMIFS(전체리스트!E:E,전체리스트!A:A,B19,전체리스트!C:C,D19)</f>
        <v>108</v>
      </c>
      <c r="H19" s="25">
        <f t="shared" si="10"/>
        <v>5.4</v>
      </c>
      <c r="I19" s="28">
        <f t="shared" si="11"/>
        <v>102.6</v>
      </c>
      <c r="J19" s="24"/>
    </row>
    <row r="20" spans="2:10">
      <c r="B20" s="24" t="s">
        <v>206</v>
      </c>
      <c r="C20" s="55" t="str">
        <f t="shared" si="8"/>
        <v>12월분</v>
      </c>
      <c r="D20" s="24" t="s">
        <v>10</v>
      </c>
      <c r="E20" s="25">
        <f>SUMIFS(전체리스트!D:D,전체리스트!A:A,B20,전체리스트!C:C,D20)</f>
        <v>1800</v>
      </c>
      <c r="F20" s="26">
        <f t="shared" si="9"/>
        <v>720</v>
      </c>
      <c r="G20" s="27">
        <f>SUMIFS(전체리스트!E:E,전체리스트!A:A,B20,전체리스트!C:C,D20)</f>
        <v>1080</v>
      </c>
      <c r="H20" s="25">
        <f t="shared" si="10"/>
        <v>54</v>
      </c>
      <c r="I20" s="28">
        <f t="shared" si="11"/>
        <v>1026</v>
      </c>
      <c r="J20" s="24"/>
    </row>
    <row r="21" spans="2:10">
      <c r="B21" s="24" t="s">
        <v>206</v>
      </c>
      <c r="C21" s="55" t="str">
        <f t="shared" si="8"/>
        <v>12월분</v>
      </c>
      <c r="D21" s="24" t="s">
        <v>114</v>
      </c>
      <c r="E21" s="25">
        <f>SUMIFS(전체리스트!D:D,전체리스트!A:A,B21,전체리스트!C:C,D21)</f>
        <v>30330</v>
      </c>
      <c r="F21" s="26">
        <f t="shared" si="9"/>
        <v>12132</v>
      </c>
      <c r="G21" s="27">
        <f>SUMIFS(전체리스트!E:E,전체리스트!A:A,B21,전체리스트!C:C,D21)</f>
        <v>18198</v>
      </c>
      <c r="H21" s="25">
        <f t="shared" si="10"/>
        <v>909.90000000000009</v>
      </c>
      <c r="I21" s="28">
        <f t="shared" si="11"/>
        <v>17288.099999999999</v>
      </c>
      <c r="J21" s="24"/>
    </row>
    <row r="22" spans="2:10">
      <c r="B22" s="24" t="s">
        <v>206</v>
      </c>
      <c r="C22" s="55" t="str">
        <f t="shared" si="8"/>
        <v>12월분</v>
      </c>
      <c r="D22" s="24" t="s">
        <v>9</v>
      </c>
      <c r="E22" s="25">
        <f>SUMIFS(전체리스트!D:D,전체리스트!A:A,B22,전체리스트!C:C,D22)</f>
        <v>55890</v>
      </c>
      <c r="F22" s="26">
        <f t="shared" si="9"/>
        <v>22356</v>
      </c>
      <c r="G22" s="27">
        <f>SUMIFS(전체리스트!E:E,전체리스트!A:A,B22,전체리스트!C:C,D22)</f>
        <v>33534</v>
      </c>
      <c r="H22" s="25">
        <f t="shared" si="10"/>
        <v>1676.7</v>
      </c>
      <c r="I22" s="28">
        <f t="shared" si="11"/>
        <v>31857.3</v>
      </c>
      <c r="J22" s="24"/>
    </row>
    <row r="23" spans="2:10">
      <c r="B23" s="24" t="s">
        <v>206</v>
      </c>
      <c r="C23" s="55" t="str">
        <f t="shared" si="8"/>
        <v>12월분</v>
      </c>
      <c r="D23" s="24" t="s">
        <v>212</v>
      </c>
      <c r="E23" s="25">
        <f>SUMIFS(전체리스트!D:D,전체리스트!A:A,B23,전체리스트!C:C,D23)</f>
        <v>18180</v>
      </c>
      <c r="F23" s="26">
        <f t="shared" si="9"/>
        <v>7272</v>
      </c>
      <c r="G23" s="27">
        <f>SUMIFS(전체리스트!E:E,전체리스트!A:A,B23,전체리스트!C:C,D23)</f>
        <v>10908</v>
      </c>
      <c r="H23" s="25">
        <f t="shared" si="10"/>
        <v>545.4</v>
      </c>
      <c r="I23" s="28">
        <f t="shared" si="11"/>
        <v>10362.6</v>
      </c>
      <c r="J23" s="24"/>
    </row>
    <row r="24" spans="2:10">
      <c r="B24" s="24" t="s">
        <v>206</v>
      </c>
      <c r="C24" s="55" t="str">
        <f t="shared" si="8"/>
        <v>12월분</v>
      </c>
      <c r="D24" s="24" t="s">
        <v>36</v>
      </c>
      <c r="E24" s="25">
        <f>SUMIFS(전체리스트!D:D,전체리스트!A:A,B24,전체리스트!C:C,D24)</f>
        <v>21060</v>
      </c>
      <c r="F24" s="26">
        <f t="shared" si="9"/>
        <v>8424</v>
      </c>
      <c r="G24" s="27">
        <f>SUMIFS(전체리스트!E:E,전체리스트!A:A,B24,전체리스트!C:C,D24)</f>
        <v>12636</v>
      </c>
      <c r="H24" s="25">
        <f t="shared" si="10"/>
        <v>631.80000000000007</v>
      </c>
      <c r="I24" s="28">
        <f t="shared" si="11"/>
        <v>12004.2</v>
      </c>
      <c r="J24" s="24"/>
    </row>
    <row r="25" spans="2:10">
      <c r="B25" s="24" t="s">
        <v>206</v>
      </c>
      <c r="C25" s="55" t="str">
        <f t="shared" si="8"/>
        <v>12월분</v>
      </c>
      <c r="D25" s="24" t="s">
        <v>70</v>
      </c>
      <c r="E25" s="25">
        <f>SUMIFS(전체리스트!D:D,전체리스트!A:A,B25,전체리스트!C:C,D25)</f>
        <v>3060</v>
      </c>
      <c r="F25" s="26">
        <f t="shared" si="9"/>
        <v>1224</v>
      </c>
      <c r="G25" s="27">
        <f>SUMIFS(전체리스트!E:E,전체리스트!A:A,B25,전체리스트!C:C,D25)</f>
        <v>1836</v>
      </c>
      <c r="H25" s="25">
        <f t="shared" si="10"/>
        <v>91.800000000000011</v>
      </c>
      <c r="I25" s="28">
        <f t="shared" si="11"/>
        <v>1744.2</v>
      </c>
      <c r="J25" s="24"/>
    </row>
    <row r="26" spans="2:10">
      <c r="B26" s="24" t="s">
        <v>206</v>
      </c>
      <c r="C26" s="55" t="str">
        <f t="shared" ref="C26:C31" si="12">VLOOKUP(B26,raw_a,2,0)</f>
        <v>12월분</v>
      </c>
      <c r="D26" s="24" t="s">
        <v>8</v>
      </c>
      <c r="E26" s="25">
        <f>SUMIFS(전체리스트!D:D,전체리스트!A:A,B26,전체리스트!C:C,D26)</f>
        <v>46080</v>
      </c>
      <c r="F26" s="26">
        <f t="shared" ref="F26:F31" si="13">E26-G26</f>
        <v>18432</v>
      </c>
      <c r="G26" s="27">
        <f>SUMIFS(전체리스트!E:E,전체리스트!A:A,B26,전체리스트!C:C,D26)</f>
        <v>27648</v>
      </c>
      <c r="H26" s="25">
        <f t="shared" si="2"/>
        <v>1382.4</v>
      </c>
      <c r="I26" s="28">
        <f t="shared" ref="I26:I31" si="14">G26-H26</f>
        <v>26265.599999999999</v>
      </c>
      <c r="J26" s="24"/>
    </row>
    <row r="27" spans="2:10">
      <c r="B27" s="24" t="s">
        <v>206</v>
      </c>
      <c r="C27" s="55" t="str">
        <f t="shared" si="12"/>
        <v>12월분</v>
      </c>
      <c r="D27" s="24" t="s">
        <v>30</v>
      </c>
      <c r="E27" s="25">
        <f>SUMIFS(전체리스트!D:D,전체리스트!A:A,B27,전체리스트!C:C,D27)</f>
        <v>44100</v>
      </c>
      <c r="F27" s="26">
        <f t="shared" si="13"/>
        <v>17640</v>
      </c>
      <c r="G27" s="27">
        <f>SUMIFS(전체리스트!E:E,전체리스트!A:A,B27,전체리스트!C:C,D27)</f>
        <v>26460</v>
      </c>
      <c r="H27" s="25">
        <f t="shared" si="2"/>
        <v>1323</v>
      </c>
      <c r="I27" s="28">
        <f t="shared" si="14"/>
        <v>25137</v>
      </c>
      <c r="J27" s="24"/>
    </row>
    <row r="28" spans="2:10">
      <c r="B28" s="24" t="s">
        <v>206</v>
      </c>
      <c r="C28" s="55" t="str">
        <f t="shared" si="12"/>
        <v>12월분</v>
      </c>
      <c r="D28" s="24" t="s">
        <v>11</v>
      </c>
      <c r="E28" s="25">
        <f>SUMIFS(전체리스트!D:D,전체리스트!A:A,B28,전체리스트!C:C,D28)</f>
        <v>20520</v>
      </c>
      <c r="F28" s="26">
        <f t="shared" si="13"/>
        <v>8208</v>
      </c>
      <c r="G28" s="27">
        <f>SUMIFS(전체리스트!E:E,전체리스트!A:A,B28,전체리스트!C:C,D28)</f>
        <v>12312</v>
      </c>
      <c r="H28" s="25">
        <f t="shared" si="2"/>
        <v>615.6</v>
      </c>
      <c r="I28" s="28">
        <f t="shared" si="14"/>
        <v>11696.4</v>
      </c>
      <c r="J28" s="24"/>
    </row>
    <row r="29" spans="2:10">
      <c r="B29" s="24" t="s">
        <v>206</v>
      </c>
      <c r="C29" s="55" t="str">
        <f t="shared" si="12"/>
        <v>12월분</v>
      </c>
      <c r="D29" s="24" t="s">
        <v>13</v>
      </c>
      <c r="E29" s="25">
        <f>SUMIFS(전체리스트!D:D,전체리스트!A:A,B29,전체리스트!C:C,D29)</f>
        <v>117900</v>
      </c>
      <c r="F29" s="26">
        <f t="shared" si="13"/>
        <v>47160</v>
      </c>
      <c r="G29" s="27">
        <f>SUMIFS(전체리스트!E:E,전체리스트!A:A,B29,전체리스트!C:C,D29)</f>
        <v>70740</v>
      </c>
      <c r="H29" s="25">
        <f t="shared" si="2"/>
        <v>3537</v>
      </c>
      <c r="I29" s="28">
        <f t="shared" si="14"/>
        <v>67203</v>
      </c>
      <c r="J29" s="24"/>
    </row>
    <row r="30" spans="2:10">
      <c r="B30" s="24" t="s">
        <v>206</v>
      </c>
      <c r="C30" s="55" t="str">
        <f t="shared" si="12"/>
        <v>12월분</v>
      </c>
      <c r="D30" s="24" t="s">
        <v>53</v>
      </c>
      <c r="E30" s="25">
        <f>SUMIFS(전체리스트!D:D,전체리스트!A:A,B30,전체리스트!C:C,D30)</f>
        <v>13230</v>
      </c>
      <c r="F30" s="26">
        <f t="shared" si="13"/>
        <v>5292</v>
      </c>
      <c r="G30" s="27">
        <f>SUMIFS(전체리스트!E:E,전체리스트!A:A,B30,전체리스트!C:C,D30)</f>
        <v>7938</v>
      </c>
      <c r="H30" s="25">
        <f t="shared" si="2"/>
        <v>396.90000000000003</v>
      </c>
      <c r="I30" s="28">
        <f t="shared" si="14"/>
        <v>7541.1</v>
      </c>
      <c r="J30" s="24"/>
    </row>
    <row r="31" spans="2:10">
      <c r="B31" s="24" t="s">
        <v>206</v>
      </c>
      <c r="C31" s="55" t="str">
        <f t="shared" si="12"/>
        <v>12월분</v>
      </c>
      <c r="D31" s="24" t="s">
        <v>362</v>
      </c>
      <c r="E31" s="25">
        <f>SUMIFS(전체리스트!D:D,전체리스트!A:A,B31,전체리스트!C:C,D31)</f>
        <v>9990</v>
      </c>
      <c r="F31" s="26">
        <f t="shared" si="13"/>
        <v>3996</v>
      </c>
      <c r="G31" s="27">
        <f>SUMIFS(전체리스트!E:E,전체리스트!A:A,B31,전체리스트!C:C,D31)</f>
        <v>5994</v>
      </c>
      <c r="H31" s="25">
        <f t="shared" si="2"/>
        <v>299.7</v>
      </c>
      <c r="I31" s="28">
        <f t="shared" si="14"/>
        <v>5694.3</v>
      </c>
      <c r="J31" s="24"/>
    </row>
    <row r="32" spans="2:10">
      <c r="B32" s="24" t="s">
        <v>206</v>
      </c>
      <c r="C32" s="55" t="str">
        <f t="shared" ref="C32:C37" si="15">VLOOKUP(B32,raw_a,2,0)</f>
        <v>12월분</v>
      </c>
      <c r="D32" s="24" t="s">
        <v>356</v>
      </c>
      <c r="E32" s="25">
        <f>SUMIFS(전체리스트!D:D,전체리스트!A:A,B32,전체리스트!C:C,D32)</f>
        <v>810</v>
      </c>
      <c r="F32" s="26">
        <f t="shared" ref="F32:F37" si="16">E32-G32</f>
        <v>324</v>
      </c>
      <c r="G32" s="27">
        <f>SUMIFS(전체리스트!E:E,전체리스트!A:A,B32,전체리스트!C:C,D32)</f>
        <v>486</v>
      </c>
      <c r="H32" s="25">
        <f t="shared" ref="H32:H37" si="17">G32*0.05</f>
        <v>24.3</v>
      </c>
      <c r="I32" s="28">
        <f t="shared" ref="I32:I37" si="18">G32-H32</f>
        <v>461.7</v>
      </c>
      <c r="J32" s="24"/>
    </row>
    <row r="33" spans="2:10">
      <c r="B33" s="24" t="s">
        <v>206</v>
      </c>
      <c r="C33" s="55" t="str">
        <f t="shared" si="15"/>
        <v>12월분</v>
      </c>
      <c r="D33" s="24" t="s">
        <v>360</v>
      </c>
      <c r="E33" s="25">
        <f>SUMIFS(전체리스트!D:D,전체리스트!A:A,B33,전체리스트!C:C,D33)</f>
        <v>45900</v>
      </c>
      <c r="F33" s="26">
        <f t="shared" si="16"/>
        <v>18360</v>
      </c>
      <c r="G33" s="27">
        <f>SUMIFS(전체리스트!E:E,전체리스트!A:A,B33,전체리스트!C:C,D33)</f>
        <v>27540</v>
      </c>
      <c r="H33" s="25">
        <f t="shared" si="17"/>
        <v>1377</v>
      </c>
      <c r="I33" s="28">
        <f t="shared" si="18"/>
        <v>26163</v>
      </c>
      <c r="J33" s="24"/>
    </row>
    <row r="34" spans="2:10">
      <c r="B34" s="24" t="s">
        <v>206</v>
      </c>
      <c r="C34" s="55" t="str">
        <f t="shared" si="15"/>
        <v>12월분</v>
      </c>
      <c r="D34" s="24" t="s">
        <v>382</v>
      </c>
      <c r="E34" s="25">
        <f>SUMIFS(전체리스트!D:D,전체리스트!A:A,B34,전체리스트!C:C,D34)</f>
        <v>1620</v>
      </c>
      <c r="F34" s="26">
        <f t="shared" si="16"/>
        <v>648</v>
      </c>
      <c r="G34" s="27">
        <f>SUMIFS(전체리스트!E:E,전체리스트!A:A,B34,전체리스트!C:C,D34)</f>
        <v>972</v>
      </c>
      <c r="H34" s="25">
        <f t="shared" si="17"/>
        <v>48.6</v>
      </c>
      <c r="I34" s="28">
        <f t="shared" si="18"/>
        <v>923.4</v>
      </c>
      <c r="J34" s="24"/>
    </row>
    <row r="35" spans="2:10">
      <c r="B35" s="24" t="s">
        <v>206</v>
      </c>
      <c r="C35" s="55" t="str">
        <f t="shared" si="15"/>
        <v>12월분</v>
      </c>
      <c r="D35" s="24" t="s">
        <v>401</v>
      </c>
      <c r="E35" s="25">
        <f>SUMIFS(전체리스트!D:D,전체리스트!A:A,B35,전체리스트!C:C,D35)</f>
        <v>630</v>
      </c>
      <c r="F35" s="26">
        <f t="shared" si="16"/>
        <v>252</v>
      </c>
      <c r="G35" s="27">
        <f>SUMIFS(전체리스트!E:E,전체리스트!A:A,B35,전체리스트!C:C,D35)</f>
        <v>378</v>
      </c>
      <c r="H35" s="25">
        <f t="shared" si="17"/>
        <v>18.900000000000002</v>
      </c>
      <c r="I35" s="28">
        <f t="shared" si="18"/>
        <v>359.1</v>
      </c>
      <c r="J35" s="24"/>
    </row>
    <row r="36" spans="2:10">
      <c r="B36" s="24" t="s">
        <v>206</v>
      </c>
      <c r="C36" s="55" t="str">
        <f t="shared" si="15"/>
        <v>12월분</v>
      </c>
      <c r="D36" s="24" t="s">
        <v>419</v>
      </c>
      <c r="E36" s="25">
        <f>SUMIFS(전체리스트!D:D,전체리스트!A:A,B36,전체리스트!C:C,D36)</f>
        <v>180</v>
      </c>
      <c r="F36" s="26">
        <f t="shared" si="16"/>
        <v>72</v>
      </c>
      <c r="G36" s="27">
        <f>SUMIFS(전체리스트!E:E,전체리스트!A:A,B36,전체리스트!C:C,D36)</f>
        <v>108</v>
      </c>
      <c r="H36" s="25">
        <f t="shared" si="17"/>
        <v>5.4</v>
      </c>
      <c r="I36" s="28">
        <f t="shared" si="18"/>
        <v>102.6</v>
      </c>
      <c r="J36" s="24"/>
    </row>
    <row r="37" spans="2:10">
      <c r="B37" s="24" t="s">
        <v>206</v>
      </c>
      <c r="C37" s="55" t="str">
        <f t="shared" si="15"/>
        <v>12월분</v>
      </c>
      <c r="D37" s="24" t="s">
        <v>219</v>
      </c>
      <c r="E37" s="25">
        <f>SUMIFS(전체리스트!D:D,전체리스트!A:A,B37,전체리스트!C:C,D37)</f>
        <v>14850</v>
      </c>
      <c r="F37" s="26">
        <f t="shared" si="16"/>
        <v>5940</v>
      </c>
      <c r="G37" s="27">
        <f>SUMIFS(전체리스트!E:E,전체리스트!A:A,B37,전체리스트!C:C,D37)</f>
        <v>8910</v>
      </c>
      <c r="H37" s="25">
        <f t="shared" si="17"/>
        <v>445.5</v>
      </c>
      <c r="I37" s="28">
        <f t="shared" si="18"/>
        <v>8464.5</v>
      </c>
      <c r="J37" s="24"/>
    </row>
    <row r="38" spans="2:10">
      <c r="B38" s="24" t="s">
        <v>206</v>
      </c>
      <c r="C38" s="55" t="str">
        <f t="shared" ref="C38" si="19">VLOOKUP(B38,raw_a,2,0)</f>
        <v>12월분</v>
      </c>
      <c r="D38" s="24" t="s">
        <v>43</v>
      </c>
      <c r="E38" s="25">
        <f>SUMIFS(전체리스트!D:D,전체리스트!A:A,B38,전체리스트!C:C,D38)</f>
        <v>1080</v>
      </c>
      <c r="F38" s="26">
        <f t="shared" ref="F38" si="20">E38-G38</f>
        <v>432</v>
      </c>
      <c r="G38" s="27">
        <f>SUMIFS(전체리스트!E:E,전체리스트!A:A,B38,전체리스트!C:C,D38)</f>
        <v>648</v>
      </c>
      <c r="H38" s="25">
        <f t="shared" ref="H38" si="21">G38*0.05</f>
        <v>32.4</v>
      </c>
      <c r="I38" s="28">
        <f t="shared" ref="I38" si="22">G38-H38</f>
        <v>615.6</v>
      </c>
      <c r="J38" s="24"/>
    </row>
    <row r="39" spans="2:10">
      <c r="B39" s="29" t="s">
        <v>322</v>
      </c>
      <c r="C39" s="29"/>
      <c r="D39" s="30"/>
      <c r="E39" s="31">
        <f t="shared" ref="E39:J39" si="23">SUM(E6:E38)</f>
        <v>1188990</v>
      </c>
      <c r="F39" s="31">
        <f t="shared" si="23"/>
        <v>475596</v>
      </c>
      <c r="G39" s="31">
        <f t="shared" si="23"/>
        <v>713394</v>
      </c>
      <c r="H39" s="31">
        <f t="shared" si="23"/>
        <v>35669.700000000019</v>
      </c>
      <c r="I39" s="31">
        <f t="shared" si="23"/>
        <v>677724.29999999981</v>
      </c>
      <c r="J39" s="31">
        <f t="shared" si="2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B4:J42"/>
  <sheetViews>
    <sheetView workbookViewId="0">
      <selection activeCell="P5" sqref="P1:Q5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214</v>
      </c>
      <c r="C6" s="55" t="str">
        <f t="shared" ref="C6:C7" si="0">VLOOKUP(B6,raw_a,2,0)</f>
        <v>12월분</v>
      </c>
      <c r="D6" s="24" t="s">
        <v>22</v>
      </c>
      <c r="E6" s="25">
        <f>SUMIFS(전체리스트!D:D,전체리스트!A:A,B6,전체리스트!C:C,D6)</f>
        <v>38340</v>
      </c>
      <c r="F6" s="26">
        <f>E6-G6</f>
        <v>15336</v>
      </c>
      <c r="G6" s="27">
        <f>SUMIFS(전체리스트!E:E,전체리스트!A:A,B6,전체리스트!C:C,D6)</f>
        <v>23004</v>
      </c>
      <c r="H6" s="25">
        <f>G6*0.05</f>
        <v>1150.2</v>
      </c>
      <c r="I6" s="28">
        <f>G6-H6</f>
        <v>21853.8</v>
      </c>
      <c r="J6" s="24"/>
    </row>
    <row r="7" spans="2:10">
      <c r="B7" s="24" t="s">
        <v>214</v>
      </c>
      <c r="C7" s="55" t="str">
        <f t="shared" si="0"/>
        <v>12월분</v>
      </c>
      <c r="D7" s="24" t="s">
        <v>101</v>
      </c>
      <c r="E7" s="25">
        <f>SUMIFS(전체리스트!D:D,전체리스트!A:A,B7,전체리스트!C:C,D7)</f>
        <v>2340</v>
      </c>
      <c r="F7" s="26">
        <f t="shared" ref="F7" si="1">E7-G7</f>
        <v>936</v>
      </c>
      <c r="G7" s="27">
        <f>SUMIFS(전체리스트!E:E,전체리스트!A:A,B7,전체리스트!C:C,D7)</f>
        <v>1404</v>
      </c>
      <c r="H7" s="25">
        <f t="shared" ref="H7:H14" si="2">G7*0.05</f>
        <v>70.2</v>
      </c>
      <c r="I7" s="28">
        <f t="shared" ref="I7" si="3">G7-H7</f>
        <v>1333.8</v>
      </c>
      <c r="J7" s="24"/>
    </row>
    <row r="8" spans="2:10">
      <c r="B8" s="24" t="s">
        <v>214</v>
      </c>
      <c r="C8" s="55" t="str">
        <f t="shared" ref="C8:C11" si="4">VLOOKUP(B8,raw_a,2,0)</f>
        <v>12월분</v>
      </c>
      <c r="D8" s="24" t="s">
        <v>210</v>
      </c>
      <c r="E8" s="25">
        <f>SUMIFS(전체리스트!D:D,전체리스트!A:A,B8,전체리스트!C:C,D8)</f>
        <v>3780</v>
      </c>
      <c r="F8" s="26">
        <f t="shared" ref="F8:F11" si="5">E8-G8</f>
        <v>1512</v>
      </c>
      <c r="G8" s="27">
        <f>SUMIFS(전체리스트!E:E,전체리스트!A:A,B8,전체리스트!C:C,D8)</f>
        <v>2268</v>
      </c>
      <c r="H8" s="25">
        <f t="shared" si="2"/>
        <v>113.4</v>
      </c>
      <c r="I8" s="28">
        <f t="shared" ref="I8:I11" si="6">G8-H8</f>
        <v>2154.6</v>
      </c>
      <c r="J8" s="24"/>
    </row>
    <row r="9" spans="2:10">
      <c r="B9" s="24" t="s">
        <v>214</v>
      </c>
      <c r="C9" s="55" t="str">
        <f t="shared" si="4"/>
        <v>12월분</v>
      </c>
      <c r="D9" s="24" t="s">
        <v>538</v>
      </c>
      <c r="E9" s="25">
        <f>SUMIFS(전체리스트!D:D,전체리스트!A:A,B9,전체리스트!C:C,D9)</f>
        <v>270</v>
      </c>
      <c r="F9" s="26">
        <f t="shared" si="5"/>
        <v>108</v>
      </c>
      <c r="G9" s="27">
        <f>SUMIFS(전체리스트!E:E,전체리스트!A:A,B9,전체리스트!C:C,D9)</f>
        <v>162</v>
      </c>
      <c r="H9" s="25">
        <f t="shared" si="2"/>
        <v>8.1</v>
      </c>
      <c r="I9" s="28">
        <f t="shared" si="6"/>
        <v>153.9</v>
      </c>
      <c r="J9" s="24"/>
    </row>
    <row r="10" spans="2:10">
      <c r="B10" s="24" t="s">
        <v>214</v>
      </c>
      <c r="C10" s="55" t="str">
        <f t="shared" si="4"/>
        <v>12월분</v>
      </c>
      <c r="D10" s="24" t="s">
        <v>539</v>
      </c>
      <c r="E10" s="25">
        <f>SUMIFS(전체리스트!D:D,전체리스트!A:A,B10,전체리스트!C:C,D10)</f>
        <v>3780</v>
      </c>
      <c r="F10" s="26">
        <f t="shared" si="5"/>
        <v>1512</v>
      </c>
      <c r="G10" s="27">
        <f>SUMIFS(전체리스트!E:E,전체리스트!A:A,B10,전체리스트!C:C,D10)</f>
        <v>2268</v>
      </c>
      <c r="H10" s="25">
        <f t="shared" si="2"/>
        <v>113.4</v>
      </c>
      <c r="I10" s="28">
        <f t="shared" si="6"/>
        <v>2154.6</v>
      </c>
      <c r="J10" s="24"/>
    </row>
    <row r="11" spans="2:10">
      <c r="B11" s="24" t="s">
        <v>214</v>
      </c>
      <c r="C11" s="55" t="str">
        <f t="shared" si="4"/>
        <v>12월분</v>
      </c>
      <c r="D11" s="24" t="s">
        <v>62</v>
      </c>
      <c r="E11" s="25">
        <f>SUMIFS(전체리스트!D:D,전체리스트!A:A,B11,전체리스트!C:C,D11)</f>
        <v>900</v>
      </c>
      <c r="F11" s="26">
        <f t="shared" si="5"/>
        <v>360</v>
      </c>
      <c r="G11" s="27">
        <f>SUMIFS(전체리스트!E:E,전체리스트!A:A,B11,전체리스트!C:C,D11)</f>
        <v>540</v>
      </c>
      <c r="H11" s="25">
        <f t="shared" si="2"/>
        <v>27</v>
      </c>
      <c r="I11" s="28">
        <f t="shared" si="6"/>
        <v>513</v>
      </c>
      <c r="J11" s="24"/>
    </row>
    <row r="12" spans="2:10">
      <c r="B12" s="24" t="s">
        <v>214</v>
      </c>
      <c r="C12" s="55" t="str">
        <f t="shared" ref="C12" si="7">VLOOKUP(B12,raw_a,2,0)</f>
        <v>12월분</v>
      </c>
      <c r="D12" s="24" t="s">
        <v>95</v>
      </c>
      <c r="E12" s="25">
        <f>SUMIFS(전체리스트!D:D,전체리스트!A:A,B12,전체리스트!C:C,D12)</f>
        <v>7920</v>
      </c>
      <c r="F12" s="26">
        <f t="shared" ref="F12" si="8">E12-G12</f>
        <v>3168</v>
      </c>
      <c r="G12" s="27">
        <f>SUMIFS(전체리스트!E:E,전체리스트!A:A,B12,전체리스트!C:C,D12)</f>
        <v>4752</v>
      </c>
      <c r="H12" s="25">
        <f t="shared" si="2"/>
        <v>237.60000000000002</v>
      </c>
      <c r="I12" s="28">
        <f t="shared" ref="I12" si="9">G12-H12</f>
        <v>4514.3999999999996</v>
      </c>
      <c r="J12" s="24"/>
    </row>
    <row r="13" spans="2:10">
      <c r="B13" s="24" t="s">
        <v>214</v>
      </c>
      <c r="C13" s="55" t="str">
        <f t="shared" ref="C13:C14" si="10">VLOOKUP(B13,raw_a,2,0)</f>
        <v>12월분</v>
      </c>
      <c r="D13" s="24" t="s">
        <v>33</v>
      </c>
      <c r="E13" s="25">
        <f>SUMIFS(전체리스트!D:D,전체리스트!A:A,B13,전체리스트!C:C,D13)</f>
        <v>2340</v>
      </c>
      <c r="F13" s="26">
        <f t="shared" ref="F13:F14" si="11">E13-G13</f>
        <v>936</v>
      </c>
      <c r="G13" s="27">
        <f>SUMIFS(전체리스트!E:E,전체리스트!A:A,B13,전체리스트!C:C,D13)</f>
        <v>1404</v>
      </c>
      <c r="H13" s="25">
        <f t="shared" si="2"/>
        <v>70.2</v>
      </c>
      <c r="I13" s="28">
        <f t="shared" ref="I13:I14" si="12">G13-H13</f>
        <v>1333.8</v>
      </c>
      <c r="J13" s="24"/>
    </row>
    <row r="14" spans="2:10">
      <c r="B14" s="24" t="s">
        <v>214</v>
      </c>
      <c r="C14" s="55" t="str">
        <f t="shared" si="10"/>
        <v>12월분</v>
      </c>
      <c r="D14" s="24" t="s">
        <v>90</v>
      </c>
      <c r="E14" s="25">
        <f>SUMIFS(전체리스트!D:D,전체리스트!A:A,B14,전체리스트!C:C,D14)</f>
        <v>18810</v>
      </c>
      <c r="F14" s="26">
        <f t="shared" si="11"/>
        <v>7524</v>
      </c>
      <c r="G14" s="27">
        <f>SUMIFS(전체리스트!E:E,전체리스트!A:A,B14,전체리스트!C:C,D14)</f>
        <v>11286</v>
      </c>
      <c r="H14" s="25">
        <f t="shared" si="2"/>
        <v>564.30000000000007</v>
      </c>
      <c r="I14" s="28">
        <f t="shared" si="12"/>
        <v>10721.7</v>
      </c>
      <c r="J14" s="24"/>
    </row>
    <row r="15" spans="2:10">
      <c r="B15" s="24" t="s">
        <v>214</v>
      </c>
      <c r="C15" s="55" t="str">
        <f t="shared" ref="C15:C41" si="13">VLOOKUP(B15,raw_a,2,0)</f>
        <v>12월분</v>
      </c>
      <c r="D15" s="24" t="s">
        <v>16</v>
      </c>
      <c r="E15" s="25">
        <f>SUMIFS(전체리스트!D:D,전체리스트!A:A,B15,전체리스트!C:C,D15)</f>
        <v>21600</v>
      </c>
      <c r="F15" s="26">
        <f t="shared" ref="F15:F41" si="14">E15-G15</f>
        <v>8640</v>
      </c>
      <c r="G15" s="27">
        <f>SUMIFS(전체리스트!E:E,전체리스트!A:A,B15,전체리스트!C:C,D15)</f>
        <v>12960</v>
      </c>
      <c r="H15" s="25">
        <f t="shared" ref="H15:H41" si="15">G15*0.05</f>
        <v>648</v>
      </c>
      <c r="I15" s="28">
        <f t="shared" ref="I15:I41" si="16">G15-H15</f>
        <v>12312</v>
      </c>
      <c r="J15" s="24"/>
    </row>
    <row r="16" spans="2:10">
      <c r="B16" s="24" t="s">
        <v>214</v>
      </c>
      <c r="C16" s="55" t="str">
        <f t="shared" si="13"/>
        <v>12월분</v>
      </c>
      <c r="D16" s="24" t="s">
        <v>10</v>
      </c>
      <c r="E16" s="25">
        <f>SUMIFS(전체리스트!D:D,전체리스트!A:A,B16,전체리스트!C:C,D16)</f>
        <v>720</v>
      </c>
      <c r="F16" s="26">
        <f t="shared" si="14"/>
        <v>288</v>
      </c>
      <c r="G16" s="27">
        <f>SUMIFS(전체리스트!E:E,전체리스트!A:A,B16,전체리스트!C:C,D16)</f>
        <v>432</v>
      </c>
      <c r="H16" s="25">
        <f t="shared" si="15"/>
        <v>21.6</v>
      </c>
      <c r="I16" s="28">
        <f t="shared" si="16"/>
        <v>410.4</v>
      </c>
      <c r="J16" s="24"/>
    </row>
    <row r="17" spans="2:10">
      <c r="B17" s="24" t="s">
        <v>214</v>
      </c>
      <c r="C17" s="55" t="str">
        <f t="shared" si="13"/>
        <v>12월분</v>
      </c>
      <c r="D17" s="24" t="s">
        <v>9</v>
      </c>
      <c r="E17" s="25">
        <f>SUMIFS(전체리스트!D:D,전체리스트!A:A,B17,전체리스트!C:C,D17)</f>
        <v>90</v>
      </c>
      <c r="F17" s="26">
        <f t="shared" si="14"/>
        <v>36</v>
      </c>
      <c r="G17" s="27">
        <f>SUMIFS(전체리스트!E:E,전체리스트!A:A,B17,전체리스트!C:C,D17)</f>
        <v>54</v>
      </c>
      <c r="H17" s="25">
        <f t="shared" si="15"/>
        <v>2.7</v>
      </c>
      <c r="I17" s="28">
        <f t="shared" si="16"/>
        <v>51.3</v>
      </c>
      <c r="J17" s="24"/>
    </row>
    <row r="18" spans="2:10">
      <c r="B18" s="24" t="s">
        <v>214</v>
      </c>
      <c r="C18" s="55" t="str">
        <f t="shared" si="13"/>
        <v>12월분</v>
      </c>
      <c r="D18" s="24" t="s">
        <v>212</v>
      </c>
      <c r="E18" s="25">
        <f>SUMIFS(전체리스트!D:D,전체리스트!A:A,B18,전체리스트!C:C,D18)</f>
        <v>720</v>
      </c>
      <c r="F18" s="26">
        <f t="shared" si="14"/>
        <v>288</v>
      </c>
      <c r="G18" s="27">
        <f>SUMIFS(전체리스트!E:E,전체리스트!A:A,B18,전체리스트!C:C,D18)</f>
        <v>432</v>
      </c>
      <c r="H18" s="25">
        <f t="shared" si="15"/>
        <v>21.6</v>
      </c>
      <c r="I18" s="28">
        <f t="shared" si="16"/>
        <v>410.4</v>
      </c>
      <c r="J18" s="24"/>
    </row>
    <row r="19" spans="2:10">
      <c r="B19" s="24" t="s">
        <v>214</v>
      </c>
      <c r="C19" s="55" t="str">
        <f t="shared" ref="C19:C37" si="17">VLOOKUP(B19,raw_a,2,0)</f>
        <v>12월분</v>
      </c>
      <c r="D19" s="24" t="s">
        <v>8</v>
      </c>
      <c r="E19" s="25">
        <f>SUMIFS(전체리스트!D:D,전체리스트!A:A,B19,전체리스트!C:C,D19)</f>
        <v>8820</v>
      </c>
      <c r="F19" s="26">
        <f t="shared" ref="F19:F37" si="18">E19-G19</f>
        <v>3528</v>
      </c>
      <c r="G19" s="27">
        <f>SUMIFS(전체리스트!E:E,전체리스트!A:A,B19,전체리스트!C:C,D19)</f>
        <v>5292</v>
      </c>
      <c r="H19" s="25">
        <f t="shared" ref="H19:H37" si="19">G19*0.05</f>
        <v>264.60000000000002</v>
      </c>
      <c r="I19" s="28">
        <f t="shared" ref="I19:I37" si="20">G19-H19</f>
        <v>5027.3999999999996</v>
      </c>
      <c r="J19" s="24"/>
    </row>
    <row r="20" spans="2:10">
      <c r="B20" s="24" t="s">
        <v>214</v>
      </c>
      <c r="C20" s="55" t="str">
        <f t="shared" si="17"/>
        <v>12월분</v>
      </c>
      <c r="D20" s="24" t="s">
        <v>14</v>
      </c>
      <c r="E20" s="25">
        <f>SUMIFS(전체리스트!D:D,전체리스트!A:A,B20,전체리스트!C:C,D20)</f>
        <v>567000</v>
      </c>
      <c r="F20" s="26">
        <f t="shared" si="18"/>
        <v>226800</v>
      </c>
      <c r="G20" s="27">
        <f>SUMIFS(전체리스트!E:E,전체리스트!A:A,B20,전체리스트!C:C,D20)</f>
        <v>340200</v>
      </c>
      <c r="H20" s="25">
        <f t="shared" si="19"/>
        <v>17010</v>
      </c>
      <c r="I20" s="28">
        <f t="shared" si="20"/>
        <v>323190</v>
      </c>
      <c r="J20" s="24"/>
    </row>
    <row r="21" spans="2:10">
      <c r="B21" s="24" t="s">
        <v>214</v>
      </c>
      <c r="C21" s="55" t="str">
        <f t="shared" si="17"/>
        <v>12월분</v>
      </c>
      <c r="D21" s="24" t="s">
        <v>30</v>
      </c>
      <c r="E21" s="25">
        <f>SUMIFS(전체리스트!D:D,전체리스트!A:A,B21,전체리스트!C:C,D21)</f>
        <v>12420</v>
      </c>
      <c r="F21" s="26">
        <f t="shared" si="18"/>
        <v>4968</v>
      </c>
      <c r="G21" s="27">
        <f>SUMIFS(전체리스트!E:E,전체리스트!A:A,B21,전체리스트!C:C,D21)</f>
        <v>7452</v>
      </c>
      <c r="H21" s="25">
        <f t="shared" si="19"/>
        <v>372.6</v>
      </c>
      <c r="I21" s="28">
        <f t="shared" si="20"/>
        <v>7079.4</v>
      </c>
      <c r="J21" s="24"/>
    </row>
    <row r="22" spans="2:10">
      <c r="B22" s="24" t="s">
        <v>214</v>
      </c>
      <c r="C22" s="55" t="str">
        <f t="shared" si="17"/>
        <v>12월분</v>
      </c>
      <c r="D22" s="24" t="s">
        <v>32</v>
      </c>
      <c r="E22" s="25">
        <f>SUMIFS(전체리스트!D:D,전체리스트!A:A,B22,전체리스트!C:C,D22)</f>
        <v>369360</v>
      </c>
      <c r="F22" s="26">
        <f t="shared" si="18"/>
        <v>147744</v>
      </c>
      <c r="G22" s="27">
        <f>SUMIFS(전체리스트!E:E,전체리스트!A:A,B22,전체리스트!C:C,D22)</f>
        <v>221616</v>
      </c>
      <c r="H22" s="25">
        <f t="shared" si="19"/>
        <v>11080.800000000001</v>
      </c>
      <c r="I22" s="28">
        <f t="shared" si="20"/>
        <v>210535.2</v>
      </c>
      <c r="J22" s="24"/>
    </row>
    <row r="23" spans="2:10">
      <c r="B23" s="24" t="s">
        <v>214</v>
      </c>
      <c r="C23" s="55" t="str">
        <f t="shared" si="17"/>
        <v>12월분</v>
      </c>
      <c r="D23" s="24" t="s">
        <v>213</v>
      </c>
      <c r="E23" s="25">
        <f>SUMIFS(전체리스트!D:D,전체리스트!A:A,B23,전체리스트!C:C,D23)</f>
        <v>2160</v>
      </c>
      <c r="F23" s="26">
        <f t="shared" si="18"/>
        <v>864</v>
      </c>
      <c r="G23" s="27">
        <f>SUMIFS(전체리스트!E:E,전체리스트!A:A,B23,전체리스트!C:C,D23)</f>
        <v>1296</v>
      </c>
      <c r="H23" s="25">
        <f t="shared" si="19"/>
        <v>64.8</v>
      </c>
      <c r="I23" s="28">
        <f t="shared" si="20"/>
        <v>1231.2</v>
      </c>
      <c r="J23" s="24"/>
    </row>
    <row r="24" spans="2:10">
      <c r="B24" s="24" t="s">
        <v>214</v>
      </c>
      <c r="C24" s="55" t="str">
        <f t="shared" si="17"/>
        <v>12월분</v>
      </c>
      <c r="D24" s="24" t="s">
        <v>13</v>
      </c>
      <c r="E24" s="25">
        <f>SUMIFS(전체리스트!D:D,전체리스트!A:A,B24,전체리스트!C:C,D24)</f>
        <v>7380</v>
      </c>
      <c r="F24" s="26">
        <f t="shared" si="18"/>
        <v>2952</v>
      </c>
      <c r="G24" s="27">
        <f>SUMIFS(전체리스트!E:E,전체리스트!A:A,B24,전체리스트!C:C,D24)</f>
        <v>4428</v>
      </c>
      <c r="H24" s="25">
        <f t="shared" si="19"/>
        <v>221.4</v>
      </c>
      <c r="I24" s="28">
        <f t="shared" si="20"/>
        <v>4206.6000000000004</v>
      </c>
      <c r="J24" s="24"/>
    </row>
    <row r="25" spans="2:10">
      <c r="B25" s="24" t="s">
        <v>214</v>
      </c>
      <c r="C25" s="55" t="str">
        <f t="shared" si="17"/>
        <v>12월분</v>
      </c>
      <c r="D25" s="24" t="s">
        <v>53</v>
      </c>
      <c r="E25" s="25">
        <f>SUMIFS(전체리스트!D:D,전체리스트!A:A,B25,전체리스트!C:C,D25)</f>
        <v>8640</v>
      </c>
      <c r="F25" s="26">
        <f t="shared" si="18"/>
        <v>3456</v>
      </c>
      <c r="G25" s="27">
        <f>SUMIFS(전체리스트!E:E,전체리스트!A:A,B25,전체리스트!C:C,D25)</f>
        <v>5184</v>
      </c>
      <c r="H25" s="25">
        <f t="shared" si="19"/>
        <v>259.2</v>
      </c>
      <c r="I25" s="28">
        <f t="shared" si="20"/>
        <v>4924.8</v>
      </c>
      <c r="J25" s="24"/>
    </row>
    <row r="26" spans="2:10">
      <c r="B26" s="24" t="s">
        <v>214</v>
      </c>
      <c r="C26" s="55" t="str">
        <f t="shared" si="17"/>
        <v>12월분</v>
      </c>
      <c r="D26" s="24" t="s">
        <v>111</v>
      </c>
      <c r="E26" s="25">
        <f>SUMIFS(전체리스트!D:D,전체리스트!A:A,B26,전체리스트!C:C,D26)</f>
        <v>12240</v>
      </c>
      <c r="F26" s="26">
        <f t="shared" si="18"/>
        <v>4896</v>
      </c>
      <c r="G26" s="27">
        <f>SUMIFS(전체리스트!E:E,전체리스트!A:A,B26,전체리스트!C:C,D26)</f>
        <v>7344</v>
      </c>
      <c r="H26" s="25">
        <f t="shared" si="19"/>
        <v>367.20000000000005</v>
      </c>
      <c r="I26" s="28">
        <f t="shared" si="20"/>
        <v>6976.8</v>
      </c>
      <c r="J26" s="24"/>
    </row>
    <row r="27" spans="2:10">
      <c r="B27" s="24" t="s">
        <v>214</v>
      </c>
      <c r="C27" s="55" t="str">
        <f t="shared" si="17"/>
        <v>12월분</v>
      </c>
      <c r="D27" s="24" t="s">
        <v>40</v>
      </c>
      <c r="E27" s="25">
        <f>SUMIFS(전체리스트!D:D,전체리스트!A:A,B27,전체리스트!C:C,D27)</f>
        <v>1620</v>
      </c>
      <c r="F27" s="26">
        <f t="shared" si="18"/>
        <v>648</v>
      </c>
      <c r="G27" s="27">
        <f>SUMIFS(전체리스트!E:E,전체리스트!A:A,B27,전체리스트!C:C,D27)</f>
        <v>972</v>
      </c>
      <c r="H27" s="25">
        <f t="shared" si="19"/>
        <v>48.6</v>
      </c>
      <c r="I27" s="28">
        <f t="shared" si="20"/>
        <v>923.4</v>
      </c>
      <c r="J27" s="24"/>
    </row>
    <row r="28" spans="2:10">
      <c r="B28" s="24" t="s">
        <v>214</v>
      </c>
      <c r="C28" s="55" t="str">
        <f t="shared" ref="C28" si="21">VLOOKUP(B28,raw_a,2,0)</f>
        <v>12월분</v>
      </c>
      <c r="D28" s="24" t="s">
        <v>356</v>
      </c>
      <c r="E28" s="25">
        <f>SUMIFS(전체리스트!D:D,전체리스트!A:A,B28,전체리스트!C:C,D28)</f>
        <v>8100</v>
      </c>
      <c r="F28" s="26">
        <f t="shared" ref="F28" si="22">E28-G28</f>
        <v>3240</v>
      </c>
      <c r="G28" s="27">
        <f>SUMIFS(전체리스트!E:E,전체리스트!A:A,B28,전체리스트!C:C,D28)</f>
        <v>4860</v>
      </c>
      <c r="H28" s="25">
        <f t="shared" ref="H28" si="23">G28*0.05</f>
        <v>243</v>
      </c>
      <c r="I28" s="28">
        <f t="shared" ref="I28" si="24">G28-H28</f>
        <v>4617</v>
      </c>
      <c r="J28" s="24"/>
    </row>
    <row r="29" spans="2:10">
      <c r="B29" s="24" t="s">
        <v>214</v>
      </c>
      <c r="C29" s="55" t="str">
        <f t="shared" ref="C29:C33" si="25">VLOOKUP(B29,raw_a,2,0)</f>
        <v>12월분</v>
      </c>
      <c r="D29" s="24" t="s">
        <v>360</v>
      </c>
      <c r="E29" s="25">
        <f>SUMIFS(전체리스트!D:D,전체리스트!A:A,B29,전체리스트!C:C,D29)</f>
        <v>2790</v>
      </c>
      <c r="F29" s="26">
        <f t="shared" ref="F29:F33" si="26">E29-G29</f>
        <v>1116</v>
      </c>
      <c r="G29" s="27">
        <f>SUMIFS(전체리스트!E:E,전체리스트!A:A,B29,전체리스트!C:C,D29)</f>
        <v>1674</v>
      </c>
      <c r="H29" s="25">
        <f t="shared" ref="H29:H33" si="27">G29*0.05</f>
        <v>83.7</v>
      </c>
      <c r="I29" s="28">
        <f t="shared" ref="I29:I33" si="28">G29-H29</f>
        <v>1590.3</v>
      </c>
      <c r="J29" s="24"/>
    </row>
    <row r="30" spans="2:10">
      <c r="B30" s="24" t="s">
        <v>214</v>
      </c>
      <c r="C30" s="55" t="str">
        <f t="shared" si="25"/>
        <v>12월분</v>
      </c>
      <c r="D30" s="24" t="s">
        <v>112</v>
      </c>
      <c r="E30" s="25">
        <f>SUMIFS(전체리스트!D:D,전체리스트!A:A,B30,전체리스트!C:C,D30)</f>
        <v>1555740</v>
      </c>
      <c r="F30" s="26">
        <f t="shared" si="26"/>
        <v>622296</v>
      </c>
      <c r="G30" s="27">
        <f>SUMIFS(전체리스트!E:E,전체리스트!A:A,B30,전체리스트!C:C,D30)</f>
        <v>933444</v>
      </c>
      <c r="H30" s="25">
        <f t="shared" si="27"/>
        <v>46672.200000000004</v>
      </c>
      <c r="I30" s="28">
        <f t="shared" si="28"/>
        <v>886771.8</v>
      </c>
      <c r="J30" s="24"/>
    </row>
    <row r="31" spans="2:10">
      <c r="B31" s="24" t="s">
        <v>214</v>
      </c>
      <c r="C31" s="55" t="str">
        <f t="shared" si="25"/>
        <v>12월분</v>
      </c>
      <c r="D31" s="24" t="s">
        <v>373</v>
      </c>
      <c r="E31" s="25">
        <f>SUMIFS(전체리스트!D:D,전체리스트!A:A,B31,전체리스트!C:C,D31)</f>
        <v>153360</v>
      </c>
      <c r="F31" s="26">
        <f t="shared" si="26"/>
        <v>61344</v>
      </c>
      <c r="G31" s="27">
        <f>SUMIFS(전체리스트!E:E,전체리스트!A:A,B31,전체리스트!C:C,D31)</f>
        <v>92016</v>
      </c>
      <c r="H31" s="25">
        <f t="shared" si="27"/>
        <v>4600.8</v>
      </c>
      <c r="I31" s="28">
        <f t="shared" si="28"/>
        <v>87415.2</v>
      </c>
      <c r="J31" s="24"/>
    </row>
    <row r="32" spans="2:10">
      <c r="B32" s="24" t="s">
        <v>214</v>
      </c>
      <c r="C32" s="55" t="str">
        <f t="shared" si="25"/>
        <v>12월분</v>
      </c>
      <c r="D32" s="24" t="s">
        <v>390</v>
      </c>
      <c r="E32" s="25">
        <f>SUMIFS(전체리스트!D:D,전체리스트!A:A,B32,전체리스트!C:C,D32)</f>
        <v>2520</v>
      </c>
      <c r="F32" s="26">
        <f t="shared" si="26"/>
        <v>1008</v>
      </c>
      <c r="G32" s="27">
        <f>SUMIFS(전체리스트!E:E,전체리스트!A:A,B32,전체리스트!C:C,D32)</f>
        <v>1512</v>
      </c>
      <c r="H32" s="25">
        <f t="shared" si="27"/>
        <v>75.600000000000009</v>
      </c>
      <c r="I32" s="28">
        <f t="shared" si="28"/>
        <v>1436.4</v>
      </c>
      <c r="J32" s="24"/>
    </row>
    <row r="33" spans="2:10">
      <c r="B33" s="24" t="s">
        <v>214</v>
      </c>
      <c r="C33" s="55" t="str">
        <f t="shared" si="25"/>
        <v>12월분</v>
      </c>
      <c r="D33" s="24" t="s">
        <v>389</v>
      </c>
      <c r="E33" s="25">
        <f>SUMIFS(전체리스트!D:D,전체리스트!A:A,B33,전체리스트!C:C,D33)</f>
        <v>1080</v>
      </c>
      <c r="F33" s="26">
        <f t="shared" si="26"/>
        <v>432</v>
      </c>
      <c r="G33" s="27">
        <f>SUMIFS(전체리스트!E:E,전체리스트!A:A,B33,전체리스트!C:C,D33)</f>
        <v>648</v>
      </c>
      <c r="H33" s="25">
        <f t="shared" si="27"/>
        <v>32.4</v>
      </c>
      <c r="I33" s="28">
        <f t="shared" si="28"/>
        <v>615.6</v>
      </c>
      <c r="J33" s="24"/>
    </row>
    <row r="34" spans="2:10">
      <c r="B34" s="24" t="s">
        <v>214</v>
      </c>
      <c r="C34" s="55" t="str">
        <f t="shared" si="17"/>
        <v>12월분</v>
      </c>
      <c r="D34" s="24" t="s">
        <v>382</v>
      </c>
      <c r="E34" s="25">
        <f>SUMIFS(전체리스트!D:D,전체리스트!A:A,B34,전체리스트!C:C,D34)</f>
        <v>574380</v>
      </c>
      <c r="F34" s="26">
        <f t="shared" si="18"/>
        <v>229752</v>
      </c>
      <c r="G34" s="27">
        <f>SUMIFS(전체리스트!E:E,전체리스트!A:A,B34,전체리스트!C:C,D34)</f>
        <v>344628</v>
      </c>
      <c r="H34" s="25">
        <f t="shared" si="19"/>
        <v>17231.400000000001</v>
      </c>
      <c r="I34" s="28">
        <f t="shared" si="20"/>
        <v>327396.59999999998</v>
      </c>
      <c r="J34" s="24"/>
    </row>
    <row r="35" spans="2:10">
      <c r="B35" s="24" t="s">
        <v>214</v>
      </c>
      <c r="C35" s="55" t="str">
        <f t="shared" si="17"/>
        <v>12월분</v>
      </c>
      <c r="D35" s="24" t="s">
        <v>401</v>
      </c>
      <c r="E35" s="25">
        <f>SUMIFS(전체리스트!D:D,전체리스트!A:A,B35,전체리스트!C:C,D35)</f>
        <v>2610</v>
      </c>
      <c r="F35" s="26">
        <f t="shared" si="18"/>
        <v>1044</v>
      </c>
      <c r="G35" s="27">
        <f>SUMIFS(전체리스트!E:E,전체리스트!A:A,B35,전체리스트!C:C,D35)</f>
        <v>1566</v>
      </c>
      <c r="H35" s="25">
        <f t="shared" si="19"/>
        <v>78.300000000000011</v>
      </c>
      <c r="I35" s="28">
        <f t="shared" si="20"/>
        <v>1487.7</v>
      </c>
      <c r="J35" s="24"/>
    </row>
    <row r="36" spans="2:10">
      <c r="B36" s="24" t="s">
        <v>214</v>
      </c>
      <c r="C36" s="55" t="str">
        <f>VLOOKUP(B36,raw_a,2,0)</f>
        <v>12월분</v>
      </c>
      <c r="D36" s="24" t="s">
        <v>413</v>
      </c>
      <c r="E36" s="25">
        <f>SUMIFS(전체리스트!D:D,전체리스트!A:A,B36,전체리스트!C:C,D36)</f>
        <v>129960</v>
      </c>
      <c r="F36" s="26">
        <f>E36-G36</f>
        <v>51984</v>
      </c>
      <c r="G36" s="27">
        <f>SUMIFS(전체리스트!E:E,전체리스트!A:A,B36,전체리스트!C:C,D36)</f>
        <v>77976</v>
      </c>
      <c r="H36" s="25">
        <f>G36*0.05</f>
        <v>3898.8</v>
      </c>
      <c r="I36" s="28">
        <f>G36-H36</f>
        <v>74077.2</v>
      </c>
      <c r="J36" s="24"/>
    </row>
    <row r="37" spans="2:10">
      <c r="B37" s="24" t="s">
        <v>214</v>
      </c>
      <c r="C37" s="55" t="str">
        <f t="shared" si="17"/>
        <v>12월분</v>
      </c>
      <c r="D37" s="24" t="s">
        <v>419</v>
      </c>
      <c r="E37" s="25">
        <f>SUMIFS(전체리스트!D:D,전체리스트!A:A,B37,전체리스트!C:C,D37)</f>
        <v>190980</v>
      </c>
      <c r="F37" s="26">
        <f t="shared" si="18"/>
        <v>76392</v>
      </c>
      <c r="G37" s="27">
        <f>SUMIFS(전체리스트!E:E,전체리스트!A:A,B37,전체리스트!C:C,D37)</f>
        <v>114588</v>
      </c>
      <c r="H37" s="25">
        <f t="shared" si="19"/>
        <v>5729.4000000000005</v>
      </c>
      <c r="I37" s="28">
        <f t="shared" si="20"/>
        <v>108858.6</v>
      </c>
      <c r="J37" s="24"/>
    </row>
    <row r="38" spans="2:10">
      <c r="B38" s="24" t="s">
        <v>214</v>
      </c>
      <c r="C38" s="55" t="str">
        <f t="shared" si="13"/>
        <v>12월분</v>
      </c>
      <c r="D38" s="24" t="s">
        <v>219</v>
      </c>
      <c r="E38" s="25">
        <f>SUMIFS(전체리스트!D:D,전체리스트!A:A,B38,전체리스트!C:C,D38)</f>
        <v>12150</v>
      </c>
      <c r="F38" s="26">
        <f t="shared" si="14"/>
        <v>4860</v>
      </c>
      <c r="G38" s="27">
        <f>SUMIFS(전체리스트!E:E,전체리스트!A:A,B38,전체리스트!C:C,D38)</f>
        <v>7290</v>
      </c>
      <c r="H38" s="25">
        <f t="shared" si="15"/>
        <v>364.5</v>
      </c>
      <c r="I38" s="28">
        <f t="shared" si="16"/>
        <v>6925.5</v>
      </c>
      <c r="J38" s="24"/>
    </row>
    <row r="39" spans="2:10">
      <c r="B39" s="24" t="s">
        <v>214</v>
      </c>
      <c r="C39" s="55" t="str">
        <f t="shared" si="13"/>
        <v>12월분</v>
      </c>
      <c r="D39" s="24" t="s">
        <v>43</v>
      </c>
      <c r="E39" s="25">
        <f>SUMIFS(전체리스트!D:D,전체리스트!A:A,B39,전체리스트!C:C,D39)</f>
        <v>1260</v>
      </c>
      <c r="F39" s="26">
        <f t="shared" si="14"/>
        <v>504</v>
      </c>
      <c r="G39" s="27">
        <f>SUMIFS(전체리스트!E:E,전체리스트!A:A,B39,전체리스트!C:C,D39)</f>
        <v>756</v>
      </c>
      <c r="H39" s="25">
        <f t="shared" si="15"/>
        <v>37.800000000000004</v>
      </c>
      <c r="I39" s="28">
        <f t="shared" si="16"/>
        <v>718.2</v>
      </c>
      <c r="J39" s="24"/>
    </row>
    <row r="40" spans="2:10">
      <c r="B40" s="24" t="s">
        <v>214</v>
      </c>
      <c r="C40" s="55" t="str">
        <f t="shared" si="13"/>
        <v>12월분</v>
      </c>
      <c r="D40" s="24" t="s">
        <v>540</v>
      </c>
      <c r="E40" s="25">
        <f>SUMIFS(전체리스트!D:D,전체리스트!A:A,B40,전체리스트!C:C,D40)</f>
        <v>6840</v>
      </c>
      <c r="F40" s="26">
        <f t="shared" si="14"/>
        <v>2736</v>
      </c>
      <c r="G40" s="27">
        <f>SUMIFS(전체리스트!E:E,전체리스트!A:A,B40,전체리스트!C:C,D40)</f>
        <v>4104</v>
      </c>
      <c r="H40" s="25">
        <f t="shared" si="15"/>
        <v>205.20000000000002</v>
      </c>
      <c r="I40" s="28">
        <f t="shared" si="16"/>
        <v>3898.8</v>
      </c>
      <c r="J40" s="24"/>
    </row>
    <row r="41" spans="2:10">
      <c r="B41" s="24" t="s">
        <v>214</v>
      </c>
      <c r="C41" s="55" t="str">
        <f t="shared" si="13"/>
        <v>12월분</v>
      </c>
      <c r="D41" s="24" t="s">
        <v>527</v>
      </c>
      <c r="E41" s="25">
        <f>SUMIFS(전체리스트!D:D,전체리스트!A:A,B41,전체리스트!C:C,D41)</f>
        <v>7920</v>
      </c>
      <c r="F41" s="26">
        <f t="shared" si="14"/>
        <v>3168</v>
      </c>
      <c r="G41" s="27">
        <f>SUMIFS(전체리스트!E:E,전체리스트!A:A,B41,전체리스트!C:C,D41)</f>
        <v>4752</v>
      </c>
      <c r="H41" s="25">
        <f t="shared" si="15"/>
        <v>237.60000000000002</v>
      </c>
      <c r="I41" s="28">
        <f t="shared" si="16"/>
        <v>4514.3999999999996</v>
      </c>
      <c r="J41" s="24"/>
    </row>
    <row r="42" spans="2:10">
      <c r="B42" s="29" t="s">
        <v>322</v>
      </c>
      <c r="C42" s="29"/>
      <c r="D42" s="30"/>
      <c r="E42" s="31">
        <f t="shared" ref="E42:J42" si="29">SUM(E6:E41)</f>
        <v>3740940</v>
      </c>
      <c r="F42" s="31">
        <f t="shared" si="29"/>
        <v>1496376</v>
      </c>
      <c r="G42" s="31">
        <f t="shared" si="29"/>
        <v>2244564</v>
      </c>
      <c r="H42" s="31">
        <f t="shared" si="29"/>
        <v>112228.20000000001</v>
      </c>
      <c r="I42" s="31">
        <f t="shared" si="29"/>
        <v>2132335.7999999998</v>
      </c>
      <c r="J42" s="31">
        <f t="shared" si="2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B4:J19"/>
  <sheetViews>
    <sheetView workbookViewId="0">
      <selection activeCell="D26" sqref="D26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99</v>
      </c>
      <c r="C6" s="55" t="str">
        <f t="shared" ref="C6:C17" si="0">VLOOKUP(B6,raw_a,2,0)</f>
        <v>12월분</v>
      </c>
      <c r="D6" s="24" t="s">
        <v>22</v>
      </c>
      <c r="E6" s="25">
        <f>SUMIFS(전체리스트!D:D,전체리스트!A:A,B6,전체리스트!C:C,D6)</f>
        <v>108600</v>
      </c>
      <c r="F6" s="26">
        <f>E6-G6</f>
        <v>32580</v>
      </c>
      <c r="G6" s="27">
        <f>SUMIFS(전체리스트!E:E,전체리스트!A:A,B6,전체리스트!C:C,D6)</f>
        <v>76020</v>
      </c>
      <c r="H6" s="25">
        <f>G6*0.05</f>
        <v>3801</v>
      </c>
      <c r="I6" s="28">
        <f>G6-H6</f>
        <v>72219</v>
      </c>
      <c r="J6" s="24"/>
    </row>
    <row r="7" spans="2:10">
      <c r="B7" s="24" t="s">
        <v>99</v>
      </c>
      <c r="C7" s="55" t="str">
        <f t="shared" si="0"/>
        <v>12월분</v>
      </c>
      <c r="D7" s="24" t="s">
        <v>90</v>
      </c>
      <c r="E7" s="25">
        <f>SUMIFS(전체리스트!D:D,전체리스트!A:A,B7,전체리스트!C:C,D7)</f>
        <v>87900</v>
      </c>
      <c r="F7" s="26">
        <f t="shared" ref="F7:F17" si="1">E7-G7</f>
        <v>26370.000000000007</v>
      </c>
      <c r="G7" s="27">
        <f>SUMIFS(전체리스트!E:E,전체리스트!A:A,B7,전체리스트!C:C,D7)</f>
        <v>61529.999999999993</v>
      </c>
      <c r="H7" s="25">
        <f t="shared" ref="H7:H17" si="2">G7*0.05</f>
        <v>3076.5</v>
      </c>
      <c r="I7" s="28">
        <f t="shared" ref="I7:I13" si="3">G7-H7</f>
        <v>58453.499999999993</v>
      </c>
      <c r="J7" s="24"/>
    </row>
    <row r="8" spans="2:10">
      <c r="B8" s="24" t="s">
        <v>99</v>
      </c>
      <c r="C8" s="55" t="str">
        <f t="shared" si="0"/>
        <v>12월분</v>
      </c>
      <c r="D8" s="24" t="s">
        <v>95</v>
      </c>
      <c r="E8" s="25">
        <f>SUMIFS(전체리스트!D:D,전체리스트!A:A,B8,전체리스트!C:C,D8)</f>
        <v>60000</v>
      </c>
      <c r="F8" s="26">
        <f t="shared" si="1"/>
        <v>18000</v>
      </c>
      <c r="G8" s="27">
        <f>SUMIFS(전체리스트!E:E,전체리스트!A:A,B8,전체리스트!C:C,D8)</f>
        <v>42000</v>
      </c>
      <c r="H8" s="25">
        <f t="shared" si="2"/>
        <v>2100</v>
      </c>
      <c r="I8" s="28">
        <f t="shared" si="3"/>
        <v>39900</v>
      </c>
      <c r="J8" s="24"/>
    </row>
    <row r="9" spans="2:10">
      <c r="B9" s="24" t="s">
        <v>99</v>
      </c>
      <c r="C9" s="55" t="str">
        <f t="shared" si="0"/>
        <v>12월분</v>
      </c>
      <c r="D9" s="24" t="s">
        <v>59</v>
      </c>
      <c r="E9" s="25">
        <f>SUMIFS(전체리스트!D:D,전체리스트!A:A,B9,전체리스트!C:C,D9)</f>
        <v>24300</v>
      </c>
      <c r="F9" s="26">
        <f t="shared" si="1"/>
        <v>7290</v>
      </c>
      <c r="G9" s="27">
        <f>SUMIFS(전체리스트!E:E,전체리스트!A:A,B9,전체리스트!C:C,D9)</f>
        <v>17010</v>
      </c>
      <c r="H9" s="25">
        <f t="shared" si="2"/>
        <v>850.5</v>
      </c>
      <c r="I9" s="28">
        <f t="shared" si="3"/>
        <v>16159.5</v>
      </c>
      <c r="J9" s="24"/>
    </row>
    <row r="10" spans="2:10">
      <c r="B10" s="24" t="s">
        <v>99</v>
      </c>
      <c r="C10" s="55" t="str">
        <f t="shared" si="0"/>
        <v>12월분</v>
      </c>
      <c r="D10" s="24" t="s">
        <v>62</v>
      </c>
      <c r="E10" s="25">
        <f>SUMIFS(전체리스트!D:D,전체리스트!A:A,B10,전체리스트!C:C,D10)</f>
        <v>18800</v>
      </c>
      <c r="F10" s="26">
        <f t="shared" si="1"/>
        <v>5640</v>
      </c>
      <c r="G10" s="27">
        <f>SUMIFS(전체리스트!E:E,전체리스트!A:A,B10,전체리스트!C:C,D10)</f>
        <v>13160</v>
      </c>
      <c r="H10" s="25">
        <f t="shared" si="2"/>
        <v>658</v>
      </c>
      <c r="I10" s="28">
        <f t="shared" si="3"/>
        <v>12502</v>
      </c>
      <c r="J10" s="24"/>
    </row>
    <row r="11" spans="2:10">
      <c r="B11" s="24" t="s">
        <v>99</v>
      </c>
      <c r="C11" s="55" t="str">
        <f t="shared" si="0"/>
        <v>12월분</v>
      </c>
      <c r="D11" s="24" t="s">
        <v>12</v>
      </c>
      <c r="E11" s="25">
        <f>SUMIFS(전체리스트!D:D,전체리스트!A:A,B11,전체리스트!C:C,D11)</f>
        <v>5900</v>
      </c>
      <c r="F11" s="26">
        <f t="shared" si="1"/>
        <v>1770</v>
      </c>
      <c r="G11" s="27">
        <f>SUMIFS(전체리스트!E:E,전체리스트!A:A,B11,전체리스트!C:C,D11)</f>
        <v>4130</v>
      </c>
      <c r="H11" s="25">
        <f t="shared" si="2"/>
        <v>206.5</v>
      </c>
      <c r="I11" s="28">
        <f t="shared" si="3"/>
        <v>3923.5</v>
      </c>
      <c r="J11" s="24"/>
    </row>
    <row r="12" spans="2:10">
      <c r="B12" s="24" t="s">
        <v>99</v>
      </c>
      <c r="C12" s="55" t="str">
        <f t="shared" si="0"/>
        <v>12월분</v>
      </c>
      <c r="D12" s="24" t="s">
        <v>523</v>
      </c>
      <c r="E12" s="25">
        <f>SUMIFS(전체리스트!D:D,전체리스트!A:A,B12,전체리스트!C:C,D12)</f>
        <v>1500</v>
      </c>
      <c r="F12" s="26">
        <f t="shared" si="1"/>
        <v>450</v>
      </c>
      <c r="G12" s="27">
        <f>SUMIFS(전체리스트!E:E,전체리스트!A:A,B12,전체리스트!C:C,D12)</f>
        <v>1050</v>
      </c>
      <c r="H12" s="25">
        <f t="shared" si="2"/>
        <v>52.5</v>
      </c>
      <c r="I12" s="28">
        <f t="shared" si="3"/>
        <v>997.5</v>
      </c>
      <c r="J12" s="24"/>
    </row>
    <row r="13" spans="2:10">
      <c r="B13" s="24" t="s">
        <v>99</v>
      </c>
      <c r="C13" s="55" t="str">
        <f t="shared" si="0"/>
        <v>12월분</v>
      </c>
      <c r="D13" s="24" t="s">
        <v>101</v>
      </c>
      <c r="E13" s="25">
        <f>SUMIFS(전체리스트!D:D,전체리스트!A:A,B13,전체리스트!C:C,D13)</f>
        <v>1200</v>
      </c>
      <c r="F13" s="26">
        <f t="shared" si="1"/>
        <v>360</v>
      </c>
      <c r="G13" s="27">
        <f>SUMIFS(전체리스트!E:E,전체리스트!A:A,B13,전체리스트!C:C,D13)</f>
        <v>840</v>
      </c>
      <c r="H13" s="25">
        <f t="shared" si="2"/>
        <v>42</v>
      </c>
      <c r="I13" s="28">
        <f t="shared" si="3"/>
        <v>798</v>
      </c>
      <c r="J13" s="24"/>
    </row>
    <row r="14" spans="2:10">
      <c r="B14" s="24" t="s">
        <v>99</v>
      </c>
      <c r="C14" s="55" t="str">
        <f t="shared" si="0"/>
        <v>12월분</v>
      </c>
      <c r="D14" s="24" t="s">
        <v>21</v>
      </c>
      <c r="E14" s="25">
        <f>SUMIFS(전체리스트!D:D,전체리스트!A:A,B14,전체리스트!C:C,D14)</f>
        <v>1200</v>
      </c>
      <c r="F14" s="26">
        <f t="shared" si="1"/>
        <v>360</v>
      </c>
      <c r="G14" s="27">
        <f>SUMIFS(전체리스트!E:E,전체리스트!A:A,B14,전체리스트!C:C,D14)</f>
        <v>840</v>
      </c>
      <c r="H14" s="25">
        <f t="shared" si="2"/>
        <v>42</v>
      </c>
      <c r="I14" s="28">
        <f>G14-H14</f>
        <v>798</v>
      </c>
      <c r="J14" s="24"/>
    </row>
    <row r="15" spans="2:10">
      <c r="B15" s="24" t="s">
        <v>99</v>
      </c>
      <c r="C15" s="55" t="str">
        <f t="shared" si="0"/>
        <v>12월분</v>
      </c>
      <c r="D15" s="24" t="s">
        <v>58</v>
      </c>
      <c r="E15" s="25">
        <f>SUMIFS(전체리스트!D:D,전체리스트!A:A,B15,전체리스트!C:C,D15)</f>
        <v>900</v>
      </c>
      <c r="F15" s="26">
        <f t="shared" si="1"/>
        <v>270</v>
      </c>
      <c r="G15" s="27">
        <f>SUMIFS(전체리스트!E:E,전체리스트!A:A,B15,전체리스트!C:C,D15)</f>
        <v>630</v>
      </c>
      <c r="H15" s="25">
        <f t="shared" si="2"/>
        <v>31.5</v>
      </c>
      <c r="I15" s="28">
        <f t="shared" ref="I15:I17" si="4">G15-H15</f>
        <v>598.5</v>
      </c>
      <c r="J15" s="24"/>
    </row>
    <row r="16" spans="2:10">
      <c r="B16" s="24" t="s">
        <v>99</v>
      </c>
      <c r="C16" s="55" t="str">
        <f t="shared" si="0"/>
        <v>12월분</v>
      </c>
      <c r="D16" s="24" t="s">
        <v>57</v>
      </c>
      <c r="E16" s="25">
        <f>SUMIFS(전체리스트!D:D,전체리스트!A:A,B16,전체리스트!C:C,D16)</f>
        <v>900</v>
      </c>
      <c r="F16" s="26">
        <f t="shared" si="1"/>
        <v>270</v>
      </c>
      <c r="G16" s="27">
        <f>SUMIFS(전체리스트!E:E,전체리스트!A:A,B16,전체리스트!C:C,D16)</f>
        <v>630</v>
      </c>
      <c r="H16" s="25">
        <f t="shared" si="2"/>
        <v>31.5</v>
      </c>
      <c r="I16" s="28">
        <f t="shared" si="4"/>
        <v>598.5</v>
      </c>
      <c r="J16" s="24"/>
    </row>
    <row r="17" spans="2:10">
      <c r="B17" s="24" t="s">
        <v>99</v>
      </c>
      <c r="C17" s="55" t="str">
        <f t="shared" si="0"/>
        <v>12월분</v>
      </c>
      <c r="D17" s="24" t="s">
        <v>55</v>
      </c>
      <c r="E17" s="25">
        <f>SUMIFS(전체리스트!D:D,전체리스트!A:A,B17,전체리스트!C:C,D17)</f>
        <v>600</v>
      </c>
      <c r="F17" s="26">
        <f t="shared" si="1"/>
        <v>180</v>
      </c>
      <c r="G17" s="27">
        <f>SUMIFS(전체리스트!E:E,전체리스트!A:A,B17,전체리스트!C:C,D17)</f>
        <v>420</v>
      </c>
      <c r="H17" s="25">
        <f t="shared" si="2"/>
        <v>21</v>
      </c>
      <c r="I17" s="28">
        <f t="shared" si="4"/>
        <v>399</v>
      </c>
      <c r="J17" s="24"/>
    </row>
    <row r="18" spans="2:10">
      <c r="B18" s="24" t="s">
        <v>99</v>
      </c>
      <c r="C18" s="55" t="str">
        <f t="shared" ref="C18" si="5">VLOOKUP(B18,raw_a,2,0)</f>
        <v>12월분</v>
      </c>
      <c r="D18" s="24" t="s">
        <v>197</v>
      </c>
      <c r="E18" s="25">
        <f>SUMIFS(전체리스트!D:D,전체리스트!A:A,B18,전체리스트!C:C,D18)</f>
        <v>300</v>
      </c>
      <c r="F18" s="26">
        <f t="shared" ref="F18" si="6">E18-G18</f>
        <v>90</v>
      </c>
      <c r="G18" s="27">
        <f>SUMIFS(전체리스트!E:E,전체리스트!A:A,B18,전체리스트!C:C,D18)</f>
        <v>210</v>
      </c>
      <c r="H18" s="25">
        <f t="shared" ref="H18" si="7">G18*0.05</f>
        <v>10.5</v>
      </c>
      <c r="I18" s="28">
        <f t="shared" ref="I18" si="8">G18-H18</f>
        <v>199.5</v>
      </c>
      <c r="J18" s="24"/>
    </row>
    <row r="19" spans="2:10">
      <c r="B19" s="29" t="s">
        <v>322</v>
      </c>
      <c r="C19" s="29"/>
      <c r="D19" s="30"/>
      <c r="E19" s="31">
        <f t="shared" ref="E19:J19" si="9">SUM(E6:E18)</f>
        <v>312100</v>
      </c>
      <c r="F19" s="31">
        <f t="shared" si="9"/>
        <v>93630</v>
      </c>
      <c r="G19" s="31">
        <f>SUM(G6:G18)</f>
        <v>218470</v>
      </c>
      <c r="H19" s="31">
        <f t="shared" si="9"/>
        <v>10923.5</v>
      </c>
      <c r="I19" s="31">
        <f t="shared" si="9"/>
        <v>207546.5</v>
      </c>
      <c r="J19" s="31">
        <f t="shared" si="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B4:J28"/>
  <sheetViews>
    <sheetView workbookViewId="0">
      <selection activeCell="G31" sqref="G31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222</v>
      </c>
      <c r="C6" s="55" t="str">
        <f t="shared" ref="C6:C14" si="0">VLOOKUP(B6,raw_a,2,0)</f>
        <v>11월분</v>
      </c>
      <c r="D6" s="24" t="s">
        <v>22</v>
      </c>
      <c r="E6" s="25">
        <f>SUMIFS(전체리스트!D:D,전체리스트!A:A,B6,전체리스트!C:C,D6)</f>
        <v>166600</v>
      </c>
      <c r="F6" s="26">
        <f t="shared" ref="F6:F14" si="1">E6-G6</f>
        <v>61642</v>
      </c>
      <c r="G6" s="27">
        <f>SUMIFS(전체리스트!E:E,전체리스트!A:A,B6,전체리스트!C:C,D6)</f>
        <v>104958</v>
      </c>
      <c r="H6" s="25">
        <f>G6*0.05</f>
        <v>5247.9000000000005</v>
      </c>
      <c r="I6" s="28">
        <f t="shared" ref="I6:I14" si="2">G6-H6</f>
        <v>99710.1</v>
      </c>
      <c r="J6" s="24"/>
    </row>
    <row r="7" spans="2:10">
      <c r="B7" s="24" t="s">
        <v>222</v>
      </c>
      <c r="C7" s="55" t="str">
        <f t="shared" si="0"/>
        <v>11월분</v>
      </c>
      <c r="D7" s="24" t="s">
        <v>9</v>
      </c>
      <c r="E7" s="25">
        <f>SUMIFS(전체리스트!D:D,전체리스트!A:A,B7,전체리스트!C:C,D7)</f>
        <v>3100</v>
      </c>
      <c r="F7" s="26">
        <f t="shared" si="1"/>
        <v>1147.0000000000002</v>
      </c>
      <c r="G7" s="27">
        <f>SUMIFS(전체리스트!E:E,전체리스트!A:A,B7,전체리스트!C:C,D7)</f>
        <v>1952.9999999999998</v>
      </c>
      <c r="H7" s="25">
        <f t="shared" ref="H7:H11" si="3">G7*0.05</f>
        <v>97.649999999999991</v>
      </c>
      <c r="I7" s="28">
        <f t="shared" si="2"/>
        <v>1855.3499999999997</v>
      </c>
      <c r="J7" s="24"/>
    </row>
    <row r="8" spans="2:10">
      <c r="B8" s="24" t="s">
        <v>222</v>
      </c>
      <c r="C8" s="55" t="str">
        <f t="shared" si="0"/>
        <v>11월분</v>
      </c>
      <c r="D8" s="24" t="s">
        <v>90</v>
      </c>
      <c r="E8" s="25">
        <f>SUMIFS(전체리스트!D:D,전체리스트!A:A,B8,전체리스트!C:C,D8)</f>
        <v>143300</v>
      </c>
      <c r="F8" s="26">
        <f t="shared" si="1"/>
        <v>53021</v>
      </c>
      <c r="G8" s="27">
        <f>SUMIFS(전체리스트!E:E,전체리스트!A:A,B8,전체리스트!C:C,D8)</f>
        <v>90279</v>
      </c>
      <c r="H8" s="25">
        <f t="shared" si="3"/>
        <v>4513.95</v>
      </c>
      <c r="I8" s="28">
        <f t="shared" si="2"/>
        <v>85765.05</v>
      </c>
      <c r="J8" s="24"/>
    </row>
    <row r="9" spans="2:10">
      <c r="B9" s="24" t="s">
        <v>222</v>
      </c>
      <c r="C9" s="55" t="str">
        <f t="shared" si="0"/>
        <v>11월분</v>
      </c>
      <c r="D9" s="24" t="s">
        <v>12</v>
      </c>
      <c r="E9" s="25">
        <f>SUMIFS(전체리스트!D:D,전체리스트!A:A,B9,전체리스트!C:C,D9)</f>
        <v>28300</v>
      </c>
      <c r="F9" s="26">
        <f t="shared" si="1"/>
        <v>10471</v>
      </c>
      <c r="G9" s="27">
        <f>SUMIFS(전체리스트!E:E,전체리스트!A:A,B9,전체리스트!C:C,D9)</f>
        <v>17829</v>
      </c>
      <c r="H9" s="25">
        <f t="shared" si="3"/>
        <v>891.45</v>
      </c>
      <c r="I9" s="28">
        <f t="shared" si="2"/>
        <v>16937.55</v>
      </c>
      <c r="J9" s="24"/>
    </row>
    <row r="10" spans="2:10">
      <c r="B10" s="24" t="s">
        <v>222</v>
      </c>
      <c r="C10" s="55" t="str">
        <f t="shared" si="0"/>
        <v>11월분</v>
      </c>
      <c r="D10" s="24" t="s">
        <v>166</v>
      </c>
      <c r="E10" s="25">
        <f>SUMIFS(전체리스트!D:D,전체리스트!A:A,B10,전체리스트!C:C,D10)</f>
        <v>102480</v>
      </c>
      <c r="F10" s="26">
        <f t="shared" si="1"/>
        <v>37917.600000000006</v>
      </c>
      <c r="G10" s="27">
        <f>SUMIFS(전체리스트!E:E,전체리스트!A:A,B10,전체리스트!C:C,D10)</f>
        <v>64562.399999999994</v>
      </c>
      <c r="H10" s="25">
        <f t="shared" si="3"/>
        <v>3228.12</v>
      </c>
      <c r="I10" s="28">
        <f t="shared" si="2"/>
        <v>61334.279999999992</v>
      </c>
      <c r="J10" s="24"/>
    </row>
    <row r="11" spans="2:10">
      <c r="B11" s="24" t="s">
        <v>222</v>
      </c>
      <c r="C11" s="55" t="str">
        <f t="shared" si="0"/>
        <v>11월분</v>
      </c>
      <c r="D11" s="24" t="s">
        <v>223</v>
      </c>
      <c r="E11" s="25">
        <f>SUMIFS(전체리스트!D:D,전체리스트!A:A,B11,전체리스트!C:C,D11)</f>
        <v>20600</v>
      </c>
      <c r="F11" s="26">
        <f t="shared" si="1"/>
        <v>7622</v>
      </c>
      <c r="G11" s="27">
        <f>SUMIFS(전체리스트!E:E,전체리스트!A:A,B11,전체리스트!C:C,D11)</f>
        <v>12978</v>
      </c>
      <c r="H11" s="25">
        <f t="shared" si="3"/>
        <v>648.90000000000009</v>
      </c>
      <c r="I11" s="28">
        <f t="shared" si="2"/>
        <v>12329.1</v>
      </c>
      <c r="J11" s="24"/>
    </row>
    <row r="12" spans="2:10">
      <c r="B12" s="24" t="s">
        <v>222</v>
      </c>
      <c r="C12" s="55" t="str">
        <f t="shared" si="0"/>
        <v>11월분</v>
      </c>
      <c r="D12" s="24" t="s">
        <v>167</v>
      </c>
      <c r="E12" s="25">
        <f>SUMIFS(전체리스트!D:D,전체리스트!A:A,B12,전체리스트!C:C,D12)</f>
        <v>18600</v>
      </c>
      <c r="F12" s="26">
        <f t="shared" si="1"/>
        <v>6882</v>
      </c>
      <c r="G12" s="27">
        <f>SUMIFS(전체리스트!E:E,전체리스트!A:A,B12,전체리스트!C:C,D12)</f>
        <v>11718</v>
      </c>
      <c r="H12" s="25">
        <f>G12*0.05</f>
        <v>585.9</v>
      </c>
      <c r="I12" s="28">
        <f t="shared" si="2"/>
        <v>11132.1</v>
      </c>
      <c r="J12" s="24"/>
    </row>
    <row r="13" spans="2:10">
      <c r="B13" s="24" t="s">
        <v>222</v>
      </c>
      <c r="C13" s="55" t="str">
        <f t="shared" si="0"/>
        <v>11월분</v>
      </c>
      <c r="D13" s="24" t="s">
        <v>224</v>
      </c>
      <c r="E13" s="25">
        <f>SUMIFS(전체리스트!D:D,전체리스트!A:A,B13,전체리스트!C:C,D13)</f>
        <v>3600</v>
      </c>
      <c r="F13" s="26">
        <f t="shared" si="1"/>
        <v>1332</v>
      </c>
      <c r="G13" s="27">
        <f>SUMIFS(전체리스트!E:E,전체리스트!A:A,B13,전체리스트!C:C,D13)</f>
        <v>2268</v>
      </c>
      <c r="H13" s="25">
        <f t="shared" ref="H13:H14" si="4">G13*0.05</f>
        <v>113.4</v>
      </c>
      <c r="I13" s="28">
        <f t="shared" si="2"/>
        <v>2154.6</v>
      </c>
      <c r="J13" s="24"/>
    </row>
    <row r="14" spans="2:10">
      <c r="B14" s="24" t="s">
        <v>222</v>
      </c>
      <c r="C14" s="55" t="str">
        <f t="shared" si="0"/>
        <v>11월분</v>
      </c>
      <c r="D14" s="24" t="s">
        <v>13</v>
      </c>
      <c r="E14" s="25">
        <f>SUMIFS(전체리스트!D:D,전체리스트!A:A,B14,전체리스트!C:C,D14)</f>
        <v>56600</v>
      </c>
      <c r="F14" s="26">
        <f t="shared" si="1"/>
        <v>20942</v>
      </c>
      <c r="G14" s="27">
        <f>SUMIFS(전체리스트!E:E,전체리스트!A:A,B14,전체리스트!C:C,D14)</f>
        <v>35658</v>
      </c>
      <c r="H14" s="25">
        <f t="shared" si="4"/>
        <v>1782.9</v>
      </c>
      <c r="I14" s="28">
        <f t="shared" si="2"/>
        <v>33875.1</v>
      </c>
      <c r="J14" s="24"/>
    </row>
    <row r="15" spans="2:10">
      <c r="B15" s="24" t="s">
        <v>222</v>
      </c>
      <c r="C15" s="55" t="str">
        <f t="shared" ref="C15" si="5">VLOOKUP(B15,raw_a,2,0)</f>
        <v>11월분</v>
      </c>
      <c r="D15" s="24" t="s">
        <v>463</v>
      </c>
      <c r="E15" s="25">
        <f>SUMIFS(전체리스트!D:D,전체리스트!A:A,B15,전체리스트!C:C,D15)</f>
        <v>17680</v>
      </c>
      <c r="F15" s="26">
        <f t="shared" ref="F15" si="6">E15-G15</f>
        <v>6541.6</v>
      </c>
      <c r="G15" s="27">
        <f>SUMIFS(전체리스트!E:E,전체리스트!A:A,B15,전체리스트!C:C,D15)</f>
        <v>11138.4</v>
      </c>
      <c r="H15" s="25">
        <f t="shared" ref="H15:H27" si="7">G15*0.05</f>
        <v>556.91999999999996</v>
      </c>
      <c r="I15" s="28">
        <f t="shared" ref="I15" si="8">G15-H15</f>
        <v>10581.48</v>
      </c>
      <c r="J15" s="24"/>
    </row>
    <row r="16" spans="2:10">
      <c r="B16" s="24" t="s">
        <v>222</v>
      </c>
      <c r="C16" s="55" t="str">
        <f t="shared" ref="C16:C27" si="9">VLOOKUP(B16,raw_a,2,0)</f>
        <v>11월분</v>
      </c>
      <c r="D16" s="24" t="s">
        <v>376</v>
      </c>
      <c r="E16" s="25">
        <f>SUMIFS(전체리스트!D:D,전체리스트!A:A,B16,전체리스트!C:C,D16)</f>
        <v>20580</v>
      </c>
      <c r="F16" s="26">
        <f t="shared" ref="F16:F27" si="10">E16-G16</f>
        <v>7614.6</v>
      </c>
      <c r="G16" s="27">
        <f>SUMIFS(전체리스트!E:E,전체리스트!A:A,B16,전체리스트!C:C,D16)</f>
        <v>12965.4</v>
      </c>
      <c r="H16" s="25">
        <f t="shared" si="7"/>
        <v>648.27</v>
      </c>
      <c r="I16" s="28">
        <f t="shared" ref="I16:I27" si="11">G16-H16</f>
        <v>12317.13</v>
      </c>
      <c r="J16" s="24"/>
    </row>
    <row r="17" spans="2:10">
      <c r="B17" s="24" t="s">
        <v>222</v>
      </c>
      <c r="C17" s="55" t="str">
        <f t="shared" si="9"/>
        <v>11월분</v>
      </c>
      <c r="D17" s="24" t="s">
        <v>464</v>
      </c>
      <c r="E17" s="25">
        <f>SUMIFS(전체리스트!D:D,전체리스트!A:A,B17,전체리스트!C:C,D17)</f>
        <v>1000</v>
      </c>
      <c r="F17" s="26">
        <f t="shared" si="10"/>
        <v>370</v>
      </c>
      <c r="G17" s="27">
        <f>SUMIFS(전체리스트!E:E,전체리스트!A:A,B17,전체리스트!C:C,D17)</f>
        <v>630</v>
      </c>
      <c r="H17" s="25">
        <f t="shared" si="7"/>
        <v>31.5</v>
      </c>
      <c r="I17" s="28">
        <f t="shared" si="11"/>
        <v>598.5</v>
      </c>
      <c r="J17" s="24"/>
    </row>
    <row r="18" spans="2:10">
      <c r="B18" s="24" t="s">
        <v>222</v>
      </c>
      <c r="C18" s="55" t="str">
        <f t="shared" si="9"/>
        <v>11월분</v>
      </c>
      <c r="D18" s="24" t="s">
        <v>62</v>
      </c>
      <c r="E18" s="25">
        <f>SUMIFS(전체리스트!D:D,전체리스트!A:A,B18,전체리스트!C:C,D18)</f>
        <v>7000</v>
      </c>
      <c r="F18" s="26">
        <f t="shared" si="10"/>
        <v>2590</v>
      </c>
      <c r="G18" s="27">
        <f>SUMIFS(전체리스트!E:E,전체리스트!A:A,B18,전체리스트!C:C,D18)</f>
        <v>4410</v>
      </c>
      <c r="H18" s="25">
        <f t="shared" si="7"/>
        <v>220.5</v>
      </c>
      <c r="I18" s="28">
        <f t="shared" si="11"/>
        <v>4189.5</v>
      </c>
      <c r="J18" s="24"/>
    </row>
    <row r="19" spans="2:10">
      <c r="B19" s="24" t="s">
        <v>222</v>
      </c>
      <c r="C19" s="55" t="str">
        <f t="shared" si="9"/>
        <v>11월분</v>
      </c>
      <c r="D19" s="24" t="s">
        <v>101</v>
      </c>
      <c r="E19" s="25">
        <f>SUMIFS(전체리스트!D:D,전체리스트!A:A,B19,전체리스트!C:C,D19)</f>
        <v>8560</v>
      </c>
      <c r="F19" s="26">
        <f t="shared" si="10"/>
        <v>3167.2000000000007</v>
      </c>
      <c r="G19" s="27">
        <f>SUMIFS(전체리스트!E:E,전체리스트!A:A,B19,전체리스트!C:C,D19)</f>
        <v>5392.7999999999993</v>
      </c>
      <c r="H19" s="25">
        <f t="shared" si="7"/>
        <v>269.64</v>
      </c>
      <c r="I19" s="28">
        <f t="shared" si="11"/>
        <v>5123.1599999999989</v>
      </c>
      <c r="J19" s="24"/>
    </row>
    <row r="20" spans="2:10">
      <c r="B20" s="24" t="s">
        <v>222</v>
      </c>
      <c r="C20" s="55" t="str">
        <f t="shared" si="9"/>
        <v>11월분</v>
      </c>
      <c r="D20" s="24" t="s">
        <v>95</v>
      </c>
      <c r="E20" s="25">
        <f>SUMIFS(전체리스트!D:D,전체리스트!A:A,B20,전체리스트!C:C,D20)</f>
        <v>12000</v>
      </c>
      <c r="F20" s="26">
        <f t="shared" si="10"/>
        <v>4440.0000000000009</v>
      </c>
      <c r="G20" s="27">
        <f>SUMIFS(전체리스트!E:E,전체리스트!A:A,B20,전체리스트!C:C,D20)</f>
        <v>7559.9999999999991</v>
      </c>
      <c r="H20" s="25">
        <f t="shared" si="7"/>
        <v>378</v>
      </c>
      <c r="I20" s="28">
        <f t="shared" si="11"/>
        <v>7181.9999999999991</v>
      </c>
      <c r="J20" s="24"/>
    </row>
    <row r="21" spans="2:10">
      <c r="B21" s="24" t="s">
        <v>222</v>
      </c>
      <c r="C21" s="55" t="str">
        <f t="shared" si="9"/>
        <v>11월분</v>
      </c>
      <c r="D21" s="24" t="s">
        <v>112</v>
      </c>
      <c r="E21" s="25">
        <f>SUMIFS(전체리스트!D:D,전체리스트!A:A,B21,전체리스트!C:C,D21)</f>
        <v>33400</v>
      </c>
      <c r="F21" s="26">
        <f t="shared" si="10"/>
        <v>12358</v>
      </c>
      <c r="G21" s="27">
        <f>SUMIFS(전체리스트!E:E,전체리스트!A:A,B21,전체리스트!C:C,D21)</f>
        <v>21042</v>
      </c>
      <c r="H21" s="25">
        <f t="shared" si="7"/>
        <v>1052.1000000000001</v>
      </c>
      <c r="I21" s="28">
        <f t="shared" si="11"/>
        <v>19989.900000000001</v>
      </c>
      <c r="J21" s="24"/>
    </row>
    <row r="22" spans="2:10">
      <c r="B22" s="24" t="s">
        <v>222</v>
      </c>
      <c r="C22" s="55" t="str">
        <f t="shared" si="9"/>
        <v>11월분</v>
      </c>
      <c r="D22" s="24" t="s">
        <v>29</v>
      </c>
      <c r="E22" s="25">
        <f>SUMIFS(전체리스트!D:D,전체리스트!A:A,B22,전체리스트!C:C,D22)</f>
        <v>15200</v>
      </c>
      <c r="F22" s="26">
        <f t="shared" si="10"/>
        <v>5624</v>
      </c>
      <c r="G22" s="27">
        <f>SUMIFS(전체리스트!E:E,전체리스트!A:A,B22,전체리스트!C:C,D22)</f>
        <v>9576</v>
      </c>
      <c r="H22" s="25">
        <f t="shared" si="7"/>
        <v>478.8</v>
      </c>
      <c r="I22" s="28">
        <f t="shared" si="11"/>
        <v>9097.2000000000007</v>
      </c>
      <c r="J22" s="24"/>
    </row>
    <row r="23" spans="2:10">
      <c r="B23" s="24" t="s">
        <v>222</v>
      </c>
      <c r="C23" s="55" t="str">
        <f t="shared" si="9"/>
        <v>11월분</v>
      </c>
      <c r="D23" s="24" t="s">
        <v>70</v>
      </c>
      <c r="E23" s="25">
        <f>SUMIFS(전체리스트!D:D,전체리스트!A:A,B23,전체리스트!C:C,D23)</f>
        <v>200</v>
      </c>
      <c r="F23" s="26">
        <f t="shared" si="10"/>
        <v>74.000000000000014</v>
      </c>
      <c r="G23" s="27">
        <f>SUMIFS(전체리스트!E:E,전체리스트!A:A,B23,전체리스트!C:C,D23)</f>
        <v>125.99999999999999</v>
      </c>
      <c r="H23" s="25">
        <f t="shared" si="7"/>
        <v>6.3</v>
      </c>
      <c r="I23" s="28">
        <f t="shared" si="11"/>
        <v>119.69999999999999</v>
      </c>
      <c r="J23" s="24"/>
    </row>
    <row r="24" spans="2:10">
      <c r="B24" s="24" t="s">
        <v>222</v>
      </c>
      <c r="C24" s="55" t="str">
        <f t="shared" si="9"/>
        <v>11월분</v>
      </c>
      <c r="D24" s="24" t="s">
        <v>32</v>
      </c>
      <c r="E24" s="25">
        <f>SUMIFS(전체리스트!D:D,전체리스트!A:A,B24,전체리스트!C:C,D24)</f>
        <v>600</v>
      </c>
      <c r="F24" s="26">
        <f t="shared" si="10"/>
        <v>222</v>
      </c>
      <c r="G24" s="27">
        <f>SUMIFS(전체리스트!E:E,전체리스트!A:A,B24,전체리스트!C:C,D24)</f>
        <v>378</v>
      </c>
      <c r="H24" s="25">
        <f t="shared" si="7"/>
        <v>18.900000000000002</v>
      </c>
      <c r="I24" s="28">
        <f t="shared" si="11"/>
        <v>359.1</v>
      </c>
      <c r="J24" s="24"/>
    </row>
    <row r="25" spans="2:10">
      <c r="B25" s="24" t="s">
        <v>222</v>
      </c>
      <c r="C25" s="55" t="str">
        <f t="shared" si="9"/>
        <v>11월분</v>
      </c>
      <c r="D25" s="24" t="s">
        <v>205</v>
      </c>
      <c r="E25" s="25">
        <f>SUMIFS(전체리스트!D:D,전체리스트!A:A,B25,전체리스트!C:C,D25)</f>
        <v>13740</v>
      </c>
      <c r="F25" s="26">
        <f t="shared" si="10"/>
        <v>5083.8000000000011</v>
      </c>
      <c r="G25" s="27">
        <f>SUMIFS(전체리스트!E:E,전체리스트!A:A,B25,전체리스트!C:C,D25)</f>
        <v>8656.1999999999989</v>
      </c>
      <c r="H25" s="25">
        <f t="shared" si="7"/>
        <v>432.80999999999995</v>
      </c>
      <c r="I25" s="28">
        <f t="shared" si="11"/>
        <v>8223.39</v>
      </c>
      <c r="J25" s="24"/>
    </row>
    <row r="26" spans="2:10">
      <c r="B26" s="24" t="s">
        <v>222</v>
      </c>
      <c r="C26" s="55" t="str">
        <f t="shared" si="9"/>
        <v>11월분</v>
      </c>
      <c r="D26" s="24" t="s">
        <v>383</v>
      </c>
      <c r="E26" s="25">
        <f>SUMIFS(전체리스트!D:D,전체리스트!A:A,B26,전체리스트!C:C,D26)</f>
        <v>27900</v>
      </c>
      <c r="F26" s="26">
        <f t="shared" si="10"/>
        <v>10323</v>
      </c>
      <c r="G26" s="27">
        <f>SUMIFS(전체리스트!E:E,전체리스트!A:A,B26,전체리스트!C:C,D26)</f>
        <v>17577</v>
      </c>
      <c r="H26" s="25">
        <f t="shared" si="7"/>
        <v>878.85</v>
      </c>
      <c r="I26" s="28">
        <f t="shared" si="11"/>
        <v>16698.150000000001</v>
      </c>
      <c r="J26" s="24"/>
    </row>
    <row r="27" spans="2:10">
      <c r="B27" s="24" t="s">
        <v>222</v>
      </c>
      <c r="C27" s="55" t="str">
        <f t="shared" si="9"/>
        <v>11월분</v>
      </c>
      <c r="D27" s="24" t="s">
        <v>360</v>
      </c>
      <c r="E27" s="25">
        <f>SUMIFS(전체리스트!D:D,전체리스트!A:A,B27,전체리스트!C:C,D27)</f>
        <v>68730</v>
      </c>
      <c r="F27" s="26">
        <f t="shared" si="10"/>
        <v>25430.100000000006</v>
      </c>
      <c r="G27" s="27">
        <f>SUMIFS(전체리스트!E:E,전체리스트!A:A,B27,전체리스트!C:C,D27)</f>
        <v>43299.899999999994</v>
      </c>
      <c r="H27" s="25">
        <f t="shared" si="7"/>
        <v>2164.9949999999999</v>
      </c>
      <c r="I27" s="28">
        <f t="shared" si="11"/>
        <v>41134.904999999992</v>
      </c>
      <c r="J27" s="24"/>
    </row>
    <row r="28" spans="2:10">
      <c r="B28" s="29" t="s">
        <v>322</v>
      </c>
      <c r="C28" s="29"/>
      <c r="D28" s="30"/>
      <c r="E28" s="31">
        <f>SUM(E6:E27)</f>
        <v>769770</v>
      </c>
      <c r="F28" s="31">
        <f>SUM(F6:F27)</f>
        <v>284814.90000000002</v>
      </c>
      <c r="G28" s="31">
        <f>SUM(G6:G27)</f>
        <v>484955.10000000009</v>
      </c>
      <c r="H28" s="31">
        <f>SUM(H6:H27)</f>
        <v>24247.754999999994</v>
      </c>
      <c r="I28" s="31">
        <f>SUM(I6:I27)</f>
        <v>460707.34499999986</v>
      </c>
      <c r="J28" s="31">
        <f t="shared" ref="J28" si="12">SUM(J6:J15)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B4:J24"/>
  <sheetViews>
    <sheetView workbookViewId="0">
      <selection activeCell="J28" sqref="J28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225</v>
      </c>
      <c r="C6" s="55" t="str">
        <f t="shared" ref="C6:C8" si="0">VLOOKUP(B6,raw_a,2,0)</f>
        <v>11월분</v>
      </c>
      <c r="D6" s="24" t="s">
        <v>101</v>
      </c>
      <c r="E6" s="25">
        <f>SUMIFS(전체리스트!D:D,전체리스트!A:A,B6,전체리스트!C:C,D6)</f>
        <v>3400</v>
      </c>
      <c r="F6" s="26">
        <f t="shared" ref="F6:F8" si="1">E6-G6</f>
        <v>1258</v>
      </c>
      <c r="G6" s="27">
        <f>SUMIFS(전체리스트!E:E,전체리스트!A:A,B6,전체리스트!C:C,D6)</f>
        <v>2142</v>
      </c>
      <c r="H6" s="25">
        <f>G6*0.05</f>
        <v>107.10000000000001</v>
      </c>
      <c r="I6" s="28">
        <f t="shared" ref="I6:I8" si="2">G6-H6</f>
        <v>2034.9</v>
      </c>
      <c r="J6" s="24"/>
    </row>
    <row r="7" spans="2:10">
      <c r="B7" s="24" t="s">
        <v>225</v>
      </c>
      <c r="C7" s="55" t="str">
        <f t="shared" si="0"/>
        <v>11월분</v>
      </c>
      <c r="D7" s="24" t="s">
        <v>55</v>
      </c>
      <c r="E7" s="25">
        <f>SUMIFS(전체리스트!D:D,전체리스트!A:A,B7,전체리스트!C:C,D7)</f>
        <v>8640</v>
      </c>
      <c r="F7" s="26">
        <f t="shared" si="1"/>
        <v>3196.8</v>
      </c>
      <c r="G7" s="27">
        <f>SUMIFS(전체리스트!E:E,전체리스트!A:A,B7,전체리스트!C:C,D7)</f>
        <v>5443.2</v>
      </c>
      <c r="H7" s="25">
        <f t="shared" ref="H7:H8" si="3">G7*0.05</f>
        <v>272.16000000000003</v>
      </c>
      <c r="I7" s="28">
        <f t="shared" si="2"/>
        <v>5171.04</v>
      </c>
      <c r="J7" s="24"/>
    </row>
    <row r="8" spans="2:10">
      <c r="B8" s="24" t="s">
        <v>225</v>
      </c>
      <c r="C8" s="55" t="str">
        <f t="shared" si="0"/>
        <v>11월분</v>
      </c>
      <c r="D8" s="24" t="s">
        <v>90</v>
      </c>
      <c r="E8" s="25">
        <f>SUMIFS(전체리스트!D:D,전체리스트!A:A,B8,전체리스트!C:C,D8)</f>
        <v>8900</v>
      </c>
      <c r="F8" s="26">
        <f t="shared" si="1"/>
        <v>3293</v>
      </c>
      <c r="G8" s="27">
        <f>SUMIFS(전체리스트!E:E,전체리스트!A:A,B8,전체리스트!C:C,D8)</f>
        <v>5607</v>
      </c>
      <c r="H8" s="25">
        <f t="shared" si="3"/>
        <v>280.35000000000002</v>
      </c>
      <c r="I8" s="28">
        <f t="shared" si="2"/>
        <v>5326.65</v>
      </c>
      <c r="J8" s="24"/>
    </row>
    <row r="9" spans="2:10">
      <c r="B9" s="24" t="s">
        <v>225</v>
      </c>
      <c r="C9" s="55" t="str">
        <f t="shared" ref="C9:C11" si="4">VLOOKUP(B9,raw_a,2,0)</f>
        <v>11월분</v>
      </c>
      <c r="D9" s="24" t="s">
        <v>463</v>
      </c>
      <c r="E9" s="25">
        <f>SUMIFS(전체리스트!D:D,전체리스트!A:A,B9,전체리스트!C:C,D9)</f>
        <v>2600</v>
      </c>
      <c r="F9" s="26">
        <f t="shared" ref="F9:F11" si="5">E9-G9</f>
        <v>962</v>
      </c>
      <c r="G9" s="27">
        <f>SUMIFS(전체리스트!E:E,전체리스트!A:A,B9,전체리스트!C:C,D9)</f>
        <v>1638</v>
      </c>
      <c r="H9" s="25">
        <f t="shared" ref="H9" si="6">G9*0.05</f>
        <v>81.900000000000006</v>
      </c>
      <c r="I9" s="28">
        <f t="shared" ref="I9:I11" si="7">G9-H9</f>
        <v>1556.1</v>
      </c>
      <c r="J9" s="24"/>
    </row>
    <row r="10" spans="2:10">
      <c r="B10" s="24" t="s">
        <v>225</v>
      </c>
      <c r="C10" s="55" t="str">
        <f t="shared" si="4"/>
        <v>11월분</v>
      </c>
      <c r="D10" s="24" t="s">
        <v>464</v>
      </c>
      <c r="E10" s="25">
        <f>SUMIFS(전체리스트!D:D,전체리스트!A:A,B10,전체리스트!C:C,D10)</f>
        <v>3200</v>
      </c>
      <c r="F10" s="26">
        <f t="shared" si="5"/>
        <v>1184.0000000000002</v>
      </c>
      <c r="G10" s="27">
        <f>SUMIFS(전체리스트!E:E,전체리스트!A:A,B10,전체리스트!C:C,D10)</f>
        <v>2015.9999999999998</v>
      </c>
      <c r="H10" s="25">
        <f>G10*0.05</f>
        <v>100.8</v>
      </c>
      <c r="I10" s="28">
        <f t="shared" si="7"/>
        <v>1915.1999999999998</v>
      </c>
      <c r="J10" s="24"/>
    </row>
    <row r="11" spans="2:10">
      <c r="B11" s="24" t="s">
        <v>225</v>
      </c>
      <c r="C11" s="55" t="str">
        <f t="shared" si="4"/>
        <v>11월분</v>
      </c>
      <c r="D11" s="24" t="s">
        <v>13</v>
      </c>
      <c r="E11" s="25">
        <f>SUMIFS(전체리스트!D:D,전체리스트!A:A,B11,전체리스트!C:C,D11)</f>
        <v>6400</v>
      </c>
      <c r="F11" s="26">
        <f t="shared" si="5"/>
        <v>2368.0000000000005</v>
      </c>
      <c r="G11" s="27">
        <f>SUMIFS(전체리스트!E:E,전체리스트!A:A,B11,전체리스트!C:C,D11)</f>
        <v>4031.9999999999995</v>
      </c>
      <c r="H11" s="25">
        <f t="shared" ref="H11" si="8">G11*0.05</f>
        <v>201.6</v>
      </c>
      <c r="I11" s="28">
        <f t="shared" si="7"/>
        <v>3830.3999999999996</v>
      </c>
      <c r="J11" s="24"/>
    </row>
    <row r="12" spans="2:10">
      <c r="B12" s="24" t="s">
        <v>225</v>
      </c>
      <c r="C12" s="55" t="str">
        <f t="shared" ref="C12:C23" si="9">VLOOKUP(B12,raw_a,2,0)</f>
        <v>11월분</v>
      </c>
      <c r="D12" s="24" t="s">
        <v>29</v>
      </c>
      <c r="E12" s="25">
        <f>SUMIFS(전체리스트!D:D,전체리스트!A:A,B12,전체리스트!C:C,D12)</f>
        <v>800</v>
      </c>
      <c r="F12" s="26">
        <f t="shared" ref="F12:F23" si="10">E12-G12</f>
        <v>296.00000000000006</v>
      </c>
      <c r="G12" s="27">
        <f>SUMIFS(전체리스트!E:E,전체리스트!A:A,B12,전체리스트!C:C,D12)</f>
        <v>503.99999999999994</v>
      </c>
      <c r="H12" s="25">
        <f t="shared" ref="H12:H23" si="11">G12*0.05</f>
        <v>25.2</v>
      </c>
      <c r="I12" s="28">
        <f t="shared" ref="I12:I23" si="12">G12-H12</f>
        <v>478.79999999999995</v>
      </c>
      <c r="J12" s="24"/>
    </row>
    <row r="13" spans="2:10">
      <c r="B13" s="24" t="s">
        <v>225</v>
      </c>
      <c r="C13" s="55" t="str">
        <f t="shared" si="9"/>
        <v>11월분</v>
      </c>
      <c r="D13" s="24" t="s">
        <v>22</v>
      </c>
      <c r="E13" s="25">
        <f>SUMIFS(전체리스트!D:D,전체리스트!A:A,B13,전체리스트!C:C,D13)</f>
        <v>4400</v>
      </c>
      <c r="F13" s="26">
        <f t="shared" si="10"/>
        <v>1628</v>
      </c>
      <c r="G13" s="27">
        <f>SUMIFS(전체리스트!E:E,전체리스트!A:A,B13,전체리스트!C:C,D13)</f>
        <v>2772</v>
      </c>
      <c r="H13" s="25">
        <f t="shared" si="11"/>
        <v>138.6</v>
      </c>
      <c r="I13" s="28">
        <f t="shared" si="12"/>
        <v>2633.4</v>
      </c>
      <c r="J13" s="24"/>
    </row>
    <row r="14" spans="2:10">
      <c r="B14" s="24" t="s">
        <v>225</v>
      </c>
      <c r="C14" s="55" t="str">
        <f t="shared" si="9"/>
        <v>11월분</v>
      </c>
      <c r="D14" s="24" t="s">
        <v>9</v>
      </c>
      <c r="E14" s="25">
        <f>SUMIFS(전체리스트!D:D,전체리스트!A:A,B14,전체리스트!C:C,D14)</f>
        <v>1300</v>
      </c>
      <c r="F14" s="26">
        <f t="shared" si="10"/>
        <v>481</v>
      </c>
      <c r="G14" s="27">
        <f>SUMIFS(전체리스트!E:E,전체리스트!A:A,B14,전체리스트!C:C,D14)</f>
        <v>819</v>
      </c>
      <c r="H14" s="25">
        <f t="shared" si="11"/>
        <v>40.950000000000003</v>
      </c>
      <c r="I14" s="28">
        <f t="shared" si="12"/>
        <v>778.05</v>
      </c>
      <c r="J14" s="24"/>
    </row>
    <row r="15" spans="2:10">
      <c r="B15" s="24" t="s">
        <v>225</v>
      </c>
      <c r="C15" s="55" t="str">
        <f t="shared" si="9"/>
        <v>11월분</v>
      </c>
      <c r="D15" s="24" t="s">
        <v>166</v>
      </c>
      <c r="E15" s="25">
        <f>SUMIFS(전체리스트!D:D,전체리스트!A:A,B15,전체리스트!C:C,D15)</f>
        <v>24280</v>
      </c>
      <c r="F15" s="26">
        <f t="shared" si="10"/>
        <v>8983.6</v>
      </c>
      <c r="G15" s="27">
        <f>SUMIFS(전체리스트!E:E,전체리스트!A:A,B15,전체리스트!C:C,D15)</f>
        <v>15296.4</v>
      </c>
      <c r="H15" s="25">
        <f t="shared" si="11"/>
        <v>764.82</v>
      </c>
      <c r="I15" s="28">
        <f t="shared" si="12"/>
        <v>14531.58</v>
      </c>
      <c r="J15" s="24"/>
    </row>
    <row r="16" spans="2:10">
      <c r="B16" s="24" t="s">
        <v>225</v>
      </c>
      <c r="C16" s="55" t="str">
        <f t="shared" si="9"/>
        <v>11월분</v>
      </c>
      <c r="D16" s="24" t="s">
        <v>62</v>
      </c>
      <c r="E16" s="25">
        <f>SUMIFS(전체리스트!D:D,전체리스트!A:A,B16,전체리스트!C:C,D16)</f>
        <v>10600</v>
      </c>
      <c r="F16" s="26">
        <f t="shared" si="10"/>
        <v>3922</v>
      </c>
      <c r="G16" s="27">
        <f>SUMIFS(전체리스트!E:E,전체리스트!A:A,B16,전체리스트!C:C,D16)</f>
        <v>6678</v>
      </c>
      <c r="H16" s="25">
        <f t="shared" si="11"/>
        <v>333.90000000000003</v>
      </c>
      <c r="I16" s="28">
        <f t="shared" si="12"/>
        <v>6344.1</v>
      </c>
      <c r="J16" s="24"/>
    </row>
    <row r="17" spans="2:10">
      <c r="B17" s="24" t="s">
        <v>225</v>
      </c>
      <c r="C17" s="55" t="str">
        <f t="shared" si="9"/>
        <v>11월분</v>
      </c>
      <c r="D17" s="24" t="s">
        <v>376</v>
      </c>
      <c r="E17" s="25">
        <f>SUMIFS(전체리스트!D:D,전체리스트!A:A,B17,전체리스트!C:C,D17)</f>
        <v>1200</v>
      </c>
      <c r="F17" s="26">
        <f t="shared" si="10"/>
        <v>444</v>
      </c>
      <c r="G17" s="27">
        <f>SUMIFS(전체리스트!E:E,전체리스트!A:A,B17,전체리스트!C:C,D17)</f>
        <v>756</v>
      </c>
      <c r="H17" s="25">
        <f t="shared" si="11"/>
        <v>37.800000000000004</v>
      </c>
      <c r="I17" s="28">
        <f t="shared" si="12"/>
        <v>718.2</v>
      </c>
      <c r="J17" s="24"/>
    </row>
    <row r="18" spans="2:10">
      <c r="B18" s="24" t="s">
        <v>225</v>
      </c>
      <c r="C18" s="55" t="str">
        <f t="shared" si="9"/>
        <v>11월분</v>
      </c>
      <c r="D18" s="24" t="s">
        <v>167</v>
      </c>
      <c r="E18" s="25">
        <f>SUMIFS(전체리스트!D:D,전체리스트!A:A,B18,전체리스트!C:C,D18)</f>
        <v>600</v>
      </c>
      <c r="F18" s="26">
        <f t="shared" si="10"/>
        <v>222</v>
      </c>
      <c r="G18" s="27">
        <f>SUMIFS(전체리스트!E:E,전체리스트!A:A,B18,전체리스트!C:C,D18)</f>
        <v>378</v>
      </c>
      <c r="H18" s="25">
        <f t="shared" si="11"/>
        <v>18.900000000000002</v>
      </c>
      <c r="I18" s="28">
        <f t="shared" si="12"/>
        <v>359.1</v>
      </c>
      <c r="J18" s="24"/>
    </row>
    <row r="19" spans="2:10">
      <c r="B19" s="24" t="s">
        <v>225</v>
      </c>
      <c r="C19" s="55" t="str">
        <f t="shared" si="9"/>
        <v>11월분</v>
      </c>
      <c r="D19" s="24" t="s">
        <v>224</v>
      </c>
      <c r="E19" s="25">
        <f>SUMIFS(전체리스트!D:D,전체리스트!A:A,B19,전체리스트!C:C,D19)</f>
        <v>7800</v>
      </c>
      <c r="F19" s="26">
        <f t="shared" si="10"/>
        <v>2886</v>
      </c>
      <c r="G19" s="27">
        <f>SUMIFS(전체리스트!E:E,전체리스트!A:A,B19,전체리스트!C:C,D19)</f>
        <v>4914</v>
      </c>
      <c r="H19" s="25">
        <f t="shared" si="11"/>
        <v>245.70000000000002</v>
      </c>
      <c r="I19" s="28">
        <f t="shared" si="12"/>
        <v>4668.3</v>
      </c>
      <c r="J19" s="24"/>
    </row>
    <row r="20" spans="2:10">
      <c r="B20" s="24" t="s">
        <v>225</v>
      </c>
      <c r="C20" s="55" t="str">
        <f t="shared" si="9"/>
        <v>11월분</v>
      </c>
      <c r="D20" s="24" t="s">
        <v>360</v>
      </c>
      <c r="E20" s="25">
        <f>SUMIFS(전체리스트!D:D,전체리스트!A:A,B20,전체리스트!C:C,D20)</f>
        <v>20210</v>
      </c>
      <c r="F20" s="26">
        <f t="shared" si="10"/>
        <v>7477.7000000000007</v>
      </c>
      <c r="G20" s="27">
        <f>SUMIFS(전체리스트!E:E,전체리스트!A:A,B20,전체리스트!C:C,D20)</f>
        <v>12732.3</v>
      </c>
      <c r="H20" s="25">
        <f t="shared" si="11"/>
        <v>636.61500000000001</v>
      </c>
      <c r="I20" s="28">
        <f t="shared" si="12"/>
        <v>12095.684999999999</v>
      </c>
      <c r="J20" s="24"/>
    </row>
    <row r="21" spans="2:10">
      <c r="B21" s="24" t="s">
        <v>225</v>
      </c>
      <c r="C21" s="55" t="str">
        <f t="shared" si="9"/>
        <v>11월분</v>
      </c>
      <c r="D21" s="24" t="s">
        <v>95</v>
      </c>
      <c r="E21" s="25">
        <f>SUMIFS(전체리스트!D:D,전체리스트!A:A,B21,전체리스트!C:C,D21)</f>
        <v>25920</v>
      </c>
      <c r="F21" s="26">
        <f t="shared" si="10"/>
        <v>9590.4000000000015</v>
      </c>
      <c r="G21" s="27">
        <f>SUMIFS(전체리스트!E:E,전체리스트!A:A,B21,전체리스트!C:C,D21)</f>
        <v>16329.599999999999</v>
      </c>
      <c r="H21" s="25">
        <f t="shared" si="11"/>
        <v>816.48</v>
      </c>
      <c r="I21" s="28">
        <f t="shared" si="12"/>
        <v>15513.119999999999</v>
      </c>
      <c r="J21" s="24"/>
    </row>
    <row r="22" spans="2:10">
      <c r="B22" s="24" t="s">
        <v>225</v>
      </c>
      <c r="C22" s="55" t="str">
        <f t="shared" si="9"/>
        <v>11월분</v>
      </c>
      <c r="D22" s="24" t="s">
        <v>223</v>
      </c>
      <c r="E22" s="25">
        <f>SUMIFS(전체리스트!D:D,전체리스트!A:A,B22,전체리스트!C:C,D22)</f>
        <v>4800</v>
      </c>
      <c r="F22" s="26">
        <f t="shared" si="10"/>
        <v>1776</v>
      </c>
      <c r="G22" s="27">
        <f>SUMIFS(전체리스트!E:E,전체리스트!A:A,B22,전체리스트!C:C,D22)</f>
        <v>3024</v>
      </c>
      <c r="H22" s="25">
        <f t="shared" si="11"/>
        <v>151.20000000000002</v>
      </c>
      <c r="I22" s="28">
        <f t="shared" si="12"/>
        <v>2872.8</v>
      </c>
      <c r="J22" s="24"/>
    </row>
    <row r="23" spans="2:10">
      <c r="B23" s="24" t="s">
        <v>225</v>
      </c>
      <c r="C23" s="55" t="str">
        <f t="shared" si="9"/>
        <v>11월분</v>
      </c>
      <c r="D23" s="24" t="s">
        <v>205</v>
      </c>
      <c r="E23" s="25">
        <f>SUMIFS(전체리스트!D:D,전체리스트!A:A,B23,전체리스트!C:C,D23)</f>
        <v>11340</v>
      </c>
      <c r="F23" s="26">
        <f t="shared" si="10"/>
        <v>4195.8</v>
      </c>
      <c r="G23" s="27">
        <f>SUMIFS(전체리스트!E:E,전체리스트!A:A,B23,전체리스트!C:C,D23)</f>
        <v>7144.2</v>
      </c>
      <c r="H23" s="25">
        <f t="shared" si="11"/>
        <v>357.21000000000004</v>
      </c>
      <c r="I23" s="28">
        <f t="shared" si="12"/>
        <v>6786.99</v>
      </c>
      <c r="J23" s="24"/>
    </row>
    <row r="24" spans="2:10">
      <c r="B24" s="29" t="s">
        <v>322</v>
      </c>
      <c r="C24" s="29"/>
      <c r="D24" s="30"/>
      <c r="E24" s="31">
        <f t="shared" ref="E24:J24" si="13">SUM(E6:E23)</f>
        <v>146390</v>
      </c>
      <c r="F24" s="31">
        <f t="shared" si="13"/>
        <v>54164.30000000001</v>
      </c>
      <c r="G24" s="31">
        <f t="shared" si="13"/>
        <v>92225.7</v>
      </c>
      <c r="H24" s="31">
        <f t="shared" si="13"/>
        <v>4611.2849999999999</v>
      </c>
      <c r="I24" s="31">
        <f t="shared" si="13"/>
        <v>87614.415000000008</v>
      </c>
      <c r="J24" s="31">
        <f t="shared" si="1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B3:J8"/>
  <sheetViews>
    <sheetView workbookViewId="0">
      <selection activeCell="K30" sqref="K30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333</v>
      </c>
      <c r="G4" s="41">
        <f>VLOOKUP(B6,raw_a,6,0)</f>
        <v>1317.8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262</v>
      </c>
      <c r="C6" s="55" t="str">
        <f t="shared" ref="C6:C7" si="0">VLOOKUP(B6,raw_a,2,0)</f>
        <v>4~6월분</v>
      </c>
      <c r="D6" s="24" t="s">
        <v>23</v>
      </c>
      <c r="E6" s="33">
        <f>SUMIFS(전체리스트!D:D,전체리스트!A:A,B6,전체리스트!C:C,D6)</f>
        <v>0</v>
      </c>
      <c r="F6" s="26"/>
      <c r="G6" s="27">
        <f>SUMIFS(전체리스트!E:E,전체리스트!A:A,B6,전체리스트!C:C,D6)</f>
        <v>0</v>
      </c>
      <c r="H6" s="25">
        <f>G6*0.05</f>
        <v>0</v>
      </c>
      <c r="I6" s="28">
        <f t="shared" ref="I6:I7" si="1">G6-H6</f>
        <v>0</v>
      </c>
      <c r="J6" s="24"/>
    </row>
    <row r="7" spans="2:10">
      <c r="B7" s="24" t="s">
        <v>262</v>
      </c>
      <c r="C7" s="55" t="str">
        <f t="shared" si="0"/>
        <v>4~6월분</v>
      </c>
      <c r="D7" s="24" t="s">
        <v>79</v>
      </c>
      <c r="E7" s="33">
        <f>SUMIFS(전체리스트!D:D,전체리스트!A:A,B7,전체리스트!C:C,D7)</f>
        <v>0</v>
      </c>
      <c r="F7" s="26"/>
      <c r="G7" s="27">
        <f>SUMIFS(전체리스트!E:E,전체리스트!A:A,B7,전체리스트!C:C,D7)</f>
        <v>0</v>
      </c>
      <c r="H7" s="25">
        <f t="shared" ref="H7" si="2">G7*0.05</f>
        <v>0</v>
      </c>
      <c r="I7" s="28">
        <f t="shared" si="1"/>
        <v>0</v>
      </c>
      <c r="J7" s="24"/>
    </row>
    <row r="8" spans="2:10">
      <c r="B8" s="29" t="s">
        <v>322</v>
      </c>
      <c r="C8" s="29"/>
      <c r="D8" s="30"/>
      <c r="E8" s="31">
        <f t="shared" ref="E8:J8" si="3">SUM(E6:E7)</f>
        <v>0</v>
      </c>
      <c r="F8" s="31">
        <f t="shared" si="3"/>
        <v>0</v>
      </c>
      <c r="G8" s="31">
        <f t="shared" si="3"/>
        <v>0</v>
      </c>
      <c r="H8" s="31">
        <f t="shared" si="3"/>
        <v>0</v>
      </c>
      <c r="I8" s="31">
        <f t="shared" si="3"/>
        <v>0</v>
      </c>
      <c r="J8" s="31">
        <f t="shared" si="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B3:J14"/>
  <sheetViews>
    <sheetView workbookViewId="0">
      <selection activeCell="E30" sqref="E30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3" spans="2:10">
      <c r="G3" s="58" t="s">
        <v>329</v>
      </c>
    </row>
    <row r="4" spans="2:10">
      <c r="B4" s="32" t="s">
        <v>314</v>
      </c>
      <c r="C4" s="32"/>
      <c r="F4" s="34" t="s">
        <v>333</v>
      </c>
      <c r="G4" s="41">
        <f>VLOOKUP(B6,raw_a,6,0)</f>
        <v>1310.0999999999999</v>
      </c>
    </row>
    <row r="5" spans="2:10">
      <c r="B5" s="23" t="s">
        <v>0</v>
      </c>
      <c r="C5" s="23" t="s">
        <v>315</v>
      </c>
      <c r="D5" s="23" t="s">
        <v>316</v>
      </c>
      <c r="E5" s="23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264</v>
      </c>
      <c r="C6" s="55" t="str">
        <f t="shared" ref="C6:C7" si="0">VLOOKUP(B6,raw_a,2,0)</f>
        <v>7~9월분</v>
      </c>
      <c r="D6" s="24" t="s">
        <v>205</v>
      </c>
      <c r="E6" s="33">
        <f>SUMIFS(전체리스트!D:D,전체리스트!A:A,B6,전체리스트!C:C,D6)</f>
        <v>7.4299999999999988</v>
      </c>
      <c r="F6" s="26"/>
      <c r="G6" s="27">
        <f>SUMIFS(전체리스트!E:E,전체리스트!A:A,B6,전체리스트!C:C,D6)</f>
        <v>9734.0429999999978</v>
      </c>
      <c r="H6" s="25">
        <f>G6*0.05</f>
        <v>486.7021499999999</v>
      </c>
      <c r="I6" s="28">
        <f t="shared" ref="I6:I7" si="1">G6-H6</f>
        <v>9247.3408499999987</v>
      </c>
      <c r="J6" s="24"/>
    </row>
    <row r="7" spans="2:10">
      <c r="B7" s="24" t="s">
        <v>264</v>
      </c>
      <c r="C7" s="55" t="str">
        <f t="shared" si="0"/>
        <v>7~9월분</v>
      </c>
      <c r="D7" s="24" t="s">
        <v>265</v>
      </c>
      <c r="E7" s="33">
        <f>SUMIFS(전체리스트!D:D,전체리스트!A:A,B7,전체리스트!C:C,D7)</f>
        <v>2.33</v>
      </c>
      <c r="F7" s="26"/>
      <c r="G7" s="27">
        <f>SUMIFS(전체리스트!E:E,전체리스트!A:A,B7,전체리스트!C:C,D7)</f>
        <v>3052.5329999999999</v>
      </c>
      <c r="H7" s="25">
        <f t="shared" ref="H7" si="2">G7*0.05</f>
        <v>152.62665000000001</v>
      </c>
      <c r="I7" s="28">
        <f t="shared" si="1"/>
        <v>2899.9063499999997</v>
      </c>
      <c r="J7" s="24"/>
    </row>
    <row r="8" spans="2:10">
      <c r="B8" s="24" t="s">
        <v>264</v>
      </c>
      <c r="C8" s="55" t="str">
        <f t="shared" ref="C8:C10" si="3">VLOOKUP(B8,raw_a,2,0)</f>
        <v>7~9월분</v>
      </c>
      <c r="D8" s="24" t="s">
        <v>23</v>
      </c>
      <c r="E8" s="33">
        <f>SUMIFS(전체리스트!D:D,전체리스트!A:A,B8,전체리스트!C:C,D8)</f>
        <v>3.7</v>
      </c>
      <c r="F8" s="26"/>
      <c r="G8" s="27">
        <f>SUMIFS(전체리스트!E:E,전체리스트!A:A,B8,전체리스트!C:C,D8)</f>
        <v>4847.37</v>
      </c>
      <c r="H8" s="25">
        <f>G8*0.05</f>
        <v>242.36850000000001</v>
      </c>
      <c r="I8" s="28">
        <f t="shared" ref="I8:I10" si="4">G8-H8</f>
        <v>4605.0015000000003</v>
      </c>
      <c r="J8" s="24"/>
    </row>
    <row r="9" spans="2:10">
      <c r="B9" s="24" t="s">
        <v>264</v>
      </c>
      <c r="C9" s="55" t="str">
        <f t="shared" ref="C9" si="5">VLOOKUP(B9,raw_a,2,0)</f>
        <v>7~9월분</v>
      </c>
      <c r="D9" s="24" t="s">
        <v>58</v>
      </c>
      <c r="E9" s="33">
        <f>SUMIFS(전체리스트!D:D,전체리스트!A:A,B9,전체리스트!C:C,D9)</f>
        <v>172.65999999999994</v>
      </c>
      <c r="F9" s="26"/>
      <c r="G9" s="27">
        <f>SUMIFS(전체리스트!E:E,전체리스트!A:A,B9,전체리스트!C:C,D9)</f>
        <v>226201.86599999989</v>
      </c>
      <c r="H9" s="25">
        <f t="shared" ref="H9" si="6">G9*0.05</f>
        <v>11310.093299999995</v>
      </c>
      <c r="I9" s="28">
        <f t="shared" ref="I9" si="7">G9-H9</f>
        <v>214891.77269999988</v>
      </c>
      <c r="J9" s="24"/>
    </row>
    <row r="10" spans="2:10">
      <c r="B10" s="24" t="s">
        <v>264</v>
      </c>
      <c r="C10" s="55" t="str">
        <f t="shared" si="3"/>
        <v>7~9월분</v>
      </c>
      <c r="D10" s="24" t="s">
        <v>469</v>
      </c>
      <c r="E10" s="33">
        <f>SUMIFS(전체리스트!D:D,전체리스트!A:A,B10,전체리스트!C:C,D10)</f>
        <v>17.840000000000007</v>
      </c>
      <c r="F10" s="26"/>
      <c r="G10" s="27">
        <f>SUMIFS(전체리스트!E:E,전체리스트!A:A,B10,전체리스트!C:C,D10)</f>
        <v>23372.184000000008</v>
      </c>
      <c r="H10" s="25">
        <f t="shared" ref="H10" si="8">G10*0.05</f>
        <v>1168.6092000000006</v>
      </c>
      <c r="I10" s="28">
        <f t="shared" si="4"/>
        <v>22203.574800000009</v>
      </c>
      <c r="J10" s="24"/>
    </row>
    <row r="11" spans="2:10">
      <c r="B11" s="24" t="s">
        <v>264</v>
      </c>
      <c r="C11" s="55" t="str">
        <f>VLOOKUP(B11,raw_a,2,0)</f>
        <v>7~9월분</v>
      </c>
      <c r="D11" s="24" t="s">
        <v>151</v>
      </c>
      <c r="E11" s="33">
        <f>SUMIFS(전체리스트!D:D,전체리스트!A:A,B11,전체리스트!C:C,D11)</f>
        <v>85.33000000000014</v>
      </c>
      <c r="F11" s="26"/>
      <c r="G11" s="27">
        <f>SUMIFS(전체리스트!E:E,전체리스트!A:A,B11,전체리스트!C:C,D11)</f>
        <v>111790.83300000017</v>
      </c>
      <c r="H11" s="25">
        <f>G11*0.05</f>
        <v>5589.5416500000092</v>
      </c>
      <c r="I11" s="28">
        <f>G11-H11</f>
        <v>106201.29135000016</v>
      </c>
      <c r="J11" s="24"/>
    </row>
    <row r="12" spans="2:10">
      <c r="B12" s="24" t="s">
        <v>264</v>
      </c>
      <c r="C12" s="55" t="str">
        <f>VLOOKUP(B12,raw_a,2,0)</f>
        <v>7~9월분</v>
      </c>
      <c r="D12" s="24" t="s">
        <v>36</v>
      </c>
      <c r="E12" s="33">
        <f>SUMIFS(전체리스트!D:D,전체리스트!A:A,B12,전체리스트!C:C,D12)</f>
        <v>39.609999999999992</v>
      </c>
      <c r="F12" s="26"/>
      <c r="G12" s="27">
        <f>SUMIFS(전체리스트!E:E,전체리스트!A:A,B12,전체리스트!C:C,D12)</f>
        <v>51893.060999999987</v>
      </c>
      <c r="H12" s="25">
        <f>G12*0.05</f>
        <v>2594.6530499999994</v>
      </c>
      <c r="I12" s="28">
        <f>G12-H12</f>
        <v>49298.407949999986</v>
      </c>
      <c r="J12" s="24"/>
    </row>
    <row r="13" spans="2:10">
      <c r="B13" s="24" t="s">
        <v>264</v>
      </c>
      <c r="C13" s="55" t="str">
        <f>VLOOKUP(B13,raw_a,2,0)</f>
        <v>7~9월분</v>
      </c>
      <c r="D13" s="24" t="s">
        <v>255</v>
      </c>
      <c r="E13" s="33">
        <f>SUMIFS(전체리스트!D:D,전체리스트!A:A,B13,전체리스트!C:C,D13)</f>
        <v>45.149999999999991</v>
      </c>
      <c r="F13" s="26"/>
      <c r="G13" s="27">
        <f>SUMIFS(전체리스트!E:E,전체리스트!A:A,B13,전체리스트!C:C,D13)</f>
        <v>59151.014999999985</v>
      </c>
      <c r="H13" s="25">
        <f>G13*0.05</f>
        <v>2957.5507499999994</v>
      </c>
      <c r="I13" s="28">
        <f>G13-H13</f>
        <v>56193.464249999983</v>
      </c>
      <c r="J13" s="24"/>
    </row>
    <row r="14" spans="2:10">
      <c r="B14" s="29" t="s">
        <v>322</v>
      </c>
      <c r="C14" s="29"/>
      <c r="D14" s="30"/>
      <c r="E14" s="99">
        <f>SUM(E6:E13)</f>
        <v>374.05000000000007</v>
      </c>
      <c r="F14" s="99">
        <f>SUM(F6:F13)</f>
        <v>0</v>
      </c>
      <c r="G14" s="153">
        <f>SUM(G6:G13)</f>
        <v>490042.90500000003</v>
      </c>
      <c r="H14" s="153">
        <f>SUM(H6:H13)</f>
        <v>24502.145250000005</v>
      </c>
      <c r="I14" s="153">
        <f>SUM(I6:I13)</f>
        <v>465540.75974999997</v>
      </c>
      <c r="J14" s="31">
        <f t="shared" ref="J14" si="9">SUM(J6:J10)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B4:J10"/>
  <sheetViews>
    <sheetView workbookViewId="0">
      <selection activeCell="O25" sqref="O25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style="61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97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226</v>
      </c>
      <c r="C6" s="55" t="str">
        <f t="shared" ref="C6" si="0">VLOOKUP(B6,raw_a,2,0)</f>
        <v>12월분</v>
      </c>
      <c r="D6" s="24" t="s">
        <v>66</v>
      </c>
      <c r="E6" s="42">
        <f>SUMIFS(전체리스트!D:D,전체리스트!A:A,B6,전체리스트!C:C,D6)</f>
        <v>7600</v>
      </c>
      <c r="F6" s="26"/>
      <c r="G6" s="27">
        <f>SUMIFS(전체리스트!E:E,전체리스트!A:A,B6,전체리스트!C:C,D6)</f>
        <v>5320</v>
      </c>
      <c r="H6" s="25">
        <f>G6*0.05</f>
        <v>266</v>
      </c>
      <c r="I6" s="28">
        <f t="shared" ref="I6" si="1">G6-H6</f>
        <v>5054</v>
      </c>
      <c r="J6" s="24"/>
    </row>
    <row r="7" spans="2:10">
      <c r="B7" s="24" t="s">
        <v>226</v>
      </c>
      <c r="C7" s="55" t="str">
        <f t="shared" ref="C7:C8" si="2">VLOOKUP(B7,raw_a,2,0)</f>
        <v>12월분</v>
      </c>
      <c r="D7" s="24" t="s">
        <v>9</v>
      </c>
      <c r="E7" s="42">
        <f>SUMIFS(전체리스트!D:D,전체리스트!A:A,B7,전체리스트!C:C,D7)</f>
        <v>700</v>
      </c>
      <c r="F7" s="26"/>
      <c r="G7" s="27">
        <f>SUMIFS(전체리스트!E:E,전체리스트!A:A,B7,전체리스트!C:C,D7)</f>
        <v>490</v>
      </c>
      <c r="H7" s="25">
        <f>G7*0.05</f>
        <v>24.5</v>
      </c>
      <c r="I7" s="28">
        <f t="shared" ref="I7:I8" si="3">G7-H7</f>
        <v>465.5</v>
      </c>
      <c r="J7" s="24"/>
    </row>
    <row r="8" spans="2:10">
      <c r="B8" s="24" t="s">
        <v>226</v>
      </c>
      <c r="C8" s="55" t="str">
        <f t="shared" si="2"/>
        <v>12월분</v>
      </c>
      <c r="D8" s="24" t="s">
        <v>21</v>
      </c>
      <c r="E8" s="42">
        <f>SUMIFS(전체리스트!D:D,전체리스트!A:A,B8,전체리스트!C:C,D8)</f>
        <v>20800</v>
      </c>
      <c r="F8" s="26"/>
      <c r="G8" s="27">
        <f>SUMIFS(전체리스트!E:E,전체리스트!A:A,B8,전체리스트!C:C,D8)</f>
        <v>14560</v>
      </c>
      <c r="H8" s="25">
        <f>G8*0.05</f>
        <v>728</v>
      </c>
      <c r="I8" s="28">
        <f t="shared" si="3"/>
        <v>13832</v>
      </c>
      <c r="J8" s="24"/>
    </row>
    <row r="9" spans="2:10">
      <c r="B9" s="24" t="s">
        <v>226</v>
      </c>
      <c r="C9" s="55" t="str">
        <f t="shared" ref="C9" si="4">VLOOKUP(B9,raw_a,2,0)</f>
        <v>12월분</v>
      </c>
      <c r="D9" s="24" t="s">
        <v>22</v>
      </c>
      <c r="E9" s="42">
        <f>SUMIFS(전체리스트!D:D,전체리스트!A:A,B9,전체리스트!C:C,D9)</f>
        <v>8400</v>
      </c>
      <c r="F9" s="26"/>
      <c r="G9" s="27">
        <f>SUMIFS(전체리스트!E:E,전체리스트!A:A,B9,전체리스트!C:C,D9)</f>
        <v>5880</v>
      </c>
      <c r="H9" s="25">
        <f>G9*0.05</f>
        <v>294</v>
      </c>
      <c r="I9" s="28">
        <f t="shared" ref="I9" si="5">G9-H9</f>
        <v>5586</v>
      </c>
      <c r="J9" s="24"/>
    </row>
    <row r="10" spans="2:10">
      <c r="B10" s="29" t="s">
        <v>322</v>
      </c>
      <c r="C10" s="29"/>
      <c r="D10" s="30"/>
      <c r="E10" s="92">
        <f>SUM(E6:E9)</f>
        <v>37500</v>
      </c>
      <c r="F10" s="92">
        <f t="shared" ref="F10:I10" si="6">SUM(F6:F9)</f>
        <v>0</v>
      </c>
      <c r="G10" s="92">
        <f t="shared" si="6"/>
        <v>26250</v>
      </c>
      <c r="H10" s="92">
        <f t="shared" si="6"/>
        <v>1312.5</v>
      </c>
      <c r="I10" s="92">
        <f t="shared" si="6"/>
        <v>24937.5</v>
      </c>
      <c r="J10" s="31">
        <f t="shared" ref="J10" si="7">SUM(J6:J6)</f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B4:J11"/>
  <sheetViews>
    <sheetView workbookViewId="0">
      <selection activeCell="L11" sqref="A4:L11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style="61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97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227</v>
      </c>
      <c r="C6" s="55" t="str">
        <f t="shared" ref="C6:C10" si="0">VLOOKUP(B6,raw_a,2,0)</f>
        <v>12월분</v>
      </c>
      <c r="D6" s="24" t="s">
        <v>66</v>
      </c>
      <c r="E6" s="42">
        <f>SUMIFS(전체리스트!D:D,전체리스트!A:A,B6,전체리스트!C:C,D6)</f>
        <v>1495700</v>
      </c>
      <c r="F6" s="26"/>
      <c r="G6" s="27">
        <f>SUMIFS(전체리스트!E:E,전체리스트!A:A,B6,전체리스트!C:C,D6)</f>
        <v>1046990</v>
      </c>
      <c r="H6" s="25">
        <f>G6*0.05</f>
        <v>52349.5</v>
      </c>
      <c r="I6" s="28">
        <f t="shared" ref="I6:I10" si="1">G6-H6</f>
        <v>994640.5</v>
      </c>
      <c r="J6" s="24"/>
    </row>
    <row r="7" spans="2:10">
      <c r="B7" s="24" t="s">
        <v>227</v>
      </c>
      <c r="C7" s="55" t="str">
        <f>VLOOKUP(B7,raw_a,2,0)</f>
        <v>12월분</v>
      </c>
      <c r="D7" s="24" t="s">
        <v>9</v>
      </c>
      <c r="E7" s="42">
        <f>SUMIFS(전체리스트!D:D,전체리스트!A:A,B7,전체리스트!C:C,D7)</f>
        <v>141000</v>
      </c>
      <c r="F7" s="26"/>
      <c r="G7" s="27">
        <f>SUMIFS(전체리스트!E:E,전체리스트!A:A,B7,전체리스트!C:C,D7)</f>
        <v>98700</v>
      </c>
      <c r="H7" s="25">
        <f t="shared" ref="H7" si="2">G7*0.05</f>
        <v>4935</v>
      </c>
      <c r="I7" s="28">
        <f t="shared" si="1"/>
        <v>93765</v>
      </c>
      <c r="J7" s="24"/>
    </row>
    <row r="8" spans="2:10">
      <c r="B8" s="24" t="s">
        <v>227</v>
      </c>
      <c r="C8" s="55" t="str">
        <f t="shared" ref="C8" si="3">VLOOKUP(B8,raw_a,2,0)</f>
        <v>12월분</v>
      </c>
      <c r="D8" s="24" t="s">
        <v>21</v>
      </c>
      <c r="E8" s="42">
        <f>SUMIFS(전체리스트!D:D,전체리스트!A:A,B8,전체리스트!C:C,D8)</f>
        <v>1595100</v>
      </c>
      <c r="F8" s="26"/>
      <c r="G8" s="27">
        <f>SUMIFS(전체리스트!E:E,전체리스트!A:A,B8,전체리스트!C:C,D8)</f>
        <v>1116570</v>
      </c>
      <c r="H8" s="25">
        <f>G8*0.05</f>
        <v>55828.5</v>
      </c>
      <c r="I8" s="28">
        <f t="shared" ref="I8:I9" si="4">G8-H8</f>
        <v>1060741.5</v>
      </c>
      <c r="J8" s="24"/>
    </row>
    <row r="9" spans="2:10">
      <c r="B9" s="24" t="s">
        <v>227</v>
      </c>
      <c r="C9" s="55" t="str">
        <f>VLOOKUP(B9,raw_a,2,0)</f>
        <v>12월분</v>
      </c>
      <c r="D9" s="24" t="s">
        <v>22</v>
      </c>
      <c r="E9" s="42">
        <f>SUMIFS(전체리스트!D:D,전체리스트!A:A,B9,전체리스트!C:C,D9)</f>
        <v>5089400</v>
      </c>
      <c r="F9" s="26"/>
      <c r="G9" s="27">
        <f>SUMIFS(전체리스트!E:E,전체리스트!A:A,B9,전체리스트!C:C,D9)</f>
        <v>3550620</v>
      </c>
      <c r="H9" s="25">
        <f t="shared" ref="H9" si="5">G9*0.05</f>
        <v>177531</v>
      </c>
      <c r="I9" s="28">
        <f t="shared" si="4"/>
        <v>3373089</v>
      </c>
      <c r="J9" s="24"/>
    </row>
    <row r="10" spans="2:10">
      <c r="B10" s="24" t="s">
        <v>227</v>
      </c>
      <c r="C10" s="55" t="str">
        <f t="shared" si="0"/>
        <v>12월분</v>
      </c>
      <c r="D10" s="24" t="s">
        <v>29</v>
      </c>
      <c r="E10" s="42">
        <f>SUMIFS(전체리스트!D:D,전체리스트!A:A,B10,전체리스트!C:C,D10)</f>
        <v>57400</v>
      </c>
      <c r="F10" s="26"/>
      <c r="G10" s="27">
        <f>SUMIFS(전체리스트!E:E,전체리스트!A:A,B10,전체리스트!C:C,D10)</f>
        <v>40180</v>
      </c>
      <c r="H10" s="25">
        <f>G10*0.05</f>
        <v>2009</v>
      </c>
      <c r="I10" s="28">
        <f t="shared" si="1"/>
        <v>38171</v>
      </c>
      <c r="J10" s="24"/>
    </row>
    <row r="11" spans="2:10">
      <c r="B11" s="29" t="s">
        <v>322</v>
      </c>
      <c r="C11" s="29"/>
      <c r="D11" s="30"/>
      <c r="E11" s="92">
        <f t="shared" ref="E11:J11" si="6">SUM(E6:E10)</f>
        <v>8378600</v>
      </c>
      <c r="F11" s="31">
        <f t="shared" si="6"/>
        <v>0</v>
      </c>
      <c r="G11" s="31">
        <f t="shared" si="6"/>
        <v>5853060</v>
      </c>
      <c r="H11" s="31">
        <f t="shared" si="6"/>
        <v>292653</v>
      </c>
      <c r="I11" s="31">
        <f t="shared" si="6"/>
        <v>5560407</v>
      </c>
      <c r="J11" s="31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B4:J15"/>
  <sheetViews>
    <sheetView workbookViewId="0">
      <selection activeCell="D10" sqref="D10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style="61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97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228</v>
      </c>
      <c r="C6" s="55" t="str">
        <f t="shared" ref="C6" si="0">VLOOKUP(B6,raw_a,2,0)</f>
        <v>11월분</v>
      </c>
      <c r="D6" s="24" t="s">
        <v>230</v>
      </c>
      <c r="E6" s="42">
        <f>SUMIFS(전체리스트!D:D,전체리스트!A:A,B6,전체리스트!C:C,D6)</f>
        <v>36800</v>
      </c>
      <c r="F6" s="26"/>
      <c r="G6" s="27">
        <f>SUMIFS(전체리스트!E:E,전체리스트!A:A,B6,전체리스트!C:C,D6)</f>
        <v>19872</v>
      </c>
      <c r="H6" s="25">
        <f>G6*0.05</f>
        <v>993.6</v>
      </c>
      <c r="I6" s="28">
        <f t="shared" ref="I6:I9" si="1">G6-H6</f>
        <v>18878.400000000001</v>
      </c>
      <c r="J6" s="24"/>
    </row>
    <row r="7" spans="2:10">
      <c r="B7" s="24" t="s">
        <v>228</v>
      </c>
      <c r="C7" s="55" t="str">
        <f>VLOOKUP(B7,raw_a,2,0)</f>
        <v>11월분</v>
      </c>
      <c r="D7" s="24" t="s">
        <v>95</v>
      </c>
      <c r="E7" s="42">
        <f>SUMIFS(전체리스트!D:D,전체리스트!A:A,B7,전체리스트!C:C,D7)</f>
        <v>34400</v>
      </c>
      <c r="F7" s="26"/>
      <c r="G7" s="27">
        <f>SUMIFS(전체리스트!E:E,전체리스트!A:A,B7,전체리스트!C:C,D7)</f>
        <v>18576</v>
      </c>
      <c r="H7" s="25">
        <f t="shared" ref="H7" si="2">G7*0.05</f>
        <v>928.80000000000007</v>
      </c>
      <c r="I7" s="28">
        <f t="shared" si="1"/>
        <v>17647.2</v>
      </c>
      <c r="J7" s="24"/>
    </row>
    <row r="8" spans="2:10">
      <c r="B8" s="24" t="s">
        <v>228</v>
      </c>
      <c r="C8" s="55" t="str">
        <f t="shared" ref="C8:C10" si="3">VLOOKUP(B8,raw_a,2,0)</f>
        <v>11월분</v>
      </c>
      <c r="D8" s="24" t="s">
        <v>229</v>
      </c>
      <c r="E8" s="42">
        <f>SUMIFS(전체리스트!D:D,전체리스트!A:A,B8,전체리스트!C:C,D8)</f>
        <v>20600</v>
      </c>
      <c r="F8" s="26"/>
      <c r="G8" s="27">
        <f>SUMIFS(전체리스트!E:E,전체리스트!A:A,B8,전체리스트!C:C,D8)</f>
        <v>11124</v>
      </c>
      <c r="H8" s="25">
        <f>G8*0.05</f>
        <v>556.20000000000005</v>
      </c>
      <c r="I8" s="28">
        <f t="shared" si="1"/>
        <v>10567.8</v>
      </c>
      <c r="J8" s="24"/>
    </row>
    <row r="9" spans="2:10">
      <c r="B9" s="24" t="s">
        <v>228</v>
      </c>
      <c r="C9" s="55" t="str">
        <f t="shared" si="3"/>
        <v>11월분</v>
      </c>
      <c r="D9" s="24" t="s">
        <v>62</v>
      </c>
      <c r="E9" s="42">
        <f>SUMIFS(전체리스트!D:D,전체리스트!A:A,B9,전체리스트!C:C,D9)</f>
        <v>9200</v>
      </c>
      <c r="F9" s="26"/>
      <c r="G9" s="27">
        <f>SUMIFS(전체리스트!E:E,전체리스트!A:A,B9,전체리스트!C:C,D9)</f>
        <v>4968</v>
      </c>
      <c r="H9" s="25">
        <f>G9*0.05</f>
        <v>248.4</v>
      </c>
      <c r="I9" s="28">
        <f t="shared" si="1"/>
        <v>4719.6000000000004</v>
      </c>
      <c r="J9" s="24"/>
    </row>
    <row r="10" spans="2:10">
      <c r="B10" s="24" t="s">
        <v>228</v>
      </c>
      <c r="C10" s="55" t="str">
        <f t="shared" si="3"/>
        <v>11월분</v>
      </c>
      <c r="D10" s="24" t="s">
        <v>406</v>
      </c>
      <c r="E10" s="42">
        <f>SUMIFS(전체리스트!D:D,전체리스트!A:A,B10,전체리스트!C:C,D10)</f>
        <v>9600</v>
      </c>
      <c r="F10" s="26"/>
      <c r="G10" s="27">
        <f>SUMIFS(전체리스트!E:E,전체리스트!A:A,B10,전체리스트!C:C,D10)</f>
        <v>5184</v>
      </c>
      <c r="H10" s="25">
        <f>G10*0.05</f>
        <v>259.2</v>
      </c>
      <c r="I10" s="28">
        <f t="shared" ref="I10:I13" si="4">G10-H10</f>
        <v>4924.8</v>
      </c>
      <c r="J10" s="24"/>
    </row>
    <row r="11" spans="2:10">
      <c r="B11" s="24" t="s">
        <v>228</v>
      </c>
      <c r="C11" s="55" t="str">
        <f>VLOOKUP(B11,raw_a,2,0)</f>
        <v>11월분</v>
      </c>
      <c r="D11" s="24" t="s">
        <v>407</v>
      </c>
      <c r="E11" s="42">
        <f>SUMIFS(전체리스트!D:D,전체리스트!A:A,B11,전체리스트!C:C,D11)</f>
        <v>4800</v>
      </c>
      <c r="F11" s="26"/>
      <c r="G11" s="27">
        <f>SUMIFS(전체리스트!E:E,전체리스트!A:A,B11,전체리스트!C:C,D11)</f>
        <v>2592</v>
      </c>
      <c r="H11" s="25">
        <f t="shared" ref="H11" si="5">G11*0.05</f>
        <v>129.6</v>
      </c>
      <c r="I11" s="28">
        <f t="shared" si="4"/>
        <v>2462.4</v>
      </c>
      <c r="J11" s="24"/>
    </row>
    <row r="12" spans="2:10">
      <c r="B12" s="24" t="s">
        <v>228</v>
      </c>
      <c r="C12" s="55" t="str">
        <f t="shared" ref="C12:C13" si="6">VLOOKUP(B12,raw_a,2,0)</f>
        <v>11월분</v>
      </c>
      <c r="D12" s="24" t="s">
        <v>12</v>
      </c>
      <c r="E12" s="42">
        <f>SUMIFS(전체리스트!D:D,전체리스트!A:A,B12,전체리스트!C:C,D12)</f>
        <v>4400</v>
      </c>
      <c r="F12" s="26"/>
      <c r="G12" s="27">
        <f>SUMIFS(전체리스트!E:E,전체리스트!A:A,B12,전체리스트!C:C,D12)</f>
        <v>2376</v>
      </c>
      <c r="H12" s="25">
        <f>G12*0.05</f>
        <v>118.80000000000001</v>
      </c>
      <c r="I12" s="28">
        <f t="shared" si="4"/>
        <v>2257.1999999999998</v>
      </c>
      <c r="J12" s="24"/>
    </row>
    <row r="13" spans="2:10">
      <c r="B13" s="24" t="s">
        <v>228</v>
      </c>
      <c r="C13" s="55" t="str">
        <f t="shared" si="6"/>
        <v>11월분</v>
      </c>
      <c r="D13" s="24" t="s">
        <v>29</v>
      </c>
      <c r="E13" s="42">
        <f>SUMIFS(전체리스트!D:D,전체리스트!A:A,B13,전체리스트!C:C,D13)</f>
        <v>2800</v>
      </c>
      <c r="F13" s="26"/>
      <c r="G13" s="27">
        <f>SUMIFS(전체리스트!E:E,전체리스트!A:A,B13,전체리스트!C:C,D13)</f>
        <v>1512</v>
      </c>
      <c r="H13" s="25">
        <f>G13*0.05</f>
        <v>75.600000000000009</v>
      </c>
      <c r="I13" s="28">
        <f t="shared" si="4"/>
        <v>1436.4</v>
      </c>
      <c r="J13" s="24"/>
    </row>
    <row r="14" spans="2:10">
      <c r="B14" s="24" t="s">
        <v>228</v>
      </c>
      <c r="C14" s="55" t="str">
        <f t="shared" ref="C14" si="7">VLOOKUP(B14,raw_a,2,0)</f>
        <v>11월분</v>
      </c>
      <c r="D14" s="24" t="s">
        <v>231</v>
      </c>
      <c r="E14" s="42">
        <f>SUMIFS(전체리스트!D:D,전체리스트!A:A,B14,전체리스트!C:C,D14)</f>
        <v>600</v>
      </c>
      <c r="F14" s="26"/>
      <c r="G14" s="27">
        <f>SUMIFS(전체리스트!E:E,전체리스트!A:A,B14,전체리스트!C:C,D14)</f>
        <v>324</v>
      </c>
      <c r="H14" s="25">
        <f>G14*0.05</f>
        <v>16.2</v>
      </c>
      <c r="I14" s="28">
        <f t="shared" ref="I14" si="8">G14-H14</f>
        <v>307.8</v>
      </c>
      <c r="J14" s="24"/>
    </row>
    <row r="15" spans="2:10">
      <c r="B15" s="29" t="s">
        <v>322</v>
      </c>
      <c r="C15" s="29"/>
      <c r="D15" s="30"/>
      <c r="E15" s="92">
        <f t="shared" ref="E15:J15" si="9">SUM(E6:E14)</f>
        <v>123200</v>
      </c>
      <c r="F15" s="92">
        <f t="shared" si="9"/>
        <v>0</v>
      </c>
      <c r="G15" s="92">
        <f t="shared" si="9"/>
        <v>66528</v>
      </c>
      <c r="H15" s="92">
        <f t="shared" si="9"/>
        <v>3326.4</v>
      </c>
      <c r="I15" s="92">
        <f t="shared" si="9"/>
        <v>63201.600000000013</v>
      </c>
      <c r="J15" s="92">
        <f t="shared" si="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9"/>
  <sheetViews>
    <sheetView workbookViewId="0">
      <selection activeCell="K21" sqref="K21"/>
    </sheetView>
  </sheetViews>
  <sheetFormatPr defaultRowHeight="17.399999999999999"/>
  <cols>
    <col min="2" max="2" width="16.8984375" customWidth="1"/>
    <col min="3" max="3" width="11.3984375" customWidth="1"/>
    <col min="4" max="4" width="35.19921875" bestFit="1" customWidth="1"/>
    <col min="5" max="5" width="12.09765625" style="61" bestFit="1" customWidth="1"/>
    <col min="6" max="6" width="11.3984375" bestFit="1" customWidth="1"/>
    <col min="7" max="7" width="15" bestFit="1" customWidth="1"/>
    <col min="8" max="8" width="11.59765625" bestFit="1" customWidth="1"/>
    <col min="9" max="9" width="12.09765625" bestFit="1" customWidth="1"/>
    <col min="10" max="10" width="12" customWidth="1"/>
  </cols>
  <sheetData>
    <row r="4" spans="2:10">
      <c r="B4" s="32" t="s">
        <v>314</v>
      </c>
      <c r="C4" s="32"/>
    </row>
    <row r="5" spans="2:10">
      <c r="B5" s="23" t="s">
        <v>0</v>
      </c>
      <c r="C5" s="23" t="s">
        <v>315</v>
      </c>
      <c r="D5" s="23" t="s">
        <v>316</v>
      </c>
      <c r="E5" s="97" t="s">
        <v>317</v>
      </c>
      <c r="F5" s="23" t="s">
        <v>318</v>
      </c>
      <c r="G5" s="23" t="s">
        <v>323</v>
      </c>
      <c r="H5" s="23" t="s">
        <v>324</v>
      </c>
      <c r="I5" s="23" t="s">
        <v>273</v>
      </c>
      <c r="J5" s="23" t="s">
        <v>321</v>
      </c>
    </row>
    <row r="6" spans="2:10">
      <c r="B6" s="24" t="s">
        <v>232</v>
      </c>
      <c r="C6" s="55" t="str">
        <f t="shared" ref="C6" si="0">VLOOKUP(B6,raw_a,2,0)</f>
        <v>11월분</v>
      </c>
      <c r="D6" s="24" t="s">
        <v>14</v>
      </c>
      <c r="E6" s="42">
        <f>SUMIFS(전체리스트!D:D,전체리스트!A:A,B6,전체리스트!C:C,D6)</f>
        <v>127500</v>
      </c>
      <c r="F6" s="26"/>
      <c r="G6" s="27">
        <f>SUMIFS(전체리스트!E:E,전체리스트!A:A,B6,전체리스트!C:C,D6)</f>
        <v>49514</v>
      </c>
      <c r="H6" s="25">
        <f>G6*0.05</f>
        <v>2475.7000000000003</v>
      </c>
      <c r="I6" s="28">
        <f t="shared" ref="I6:I8" si="1">G6-H6</f>
        <v>47038.3</v>
      </c>
      <c r="J6" s="24"/>
    </row>
    <row r="7" spans="2:10">
      <c r="B7" s="24" t="s">
        <v>232</v>
      </c>
      <c r="C7" s="55" t="str">
        <f>VLOOKUP(B7,raw_a,2,0)</f>
        <v>11월분</v>
      </c>
      <c r="D7" s="24" t="s">
        <v>21</v>
      </c>
      <c r="E7" s="42">
        <f>SUMIFS(전체리스트!D:D,전체리스트!A:A,B7,전체리스트!C:C,D7)</f>
        <v>6800</v>
      </c>
      <c r="F7" s="26"/>
      <c r="G7" s="27">
        <f>SUMIFS(전체리스트!E:E,전체리스트!A:A,B7,전체리스트!C:C,D7)</f>
        <v>1360</v>
      </c>
      <c r="H7" s="25">
        <f t="shared" ref="H7" si="2">G7*0.05</f>
        <v>68</v>
      </c>
      <c r="I7" s="28">
        <f t="shared" si="1"/>
        <v>1292</v>
      </c>
      <c r="J7" s="24"/>
    </row>
    <row r="8" spans="2:10">
      <c r="B8" s="24" t="s">
        <v>232</v>
      </c>
      <c r="C8" s="55" t="str">
        <f t="shared" ref="C8" si="3">VLOOKUP(B8,raw_a,2,0)</f>
        <v>11월분</v>
      </c>
      <c r="D8" s="24" t="s">
        <v>32</v>
      </c>
      <c r="E8" s="42">
        <f>SUMIFS(전체리스트!D:D,전체리스트!A:A,B8,전체리스트!C:C,D8)</f>
        <v>75408</v>
      </c>
      <c r="F8" s="26"/>
      <c r="G8" s="27">
        <f>SUMIFS(전체리스트!E:E,전체리스트!A:A,B8,전체리스트!C:C,D8)</f>
        <v>26178</v>
      </c>
      <c r="H8" s="25">
        <f>G8*0.05</f>
        <v>1308.9000000000001</v>
      </c>
      <c r="I8" s="28">
        <f t="shared" si="1"/>
        <v>24869.1</v>
      </c>
      <c r="J8" s="24"/>
    </row>
    <row r="9" spans="2:10">
      <c r="B9" s="29" t="s">
        <v>322</v>
      </c>
      <c r="C9" s="29"/>
      <c r="D9" s="30"/>
      <c r="E9" s="92">
        <f t="shared" ref="E9:J9" si="4">SUM(E6:E8)</f>
        <v>209708</v>
      </c>
      <c r="F9" s="92">
        <f t="shared" si="4"/>
        <v>0</v>
      </c>
      <c r="G9" s="92">
        <f t="shared" si="4"/>
        <v>77052</v>
      </c>
      <c r="H9" s="92">
        <f t="shared" si="4"/>
        <v>3852.6000000000004</v>
      </c>
      <c r="I9" s="92">
        <f t="shared" si="4"/>
        <v>73199.399999999994</v>
      </c>
      <c r="J9" s="92">
        <f t="shared" si="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4:E9"/>
  <sheetViews>
    <sheetView workbookViewId="0">
      <selection activeCell="D29" sqref="D29"/>
    </sheetView>
  </sheetViews>
  <sheetFormatPr defaultRowHeight="14.25" customHeight="1"/>
  <cols>
    <col min="1" max="1" width="9.59765625" customWidth="1"/>
    <col min="2" max="2" width="19.59765625" customWidth="1"/>
    <col min="3" max="3" width="67.69921875" customWidth="1"/>
    <col min="4" max="4" width="25.69921875" bestFit="1" customWidth="1"/>
  </cols>
  <sheetData>
    <row r="4" spans="1:5" ht="14.25" customHeight="1">
      <c r="B4" s="66" t="s">
        <v>337</v>
      </c>
      <c r="C4" s="1"/>
    </row>
    <row r="5" spans="1:5" ht="14.25" customHeight="1">
      <c r="B5" s="67" t="s">
        <v>338</v>
      </c>
      <c r="C5" s="67" t="s">
        <v>339</v>
      </c>
      <c r="D5" s="67" t="s">
        <v>340</v>
      </c>
      <c r="E5" s="67" t="s">
        <v>341</v>
      </c>
    </row>
    <row r="6" spans="1:5" ht="14.25" customHeight="1">
      <c r="A6" s="32"/>
      <c r="B6" s="68" t="s">
        <v>342</v>
      </c>
      <c r="C6" s="68" t="s">
        <v>343</v>
      </c>
      <c r="D6" s="68" t="s">
        <v>344</v>
      </c>
      <c r="E6" s="69"/>
    </row>
    <row r="7" spans="1:5" ht="14.25" customHeight="1">
      <c r="A7" s="32"/>
      <c r="B7" s="68" t="s">
        <v>345</v>
      </c>
      <c r="C7" s="68" t="s">
        <v>346</v>
      </c>
      <c r="D7" s="68" t="s">
        <v>347</v>
      </c>
      <c r="E7" s="68" t="s">
        <v>348</v>
      </c>
    </row>
    <row r="8" spans="1:5" ht="14.25" customHeight="1">
      <c r="A8" s="32"/>
      <c r="B8" s="70" t="s">
        <v>342</v>
      </c>
      <c r="C8" s="68" t="s">
        <v>349</v>
      </c>
      <c r="D8" s="68" t="s">
        <v>347</v>
      </c>
      <c r="E8" s="68" t="s">
        <v>350</v>
      </c>
    </row>
    <row r="9" spans="1:5" ht="14.25" customHeight="1">
      <c r="B9" s="68" t="s">
        <v>342</v>
      </c>
      <c r="C9" s="68" t="s">
        <v>351</v>
      </c>
      <c r="D9" s="68" t="s">
        <v>352</v>
      </c>
      <c r="E9" s="68" t="s">
        <v>353</v>
      </c>
    </row>
  </sheetData>
  <phoneticPr fontId="1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8C346981F7DA64C8B36015A08100FC3" ma:contentTypeVersion="8" ma:contentTypeDescription="새 문서를 만듭니다." ma:contentTypeScope="" ma:versionID="d7cc11906bcf8d8af19c7cde8a1e9913">
  <xsd:schema xmlns:xsd="http://www.w3.org/2001/XMLSchema" xmlns:xs="http://www.w3.org/2001/XMLSchema" xmlns:p="http://schemas.microsoft.com/office/2006/metadata/properties" xmlns:ns2="5f55898d-7e36-4a59-bbd3-fdede0ca8f9c" xmlns:ns3="762eeb21-1e53-49fc-87f5-c9f437f8c57c" targetNamespace="http://schemas.microsoft.com/office/2006/metadata/properties" ma:root="true" ma:fieldsID="29aa1187931dbcdb701e1e8403f997ec" ns2:_="" ns3:_="">
    <xsd:import namespace="5f55898d-7e36-4a59-bbd3-fdede0ca8f9c"/>
    <xsd:import namespace="762eeb21-1e53-49fc-87f5-c9f437f8c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5898d-7e36-4a59-bbd3-fdede0ca8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e482557d-37bf-4e43-aab1-137d07840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eeb21-1e53-49fc-87f5-c9f437f8c57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46ecf2-969f-4dd0-ae49-22450a8066ab}" ma:internalName="TaxCatchAll" ma:showField="CatchAllData" ma:web="762eeb21-1e53-49fc-87f5-c9f437f8c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55898d-7e36-4a59-bbd3-fdede0ca8f9c">
      <Terms xmlns="http://schemas.microsoft.com/office/infopath/2007/PartnerControls"/>
    </lcf76f155ced4ddcb4097134ff3c332f>
    <TaxCatchAll xmlns="762eeb21-1e53-49fc-87f5-c9f437f8c57c" xsi:nil="true"/>
  </documentManagement>
</p:properties>
</file>

<file path=customXml/itemProps1.xml><?xml version="1.0" encoding="utf-8"?>
<ds:datastoreItem xmlns:ds="http://schemas.openxmlformats.org/officeDocument/2006/customXml" ds:itemID="{7CC29693-3A6A-486C-874E-98819244A1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BAE87C-4426-41A0-B964-D8640D995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5898d-7e36-4a59-bbd3-fdede0ca8f9c"/>
    <ds:schemaRef ds:uri="762eeb21-1e53-49fc-87f5-c9f437f8c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689A23-2582-4AFA-9C2F-E894F533FD90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762eeb21-1e53-49fc-87f5-c9f437f8c57c"/>
    <ds:schemaRef ds:uri="5f55898d-7e36-4a59-bbd3-fdede0ca8f9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45</vt:i4>
      </vt:variant>
      <vt:variant>
        <vt:lpstr>이름이 지정된 범위</vt:lpstr>
      </vt:variant>
      <vt:variant>
        <vt:i4>2</vt:i4>
      </vt:variant>
    </vt:vector>
  </HeadingPairs>
  <TitlesOfParts>
    <vt:vector size="47" baseType="lpstr">
      <vt:lpstr>전체리스트</vt:lpstr>
      <vt:lpstr>합계</vt:lpstr>
      <vt:lpstr>카카오페이지</vt:lpstr>
      <vt:lpstr>카카오타파스</vt:lpstr>
      <vt:lpstr>네이버웹툰</vt:lpstr>
      <vt:lpstr>콰이칸_중국</vt:lpstr>
      <vt:lpstr>엠스토리링크</vt:lpstr>
      <vt:lpstr>레진코믹스</vt:lpstr>
      <vt:lpstr>북큐브</vt:lpstr>
      <vt:lpstr>탑툰</vt:lpstr>
      <vt:lpstr>봄툰</vt:lpstr>
      <vt:lpstr>애니툰</vt:lpstr>
      <vt:lpstr>코미코_한국</vt:lpstr>
      <vt:lpstr>조아라</vt:lpstr>
      <vt:lpstr>포켓코믹스</vt:lpstr>
      <vt:lpstr>리디북스</vt:lpstr>
      <vt:lpstr>위코믹스_태국</vt:lpstr>
      <vt:lpstr>태피툰_영어</vt:lpstr>
      <vt:lpstr>델리툰</vt:lpstr>
      <vt:lpstr>픽코마_일본</vt:lpstr>
      <vt:lpstr>픽코마_동영상</vt:lpstr>
      <vt:lpstr>코미코_태국</vt:lpstr>
      <vt:lpstr>코미코_일본_대만</vt:lpstr>
      <vt:lpstr>미스터블루</vt:lpstr>
      <vt:lpstr>원스토어</vt:lpstr>
      <vt:lpstr>피너툰</vt:lpstr>
      <vt:lpstr>빌리빌리</vt:lpstr>
      <vt:lpstr>INKR</vt:lpstr>
      <vt:lpstr>투믹스</vt:lpstr>
      <vt:lpstr>코믹툰</vt:lpstr>
      <vt:lpstr>타파스</vt:lpstr>
      <vt:lpstr>코핀코믹스</vt:lpstr>
      <vt:lpstr>예스24</vt:lpstr>
      <vt:lpstr>핑거스토리_큐툰</vt:lpstr>
      <vt:lpstr>핑거스토리_무툰</vt:lpstr>
      <vt:lpstr>북팔</vt:lpstr>
      <vt:lpstr>엠유네트웍스</vt:lpstr>
      <vt:lpstr>엠피언</vt:lpstr>
      <vt:lpstr>망가툰</vt:lpstr>
      <vt:lpstr>웹코믹스</vt:lpstr>
      <vt:lpstr>교보문고</vt:lpstr>
      <vt:lpstr>톡소다</vt:lpstr>
      <vt:lpstr>미툰앤노벨</vt:lpstr>
      <vt:lpstr>버프툰</vt:lpstr>
      <vt:lpstr>process</vt:lpstr>
      <vt:lpstr>raw_a</vt:lpstr>
      <vt:lpstr>raw_d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김세은</dc:creator>
  <cp:keywords/>
  <dc:description/>
  <cp:lastModifiedBy>storywiz</cp:lastModifiedBy>
  <cp:revision>4</cp:revision>
  <dcterms:created xsi:type="dcterms:W3CDTF">2016-04-01T02:45:57Z</dcterms:created>
  <dcterms:modified xsi:type="dcterms:W3CDTF">2023-01-09T08:16:19Z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0x010100C8C346981F7DA64C8B36015A08100FC3</vt:lpwstr>
  </property>
  <property fmtid="{D5CDD505-2E9C-101B-9397-08002B2CF9AE}" pid="3" name="MediaServiceImageTags">
    <vt:lpwstr/>
  </property>
</Properties>
</file>