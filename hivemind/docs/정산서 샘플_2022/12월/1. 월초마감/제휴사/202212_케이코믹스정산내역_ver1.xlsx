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제휴사\"/>
    </mc:Choice>
  </mc:AlternateContent>
  <bookViews>
    <workbookView xWindow="0" yWindow="0" windowWidth="25596" windowHeight="10020" tabRatio="929"/>
  </bookViews>
  <sheets>
    <sheet name="합계" sheetId="1" r:id="rId1"/>
    <sheet name="계정정보" sheetId="2" r:id="rId2"/>
    <sheet name="브랜드이모티콘" sheetId="5" r:id="rId3"/>
    <sheet name="브랜드웹툰" sheetId="45" r:id="rId4"/>
    <sheet name="카카오톡 판매용이모티콘(자사IP)" sheetId="46" r:id="rId5"/>
    <sheet name="카카오톡 판매용이모티콘(작가IP)" sheetId="51" r:id="rId6"/>
    <sheet name="밴드스티커(자사IP)" sheetId="53" r:id="rId7"/>
    <sheet name="밴드스티커(작가IP)" sheetId="52" r:id="rId8"/>
  </sheets>
  <definedNames>
    <definedName name="_xlnm.Print_Area" localSheetId="6">'밴드스티커(자사IP)'!$B$2:$K$10</definedName>
    <definedName name="_xlnm.Print_Area" localSheetId="7">'밴드스티커(작가IP)'!$B$2:$K$9</definedName>
    <definedName name="_xlnm.Print_Area" localSheetId="3">브랜드웹툰!$B$1:$H$7</definedName>
    <definedName name="_xlnm.Print_Area" localSheetId="2">브랜드이모티콘!$B$2:$H$13</definedName>
    <definedName name="_xlnm.Print_Area" localSheetId="4">'카카오톡 판매용이모티콘(자사IP)'!$B$2:$K$22</definedName>
    <definedName name="_xlnm.Print_Area" localSheetId="5">'카카오톡 판매용이모티콘(작가IP)'!$B$2:$K$40</definedName>
    <definedName name="_xlnm.Print_Area" localSheetId="0">합계!$B$2:$N$36</definedName>
  </definedNames>
  <calcPr calcId="152511"/>
</workbook>
</file>

<file path=xl/calcChain.xml><?xml version="1.0" encoding="utf-8"?>
<calcChain xmlns="http://schemas.openxmlformats.org/spreadsheetml/2006/main">
  <c r="F14" i="1" l="1"/>
  <c r="M5" i="1"/>
  <c r="E31" i="5" l="1"/>
  <c r="G31" i="5" s="1"/>
  <c r="E32" i="5"/>
  <c r="F32" i="5" s="1"/>
  <c r="G32" i="5"/>
  <c r="E33" i="5"/>
  <c r="F33" i="5"/>
  <c r="G33" i="5"/>
  <c r="E34" i="5"/>
  <c r="F34" i="5" s="1"/>
  <c r="E35" i="5"/>
  <c r="G35" i="5" s="1"/>
  <c r="F35" i="5"/>
  <c r="G8" i="45"/>
  <c r="E8" i="45"/>
  <c r="F8" i="45" s="1"/>
  <c r="E27" i="5"/>
  <c r="G27" i="5" s="1"/>
  <c r="E25" i="5"/>
  <c r="F25" i="5" s="1"/>
  <c r="E26" i="5"/>
  <c r="F26" i="5" s="1"/>
  <c r="E28" i="5"/>
  <c r="F28" i="5" s="1"/>
  <c r="E29" i="5"/>
  <c r="F29" i="5" s="1"/>
  <c r="E30" i="5"/>
  <c r="G30" i="5" s="1"/>
  <c r="E24" i="5"/>
  <c r="F24" i="5" s="1"/>
  <c r="E23" i="5"/>
  <c r="F23" i="5" s="1"/>
  <c r="F31" i="5" l="1"/>
  <c r="G34" i="5"/>
  <c r="F30" i="5"/>
  <c r="G28" i="5"/>
  <c r="F27" i="5"/>
  <c r="G25" i="5"/>
  <c r="G29" i="5"/>
  <c r="G26" i="5"/>
  <c r="G24" i="5"/>
  <c r="G23" i="5"/>
  <c r="E11" i="45" l="1"/>
  <c r="G11" i="45" s="1"/>
  <c r="E10" i="45"/>
  <c r="F10" i="45" s="1"/>
  <c r="E9" i="45"/>
  <c r="G9" i="45" s="1"/>
  <c r="F11" i="45" l="1"/>
  <c r="G10" i="45"/>
  <c r="F9" i="45"/>
  <c r="E7" i="51"/>
  <c r="C7" i="51"/>
  <c r="C7" i="52" l="1"/>
  <c r="D19" i="46" l="1"/>
  <c r="D21" i="51" l="1"/>
  <c r="F39" i="51" l="1"/>
  <c r="D9" i="46" l="1"/>
  <c r="E16" i="5" l="1"/>
  <c r="G16" i="5" s="1"/>
  <c r="E10" i="5"/>
  <c r="F10" i="5" s="1"/>
  <c r="E11" i="5"/>
  <c r="F11" i="5" s="1"/>
  <c r="E12" i="5"/>
  <c r="G12" i="5" s="1"/>
  <c r="E13" i="5"/>
  <c r="G13" i="5" s="1"/>
  <c r="E14" i="5"/>
  <c r="F14" i="5" s="1"/>
  <c r="E15" i="5"/>
  <c r="F15" i="5" s="1"/>
  <c r="E17" i="5"/>
  <c r="F17" i="5" s="1"/>
  <c r="E18" i="5"/>
  <c r="G18" i="5" s="1"/>
  <c r="E19" i="5"/>
  <c r="F19" i="5" s="1"/>
  <c r="E8" i="5"/>
  <c r="F8" i="5" s="1"/>
  <c r="E9" i="5"/>
  <c r="G9" i="5" s="1"/>
  <c r="F13" i="5" l="1"/>
  <c r="G8" i="5"/>
  <c r="F18" i="5"/>
  <c r="G17" i="5"/>
  <c r="F16" i="5"/>
  <c r="G14" i="5"/>
  <c r="F12" i="5"/>
  <c r="G10" i="5"/>
  <c r="G19" i="5"/>
  <c r="G11" i="5"/>
  <c r="G15" i="5"/>
  <c r="F9" i="5"/>
  <c r="E7" i="5" l="1"/>
  <c r="F7" i="5" s="1"/>
  <c r="G7" i="5" l="1"/>
  <c r="E20" i="5" l="1"/>
  <c r="F20" i="5" s="1"/>
  <c r="E21" i="5"/>
  <c r="F21" i="5" s="1"/>
  <c r="E22" i="5"/>
  <c r="F22" i="5" s="1"/>
  <c r="G20" i="5" l="1"/>
  <c r="G21" i="5"/>
  <c r="G22" i="5"/>
  <c r="F23" i="46" l="1"/>
  <c r="G23" i="46" s="1"/>
  <c r="H23" i="46" s="1"/>
  <c r="D23" i="46"/>
  <c r="I23" i="46" l="1"/>
  <c r="J23" i="46"/>
  <c r="F19" i="46" l="1"/>
  <c r="G19" i="46" s="1"/>
  <c r="H19" i="46" s="1"/>
  <c r="J19" i="46" l="1"/>
  <c r="I19" i="46"/>
  <c r="M20" i="1" l="1"/>
  <c r="D26" i="51" l="1"/>
  <c r="D12" i="51" l="1"/>
  <c r="E12" i="45" l="1"/>
  <c r="G12" i="45" s="1"/>
  <c r="F12" i="45"/>
  <c r="E13" i="45"/>
  <c r="F13" i="45"/>
  <c r="G13" i="45"/>
  <c r="E14" i="45"/>
  <c r="F14" i="45" s="1"/>
  <c r="E15" i="45"/>
  <c r="F15" i="45" s="1"/>
  <c r="E16" i="45"/>
  <c r="G16" i="45" s="1"/>
  <c r="F16" i="45"/>
  <c r="E17" i="45"/>
  <c r="F17" i="45"/>
  <c r="G17" i="45"/>
  <c r="E18" i="45"/>
  <c r="F18" i="45" s="1"/>
  <c r="G18" i="45"/>
  <c r="E19" i="45"/>
  <c r="F19" i="45" s="1"/>
  <c r="G14" i="45" l="1"/>
  <c r="G19" i="45"/>
  <c r="G15" i="45"/>
  <c r="F24" i="46" l="1"/>
  <c r="G24" i="46" s="1"/>
  <c r="H24" i="46" s="1"/>
  <c r="D24" i="46"/>
  <c r="J24" i="46" l="1"/>
  <c r="I24" i="46"/>
  <c r="E7" i="45" l="1"/>
  <c r="G7" i="45" s="1"/>
  <c r="M14" i="1"/>
  <c r="F7" i="45" l="1"/>
  <c r="D7" i="51"/>
  <c r="D13" i="46" l="1"/>
  <c r="D14" i="46" l="1"/>
  <c r="F11" i="46" l="1"/>
  <c r="G11" i="46" s="1"/>
  <c r="H11" i="46" s="1"/>
  <c r="J11" i="46" l="1"/>
  <c r="I11" i="46"/>
  <c r="E6" i="5" l="1"/>
  <c r="G6" i="5" s="1"/>
  <c r="F6" i="5" l="1"/>
  <c r="L6" i="1" l="1"/>
  <c r="L5" i="1"/>
  <c r="E5" i="5" l="1"/>
  <c r="G42" i="51" l="1"/>
  <c r="G43" i="51"/>
  <c r="H43" i="51" s="1"/>
  <c r="G44" i="51"/>
  <c r="H44" i="51" s="1"/>
  <c r="G45" i="51"/>
  <c r="H45" i="51" s="1"/>
  <c r="G46" i="51"/>
  <c r="H46" i="51" s="1"/>
  <c r="G47" i="51"/>
  <c r="H47" i="51" s="1"/>
  <c r="G48" i="51"/>
  <c r="H48" i="51" s="1"/>
  <c r="H49" i="51"/>
  <c r="H50" i="51"/>
  <c r="H51" i="51"/>
  <c r="H52" i="51"/>
  <c r="H53" i="51"/>
  <c r="H42" i="51"/>
  <c r="D11" i="51" l="1"/>
  <c r="F11" i="51" s="1"/>
  <c r="G11" i="51" l="1"/>
  <c r="H11" i="51" s="1"/>
  <c r="J11" i="51" s="1"/>
  <c r="I11" i="51" l="1"/>
  <c r="J961" i="52" l="1"/>
  <c r="I961" i="52"/>
  <c r="J960" i="52"/>
  <c r="I960" i="52"/>
  <c r="D960" i="52"/>
  <c r="J959" i="52"/>
  <c r="I959" i="52"/>
  <c r="D959" i="52"/>
  <c r="J958" i="52"/>
  <c r="I958" i="52"/>
  <c r="D958" i="52"/>
  <c r="J957" i="52"/>
  <c r="I957" i="52"/>
  <c r="D957" i="52"/>
  <c r="J956" i="52"/>
  <c r="I956" i="52"/>
  <c r="D956" i="52"/>
  <c r="J955" i="52"/>
  <c r="I955" i="52"/>
  <c r="D955" i="52"/>
  <c r="J954" i="52"/>
  <c r="I954" i="52"/>
  <c r="D954" i="52"/>
  <c r="J953" i="52"/>
  <c r="I953" i="52"/>
  <c r="D953" i="52"/>
  <c r="J952" i="52"/>
  <c r="I952" i="52"/>
  <c r="D952" i="52"/>
  <c r="J951" i="52"/>
  <c r="I951" i="52"/>
  <c r="D951" i="52"/>
  <c r="J950" i="52"/>
  <c r="I950" i="52"/>
  <c r="D950" i="52"/>
  <c r="J949" i="52"/>
  <c r="I949" i="52"/>
  <c r="D949" i="52"/>
  <c r="J948" i="52"/>
  <c r="I948" i="52"/>
  <c r="D948" i="52"/>
  <c r="J947" i="52"/>
  <c r="I947" i="52"/>
  <c r="D947" i="52"/>
  <c r="J946" i="52"/>
  <c r="I946" i="52"/>
  <c r="D946" i="52"/>
  <c r="J945" i="52"/>
  <c r="I945" i="52"/>
  <c r="D945" i="52"/>
  <c r="J944" i="52"/>
  <c r="I944" i="52"/>
  <c r="D944" i="52"/>
  <c r="J943" i="52"/>
  <c r="I943" i="52"/>
  <c r="D943" i="52"/>
  <c r="J942" i="52"/>
  <c r="I942" i="52"/>
  <c r="D942" i="52"/>
  <c r="J941" i="52"/>
  <c r="I941" i="52"/>
  <c r="D941" i="52"/>
  <c r="J940" i="52"/>
  <c r="I940" i="52"/>
  <c r="D940" i="52"/>
  <c r="J939" i="52"/>
  <c r="I939" i="52"/>
  <c r="D939" i="52"/>
  <c r="J938" i="52"/>
  <c r="I938" i="52"/>
  <c r="D938" i="52"/>
  <c r="J937" i="52"/>
  <c r="I937" i="52"/>
  <c r="D937" i="52"/>
  <c r="J936" i="52"/>
  <c r="I936" i="52"/>
  <c r="D936" i="52"/>
  <c r="J935" i="52"/>
  <c r="I935" i="52"/>
  <c r="D935" i="52"/>
  <c r="J934" i="52"/>
  <c r="I934" i="52"/>
  <c r="D934" i="52"/>
  <c r="J933" i="52"/>
  <c r="I933" i="52"/>
  <c r="D933" i="52"/>
  <c r="J932" i="52"/>
  <c r="I932" i="52"/>
  <c r="D932" i="52"/>
  <c r="J931" i="52"/>
  <c r="I931" i="52"/>
  <c r="D931" i="52"/>
  <c r="J930" i="52"/>
  <c r="I930" i="52"/>
  <c r="D930" i="52"/>
  <c r="J929" i="52"/>
  <c r="I929" i="52"/>
  <c r="D929" i="52"/>
  <c r="J928" i="52"/>
  <c r="I928" i="52"/>
  <c r="D928" i="52"/>
  <c r="J927" i="52"/>
  <c r="I927" i="52"/>
  <c r="D927" i="52"/>
  <c r="J926" i="52"/>
  <c r="I926" i="52"/>
  <c r="D926" i="52"/>
  <c r="J925" i="52"/>
  <c r="I925" i="52"/>
  <c r="D925" i="52"/>
  <c r="J924" i="52"/>
  <c r="I924" i="52"/>
  <c r="D924" i="52"/>
  <c r="J923" i="52"/>
  <c r="I923" i="52"/>
  <c r="D923" i="52"/>
  <c r="J922" i="52"/>
  <c r="I922" i="52"/>
  <c r="D922" i="52"/>
  <c r="J921" i="52"/>
  <c r="I921" i="52"/>
  <c r="D921" i="52"/>
  <c r="J920" i="52"/>
  <c r="I920" i="52"/>
  <c r="D920" i="52"/>
  <c r="J919" i="52"/>
  <c r="I919" i="52"/>
  <c r="D919" i="52"/>
  <c r="J918" i="52"/>
  <c r="I918" i="52"/>
  <c r="D918" i="52"/>
  <c r="J917" i="52"/>
  <c r="I917" i="52"/>
  <c r="D917" i="52"/>
  <c r="J916" i="52"/>
  <c r="I916" i="52"/>
  <c r="D916" i="52"/>
  <c r="J915" i="52"/>
  <c r="I915" i="52"/>
  <c r="D915" i="52"/>
  <c r="J914" i="52"/>
  <c r="I914" i="52"/>
  <c r="D914" i="52"/>
  <c r="J913" i="52"/>
  <c r="I913" i="52"/>
  <c r="D913" i="52"/>
  <c r="J912" i="52"/>
  <c r="I912" i="52"/>
  <c r="D912" i="52"/>
  <c r="J911" i="52"/>
  <c r="I911" i="52"/>
  <c r="D911" i="52"/>
  <c r="J910" i="52"/>
  <c r="I910" i="52"/>
  <c r="D910" i="52"/>
  <c r="J909" i="52"/>
  <c r="I909" i="52"/>
  <c r="D909" i="52"/>
  <c r="J908" i="52"/>
  <c r="I908" i="52"/>
  <c r="D908" i="52"/>
  <c r="J907" i="52"/>
  <c r="I907" i="52"/>
  <c r="D907" i="52"/>
  <c r="J906" i="52"/>
  <c r="I906" i="52"/>
  <c r="D906" i="52"/>
  <c r="J905" i="52"/>
  <c r="I905" i="52"/>
  <c r="D905" i="52"/>
  <c r="J904" i="52"/>
  <c r="I904" i="52"/>
  <c r="D904" i="52"/>
  <c r="J903" i="52"/>
  <c r="I903" i="52"/>
  <c r="D903" i="52"/>
  <c r="J902" i="52"/>
  <c r="I902" i="52"/>
  <c r="D902" i="52"/>
  <c r="J901" i="52"/>
  <c r="I901" i="52"/>
  <c r="D901" i="52"/>
  <c r="J900" i="52"/>
  <c r="I900" i="52"/>
  <c r="D900" i="52"/>
  <c r="J899" i="52"/>
  <c r="I899" i="52"/>
  <c r="D899" i="52"/>
  <c r="J898" i="52"/>
  <c r="I898" i="52"/>
  <c r="D898" i="52"/>
  <c r="J897" i="52"/>
  <c r="I897" i="52"/>
  <c r="D897" i="52"/>
  <c r="J896" i="52"/>
  <c r="I896" i="52"/>
  <c r="D896" i="52"/>
  <c r="J895" i="52"/>
  <c r="I895" i="52"/>
  <c r="D895" i="52"/>
  <c r="J894" i="52"/>
  <c r="I894" i="52"/>
  <c r="D894" i="52"/>
  <c r="J893" i="52"/>
  <c r="I893" i="52"/>
  <c r="D893" i="52"/>
  <c r="J892" i="52"/>
  <c r="I892" i="52"/>
  <c r="D892" i="52"/>
  <c r="J891" i="52"/>
  <c r="I891" i="52"/>
  <c r="D891" i="52"/>
  <c r="J890" i="52"/>
  <c r="I890" i="52"/>
  <c r="D890" i="52"/>
  <c r="J889" i="52"/>
  <c r="I889" i="52"/>
  <c r="D889" i="52"/>
  <c r="J888" i="52"/>
  <c r="I888" i="52"/>
  <c r="D888" i="52"/>
  <c r="J887" i="52"/>
  <c r="I887" i="52"/>
  <c r="D887" i="52"/>
  <c r="J886" i="52"/>
  <c r="I886" i="52"/>
  <c r="D886" i="52"/>
  <c r="J885" i="52"/>
  <c r="I885" i="52"/>
  <c r="D885" i="52"/>
  <c r="J884" i="52"/>
  <c r="I884" i="52"/>
  <c r="D884" i="52"/>
  <c r="J883" i="52"/>
  <c r="I883" i="52"/>
  <c r="D883" i="52"/>
  <c r="J882" i="52"/>
  <c r="I882" i="52"/>
  <c r="D882" i="52"/>
  <c r="J881" i="52"/>
  <c r="I881" i="52"/>
  <c r="D881" i="52"/>
  <c r="J880" i="52"/>
  <c r="I880" i="52"/>
  <c r="D880" i="52"/>
  <c r="J879" i="52"/>
  <c r="I879" i="52"/>
  <c r="D879" i="52"/>
  <c r="J878" i="52"/>
  <c r="I878" i="52"/>
  <c r="D878" i="52"/>
  <c r="J877" i="52"/>
  <c r="I877" i="52"/>
  <c r="D877" i="52"/>
  <c r="J876" i="52"/>
  <c r="I876" i="52"/>
  <c r="D876" i="52"/>
  <c r="J875" i="52"/>
  <c r="I875" i="52"/>
  <c r="D875" i="52"/>
  <c r="J874" i="52"/>
  <c r="I874" i="52"/>
  <c r="D874" i="52"/>
  <c r="J873" i="52"/>
  <c r="I873" i="52"/>
  <c r="D873" i="52"/>
  <c r="J872" i="52"/>
  <c r="I872" i="52"/>
  <c r="D872" i="52"/>
  <c r="J871" i="52"/>
  <c r="I871" i="52"/>
  <c r="D871" i="52"/>
  <c r="J870" i="52"/>
  <c r="I870" i="52"/>
  <c r="D870" i="52"/>
  <c r="J869" i="52"/>
  <c r="I869" i="52"/>
  <c r="D869" i="52"/>
  <c r="J868" i="52"/>
  <c r="I868" i="52"/>
  <c r="D868" i="52"/>
  <c r="J867" i="52"/>
  <c r="I867" i="52"/>
  <c r="D867" i="52"/>
  <c r="J866" i="52"/>
  <c r="I866" i="52"/>
  <c r="D866" i="52"/>
  <c r="J865" i="52"/>
  <c r="I865" i="52"/>
  <c r="D865" i="52"/>
  <c r="J864" i="52"/>
  <c r="I864" i="52"/>
  <c r="D864" i="52"/>
  <c r="J863" i="52"/>
  <c r="I863" i="52"/>
  <c r="D863" i="52"/>
  <c r="J862" i="52"/>
  <c r="I862" i="52"/>
  <c r="D862" i="52"/>
  <c r="J861" i="52"/>
  <c r="I861" i="52"/>
  <c r="D861" i="52"/>
  <c r="J860" i="52"/>
  <c r="I860" i="52"/>
  <c r="D860" i="52"/>
  <c r="J859" i="52"/>
  <c r="I859" i="52"/>
  <c r="D859" i="52"/>
  <c r="J858" i="52"/>
  <c r="I858" i="52"/>
  <c r="D858" i="52"/>
  <c r="J857" i="52"/>
  <c r="I857" i="52"/>
  <c r="D857" i="52"/>
  <c r="J856" i="52"/>
  <c r="I856" i="52"/>
  <c r="D856" i="52"/>
  <c r="J855" i="52"/>
  <c r="I855" i="52"/>
  <c r="D855" i="52"/>
  <c r="J854" i="52"/>
  <c r="I854" i="52"/>
  <c r="D854" i="52"/>
  <c r="J853" i="52"/>
  <c r="I853" i="52"/>
  <c r="D853" i="52"/>
  <c r="J852" i="52"/>
  <c r="I852" i="52"/>
  <c r="D852" i="52"/>
  <c r="J851" i="52"/>
  <c r="I851" i="52"/>
  <c r="D851" i="52"/>
  <c r="J850" i="52"/>
  <c r="I850" i="52"/>
  <c r="D850" i="52"/>
  <c r="J849" i="52"/>
  <c r="I849" i="52"/>
  <c r="D849" i="52"/>
  <c r="J848" i="52"/>
  <c r="I848" i="52"/>
  <c r="D848" i="52"/>
  <c r="J847" i="52"/>
  <c r="I847" i="52"/>
  <c r="D847" i="52"/>
  <c r="J846" i="52"/>
  <c r="I846" i="52"/>
  <c r="D846" i="52"/>
  <c r="J845" i="52"/>
  <c r="I845" i="52"/>
  <c r="D845" i="52"/>
  <c r="J844" i="52"/>
  <c r="I844" i="52"/>
  <c r="D844" i="52"/>
  <c r="J843" i="52"/>
  <c r="I843" i="52"/>
  <c r="D843" i="52"/>
  <c r="J842" i="52"/>
  <c r="I842" i="52"/>
  <c r="D842" i="52"/>
  <c r="J841" i="52"/>
  <c r="I841" i="52"/>
  <c r="D841" i="52"/>
  <c r="J840" i="52"/>
  <c r="I840" i="52"/>
  <c r="D840" i="52"/>
  <c r="J839" i="52"/>
  <c r="I839" i="52"/>
  <c r="D839" i="52"/>
  <c r="J838" i="52"/>
  <c r="I838" i="52"/>
  <c r="D838" i="52"/>
  <c r="J837" i="52"/>
  <c r="I837" i="52"/>
  <c r="D837" i="52"/>
  <c r="J836" i="52"/>
  <c r="I836" i="52"/>
  <c r="D836" i="52"/>
  <c r="J835" i="52"/>
  <c r="I835" i="52"/>
  <c r="D835" i="52"/>
  <c r="J834" i="52"/>
  <c r="I834" i="52"/>
  <c r="D834" i="52"/>
  <c r="J833" i="52"/>
  <c r="I833" i="52"/>
  <c r="D833" i="52"/>
  <c r="J832" i="52"/>
  <c r="I832" i="52"/>
  <c r="D832" i="52"/>
  <c r="J831" i="52"/>
  <c r="I831" i="52"/>
  <c r="D831" i="52"/>
  <c r="J830" i="52"/>
  <c r="I830" i="52"/>
  <c r="D830" i="52"/>
  <c r="J829" i="52"/>
  <c r="I829" i="52"/>
  <c r="D829" i="52"/>
  <c r="J828" i="52"/>
  <c r="I828" i="52"/>
  <c r="D828" i="52"/>
  <c r="J827" i="52"/>
  <c r="I827" i="52"/>
  <c r="D827" i="52"/>
  <c r="J826" i="52"/>
  <c r="I826" i="52"/>
  <c r="D826" i="52"/>
  <c r="J825" i="52"/>
  <c r="I825" i="52"/>
  <c r="D825" i="52"/>
  <c r="J824" i="52"/>
  <c r="I824" i="52"/>
  <c r="D824" i="52"/>
  <c r="J823" i="52"/>
  <c r="I823" i="52"/>
  <c r="D823" i="52"/>
  <c r="J822" i="52"/>
  <c r="I822" i="52"/>
  <c r="D822" i="52"/>
  <c r="J821" i="52"/>
  <c r="I821" i="52"/>
  <c r="D821" i="52"/>
  <c r="J820" i="52"/>
  <c r="I820" i="52"/>
  <c r="D820" i="52"/>
  <c r="J819" i="52"/>
  <c r="I819" i="52"/>
  <c r="D819" i="52"/>
  <c r="J818" i="52"/>
  <c r="I818" i="52"/>
  <c r="D818" i="52"/>
  <c r="J817" i="52"/>
  <c r="I817" i="52"/>
  <c r="D817" i="52"/>
  <c r="J816" i="52"/>
  <c r="I816" i="52"/>
  <c r="D816" i="52"/>
  <c r="J815" i="52"/>
  <c r="I815" i="52"/>
  <c r="D815" i="52"/>
  <c r="J814" i="52"/>
  <c r="I814" i="52"/>
  <c r="D814" i="52"/>
  <c r="J813" i="52"/>
  <c r="I813" i="52"/>
  <c r="D813" i="52"/>
  <c r="J812" i="52"/>
  <c r="I812" i="52"/>
  <c r="D812" i="52"/>
  <c r="J811" i="52"/>
  <c r="I811" i="52"/>
  <c r="D811" i="52"/>
  <c r="J810" i="52"/>
  <c r="I810" i="52"/>
  <c r="D810" i="52"/>
  <c r="J809" i="52"/>
  <c r="I809" i="52"/>
  <c r="D809" i="52"/>
  <c r="J808" i="52"/>
  <c r="I808" i="52"/>
  <c r="D808" i="52"/>
  <c r="J807" i="52"/>
  <c r="I807" i="52"/>
  <c r="D807" i="52"/>
  <c r="J806" i="52"/>
  <c r="I806" i="52"/>
  <c r="D806" i="52"/>
  <c r="J805" i="52"/>
  <c r="I805" i="52"/>
  <c r="D805" i="52"/>
  <c r="J804" i="52"/>
  <c r="I804" i="52"/>
  <c r="D804" i="52"/>
  <c r="J803" i="52"/>
  <c r="I803" i="52"/>
  <c r="D803" i="52"/>
  <c r="J802" i="52"/>
  <c r="I802" i="52"/>
  <c r="D802" i="52"/>
  <c r="J801" i="52"/>
  <c r="I801" i="52"/>
  <c r="D801" i="52"/>
  <c r="J800" i="52"/>
  <c r="I800" i="52"/>
  <c r="D800" i="52"/>
  <c r="J799" i="52"/>
  <c r="I799" i="52"/>
  <c r="D799" i="52"/>
  <c r="J798" i="52"/>
  <c r="I798" i="52"/>
  <c r="D798" i="52"/>
  <c r="J797" i="52"/>
  <c r="I797" i="52"/>
  <c r="D797" i="52"/>
  <c r="J796" i="52"/>
  <c r="I796" i="52"/>
  <c r="D796" i="52"/>
  <c r="J795" i="52"/>
  <c r="I795" i="52"/>
  <c r="D795" i="52"/>
  <c r="J794" i="52"/>
  <c r="I794" i="52"/>
  <c r="D794" i="52"/>
  <c r="J793" i="52"/>
  <c r="I793" i="52"/>
  <c r="D793" i="52"/>
  <c r="J792" i="52"/>
  <c r="I792" i="52"/>
  <c r="D792" i="52"/>
  <c r="J791" i="52"/>
  <c r="I791" i="52"/>
  <c r="D791" i="52"/>
  <c r="J790" i="52"/>
  <c r="I790" i="52"/>
  <c r="D790" i="52"/>
  <c r="J789" i="52"/>
  <c r="I789" i="52"/>
  <c r="D789" i="52"/>
  <c r="J788" i="52"/>
  <c r="I788" i="52"/>
  <c r="D788" i="52"/>
  <c r="J787" i="52"/>
  <c r="I787" i="52"/>
  <c r="D787" i="52"/>
  <c r="J786" i="52"/>
  <c r="I786" i="52"/>
  <c r="D786" i="52"/>
  <c r="J785" i="52"/>
  <c r="I785" i="52"/>
  <c r="D785" i="52"/>
  <c r="J784" i="52"/>
  <c r="I784" i="52"/>
  <c r="D784" i="52"/>
  <c r="J783" i="52"/>
  <c r="I783" i="52"/>
  <c r="D783" i="52"/>
  <c r="J782" i="52"/>
  <c r="I782" i="52"/>
  <c r="D782" i="52"/>
  <c r="J781" i="52"/>
  <c r="I781" i="52"/>
  <c r="D781" i="52"/>
  <c r="J780" i="52"/>
  <c r="I780" i="52"/>
  <c r="D780" i="52"/>
  <c r="J779" i="52"/>
  <c r="I779" i="52"/>
  <c r="D779" i="52"/>
  <c r="J778" i="52"/>
  <c r="I778" i="52"/>
  <c r="D778" i="52"/>
  <c r="J777" i="52"/>
  <c r="I777" i="52"/>
  <c r="D777" i="52"/>
  <c r="J776" i="52"/>
  <c r="I776" i="52"/>
  <c r="D776" i="52"/>
  <c r="J775" i="52"/>
  <c r="I775" i="52"/>
  <c r="D775" i="52"/>
  <c r="J774" i="52"/>
  <c r="I774" i="52"/>
  <c r="D774" i="52"/>
  <c r="J773" i="52"/>
  <c r="I773" i="52"/>
  <c r="D773" i="52"/>
  <c r="J772" i="52"/>
  <c r="I772" i="52"/>
  <c r="D772" i="52"/>
  <c r="J771" i="52"/>
  <c r="I771" i="52"/>
  <c r="D771" i="52"/>
  <c r="J770" i="52"/>
  <c r="I770" i="52"/>
  <c r="D770" i="52"/>
  <c r="J769" i="52"/>
  <c r="I769" i="52"/>
  <c r="D769" i="52"/>
  <c r="J768" i="52"/>
  <c r="I768" i="52"/>
  <c r="D768" i="52"/>
  <c r="J767" i="52"/>
  <c r="I767" i="52"/>
  <c r="D767" i="52"/>
  <c r="J766" i="52"/>
  <c r="I766" i="52"/>
  <c r="D766" i="52"/>
  <c r="J765" i="52"/>
  <c r="I765" i="52"/>
  <c r="D765" i="52"/>
  <c r="J764" i="52"/>
  <c r="I764" i="52"/>
  <c r="D764" i="52"/>
  <c r="J763" i="52"/>
  <c r="I763" i="52"/>
  <c r="D763" i="52"/>
  <c r="J762" i="52"/>
  <c r="I762" i="52"/>
  <c r="D762" i="52"/>
  <c r="J761" i="52"/>
  <c r="I761" i="52"/>
  <c r="D761" i="52"/>
  <c r="J760" i="52"/>
  <c r="I760" i="52"/>
  <c r="D760" i="52"/>
  <c r="J759" i="52"/>
  <c r="I759" i="52"/>
  <c r="D759" i="52"/>
  <c r="J758" i="52"/>
  <c r="I758" i="52"/>
  <c r="D758" i="52"/>
  <c r="J757" i="52"/>
  <c r="I757" i="52"/>
  <c r="D757" i="52"/>
  <c r="J756" i="52"/>
  <c r="I756" i="52"/>
  <c r="D756" i="52"/>
  <c r="J755" i="52"/>
  <c r="I755" i="52"/>
  <c r="D755" i="52"/>
  <c r="J754" i="52"/>
  <c r="I754" i="52"/>
  <c r="D754" i="52"/>
  <c r="J753" i="52"/>
  <c r="I753" i="52"/>
  <c r="D753" i="52"/>
  <c r="J752" i="52"/>
  <c r="I752" i="52"/>
  <c r="D752" i="52"/>
  <c r="J751" i="52"/>
  <c r="I751" i="52"/>
  <c r="D751" i="52"/>
  <c r="J750" i="52"/>
  <c r="I750" i="52"/>
  <c r="D750" i="52"/>
  <c r="J749" i="52"/>
  <c r="I749" i="52"/>
  <c r="D749" i="52"/>
  <c r="J748" i="52"/>
  <c r="I748" i="52"/>
  <c r="D748" i="52"/>
  <c r="J747" i="52"/>
  <c r="I747" i="52"/>
  <c r="D747" i="52"/>
  <c r="J746" i="52"/>
  <c r="I746" i="52"/>
  <c r="D746" i="52"/>
  <c r="J745" i="52"/>
  <c r="I745" i="52"/>
  <c r="D745" i="52"/>
  <c r="J744" i="52"/>
  <c r="I744" i="52"/>
  <c r="D744" i="52"/>
  <c r="J743" i="52"/>
  <c r="I743" i="52"/>
  <c r="D743" i="52"/>
  <c r="J742" i="52"/>
  <c r="I742" i="52"/>
  <c r="D742" i="52"/>
  <c r="J741" i="52"/>
  <c r="I741" i="52"/>
  <c r="D741" i="52"/>
  <c r="J740" i="52"/>
  <c r="I740" i="52"/>
  <c r="D740" i="52"/>
  <c r="J739" i="52"/>
  <c r="I739" i="52"/>
  <c r="D739" i="52"/>
  <c r="J738" i="52"/>
  <c r="I738" i="52"/>
  <c r="D738" i="52"/>
  <c r="J737" i="52"/>
  <c r="I737" i="52"/>
  <c r="D737" i="52"/>
  <c r="J736" i="52"/>
  <c r="I736" i="52"/>
  <c r="D736" i="52"/>
  <c r="J735" i="52"/>
  <c r="I735" i="52"/>
  <c r="D735" i="52"/>
  <c r="J734" i="52"/>
  <c r="I734" i="52"/>
  <c r="D734" i="52"/>
  <c r="J733" i="52"/>
  <c r="I733" i="52"/>
  <c r="D733" i="52"/>
  <c r="J732" i="52"/>
  <c r="I732" i="52"/>
  <c r="D732" i="52"/>
  <c r="J731" i="52"/>
  <c r="I731" i="52"/>
  <c r="D731" i="52"/>
  <c r="J730" i="52"/>
  <c r="I730" i="52"/>
  <c r="D730" i="52"/>
  <c r="J729" i="52"/>
  <c r="I729" i="52"/>
  <c r="D729" i="52"/>
  <c r="J728" i="52"/>
  <c r="I728" i="52"/>
  <c r="D728" i="52"/>
  <c r="J727" i="52"/>
  <c r="I727" i="52"/>
  <c r="D727" i="52"/>
  <c r="J726" i="52"/>
  <c r="I726" i="52"/>
  <c r="D726" i="52"/>
  <c r="J725" i="52"/>
  <c r="I725" i="52"/>
  <c r="D725" i="52"/>
  <c r="J724" i="52"/>
  <c r="I724" i="52"/>
  <c r="D724" i="52"/>
  <c r="J723" i="52"/>
  <c r="I723" i="52"/>
  <c r="D723" i="52"/>
  <c r="J722" i="52"/>
  <c r="I722" i="52"/>
  <c r="D722" i="52"/>
  <c r="J721" i="52"/>
  <c r="I721" i="52"/>
  <c r="D721" i="52"/>
  <c r="J720" i="52"/>
  <c r="I720" i="52"/>
  <c r="D720" i="52"/>
  <c r="J719" i="52"/>
  <c r="I719" i="52"/>
  <c r="D719" i="52"/>
  <c r="J718" i="52"/>
  <c r="I718" i="52"/>
  <c r="D718" i="52"/>
  <c r="J717" i="52"/>
  <c r="I717" i="52"/>
  <c r="D717" i="52"/>
  <c r="J716" i="52"/>
  <c r="I716" i="52"/>
  <c r="D716" i="52"/>
  <c r="J715" i="52"/>
  <c r="I715" i="52"/>
  <c r="D715" i="52"/>
  <c r="J714" i="52"/>
  <c r="I714" i="52"/>
  <c r="D714" i="52"/>
  <c r="J713" i="52"/>
  <c r="I713" i="52"/>
  <c r="D713" i="52"/>
  <c r="J712" i="52"/>
  <c r="I712" i="52"/>
  <c r="D712" i="52"/>
  <c r="J711" i="52"/>
  <c r="I711" i="52"/>
  <c r="D711" i="52"/>
  <c r="J710" i="52"/>
  <c r="I710" i="52"/>
  <c r="D710" i="52"/>
  <c r="J709" i="52"/>
  <c r="I709" i="52"/>
  <c r="D709" i="52"/>
  <c r="J708" i="52"/>
  <c r="I708" i="52"/>
  <c r="D708" i="52"/>
  <c r="J707" i="52"/>
  <c r="I707" i="52"/>
  <c r="D707" i="52"/>
  <c r="J706" i="52"/>
  <c r="I706" i="52"/>
  <c r="D706" i="52"/>
  <c r="J705" i="52"/>
  <c r="I705" i="52"/>
  <c r="D705" i="52"/>
  <c r="J704" i="52"/>
  <c r="I704" i="52"/>
  <c r="D704" i="52"/>
  <c r="J703" i="52"/>
  <c r="I703" i="52"/>
  <c r="D703" i="52"/>
  <c r="J702" i="52"/>
  <c r="I702" i="52"/>
  <c r="D702" i="52"/>
  <c r="J701" i="52"/>
  <c r="I701" i="52"/>
  <c r="D701" i="52"/>
  <c r="J700" i="52"/>
  <c r="I700" i="52"/>
  <c r="D700" i="52"/>
  <c r="J699" i="52"/>
  <c r="I699" i="52"/>
  <c r="D699" i="52"/>
  <c r="J698" i="52"/>
  <c r="I698" i="52"/>
  <c r="D698" i="52"/>
  <c r="J697" i="52"/>
  <c r="I697" i="52"/>
  <c r="D697" i="52"/>
  <c r="J696" i="52"/>
  <c r="I696" i="52"/>
  <c r="D696" i="52"/>
  <c r="J695" i="52"/>
  <c r="I695" i="52"/>
  <c r="D695" i="52"/>
  <c r="J694" i="52"/>
  <c r="I694" i="52"/>
  <c r="D694" i="52"/>
  <c r="J693" i="52"/>
  <c r="I693" i="52"/>
  <c r="D693" i="52"/>
  <c r="J692" i="52"/>
  <c r="I692" i="52"/>
  <c r="D692" i="52"/>
  <c r="J691" i="52"/>
  <c r="I691" i="52"/>
  <c r="D691" i="52"/>
  <c r="J690" i="52"/>
  <c r="I690" i="52"/>
  <c r="D690" i="52"/>
  <c r="J689" i="52"/>
  <c r="I689" i="52"/>
  <c r="D689" i="52"/>
  <c r="J688" i="52"/>
  <c r="I688" i="52"/>
  <c r="D688" i="52"/>
  <c r="J687" i="52"/>
  <c r="I687" i="52"/>
  <c r="D687" i="52"/>
  <c r="J686" i="52"/>
  <c r="I686" i="52"/>
  <c r="D686" i="52"/>
  <c r="J685" i="52"/>
  <c r="I685" i="52"/>
  <c r="D685" i="52"/>
  <c r="J684" i="52"/>
  <c r="I684" i="52"/>
  <c r="D684" i="52"/>
  <c r="J683" i="52"/>
  <c r="I683" i="52"/>
  <c r="D683" i="52"/>
  <c r="J682" i="52"/>
  <c r="I682" i="52"/>
  <c r="D682" i="52"/>
  <c r="J681" i="52"/>
  <c r="I681" i="52"/>
  <c r="D681" i="52"/>
  <c r="J680" i="52"/>
  <c r="I680" i="52"/>
  <c r="D680" i="52"/>
  <c r="J679" i="52"/>
  <c r="I679" i="52"/>
  <c r="D679" i="52"/>
  <c r="J678" i="52"/>
  <c r="I678" i="52"/>
  <c r="D678" i="52"/>
  <c r="J677" i="52"/>
  <c r="I677" i="52"/>
  <c r="D677" i="52"/>
  <c r="J676" i="52"/>
  <c r="I676" i="52"/>
  <c r="D676" i="52"/>
  <c r="J675" i="52"/>
  <c r="I675" i="52"/>
  <c r="D675" i="52"/>
  <c r="J674" i="52"/>
  <c r="I674" i="52"/>
  <c r="D674" i="52"/>
  <c r="J673" i="52"/>
  <c r="I673" i="52"/>
  <c r="D673" i="52"/>
  <c r="J672" i="52"/>
  <c r="I672" i="52"/>
  <c r="D672" i="52"/>
  <c r="J671" i="52"/>
  <c r="I671" i="52"/>
  <c r="D671" i="52"/>
  <c r="J670" i="52"/>
  <c r="I670" i="52"/>
  <c r="D670" i="52"/>
  <c r="J669" i="52"/>
  <c r="I669" i="52"/>
  <c r="D669" i="52"/>
  <c r="J668" i="52"/>
  <c r="I668" i="52"/>
  <c r="D668" i="52"/>
  <c r="J667" i="52"/>
  <c r="I667" i="52"/>
  <c r="D667" i="52"/>
  <c r="J666" i="52"/>
  <c r="I666" i="52"/>
  <c r="D666" i="52"/>
  <c r="J665" i="52"/>
  <c r="I665" i="52"/>
  <c r="D665" i="52"/>
  <c r="J664" i="52"/>
  <c r="I664" i="52"/>
  <c r="D664" i="52"/>
  <c r="J663" i="52"/>
  <c r="I663" i="52"/>
  <c r="D663" i="52"/>
  <c r="J662" i="52"/>
  <c r="I662" i="52"/>
  <c r="D662" i="52"/>
  <c r="J661" i="52"/>
  <c r="I661" i="52"/>
  <c r="D661" i="52"/>
  <c r="J660" i="52"/>
  <c r="I660" i="52"/>
  <c r="D660" i="52"/>
  <c r="J659" i="52"/>
  <c r="I659" i="52"/>
  <c r="D659" i="52"/>
  <c r="J658" i="52"/>
  <c r="I658" i="52"/>
  <c r="D658" i="52"/>
  <c r="J657" i="52"/>
  <c r="I657" i="52"/>
  <c r="D657" i="52"/>
  <c r="J656" i="52"/>
  <c r="I656" i="52"/>
  <c r="D656" i="52"/>
  <c r="J655" i="52"/>
  <c r="I655" i="52"/>
  <c r="D655" i="52"/>
  <c r="J654" i="52"/>
  <c r="I654" i="52"/>
  <c r="D654" i="52"/>
  <c r="J653" i="52"/>
  <c r="I653" i="52"/>
  <c r="D653" i="52"/>
  <c r="J652" i="52"/>
  <c r="I652" i="52"/>
  <c r="D652" i="52"/>
  <c r="J651" i="52"/>
  <c r="I651" i="52"/>
  <c r="D651" i="52"/>
  <c r="J650" i="52"/>
  <c r="I650" i="52"/>
  <c r="D650" i="52"/>
  <c r="J649" i="52"/>
  <c r="I649" i="52"/>
  <c r="D649" i="52"/>
  <c r="J648" i="52"/>
  <c r="I648" i="52"/>
  <c r="D648" i="52"/>
  <c r="J647" i="52"/>
  <c r="I647" i="52"/>
  <c r="D647" i="52"/>
  <c r="J646" i="52"/>
  <c r="I646" i="52"/>
  <c r="D646" i="52"/>
  <c r="J645" i="52"/>
  <c r="I645" i="52"/>
  <c r="D645" i="52"/>
  <c r="J644" i="52"/>
  <c r="I644" i="52"/>
  <c r="D644" i="52"/>
  <c r="J643" i="52"/>
  <c r="I643" i="52"/>
  <c r="D643" i="52"/>
  <c r="J642" i="52"/>
  <c r="I642" i="52"/>
  <c r="D642" i="52"/>
  <c r="J641" i="52"/>
  <c r="I641" i="52"/>
  <c r="D641" i="52"/>
  <c r="J640" i="52"/>
  <c r="I640" i="52"/>
  <c r="D640" i="52"/>
  <c r="J639" i="52"/>
  <c r="I639" i="52"/>
  <c r="D639" i="52"/>
  <c r="J638" i="52"/>
  <c r="I638" i="52"/>
  <c r="D638" i="52"/>
  <c r="J637" i="52"/>
  <c r="I637" i="52"/>
  <c r="D637" i="52"/>
  <c r="J636" i="52"/>
  <c r="I636" i="52"/>
  <c r="D636" i="52"/>
  <c r="J635" i="52"/>
  <c r="I635" i="52"/>
  <c r="D635" i="52"/>
  <c r="J634" i="52"/>
  <c r="I634" i="52"/>
  <c r="D634" i="52"/>
  <c r="J633" i="52"/>
  <c r="I633" i="52"/>
  <c r="D633" i="52"/>
  <c r="J632" i="52"/>
  <c r="I632" i="52"/>
  <c r="D632" i="52"/>
  <c r="J631" i="52"/>
  <c r="I631" i="52"/>
  <c r="D631" i="52"/>
  <c r="J630" i="52"/>
  <c r="I630" i="52"/>
  <c r="D630" i="52"/>
  <c r="J629" i="52"/>
  <c r="I629" i="52"/>
  <c r="D629" i="52"/>
  <c r="J628" i="52"/>
  <c r="I628" i="52"/>
  <c r="D628" i="52"/>
  <c r="J627" i="52"/>
  <c r="I627" i="52"/>
  <c r="D627" i="52"/>
  <c r="J626" i="52"/>
  <c r="I626" i="52"/>
  <c r="D626" i="52"/>
  <c r="J625" i="52"/>
  <c r="I625" i="52"/>
  <c r="D625" i="52"/>
  <c r="J624" i="52"/>
  <c r="I624" i="52"/>
  <c r="D624" i="52"/>
  <c r="J623" i="52"/>
  <c r="I623" i="52"/>
  <c r="D623" i="52"/>
  <c r="J622" i="52"/>
  <c r="I622" i="52"/>
  <c r="D622" i="52"/>
  <c r="J621" i="52"/>
  <c r="I621" i="52"/>
  <c r="D621" i="52"/>
  <c r="J620" i="52"/>
  <c r="I620" i="52"/>
  <c r="D620" i="52"/>
  <c r="J619" i="52"/>
  <c r="I619" i="52"/>
  <c r="D619" i="52"/>
  <c r="J618" i="52"/>
  <c r="I618" i="52"/>
  <c r="D618" i="52"/>
  <c r="J617" i="52"/>
  <c r="I617" i="52"/>
  <c r="D617" i="52"/>
  <c r="J616" i="52"/>
  <c r="I616" i="52"/>
  <c r="D616" i="52"/>
  <c r="J615" i="52"/>
  <c r="I615" i="52"/>
  <c r="D615" i="52"/>
  <c r="J614" i="52"/>
  <c r="I614" i="52"/>
  <c r="D614" i="52"/>
  <c r="J613" i="52"/>
  <c r="I613" i="52"/>
  <c r="D613" i="52"/>
  <c r="J612" i="52"/>
  <c r="I612" i="52"/>
  <c r="D612" i="52"/>
  <c r="J611" i="52"/>
  <c r="I611" i="52"/>
  <c r="D611" i="52"/>
  <c r="J610" i="52"/>
  <c r="I610" i="52"/>
  <c r="D610" i="52"/>
  <c r="J609" i="52"/>
  <c r="I609" i="52"/>
  <c r="D609" i="52"/>
  <c r="J608" i="52"/>
  <c r="I608" i="52"/>
  <c r="D608" i="52"/>
  <c r="J607" i="52"/>
  <c r="I607" i="52"/>
  <c r="D607" i="52"/>
  <c r="J606" i="52"/>
  <c r="I606" i="52"/>
  <c r="D606" i="52"/>
  <c r="J605" i="52"/>
  <c r="I605" i="52"/>
  <c r="D605" i="52"/>
  <c r="J604" i="52"/>
  <c r="I604" i="52"/>
  <c r="D604" i="52"/>
  <c r="J603" i="52"/>
  <c r="I603" i="52"/>
  <c r="D603" i="52"/>
  <c r="J602" i="52"/>
  <c r="I602" i="52"/>
  <c r="D602" i="52"/>
  <c r="J601" i="52"/>
  <c r="I601" i="52"/>
  <c r="D601" i="52"/>
  <c r="J600" i="52"/>
  <c r="I600" i="52"/>
  <c r="D600" i="52"/>
  <c r="J599" i="52"/>
  <c r="I599" i="52"/>
  <c r="D599" i="52"/>
  <c r="J598" i="52"/>
  <c r="I598" i="52"/>
  <c r="D598" i="52"/>
  <c r="J597" i="52"/>
  <c r="I597" i="52"/>
  <c r="D597" i="52"/>
  <c r="J596" i="52"/>
  <c r="I596" i="52"/>
  <c r="D596" i="52"/>
  <c r="J595" i="52"/>
  <c r="I595" i="52"/>
  <c r="D595" i="52"/>
  <c r="J594" i="52"/>
  <c r="I594" i="52"/>
  <c r="D594" i="52"/>
  <c r="J593" i="52"/>
  <c r="I593" i="52"/>
  <c r="D593" i="52"/>
  <c r="J592" i="52"/>
  <c r="I592" i="52"/>
  <c r="D592" i="52"/>
  <c r="J591" i="52"/>
  <c r="I591" i="52"/>
  <c r="D591" i="52"/>
  <c r="J590" i="52"/>
  <c r="I590" i="52"/>
  <c r="D590" i="52"/>
  <c r="J589" i="52"/>
  <c r="I589" i="52"/>
  <c r="D589" i="52"/>
  <c r="J588" i="52"/>
  <c r="I588" i="52"/>
  <c r="D588" i="52"/>
  <c r="J587" i="52"/>
  <c r="I587" i="52"/>
  <c r="D587" i="52"/>
  <c r="J586" i="52"/>
  <c r="I586" i="52"/>
  <c r="D586" i="52"/>
  <c r="J585" i="52"/>
  <c r="I585" i="52"/>
  <c r="D585" i="52"/>
  <c r="J584" i="52"/>
  <c r="I584" i="52"/>
  <c r="D584" i="52"/>
  <c r="J583" i="52"/>
  <c r="I583" i="52"/>
  <c r="D583" i="52"/>
  <c r="J582" i="52"/>
  <c r="I582" i="52"/>
  <c r="D582" i="52"/>
  <c r="J581" i="52"/>
  <c r="I581" i="52"/>
  <c r="D581" i="52"/>
  <c r="J580" i="52"/>
  <c r="I580" i="52"/>
  <c r="D580" i="52"/>
  <c r="J579" i="52"/>
  <c r="I579" i="52"/>
  <c r="D579" i="52"/>
  <c r="J578" i="52"/>
  <c r="I578" i="52"/>
  <c r="D578" i="52"/>
  <c r="J577" i="52"/>
  <c r="I577" i="52"/>
  <c r="D577" i="52"/>
  <c r="J576" i="52"/>
  <c r="I576" i="52"/>
  <c r="D576" i="52"/>
  <c r="J575" i="52"/>
  <c r="I575" i="52"/>
  <c r="D575" i="52"/>
  <c r="J574" i="52"/>
  <c r="I574" i="52"/>
  <c r="D574" i="52"/>
  <c r="J573" i="52"/>
  <c r="I573" i="52"/>
  <c r="D573" i="52"/>
  <c r="J572" i="52"/>
  <c r="I572" i="52"/>
  <c r="D572" i="52"/>
  <c r="J571" i="52"/>
  <c r="I571" i="52"/>
  <c r="D571" i="52"/>
  <c r="J570" i="52"/>
  <c r="I570" i="52"/>
  <c r="D570" i="52"/>
  <c r="J569" i="52"/>
  <c r="I569" i="52"/>
  <c r="D569" i="52"/>
  <c r="J568" i="52"/>
  <c r="I568" i="52"/>
  <c r="D568" i="52"/>
  <c r="J567" i="52"/>
  <c r="I567" i="52"/>
  <c r="D567" i="52"/>
  <c r="J566" i="52"/>
  <c r="I566" i="52"/>
  <c r="D566" i="52"/>
  <c r="J565" i="52"/>
  <c r="I565" i="52"/>
  <c r="D565" i="52"/>
  <c r="J564" i="52"/>
  <c r="I564" i="52"/>
  <c r="D564" i="52"/>
  <c r="J563" i="52"/>
  <c r="I563" i="52"/>
  <c r="D563" i="52"/>
  <c r="J562" i="52"/>
  <c r="I562" i="52"/>
  <c r="D562" i="52"/>
  <c r="J561" i="52"/>
  <c r="I561" i="52"/>
  <c r="D561" i="52"/>
  <c r="J560" i="52"/>
  <c r="I560" i="52"/>
  <c r="D560" i="52"/>
  <c r="J559" i="52"/>
  <c r="I559" i="52"/>
  <c r="D559" i="52"/>
  <c r="J558" i="52"/>
  <c r="I558" i="52"/>
  <c r="D558" i="52"/>
  <c r="J557" i="52"/>
  <c r="I557" i="52"/>
  <c r="D557" i="52"/>
  <c r="J556" i="52"/>
  <c r="I556" i="52"/>
  <c r="D556" i="52"/>
  <c r="J555" i="52"/>
  <c r="I555" i="52"/>
  <c r="D555" i="52"/>
  <c r="J554" i="52"/>
  <c r="I554" i="52"/>
  <c r="D554" i="52"/>
  <c r="J553" i="52"/>
  <c r="I553" i="52"/>
  <c r="D553" i="52"/>
  <c r="J552" i="52"/>
  <c r="I552" i="52"/>
  <c r="D552" i="52"/>
  <c r="J551" i="52"/>
  <c r="I551" i="52"/>
  <c r="D551" i="52"/>
  <c r="J550" i="52"/>
  <c r="I550" i="52"/>
  <c r="D550" i="52"/>
  <c r="J549" i="52"/>
  <c r="I549" i="52"/>
  <c r="D549" i="52"/>
  <c r="J548" i="52"/>
  <c r="I548" i="52"/>
  <c r="D548" i="52"/>
  <c r="J547" i="52"/>
  <c r="I547" i="52"/>
  <c r="D547" i="52"/>
  <c r="J546" i="52"/>
  <c r="I546" i="52"/>
  <c r="D546" i="52"/>
  <c r="J545" i="52"/>
  <c r="I545" i="52"/>
  <c r="D545" i="52"/>
  <c r="J544" i="52"/>
  <c r="I544" i="52"/>
  <c r="D544" i="52"/>
  <c r="J543" i="52"/>
  <c r="I543" i="52"/>
  <c r="D543" i="52"/>
  <c r="J542" i="52"/>
  <c r="I542" i="52"/>
  <c r="D542" i="52"/>
  <c r="G16" i="52"/>
  <c r="G15" i="52"/>
  <c r="G14" i="52"/>
  <c r="G13" i="52"/>
  <c r="G12" i="52"/>
  <c r="G11" i="52"/>
  <c r="G10" i="52"/>
  <c r="G9" i="52"/>
  <c r="D8" i="52"/>
  <c r="E8" i="52" s="1"/>
  <c r="D7" i="52"/>
  <c r="E7" i="52" s="1"/>
  <c r="C6" i="52"/>
  <c r="C10" i="1" s="1"/>
  <c r="J961" i="53"/>
  <c r="I961" i="53"/>
  <c r="J960" i="53"/>
  <c r="I960" i="53"/>
  <c r="D960" i="53"/>
  <c r="J959" i="53"/>
  <c r="I959" i="53"/>
  <c r="D959" i="53"/>
  <c r="J958" i="53"/>
  <c r="I958" i="53"/>
  <c r="D958" i="53"/>
  <c r="J957" i="53"/>
  <c r="I957" i="53"/>
  <c r="D957" i="53"/>
  <c r="J956" i="53"/>
  <c r="I956" i="53"/>
  <c r="D956" i="53"/>
  <c r="J955" i="53"/>
  <c r="I955" i="53"/>
  <c r="D955" i="53"/>
  <c r="J954" i="53"/>
  <c r="I954" i="53"/>
  <c r="D954" i="53"/>
  <c r="J953" i="53"/>
  <c r="I953" i="53"/>
  <c r="D953" i="53"/>
  <c r="J952" i="53"/>
  <c r="I952" i="53"/>
  <c r="D952" i="53"/>
  <c r="J951" i="53"/>
  <c r="I951" i="53"/>
  <c r="D951" i="53"/>
  <c r="J950" i="53"/>
  <c r="I950" i="53"/>
  <c r="D950" i="53"/>
  <c r="J949" i="53"/>
  <c r="I949" i="53"/>
  <c r="D949" i="53"/>
  <c r="J948" i="53"/>
  <c r="I948" i="53"/>
  <c r="D948" i="53"/>
  <c r="J947" i="53"/>
  <c r="I947" i="53"/>
  <c r="D947" i="53"/>
  <c r="J946" i="53"/>
  <c r="I946" i="53"/>
  <c r="D946" i="53"/>
  <c r="J945" i="53"/>
  <c r="I945" i="53"/>
  <c r="D945" i="53"/>
  <c r="J944" i="53"/>
  <c r="I944" i="53"/>
  <c r="D944" i="53"/>
  <c r="J943" i="53"/>
  <c r="I943" i="53"/>
  <c r="D943" i="53"/>
  <c r="J942" i="53"/>
  <c r="I942" i="53"/>
  <c r="D942" i="53"/>
  <c r="J941" i="53"/>
  <c r="I941" i="53"/>
  <c r="D941" i="53"/>
  <c r="J940" i="53"/>
  <c r="I940" i="53"/>
  <c r="D940" i="53"/>
  <c r="J939" i="53"/>
  <c r="I939" i="53"/>
  <c r="D939" i="53"/>
  <c r="J938" i="53"/>
  <c r="I938" i="53"/>
  <c r="D938" i="53"/>
  <c r="J937" i="53"/>
  <c r="I937" i="53"/>
  <c r="D937" i="53"/>
  <c r="J936" i="53"/>
  <c r="I936" i="53"/>
  <c r="D936" i="53"/>
  <c r="J935" i="53"/>
  <c r="I935" i="53"/>
  <c r="D935" i="53"/>
  <c r="J934" i="53"/>
  <c r="I934" i="53"/>
  <c r="D934" i="53"/>
  <c r="J933" i="53"/>
  <c r="I933" i="53"/>
  <c r="D933" i="53"/>
  <c r="J932" i="53"/>
  <c r="I932" i="53"/>
  <c r="D932" i="53"/>
  <c r="J931" i="53"/>
  <c r="I931" i="53"/>
  <c r="D931" i="53"/>
  <c r="J930" i="53"/>
  <c r="I930" i="53"/>
  <c r="D930" i="53"/>
  <c r="J929" i="53"/>
  <c r="I929" i="53"/>
  <c r="D929" i="53"/>
  <c r="J928" i="53"/>
  <c r="I928" i="53"/>
  <c r="D928" i="53"/>
  <c r="J927" i="53"/>
  <c r="I927" i="53"/>
  <c r="D927" i="53"/>
  <c r="J926" i="53"/>
  <c r="I926" i="53"/>
  <c r="D926" i="53"/>
  <c r="J925" i="53"/>
  <c r="I925" i="53"/>
  <c r="D925" i="53"/>
  <c r="J924" i="53"/>
  <c r="I924" i="53"/>
  <c r="D924" i="53"/>
  <c r="J923" i="53"/>
  <c r="I923" i="53"/>
  <c r="D923" i="53"/>
  <c r="J922" i="53"/>
  <c r="I922" i="53"/>
  <c r="D922" i="53"/>
  <c r="J921" i="53"/>
  <c r="I921" i="53"/>
  <c r="D921" i="53"/>
  <c r="J920" i="53"/>
  <c r="I920" i="53"/>
  <c r="D920" i="53"/>
  <c r="J919" i="53"/>
  <c r="I919" i="53"/>
  <c r="D919" i="53"/>
  <c r="J918" i="53"/>
  <c r="I918" i="53"/>
  <c r="D918" i="53"/>
  <c r="J917" i="53"/>
  <c r="I917" i="53"/>
  <c r="D917" i="53"/>
  <c r="J916" i="53"/>
  <c r="I916" i="53"/>
  <c r="D916" i="53"/>
  <c r="J915" i="53"/>
  <c r="I915" i="53"/>
  <c r="D915" i="53"/>
  <c r="J914" i="53"/>
  <c r="I914" i="53"/>
  <c r="D914" i="53"/>
  <c r="J913" i="53"/>
  <c r="I913" i="53"/>
  <c r="D913" i="53"/>
  <c r="J912" i="53"/>
  <c r="I912" i="53"/>
  <c r="D912" i="53"/>
  <c r="J911" i="53"/>
  <c r="I911" i="53"/>
  <c r="D911" i="53"/>
  <c r="J910" i="53"/>
  <c r="I910" i="53"/>
  <c r="D910" i="53"/>
  <c r="J909" i="53"/>
  <c r="I909" i="53"/>
  <c r="D909" i="53"/>
  <c r="J908" i="53"/>
  <c r="I908" i="53"/>
  <c r="D908" i="53"/>
  <c r="J907" i="53"/>
  <c r="I907" i="53"/>
  <c r="D907" i="53"/>
  <c r="J906" i="53"/>
  <c r="I906" i="53"/>
  <c r="D906" i="53"/>
  <c r="J905" i="53"/>
  <c r="I905" i="53"/>
  <c r="D905" i="53"/>
  <c r="J904" i="53"/>
  <c r="I904" i="53"/>
  <c r="D904" i="53"/>
  <c r="J903" i="53"/>
  <c r="I903" i="53"/>
  <c r="D903" i="53"/>
  <c r="J902" i="53"/>
  <c r="I902" i="53"/>
  <c r="D902" i="53"/>
  <c r="J901" i="53"/>
  <c r="I901" i="53"/>
  <c r="D901" i="53"/>
  <c r="J900" i="53"/>
  <c r="I900" i="53"/>
  <c r="D900" i="53"/>
  <c r="J899" i="53"/>
  <c r="I899" i="53"/>
  <c r="D899" i="53"/>
  <c r="J898" i="53"/>
  <c r="I898" i="53"/>
  <c r="D898" i="53"/>
  <c r="J897" i="53"/>
  <c r="I897" i="53"/>
  <c r="D897" i="53"/>
  <c r="J896" i="53"/>
  <c r="I896" i="53"/>
  <c r="D896" i="53"/>
  <c r="J895" i="53"/>
  <c r="I895" i="53"/>
  <c r="D895" i="53"/>
  <c r="J894" i="53"/>
  <c r="I894" i="53"/>
  <c r="D894" i="53"/>
  <c r="J893" i="53"/>
  <c r="I893" i="53"/>
  <c r="D893" i="53"/>
  <c r="J892" i="53"/>
  <c r="I892" i="53"/>
  <c r="D892" i="53"/>
  <c r="J891" i="53"/>
  <c r="I891" i="53"/>
  <c r="D891" i="53"/>
  <c r="J890" i="53"/>
  <c r="I890" i="53"/>
  <c r="D890" i="53"/>
  <c r="J889" i="53"/>
  <c r="I889" i="53"/>
  <c r="D889" i="53"/>
  <c r="J888" i="53"/>
  <c r="I888" i="53"/>
  <c r="D888" i="53"/>
  <c r="J887" i="53"/>
  <c r="I887" i="53"/>
  <c r="D887" i="53"/>
  <c r="J886" i="53"/>
  <c r="I886" i="53"/>
  <c r="D886" i="53"/>
  <c r="J885" i="53"/>
  <c r="I885" i="53"/>
  <c r="D885" i="53"/>
  <c r="J884" i="53"/>
  <c r="I884" i="53"/>
  <c r="D884" i="53"/>
  <c r="J883" i="53"/>
  <c r="I883" i="53"/>
  <c r="D883" i="53"/>
  <c r="J882" i="53"/>
  <c r="I882" i="53"/>
  <c r="D882" i="53"/>
  <c r="J881" i="53"/>
  <c r="I881" i="53"/>
  <c r="D881" i="53"/>
  <c r="J880" i="53"/>
  <c r="I880" i="53"/>
  <c r="D880" i="53"/>
  <c r="J879" i="53"/>
  <c r="I879" i="53"/>
  <c r="D879" i="53"/>
  <c r="J878" i="53"/>
  <c r="I878" i="53"/>
  <c r="D878" i="53"/>
  <c r="J877" i="53"/>
  <c r="I877" i="53"/>
  <c r="D877" i="53"/>
  <c r="J876" i="53"/>
  <c r="I876" i="53"/>
  <c r="D876" i="53"/>
  <c r="J875" i="53"/>
  <c r="I875" i="53"/>
  <c r="D875" i="53"/>
  <c r="J874" i="53"/>
  <c r="I874" i="53"/>
  <c r="D874" i="53"/>
  <c r="J873" i="53"/>
  <c r="I873" i="53"/>
  <c r="D873" i="53"/>
  <c r="J872" i="53"/>
  <c r="I872" i="53"/>
  <c r="D872" i="53"/>
  <c r="J871" i="53"/>
  <c r="I871" i="53"/>
  <c r="D871" i="53"/>
  <c r="J870" i="53"/>
  <c r="I870" i="53"/>
  <c r="D870" i="53"/>
  <c r="J869" i="53"/>
  <c r="I869" i="53"/>
  <c r="D869" i="53"/>
  <c r="J868" i="53"/>
  <c r="I868" i="53"/>
  <c r="D868" i="53"/>
  <c r="J867" i="53"/>
  <c r="I867" i="53"/>
  <c r="D867" i="53"/>
  <c r="J866" i="53"/>
  <c r="I866" i="53"/>
  <c r="D866" i="53"/>
  <c r="J865" i="53"/>
  <c r="I865" i="53"/>
  <c r="D865" i="53"/>
  <c r="J864" i="53"/>
  <c r="I864" i="53"/>
  <c r="D864" i="53"/>
  <c r="J863" i="53"/>
  <c r="I863" i="53"/>
  <c r="D863" i="53"/>
  <c r="J862" i="53"/>
  <c r="I862" i="53"/>
  <c r="D862" i="53"/>
  <c r="J861" i="53"/>
  <c r="I861" i="53"/>
  <c r="D861" i="53"/>
  <c r="J860" i="53"/>
  <c r="I860" i="53"/>
  <c r="D860" i="53"/>
  <c r="J859" i="53"/>
  <c r="I859" i="53"/>
  <c r="D859" i="53"/>
  <c r="J858" i="53"/>
  <c r="I858" i="53"/>
  <c r="D858" i="53"/>
  <c r="J857" i="53"/>
  <c r="I857" i="53"/>
  <c r="D857" i="53"/>
  <c r="J856" i="53"/>
  <c r="I856" i="53"/>
  <c r="D856" i="53"/>
  <c r="J855" i="53"/>
  <c r="I855" i="53"/>
  <c r="D855" i="53"/>
  <c r="J854" i="53"/>
  <c r="I854" i="53"/>
  <c r="D854" i="53"/>
  <c r="J853" i="53"/>
  <c r="I853" i="53"/>
  <c r="D853" i="53"/>
  <c r="J852" i="53"/>
  <c r="I852" i="53"/>
  <c r="D852" i="53"/>
  <c r="J851" i="53"/>
  <c r="I851" i="53"/>
  <c r="D851" i="53"/>
  <c r="J850" i="53"/>
  <c r="I850" i="53"/>
  <c r="D850" i="53"/>
  <c r="J849" i="53"/>
  <c r="I849" i="53"/>
  <c r="D849" i="53"/>
  <c r="J848" i="53"/>
  <c r="I848" i="53"/>
  <c r="D848" i="53"/>
  <c r="J847" i="53"/>
  <c r="I847" i="53"/>
  <c r="D847" i="53"/>
  <c r="J846" i="53"/>
  <c r="I846" i="53"/>
  <c r="D846" i="53"/>
  <c r="J845" i="53"/>
  <c r="I845" i="53"/>
  <c r="D845" i="53"/>
  <c r="J844" i="53"/>
  <c r="I844" i="53"/>
  <c r="D844" i="53"/>
  <c r="J843" i="53"/>
  <c r="I843" i="53"/>
  <c r="D843" i="53"/>
  <c r="J842" i="53"/>
  <c r="I842" i="53"/>
  <c r="D842" i="53"/>
  <c r="J841" i="53"/>
  <c r="I841" i="53"/>
  <c r="D841" i="53"/>
  <c r="J840" i="53"/>
  <c r="I840" i="53"/>
  <c r="D840" i="53"/>
  <c r="J839" i="53"/>
  <c r="I839" i="53"/>
  <c r="D839" i="53"/>
  <c r="J838" i="53"/>
  <c r="I838" i="53"/>
  <c r="D838" i="53"/>
  <c r="J837" i="53"/>
  <c r="I837" i="53"/>
  <c r="D837" i="53"/>
  <c r="J836" i="53"/>
  <c r="I836" i="53"/>
  <c r="D836" i="53"/>
  <c r="J835" i="53"/>
  <c r="I835" i="53"/>
  <c r="D835" i="53"/>
  <c r="J834" i="53"/>
  <c r="I834" i="53"/>
  <c r="D834" i="53"/>
  <c r="J833" i="53"/>
  <c r="I833" i="53"/>
  <c r="D833" i="53"/>
  <c r="J832" i="53"/>
  <c r="I832" i="53"/>
  <c r="D832" i="53"/>
  <c r="J831" i="53"/>
  <c r="I831" i="53"/>
  <c r="D831" i="53"/>
  <c r="J830" i="53"/>
  <c r="I830" i="53"/>
  <c r="D830" i="53"/>
  <c r="J829" i="53"/>
  <c r="I829" i="53"/>
  <c r="D829" i="53"/>
  <c r="J828" i="53"/>
  <c r="I828" i="53"/>
  <c r="D828" i="53"/>
  <c r="J827" i="53"/>
  <c r="I827" i="53"/>
  <c r="D827" i="53"/>
  <c r="J826" i="53"/>
  <c r="I826" i="53"/>
  <c r="D826" i="53"/>
  <c r="J825" i="53"/>
  <c r="I825" i="53"/>
  <c r="D825" i="53"/>
  <c r="J824" i="53"/>
  <c r="I824" i="53"/>
  <c r="D824" i="53"/>
  <c r="J823" i="53"/>
  <c r="I823" i="53"/>
  <c r="D823" i="53"/>
  <c r="J822" i="53"/>
  <c r="I822" i="53"/>
  <c r="D822" i="53"/>
  <c r="J821" i="53"/>
  <c r="I821" i="53"/>
  <c r="D821" i="53"/>
  <c r="J820" i="53"/>
  <c r="I820" i="53"/>
  <c r="D820" i="53"/>
  <c r="J819" i="53"/>
  <c r="I819" i="53"/>
  <c r="D819" i="53"/>
  <c r="J818" i="53"/>
  <c r="I818" i="53"/>
  <c r="D818" i="53"/>
  <c r="J817" i="53"/>
  <c r="I817" i="53"/>
  <c r="D817" i="53"/>
  <c r="J816" i="53"/>
  <c r="I816" i="53"/>
  <c r="D816" i="53"/>
  <c r="J815" i="53"/>
  <c r="I815" i="53"/>
  <c r="D815" i="53"/>
  <c r="J814" i="53"/>
  <c r="I814" i="53"/>
  <c r="D814" i="53"/>
  <c r="J813" i="53"/>
  <c r="I813" i="53"/>
  <c r="D813" i="53"/>
  <c r="J812" i="53"/>
  <c r="I812" i="53"/>
  <c r="D812" i="53"/>
  <c r="J811" i="53"/>
  <c r="I811" i="53"/>
  <c r="D811" i="53"/>
  <c r="J810" i="53"/>
  <c r="I810" i="53"/>
  <c r="D810" i="53"/>
  <c r="J809" i="53"/>
  <c r="I809" i="53"/>
  <c r="D809" i="53"/>
  <c r="J808" i="53"/>
  <c r="I808" i="53"/>
  <c r="D808" i="53"/>
  <c r="J807" i="53"/>
  <c r="I807" i="53"/>
  <c r="D807" i="53"/>
  <c r="J806" i="53"/>
  <c r="I806" i="53"/>
  <c r="D806" i="53"/>
  <c r="J805" i="53"/>
  <c r="I805" i="53"/>
  <c r="D805" i="53"/>
  <c r="J804" i="53"/>
  <c r="I804" i="53"/>
  <c r="D804" i="53"/>
  <c r="J803" i="53"/>
  <c r="I803" i="53"/>
  <c r="D803" i="53"/>
  <c r="J802" i="53"/>
  <c r="I802" i="53"/>
  <c r="D802" i="53"/>
  <c r="J801" i="53"/>
  <c r="I801" i="53"/>
  <c r="D801" i="53"/>
  <c r="J800" i="53"/>
  <c r="I800" i="53"/>
  <c r="D800" i="53"/>
  <c r="J799" i="53"/>
  <c r="I799" i="53"/>
  <c r="D799" i="53"/>
  <c r="J798" i="53"/>
  <c r="I798" i="53"/>
  <c r="D798" i="53"/>
  <c r="J797" i="53"/>
  <c r="I797" i="53"/>
  <c r="D797" i="53"/>
  <c r="J796" i="53"/>
  <c r="I796" i="53"/>
  <c r="D796" i="53"/>
  <c r="J795" i="53"/>
  <c r="I795" i="53"/>
  <c r="D795" i="53"/>
  <c r="J794" i="53"/>
  <c r="I794" i="53"/>
  <c r="D794" i="53"/>
  <c r="J793" i="53"/>
  <c r="I793" i="53"/>
  <c r="D793" i="53"/>
  <c r="J792" i="53"/>
  <c r="I792" i="53"/>
  <c r="D792" i="53"/>
  <c r="J791" i="53"/>
  <c r="I791" i="53"/>
  <c r="D791" i="53"/>
  <c r="J790" i="53"/>
  <c r="I790" i="53"/>
  <c r="D790" i="53"/>
  <c r="J789" i="53"/>
  <c r="I789" i="53"/>
  <c r="D789" i="53"/>
  <c r="J788" i="53"/>
  <c r="I788" i="53"/>
  <c r="D788" i="53"/>
  <c r="J787" i="53"/>
  <c r="I787" i="53"/>
  <c r="D787" i="53"/>
  <c r="J786" i="53"/>
  <c r="I786" i="53"/>
  <c r="D786" i="53"/>
  <c r="J785" i="53"/>
  <c r="I785" i="53"/>
  <c r="D785" i="53"/>
  <c r="J784" i="53"/>
  <c r="I784" i="53"/>
  <c r="D784" i="53"/>
  <c r="J783" i="53"/>
  <c r="I783" i="53"/>
  <c r="D783" i="53"/>
  <c r="J782" i="53"/>
  <c r="I782" i="53"/>
  <c r="D782" i="53"/>
  <c r="J781" i="53"/>
  <c r="I781" i="53"/>
  <c r="D781" i="53"/>
  <c r="J780" i="53"/>
  <c r="I780" i="53"/>
  <c r="D780" i="53"/>
  <c r="J779" i="53"/>
  <c r="I779" i="53"/>
  <c r="D779" i="53"/>
  <c r="J778" i="53"/>
  <c r="I778" i="53"/>
  <c r="D778" i="53"/>
  <c r="J777" i="53"/>
  <c r="I777" i="53"/>
  <c r="D777" i="53"/>
  <c r="J776" i="53"/>
  <c r="I776" i="53"/>
  <c r="D776" i="53"/>
  <c r="J775" i="53"/>
  <c r="I775" i="53"/>
  <c r="D775" i="53"/>
  <c r="J774" i="53"/>
  <c r="I774" i="53"/>
  <c r="D774" i="53"/>
  <c r="J773" i="53"/>
  <c r="I773" i="53"/>
  <c r="D773" i="53"/>
  <c r="J772" i="53"/>
  <c r="I772" i="53"/>
  <c r="D772" i="53"/>
  <c r="J771" i="53"/>
  <c r="I771" i="53"/>
  <c r="D771" i="53"/>
  <c r="J770" i="53"/>
  <c r="I770" i="53"/>
  <c r="D770" i="53"/>
  <c r="J769" i="53"/>
  <c r="I769" i="53"/>
  <c r="D769" i="53"/>
  <c r="J768" i="53"/>
  <c r="I768" i="53"/>
  <c r="D768" i="53"/>
  <c r="J767" i="53"/>
  <c r="I767" i="53"/>
  <c r="D767" i="53"/>
  <c r="J766" i="53"/>
  <c r="I766" i="53"/>
  <c r="D766" i="53"/>
  <c r="J765" i="53"/>
  <c r="I765" i="53"/>
  <c r="D765" i="53"/>
  <c r="J764" i="53"/>
  <c r="I764" i="53"/>
  <c r="D764" i="53"/>
  <c r="J763" i="53"/>
  <c r="I763" i="53"/>
  <c r="D763" i="53"/>
  <c r="J762" i="53"/>
  <c r="I762" i="53"/>
  <c r="D762" i="53"/>
  <c r="J761" i="53"/>
  <c r="I761" i="53"/>
  <c r="D761" i="53"/>
  <c r="J760" i="53"/>
  <c r="I760" i="53"/>
  <c r="D760" i="53"/>
  <c r="J759" i="53"/>
  <c r="I759" i="53"/>
  <c r="D759" i="53"/>
  <c r="J758" i="53"/>
  <c r="I758" i="53"/>
  <c r="D758" i="53"/>
  <c r="J757" i="53"/>
  <c r="I757" i="53"/>
  <c r="D757" i="53"/>
  <c r="J756" i="53"/>
  <c r="I756" i="53"/>
  <c r="D756" i="53"/>
  <c r="J755" i="53"/>
  <c r="I755" i="53"/>
  <c r="D755" i="53"/>
  <c r="J754" i="53"/>
  <c r="I754" i="53"/>
  <c r="D754" i="53"/>
  <c r="J753" i="53"/>
  <c r="I753" i="53"/>
  <c r="D753" i="53"/>
  <c r="J752" i="53"/>
  <c r="I752" i="53"/>
  <c r="D752" i="53"/>
  <c r="J751" i="53"/>
  <c r="I751" i="53"/>
  <c r="D751" i="53"/>
  <c r="J750" i="53"/>
  <c r="I750" i="53"/>
  <c r="D750" i="53"/>
  <c r="J749" i="53"/>
  <c r="I749" i="53"/>
  <c r="D749" i="53"/>
  <c r="J748" i="53"/>
  <c r="I748" i="53"/>
  <c r="D748" i="53"/>
  <c r="J747" i="53"/>
  <c r="I747" i="53"/>
  <c r="D747" i="53"/>
  <c r="J746" i="53"/>
  <c r="I746" i="53"/>
  <c r="D746" i="53"/>
  <c r="J745" i="53"/>
  <c r="I745" i="53"/>
  <c r="D745" i="53"/>
  <c r="J744" i="53"/>
  <c r="I744" i="53"/>
  <c r="D744" i="53"/>
  <c r="J743" i="53"/>
  <c r="I743" i="53"/>
  <c r="D743" i="53"/>
  <c r="J742" i="53"/>
  <c r="I742" i="53"/>
  <c r="D742" i="53"/>
  <c r="J741" i="53"/>
  <c r="I741" i="53"/>
  <c r="D741" i="53"/>
  <c r="J740" i="53"/>
  <c r="I740" i="53"/>
  <c r="D740" i="53"/>
  <c r="J739" i="53"/>
  <c r="I739" i="53"/>
  <c r="D739" i="53"/>
  <c r="J738" i="53"/>
  <c r="I738" i="53"/>
  <c r="D738" i="53"/>
  <c r="J737" i="53"/>
  <c r="I737" i="53"/>
  <c r="D737" i="53"/>
  <c r="J736" i="53"/>
  <c r="I736" i="53"/>
  <c r="D736" i="53"/>
  <c r="J735" i="53"/>
  <c r="I735" i="53"/>
  <c r="D735" i="53"/>
  <c r="J734" i="53"/>
  <c r="I734" i="53"/>
  <c r="D734" i="53"/>
  <c r="J733" i="53"/>
  <c r="I733" i="53"/>
  <c r="D733" i="53"/>
  <c r="J732" i="53"/>
  <c r="I732" i="53"/>
  <c r="D732" i="53"/>
  <c r="J731" i="53"/>
  <c r="I731" i="53"/>
  <c r="D731" i="53"/>
  <c r="J730" i="53"/>
  <c r="I730" i="53"/>
  <c r="D730" i="53"/>
  <c r="J729" i="53"/>
  <c r="I729" i="53"/>
  <c r="D729" i="53"/>
  <c r="J728" i="53"/>
  <c r="I728" i="53"/>
  <c r="D728" i="53"/>
  <c r="J727" i="53"/>
  <c r="I727" i="53"/>
  <c r="D727" i="53"/>
  <c r="J726" i="53"/>
  <c r="I726" i="53"/>
  <c r="D726" i="53"/>
  <c r="J725" i="53"/>
  <c r="I725" i="53"/>
  <c r="D725" i="53"/>
  <c r="J724" i="53"/>
  <c r="I724" i="53"/>
  <c r="D724" i="53"/>
  <c r="J723" i="53"/>
  <c r="I723" i="53"/>
  <c r="D723" i="53"/>
  <c r="J722" i="53"/>
  <c r="I722" i="53"/>
  <c r="D722" i="53"/>
  <c r="J721" i="53"/>
  <c r="I721" i="53"/>
  <c r="D721" i="53"/>
  <c r="J720" i="53"/>
  <c r="I720" i="53"/>
  <c r="D720" i="53"/>
  <c r="J719" i="53"/>
  <c r="I719" i="53"/>
  <c r="D719" i="53"/>
  <c r="J718" i="53"/>
  <c r="I718" i="53"/>
  <c r="D718" i="53"/>
  <c r="J717" i="53"/>
  <c r="I717" i="53"/>
  <c r="D717" i="53"/>
  <c r="J716" i="53"/>
  <c r="I716" i="53"/>
  <c r="D716" i="53"/>
  <c r="J715" i="53"/>
  <c r="I715" i="53"/>
  <c r="D715" i="53"/>
  <c r="J714" i="53"/>
  <c r="I714" i="53"/>
  <c r="D714" i="53"/>
  <c r="J713" i="53"/>
  <c r="I713" i="53"/>
  <c r="D713" i="53"/>
  <c r="J712" i="53"/>
  <c r="I712" i="53"/>
  <c r="D712" i="53"/>
  <c r="J711" i="53"/>
  <c r="I711" i="53"/>
  <c r="D711" i="53"/>
  <c r="J710" i="53"/>
  <c r="I710" i="53"/>
  <c r="D710" i="53"/>
  <c r="J709" i="53"/>
  <c r="I709" i="53"/>
  <c r="D709" i="53"/>
  <c r="J708" i="53"/>
  <c r="I708" i="53"/>
  <c r="D708" i="53"/>
  <c r="J707" i="53"/>
  <c r="I707" i="53"/>
  <c r="D707" i="53"/>
  <c r="J706" i="53"/>
  <c r="I706" i="53"/>
  <c r="D706" i="53"/>
  <c r="J705" i="53"/>
  <c r="I705" i="53"/>
  <c r="D705" i="53"/>
  <c r="J704" i="53"/>
  <c r="I704" i="53"/>
  <c r="D704" i="53"/>
  <c r="J703" i="53"/>
  <c r="I703" i="53"/>
  <c r="D703" i="53"/>
  <c r="J702" i="53"/>
  <c r="I702" i="53"/>
  <c r="D702" i="53"/>
  <c r="J701" i="53"/>
  <c r="I701" i="53"/>
  <c r="D701" i="53"/>
  <c r="J700" i="53"/>
  <c r="I700" i="53"/>
  <c r="D700" i="53"/>
  <c r="J699" i="53"/>
  <c r="I699" i="53"/>
  <c r="D699" i="53"/>
  <c r="J698" i="53"/>
  <c r="I698" i="53"/>
  <c r="D698" i="53"/>
  <c r="J697" i="53"/>
  <c r="I697" i="53"/>
  <c r="D697" i="53"/>
  <c r="J696" i="53"/>
  <c r="I696" i="53"/>
  <c r="D696" i="53"/>
  <c r="J695" i="53"/>
  <c r="I695" i="53"/>
  <c r="D695" i="53"/>
  <c r="J694" i="53"/>
  <c r="I694" i="53"/>
  <c r="D694" i="53"/>
  <c r="J693" i="53"/>
  <c r="I693" i="53"/>
  <c r="D693" i="53"/>
  <c r="J692" i="53"/>
  <c r="I692" i="53"/>
  <c r="D692" i="53"/>
  <c r="J691" i="53"/>
  <c r="I691" i="53"/>
  <c r="D691" i="53"/>
  <c r="J690" i="53"/>
  <c r="I690" i="53"/>
  <c r="D690" i="53"/>
  <c r="J689" i="53"/>
  <c r="I689" i="53"/>
  <c r="D689" i="53"/>
  <c r="J688" i="53"/>
  <c r="I688" i="53"/>
  <c r="D688" i="53"/>
  <c r="J687" i="53"/>
  <c r="I687" i="53"/>
  <c r="D687" i="53"/>
  <c r="J686" i="53"/>
  <c r="I686" i="53"/>
  <c r="D686" i="53"/>
  <c r="J685" i="53"/>
  <c r="I685" i="53"/>
  <c r="D685" i="53"/>
  <c r="J684" i="53"/>
  <c r="I684" i="53"/>
  <c r="D684" i="53"/>
  <c r="J683" i="53"/>
  <c r="I683" i="53"/>
  <c r="D683" i="53"/>
  <c r="J682" i="53"/>
  <c r="I682" i="53"/>
  <c r="D682" i="53"/>
  <c r="J681" i="53"/>
  <c r="I681" i="53"/>
  <c r="D681" i="53"/>
  <c r="J680" i="53"/>
  <c r="I680" i="53"/>
  <c r="D680" i="53"/>
  <c r="J679" i="53"/>
  <c r="I679" i="53"/>
  <c r="D679" i="53"/>
  <c r="J678" i="53"/>
  <c r="I678" i="53"/>
  <c r="D678" i="53"/>
  <c r="J677" i="53"/>
  <c r="I677" i="53"/>
  <c r="D677" i="53"/>
  <c r="J676" i="53"/>
  <c r="I676" i="53"/>
  <c r="D676" i="53"/>
  <c r="J675" i="53"/>
  <c r="I675" i="53"/>
  <c r="D675" i="53"/>
  <c r="J674" i="53"/>
  <c r="I674" i="53"/>
  <c r="D674" i="53"/>
  <c r="J673" i="53"/>
  <c r="I673" i="53"/>
  <c r="D673" i="53"/>
  <c r="J672" i="53"/>
  <c r="I672" i="53"/>
  <c r="D672" i="53"/>
  <c r="J671" i="53"/>
  <c r="I671" i="53"/>
  <c r="D671" i="53"/>
  <c r="J670" i="53"/>
  <c r="I670" i="53"/>
  <c r="D670" i="53"/>
  <c r="J669" i="53"/>
  <c r="I669" i="53"/>
  <c r="D669" i="53"/>
  <c r="J668" i="53"/>
  <c r="I668" i="53"/>
  <c r="D668" i="53"/>
  <c r="J667" i="53"/>
  <c r="I667" i="53"/>
  <c r="D667" i="53"/>
  <c r="J666" i="53"/>
  <c r="I666" i="53"/>
  <c r="D666" i="53"/>
  <c r="J665" i="53"/>
  <c r="I665" i="53"/>
  <c r="D665" i="53"/>
  <c r="J664" i="53"/>
  <c r="I664" i="53"/>
  <c r="D664" i="53"/>
  <c r="J663" i="53"/>
  <c r="I663" i="53"/>
  <c r="D663" i="53"/>
  <c r="J662" i="53"/>
  <c r="I662" i="53"/>
  <c r="D662" i="53"/>
  <c r="J661" i="53"/>
  <c r="I661" i="53"/>
  <c r="D661" i="53"/>
  <c r="J660" i="53"/>
  <c r="I660" i="53"/>
  <c r="D660" i="53"/>
  <c r="J659" i="53"/>
  <c r="I659" i="53"/>
  <c r="D659" i="53"/>
  <c r="J658" i="53"/>
  <c r="I658" i="53"/>
  <c r="D658" i="53"/>
  <c r="J657" i="53"/>
  <c r="I657" i="53"/>
  <c r="D657" i="53"/>
  <c r="J656" i="53"/>
  <c r="I656" i="53"/>
  <c r="D656" i="53"/>
  <c r="J655" i="53"/>
  <c r="I655" i="53"/>
  <c r="D655" i="53"/>
  <c r="J654" i="53"/>
  <c r="I654" i="53"/>
  <c r="D654" i="53"/>
  <c r="J653" i="53"/>
  <c r="I653" i="53"/>
  <c r="D653" i="53"/>
  <c r="J652" i="53"/>
  <c r="I652" i="53"/>
  <c r="D652" i="53"/>
  <c r="J651" i="53"/>
  <c r="I651" i="53"/>
  <c r="D651" i="53"/>
  <c r="J650" i="53"/>
  <c r="I650" i="53"/>
  <c r="D650" i="53"/>
  <c r="J649" i="53"/>
  <c r="I649" i="53"/>
  <c r="D649" i="53"/>
  <c r="J648" i="53"/>
  <c r="I648" i="53"/>
  <c r="D648" i="53"/>
  <c r="J647" i="53"/>
  <c r="I647" i="53"/>
  <c r="D647" i="53"/>
  <c r="J646" i="53"/>
  <c r="I646" i="53"/>
  <c r="D646" i="53"/>
  <c r="J645" i="53"/>
  <c r="I645" i="53"/>
  <c r="D645" i="53"/>
  <c r="J644" i="53"/>
  <c r="I644" i="53"/>
  <c r="D644" i="53"/>
  <c r="J643" i="53"/>
  <c r="I643" i="53"/>
  <c r="D643" i="53"/>
  <c r="J642" i="53"/>
  <c r="I642" i="53"/>
  <c r="D642" i="53"/>
  <c r="J641" i="53"/>
  <c r="I641" i="53"/>
  <c r="D641" i="53"/>
  <c r="J640" i="53"/>
  <c r="I640" i="53"/>
  <c r="D640" i="53"/>
  <c r="J639" i="53"/>
  <c r="I639" i="53"/>
  <c r="D639" i="53"/>
  <c r="J638" i="53"/>
  <c r="I638" i="53"/>
  <c r="D638" i="53"/>
  <c r="J637" i="53"/>
  <c r="I637" i="53"/>
  <c r="D637" i="53"/>
  <c r="J636" i="53"/>
  <c r="I636" i="53"/>
  <c r="D636" i="53"/>
  <c r="J635" i="53"/>
  <c r="I635" i="53"/>
  <c r="D635" i="53"/>
  <c r="J634" i="53"/>
  <c r="I634" i="53"/>
  <c r="D634" i="53"/>
  <c r="J633" i="53"/>
  <c r="I633" i="53"/>
  <c r="D633" i="53"/>
  <c r="J632" i="53"/>
  <c r="I632" i="53"/>
  <c r="D632" i="53"/>
  <c r="J631" i="53"/>
  <c r="I631" i="53"/>
  <c r="D631" i="53"/>
  <c r="J630" i="53"/>
  <c r="I630" i="53"/>
  <c r="D630" i="53"/>
  <c r="J629" i="53"/>
  <c r="I629" i="53"/>
  <c r="D629" i="53"/>
  <c r="J628" i="53"/>
  <c r="I628" i="53"/>
  <c r="D628" i="53"/>
  <c r="J627" i="53"/>
  <c r="I627" i="53"/>
  <c r="D627" i="53"/>
  <c r="J626" i="53"/>
  <c r="I626" i="53"/>
  <c r="D626" i="53"/>
  <c r="J625" i="53"/>
  <c r="I625" i="53"/>
  <c r="D625" i="53"/>
  <c r="J624" i="53"/>
  <c r="I624" i="53"/>
  <c r="D624" i="53"/>
  <c r="J623" i="53"/>
  <c r="I623" i="53"/>
  <c r="D623" i="53"/>
  <c r="J622" i="53"/>
  <c r="I622" i="53"/>
  <c r="D622" i="53"/>
  <c r="J621" i="53"/>
  <c r="I621" i="53"/>
  <c r="D621" i="53"/>
  <c r="J620" i="53"/>
  <c r="I620" i="53"/>
  <c r="D620" i="53"/>
  <c r="J619" i="53"/>
  <c r="I619" i="53"/>
  <c r="D619" i="53"/>
  <c r="J618" i="53"/>
  <c r="I618" i="53"/>
  <c r="D618" i="53"/>
  <c r="J617" i="53"/>
  <c r="I617" i="53"/>
  <c r="D617" i="53"/>
  <c r="J616" i="53"/>
  <c r="I616" i="53"/>
  <c r="D616" i="53"/>
  <c r="J615" i="53"/>
  <c r="I615" i="53"/>
  <c r="D615" i="53"/>
  <c r="J614" i="53"/>
  <c r="I614" i="53"/>
  <c r="D614" i="53"/>
  <c r="J613" i="53"/>
  <c r="I613" i="53"/>
  <c r="D613" i="53"/>
  <c r="J612" i="53"/>
  <c r="I612" i="53"/>
  <c r="D612" i="53"/>
  <c r="J611" i="53"/>
  <c r="I611" i="53"/>
  <c r="D611" i="53"/>
  <c r="J610" i="53"/>
  <c r="I610" i="53"/>
  <c r="D610" i="53"/>
  <c r="J609" i="53"/>
  <c r="I609" i="53"/>
  <c r="D609" i="53"/>
  <c r="J608" i="53"/>
  <c r="I608" i="53"/>
  <c r="D608" i="53"/>
  <c r="J607" i="53"/>
  <c r="I607" i="53"/>
  <c r="D607" i="53"/>
  <c r="J606" i="53"/>
  <c r="I606" i="53"/>
  <c r="D606" i="53"/>
  <c r="J605" i="53"/>
  <c r="I605" i="53"/>
  <c r="D605" i="53"/>
  <c r="J604" i="53"/>
  <c r="I604" i="53"/>
  <c r="D604" i="53"/>
  <c r="J603" i="53"/>
  <c r="I603" i="53"/>
  <c r="D603" i="53"/>
  <c r="J602" i="53"/>
  <c r="I602" i="53"/>
  <c r="D602" i="53"/>
  <c r="J601" i="53"/>
  <c r="I601" i="53"/>
  <c r="D601" i="53"/>
  <c r="J600" i="53"/>
  <c r="I600" i="53"/>
  <c r="D600" i="53"/>
  <c r="J599" i="53"/>
  <c r="I599" i="53"/>
  <c r="D599" i="53"/>
  <c r="J598" i="53"/>
  <c r="I598" i="53"/>
  <c r="D598" i="53"/>
  <c r="J597" i="53"/>
  <c r="I597" i="53"/>
  <c r="D597" i="53"/>
  <c r="J596" i="53"/>
  <c r="I596" i="53"/>
  <c r="D596" i="53"/>
  <c r="J595" i="53"/>
  <c r="I595" i="53"/>
  <c r="D595" i="53"/>
  <c r="J594" i="53"/>
  <c r="I594" i="53"/>
  <c r="D594" i="53"/>
  <c r="J593" i="53"/>
  <c r="I593" i="53"/>
  <c r="D593" i="53"/>
  <c r="J592" i="53"/>
  <c r="I592" i="53"/>
  <c r="D592" i="53"/>
  <c r="J591" i="53"/>
  <c r="I591" i="53"/>
  <c r="D591" i="53"/>
  <c r="J590" i="53"/>
  <c r="I590" i="53"/>
  <c r="D590" i="53"/>
  <c r="J589" i="53"/>
  <c r="I589" i="53"/>
  <c r="D589" i="53"/>
  <c r="J588" i="53"/>
  <c r="I588" i="53"/>
  <c r="D588" i="53"/>
  <c r="J587" i="53"/>
  <c r="I587" i="53"/>
  <c r="D587" i="53"/>
  <c r="J586" i="53"/>
  <c r="I586" i="53"/>
  <c r="D586" i="53"/>
  <c r="J585" i="53"/>
  <c r="I585" i="53"/>
  <c r="D585" i="53"/>
  <c r="J584" i="53"/>
  <c r="I584" i="53"/>
  <c r="D584" i="53"/>
  <c r="J583" i="53"/>
  <c r="I583" i="53"/>
  <c r="D583" i="53"/>
  <c r="J582" i="53"/>
  <c r="I582" i="53"/>
  <c r="D582" i="53"/>
  <c r="J581" i="53"/>
  <c r="I581" i="53"/>
  <c r="D581" i="53"/>
  <c r="J580" i="53"/>
  <c r="I580" i="53"/>
  <c r="D580" i="53"/>
  <c r="J579" i="53"/>
  <c r="I579" i="53"/>
  <c r="D579" i="53"/>
  <c r="J578" i="53"/>
  <c r="I578" i="53"/>
  <c r="D578" i="53"/>
  <c r="J577" i="53"/>
  <c r="I577" i="53"/>
  <c r="D577" i="53"/>
  <c r="J576" i="53"/>
  <c r="I576" i="53"/>
  <c r="D576" i="53"/>
  <c r="J575" i="53"/>
  <c r="I575" i="53"/>
  <c r="D575" i="53"/>
  <c r="J574" i="53"/>
  <c r="I574" i="53"/>
  <c r="D574" i="53"/>
  <c r="J573" i="53"/>
  <c r="I573" i="53"/>
  <c r="D573" i="53"/>
  <c r="J572" i="53"/>
  <c r="I572" i="53"/>
  <c r="D572" i="53"/>
  <c r="J571" i="53"/>
  <c r="I571" i="53"/>
  <c r="D571" i="53"/>
  <c r="J570" i="53"/>
  <c r="I570" i="53"/>
  <c r="D570" i="53"/>
  <c r="J569" i="53"/>
  <c r="I569" i="53"/>
  <c r="D569" i="53"/>
  <c r="J568" i="53"/>
  <c r="I568" i="53"/>
  <c r="D568" i="53"/>
  <c r="J567" i="53"/>
  <c r="I567" i="53"/>
  <c r="D567" i="53"/>
  <c r="J566" i="53"/>
  <c r="I566" i="53"/>
  <c r="D566" i="53"/>
  <c r="J565" i="53"/>
  <c r="I565" i="53"/>
  <c r="D565" i="53"/>
  <c r="J564" i="53"/>
  <c r="I564" i="53"/>
  <c r="D564" i="53"/>
  <c r="J563" i="53"/>
  <c r="I563" i="53"/>
  <c r="D563" i="53"/>
  <c r="J562" i="53"/>
  <c r="I562" i="53"/>
  <c r="D562" i="53"/>
  <c r="J561" i="53"/>
  <c r="I561" i="53"/>
  <c r="D561" i="53"/>
  <c r="J560" i="53"/>
  <c r="I560" i="53"/>
  <c r="D560" i="53"/>
  <c r="J559" i="53"/>
  <c r="I559" i="53"/>
  <c r="D559" i="53"/>
  <c r="J558" i="53"/>
  <c r="I558" i="53"/>
  <c r="D558" i="53"/>
  <c r="J557" i="53"/>
  <c r="I557" i="53"/>
  <c r="D557" i="53"/>
  <c r="J556" i="53"/>
  <c r="I556" i="53"/>
  <c r="D556" i="53"/>
  <c r="J555" i="53"/>
  <c r="I555" i="53"/>
  <c r="D555" i="53"/>
  <c r="J554" i="53"/>
  <c r="I554" i="53"/>
  <c r="D554" i="53"/>
  <c r="J553" i="53"/>
  <c r="I553" i="53"/>
  <c r="D553" i="53"/>
  <c r="J552" i="53"/>
  <c r="I552" i="53"/>
  <c r="D552" i="53"/>
  <c r="J551" i="53"/>
  <c r="I551" i="53"/>
  <c r="D551" i="53"/>
  <c r="J550" i="53"/>
  <c r="I550" i="53"/>
  <c r="D550" i="53"/>
  <c r="J549" i="53"/>
  <c r="I549" i="53"/>
  <c r="D549" i="53"/>
  <c r="J548" i="53"/>
  <c r="I548" i="53"/>
  <c r="D548" i="53"/>
  <c r="J547" i="53"/>
  <c r="I547" i="53"/>
  <c r="D547" i="53"/>
  <c r="J546" i="53"/>
  <c r="I546" i="53"/>
  <c r="D546" i="53"/>
  <c r="J545" i="53"/>
  <c r="I545" i="53"/>
  <c r="D545" i="53"/>
  <c r="J544" i="53"/>
  <c r="I544" i="53"/>
  <c r="D544" i="53"/>
  <c r="J543" i="53"/>
  <c r="I543" i="53"/>
  <c r="D543" i="53"/>
  <c r="J542" i="53"/>
  <c r="I542" i="53"/>
  <c r="D542" i="53"/>
  <c r="D10" i="53"/>
  <c r="E10" i="53" s="1"/>
  <c r="D9" i="53"/>
  <c r="E9" i="53" s="1"/>
  <c r="D8" i="53"/>
  <c r="E8" i="53" s="1"/>
  <c r="D7" i="53"/>
  <c r="E7" i="53" s="1"/>
  <c r="J960" i="51"/>
  <c r="I960" i="51"/>
  <c r="J959" i="51"/>
  <c r="I959" i="51"/>
  <c r="D959" i="51"/>
  <c r="J958" i="51"/>
  <c r="I958" i="51"/>
  <c r="D958" i="51"/>
  <c r="J957" i="51"/>
  <c r="I957" i="51"/>
  <c r="D957" i="51"/>
  <c r="J956" i="51"/>
  <c r="I956" i="51"/>
  <c r="D956" i="51"/>
  <c r="J955" i="51"/>
  <c r="I955" i="51"/>
  <c r="D955" i="51"/>
  <c r="J954" i="51"/>
  <c r="I954" i="51"/>
  <c r="D954" i="51"/>
  <c r="J953" i="51"/>
  <c r="I953" i="51"/>
  <c r="D953" i="51"/>
  <c r="J952" i="51"/>
  <c r="I952" i="51"/>
  <c r="D952" i="51"/>
  <c r="J951" i="51"/>
  <c r="I951" i="51"/>
  <c r="D951" i="51"/>
  <c r="J950" i="51"/>
  <c r="I950" i="51"/>
  <c r="D950" i="51"/>
  <c r="J949" i="51"/>
  <c r="I949" i="51"/>
  <c r="D949" i="51"/>
  <c r="J948" i="51"/>
  <c r="I948" i="51"/>
  <c r="D948" i="51"/>
  <c r="J947" i="51"/>
  <c r="I947" i="51"/>
  <c r="D947" i="51"/>
  <c r="J946" i="51"/>
  <c r="I946" i="51"/>
  <c r="D946" i="51"/>
  <c r="J945" i="51"/>
  <c r="I945" i="51"/>
  <c r="D945" i="51"/>
  <c r="J944" i="51"/>
  <c r="I944" i="51"/>
  <c r="D944" i="51"/>
  <c r="J943" i="51"/>
  <c r="I943" i="51"/>
  <c r="D943" i="51"/>
  <c r="J942" i="51"/>
  <c r="I942" i="51"/>
  <c r="D942" i="51"/>
  <c r="J941" i="51"/>
  <c r="I941" i="51"/>
  <c r="D941" i="51"/>
  <c r="J940" i="51"/>
  <c r="I940" i="51"/>
  <c r="D940" i="51"/>
  <c r="J939" i="51"/>
  <c r="I939" i="51"/>
  <c r="D939" i="51"/>
  <c r="J938" i="51"/>
  <c r="I938" i="51"/>
  <c r="D938" i="51"/>
  <c r="J937" i="51"/>
  <c r="I937" i="51"/>
  <c r="D937" i="51"/>
  <c r="J936" i="51"/>
  <c r="I936" i="51"/>
  <c r="D936" i="51"/>
  <c r="J935" i="51"/>
  <c r="I935" i="51"/>
  <c r="D935" i="51"/>
  <c r="J934" i="51"/>
  <c r="I934" i="51"/>
  <c r="D934" i="51"/>
  <c r="J933" i="51"/>
  <c r="I933" i="51"/>
  <c r="D933" i="51"/>
  <c r="J932" i="51"/>
  <c r="I932" i="51"/>
  <c r="D932" i="51"/>
  <c r="J931" i="51"/>
  <c r="I931" i="51"/>
  <c r="D931" i="51"/>
  <c r="J930" i="51"/>
  <c r="I930" i="51"/>
  <c r="D930" i="51"/>
  <c r="J929" i="51"/>
  <c r="I929" i="51"/>
  <c r="D929" i="51"/>
  <c r="J928" i="51"/>
  <c r="I928" i="51"/>
  <c r="D928" i="51"/>
  <c r="J927" i="51"/>
  <c r="I927" i="51"/>
  <c r="D927" i="51"/>
  <c r="J926" i="51"/>
  <c r="I926" i="51"/>
  <c r="D926" i="51"/>
  <c r="J925" i="51"/>
  <c r="I925" i="51"/>
  <c r="D925" i="51"/>
  <c r="J924" i="51"/>
  <c r="I924" i="51"/>
  <c r="D924" i="51"/>
  <c r="J923" i="51"/>
  <c r="I923" i="51"/>
  <c r="D923" i="51"/>
  <c r="J922" i="51"/>
  <c r="I922" i="51"/>
  <c r="D922" i="51"/>
  <c r="J921" i="51"/>
  <c r="I921" i="51"/>
  <c r="D921" i="51"/>
  <c r="J920" i="51"/>
  <c r="I920" i="51"/>
  <c r="D920" i="51"/>
  <c r="J919" i="51"/>
  <c r="I919" i="51"/>
  <c r="D919" i="51"/>
  <c r="J918" i="51"/>
  <c r="I918" i="51"/>
  <c r="D918" i="51"/>
  <c r="J917" i="51"/>
  <c r="I917" i="51"/>
  <c r="D917" i="51"/>
  <c r="J916" i="51"/>
  <c r="I916" i="51"/>
  <c r="D916" i="51"/>
  <c r="J915" i="51"/>
  <c r="I915" i="51"/>
  <c r="D915" i="51"/>
  <c r="J914" i="51"/>
  <c r="I914" i="51"/>
  <c r="D914" i="51"/>
  <c r="J913" i="51"/>
  <c r="I913" i="51"/>
  <c r="D913" i="51"/>
  <c r="J912" i="51"/>
  <c r="I912" i="51"/>
  <c r="D912" i="51"/>
  <c r="J911" i="51"/>
  <c r="I911" i="51"/>
  <c r="D911" i="51"/>
  <c r="J910" i="51"/>
  <c r="I910" i="51"/>
  <c r="D910" i="51"/>
  <c r="J909" i="51"/>
  <c r="I909" i="51"/>
  <c r="D909" i="51"/>
  <c r="J908" i="51"/>
  <c r="I908" i="51"/>
  <c r="D908" i="51"/>
  <c r="J907" i="51"/>
  <c r="I907" i="51"/>
  <c r="D907" i="51"/>
  <c r="J906" i="51"/>
  <c r="I906" i="51"/>
  <c r="D906" i="51"/>
  <c r="J905" i="51"/>
  <c r="I905" i="51"/>
  <c r="D905" i="51"/>
  <c r="J904" i="51"/>
  <c r="I904" i="51"/>
  <c r="D904" i="51"/>
  <c r="J903" i="51"/>
  <c r="I903" i="51"/>
  <c r="D903" i="51"/>
  <c r="J902" i="51"/>
  <c r="I902" i="51"/>
  <c r="D902" i="51"/>
  <c r="J901" i="51"/>
  <c r="I901" i="51"/>
  <c r="D901" i="51"/>
  <c r="J900" i="51"/>
  <c r="I900" i="51"/>
  <c r="D900" i="51"/>
  <c r="J899" i="51"/>
  <c r="I899" i="51"/>
  <c r="D899" i="51"/>
  <c r="J898" i="51"/>
  <c r="I898" i="51"/>
  <c r="D898" i="51"/>
  <c r="J897" i="51"/>
  <c r="I897" i="51"/>
  <c r="D897" i="51"/>
  <c r="J896" i="51"/>
  <c r="I896" i="51"/>
  <c r="D896" i="51"/>
  <c r="J895" i="51"/>
  <c r="I895" i="51"/>
  <c r="D895" i="51"/>
  <c r="J894" i="51"/>
  <c r="I894" i="51"/>
  <c r="D894" i="51"/>
  <c r="J893" i="51"/>
  <c r="I893" i="51"/>
  <c r="D893" i="51"/>
  <c r="J892" i="51"/>
  <c r="I892" i="51"/>
  <c r="D892" i="51"/>
  <c r="J891" i="51"/>
  <c r="I891" i="51"/>
  <c r="D891" i="51"/>
  <c r="J890" i="51"/>
  <c r="I890" i="51"/>
  <c r="D890" i="51"/>
  <c r="J889" i="51"/>
  <c r="I889" i="51"/>
  <c r="D889" i="51"/>
  <c r="J888" i="51"/>
  <c r="I888" i="51"/>
  <c r="D888" i="51"/>
  <c r="J887" i="51"/>
  <c r="I887" i="51"/>
  <c r="D887" i="51"/>
  <c r="J886" i="51"/>
  <c r="I886" i="51"/>
  <c r="D886" i="51"/>
  <c r="J885" i="51"/>
  <c r="I885" i="51"/>
  <c r="D885" i="51"/>
  <c r="J884" i="51"/>
  <c r="I884" i="51"/>
  <c r="D884" i="51"/>
  <c r="J883" i="51"/>
  <c r="I883" i="51"/>
  <c r="D883" i="51"/>
  <c r="J882" i="51"/>
  <c r="I882" i="51"/>
  <c r="D882" i="51"/>
  <c r="J881" i="51"/>
  <c r="I881" i="51"/>
  <c r="D881" i="51"/>
  <c r="J880" i="51"/>
  <c r="I880" i="51"/>
  <c r="D880" i="51"/>
  <c r="J879" i="51"/>
  <c r="I879" i="51"/>
  <c r="D879" i="51"/>
  <c r="J878" i="51"/>
  <c r="I878" i="51"/>
  <c r="D878" i="51"/>
  <c r="J877" i="51"/>
  <c r="I877" i="51"/>
  <c r="D877" i="51"/>
  <c r="J876" i="51"/>
  <c r="I876" i="51"/>
  <c r="D876" i="51"/>
  <c r="J875" i="51"/>
  <c r="I875" i="51"/>
  <c r="D875" i="51"/>
  <c r="J874" i="51"/>
  <c r="I874" i="51"/>
  <c r="D874" i="51"/>
  <c r="J873" i="51"/>
  <c r="I873" i="51"/>
  <c r="D873" i="51"/>
  <c r="J872" i="51"/>
  <c r="I872" i="51"/>
  <c r="D872" i="51"/>
  <c r="J871" i="51"/>
  <c r="I871" i="51"/>
  <c r="D871" i="51"/>
  <c r="J870" i="51"/>
  <c r="I870" i="51"/>
  <c r="D870" i="51"/>
  <c r="J869" i="51"/>
  <c r="I869" i="51"/>
  <c r="D869" i="51"/>
  <c r="J868" i="51"/>
  <c r="I868" i="51"/>
  <c r="D868" i="51"/>
  <c r="J867" i="51"/>
  <c r="I867" i="51"/>
  <c r="D867" i="51"/>
  <c r="J866" i="51"/>
  <c r="I866" i="51"/>
  <c r="D866" i="51"/>
  <c r="J865" i="51"/>
  <c r="I865" i="51"/>
  <c r="D865" i="51"/>
  <c r="J864" i="51"/>
  <c r="I864" i="51"/>
  <c r="D864" i="51"/>
  <c r="J863" i="51"/>
  <c r="I863" i="51"/>
  <c r="D863" i="51"/>
  <c r="J862" i="51"/>
  <c r="I862" i="51"/>
  <c r="D862" i="51"/>
  <c r="J861" i="51"/>
  <c r="I861" i="51"/>
  <c r="D861" i="51"/>
  <c r="J860" i="51"/>
  <c r="I860" i="51"/>
  <c r="D860" i="51"/>
  <c r="J859" i="51"/>
  <c r="I859" i="51"/>
  <c r="D859" i="51"/>
  <c r="J858" i="51"/>
  <c r="I858" i="51"/>
  <c r="D858" i="51"/>
  <c r="J857" i="51"/>
  <c r="I857" i="51"/>
  <c r="D857" i="51"/>
  <c r="J856" i="51"/>
  <c r="I856" i="51"/>
  <c r="D856" i="51"/>
  <c r="J855" i="51"/>
  <c r="I855" i="51"/>
  <c r="D855" i="51"/>
  <c r="J854" i="51"/>
  <c r="I854" i="51"/>
  <c r="D854" i="51"/>
  <c r="J853" i="51"/>
  <c r="I853" i="51"/>
  <c r="D853" i="51"/>
  <c r="J852" i="51"/>
  <c r="I852" i="51"/>
  <c r="D852" i="51"/>
  <c r="J851" i="51"/>
  <c r="I851" i="51"/>
  <c r="D851" i="51"/>
  <c r="J850" i="51"/>
  <c r="I850" i="51"/>
  <c r="D850" i="51"/>
  <c r="J849" i="51"/>
  <c r="I849" i="51"/>
  <c r="D849" i="51"/>
  <c r="J848" i="51"/>
  <c r="I848" i="51"/>
  <c r="D848" i="51"/>
  <c r="J847" i="51"/>
  <c r="I847" i="51"/>
  <c r="D847" i="51"/>
  <c r="J846" i="51"/>
  <c r="I846" i="51"/>
  <c r="D846" i="51"/>
  <c r="J845" i="51"/>
  <c r="I845" i="51"/>
  <c r="D845" i="51"/>
  <c r="J844" i="51"/>
  <c r="I844" i="51"/>
  <c r="D844" i="51"/>
  <c r="J843" i="51"/>
  <c r="I843" i="51"/>
  <c r="D843" i="51"/>
  <c r="J842" i="51"/>
  <c r="I842" i="51"/>
  <c r="D842" i="51"/>
  <c r="J841" i="51"/>
  <c r="I841" i="51"/>
  <c r="D841" i="51"/>
  <c r="J840" i="51"/>
  <c r="I840" i="51"/>
  <c r="D840" i="51"/>
  <c r="J839" i="51"/>
  <c r="I839" i="51"/>
  <c r="D839" i="51"/>
  <c r="J838" i="51"/>
  <c r="I838" i="51"/>
  <c r="D838" i="51"/>
  <c r="J837" i="51"/>
  <c r="I837" i="51"/>
  <c r="D837" i="51"/>
  <c r="J836" i="51"/>
  <c r="I836" i="51"/>
  <c r="D836" i="51"/>
  <c r="J835" i="51"/>
  <c r="I835" i="51"/>
  <c r="D835" i="51"/>
  <c r="J834" i="51"/>
  <c r="I834" i="51"/>
  <c r="D834" i="51"/>
  <c r="J833" i="51"/>
  <c r="I833" i="51"/>
  <c r="D833" i="51"/>
  <c r="J832" i="51"/>
  <c r="I832" i="51"/>
  <c r="D832" i="51"/>
  <c r="J831" i="51"/>
  <c r="I831" i="51"/>
  <c r="D831" i="51"/>
  <c r="J830" i="51"/>
  <c r="I830" i="51"/>
  <c r="D830" i="51"/>
  <c r="J829" i="51"/>
  <c r="I829" i="51"/>
  <c r="D829" i="51"/>
  <c r="J828" i="51"/>
  <c r="I828" i="51"/>
  <c r="D828" i="51"/>
  <c r="J827" i="51"/>
  <c r="I827" i="51"/>
  <c r="D827" i="51"/>
  <c r="J826" i="51"/>
  <c r="I826" i="51"/>
  <c r="D826" i="51"/>
  <c r="J825" i="51"/>
  <c r="I825" i="51"/>
  <c r="D825" i="51"/>
  <c r="J824" i="51"/>
  <c r="I824" i="51"/>
  <c r="D824" i="51"/>
  <c r="J823" i="51"/>
  <c r="I823" i="51"/>
  <c r="D823" i="51"/>
  <c r="J822" i="51"/>
  <c r="I822" i="51"/>
  <c r="D822" i="51"/>
  <c r="J821" i="51"/>
  <c r="I821" i="51"/>
  <c r="D821" i="51"/>
  <c r="J820" i="51"/>
  <c r="I820" i="51"/>
  <c r="D820" i="51"/>
  <c r="J819" i="51"/>
  <c r="I819" i="51"/>
  <c r="D819" i="51"/>
  <c r="J818" i="51"/>
  <c r="I818" i="51"/>
  <c r="D818" i="51"/>
  <c r="J817" i="51"/>
  <c r="I817" i="51"/>
  <c r="D817" i="51"/>
  <c r="J816" i="51"/>
  <c r="I816" i="51"/>
  <c r="D816" i="51"/>
  <c r="J815" i="51"/>
  <c r="I815" i="51"/>
  <c r="D815" i="51"/>
  <c r="J814" i="51"/>
  <c r="I814" i="51"/>
  <c r="D814" i="51"/>
  <c r="J813" i="51"/>
  <c r="I813" i="51"/>
  <c r="D813" i="51"/>
  <c r="J812" i="51"/>
  <c r="I812" i="51"/>
  <c r="D812" i="51"/>
  <c r="J811" i="51"/>
  <c r="I811" i="51"/>
  <c r="D811" i="51"/>
  <c r="J810" i="51"/>
  <c r="I810" i="51"/>
  <c r="D810" i="51"/>
  <c r="J809" i="51"/>
  <c r="I809" i="51"/>
  <c r="D809" i="51"/>
  <c r="J808" i="51"/>
  <c r="I808" i="51"/>
  <c r="D808" i="51"/>
  <c r="J807" i="51"/>
  <c r="I807" i="51"/>
  <c r="D807" i="51"/>
  <c r="J806" i="51"/>
  <c r="I806" i="51"/>
  <c r="D806" i="51"/>
  <c r="J805" i="51"/>
  <c r="I805" i="51"/>
  <c r="D805" i="51"/>
  <c r="J804" i="51"/>
  <c r="I804" i="51"/>
  <c r="D804" i="51"/>
  <c r="J803" i="51"/>
  <c r="I803" i="51"/>
  <c r="D803" i="51"/>
  <c r="J802" i="51"/>
  <c r="I802" i="51"/>
  <c r="D802" i="51"/>
  <c r="J801" i="51"/>
  <c r="I801" i="51"/>
  <c r="D801" i="51"/>
  <c r="J800" i="51"/>
  <c r="I800" i="51"/>
  <c r="D800" i="51"/>
  <c r="J799" i="51"/>
  <c r="I799" i="51"/>
  <c r="D799" i="51"/>
  <c r="J798" i="51"/>
  <c r="I798" i="51"/>
  <c r="D798" i="51"/>
  <c r="J797" i="51"/>
  <c r="I797" i="51"/>
  <c r="D797" i="51"/>
  <c r="J796" i="51"/>
  <c r="I796" i="51"/>
  <c r="D796" i="51"/>
  <c r="J795" i="51"/>
  <c r="I795" i="51"/>
  <c r="D795" i="51"/>
  <c r="J794" i="51"/>
  <c r="I794" i="51"/>
  <c r="D794" i="51"/>
  <c r="J793" i="51"/>
  <c r="I793" i="51"/>
  <c r="D793" i="51"/>
  <c r="J792" i="51"/>
  <c r="I792" i="51"/>
  <c r="D792" i="51"/>
  <c r="J791" i="51"/>
  <c r="I791" i="51"/>
  <c r="D791" i="51"/>
  <c r="J790" i="51"/>
  <c r="I790" i="51"/>
  <c r="D790" i="51"/>
  <c r="J789" i="51"/>
  <c r="I789" i="51"/>
  <c r="D789" i="51"/>
  <c r="J788" i="51"/>
  <c r="I788" i="51"/>
  <c r="D788" i="51"/>
  <c r="J787" i="51"/>
  <c r="I787" i="51"/>
  <c r="D787" i="51"/>
  <c r="J786" i="51"/>
  <c r="I786" i="51"/>
  <c r="D786" i="51"/>
  <c r="J785" i="51"/>
  <c r="I785" i="51"/>
  <c r="D785" i="51"/>
  <c r="J784" i="51"/>
  <c r="I784" i="51"/>
  <c r="D784" i="51"/>
  <c r="J783" i="51"/>
  <c r="I783" i="51"/>
  <c r="D783" i="51"/>
  <c r="J782" i="51"/>
  <c r="I782" i="51"/>
  <c r="D782" i="51"/>
  <c r="J781" i="51"/>
  <c r="I781" i="51"/>
  <c r="D781" i="51"/>
  <c r="J780" i="51"/>
  <c r="I780" i="51"/>
  <c r="D780" i="51"/>
  <c r="J779" i="51"/>
  <c r="I779" i="51"/>
  <c r="D779" i="51"/>
  <c r="J778" i="51"/>
  <c r="I778" i="51"/>
  <c r="D778" i="51"/>
  <c r="J777" i="51"/>
  <c r="I777" i="51"/>
  <c r="D777" i="51"/>
  <c r="J776" i="51"/>
  <c r="I776" i="51"/>
  <c r="D776" i="51"/>
  <c r="J775" i="51"/>
  <c r="I775" i="51"/>
  <c r="D775" i="51"/>
  <c r="J774" i="51"/>
  <c r="I774" i="51"/>
  <c r="D774" i="51"/>
  <c r="J773" i="51"/>
  <c r="I773" i="51"/>
  <c r="D773" i="51"/>
  <c r="J772" i="51"/>
  <c r="I772" i="51"/>
  <c r="D772" i="51"/>
  <c r="J771" i="51"/>
  <c r="I771" i="51"/>
  <c r="D771" i="51"/>
  <c r="J770" i="51"/>
  <c r="I770" i="51"/>
  <c r="D770" i="51"/>
  <c r="J769" i="51"/>
  <c r="I769" i="51"/>
  <c r="D769" i="51"/>
  <c r="J768" i="51"/>
  <c r="I768" i="51"/>
  <c r="D768" i="51"/>
  <c r="J767" i="51"/>
  <c r="I767" i="51"/>
  <c r="D767" i="51"/>
  <c r="J766" i="51"/>
  <c r="I766" i="51"/>
  <c r="D766" i="51"/>
  <c r="J765" i="51"/>
  <c r="I765" i="51"/>
  <c r="D765" i="51"/>
  <c r="J764" i="51"/>
  <c r="I764" i="51"/>
  <c r="D764" i="51"/>
  <c r="J763" i="51"/>
  <c r="I763" i="51"/>
  <c r="D763" i="51"/>
  <c r="J762" i="51"/>
  <c r="I762" i="51"/>
  <c r="D762" i="51"/>
  <c r="J761" i="51"/>
  <c r="I761" i="51"/>
  <c r="D761" i="51"/>
  <c r="J760" i="51"/>
  <c r="I760" i="51"/>
  <c r="D760" i="51"/>
  <c r="J759" i="51"/>
  <c r="I759" i="51"/>
  <c r="D759" i="51"/>
  <c r="J758" i="51"/>
  <c r="I758" i="51"/>
  <c r="D758" i="51"/>
  <c r="J757" i="51"/>
  <c r="I757" i="51"/>
  <c r="D757" i="51"/>
  <c r="J756" i="51"/>
  <c r="I756" i="51"/>
  <c r="D756" i="51"/>
  <c r="J755" i="51"/>
  <c r="I755" i="51"/>
  <c r="D755" i="51"/>
  <c r="J754" i="51"/>
  <c r="I754" i="51"/>
  <c r="D754" i="51"/>
  <c r="J753" i="51"/>
  <c r="I753" i="51"/>
  <c r="D753" i="51"/>
  <c r="J752" i="51"/>
  <c r="I752" i="51"/>
  <c r="D752" i="51"/>
  <c r="J751" i="51"/>
  <c r="I751" i="51"/>
  <c r="D751" i="51"/>
  <c r="J750" i="51"/>
  <c r="I750" i="51"/>
  <c r="D750" i="51"/>
  <c r="J749" i="51"/>
  <c r="I749" i="51"/>
  <c r="D749" i="51"/>
  <c r="J748" i="51"/>
  <c r="I748" i="51"/>
  <c r="D748" i="51"/>
  <c r="J747" i="51"/>
  <c r="I747" i="51"/>
  <c r="D747" i="51"/>
  <c r="J746" i="51"/>
  <c r="I746" i="51"/>
  <c r="D746" i="51"/>
  <c r="J745" i="51"/>
  <c r="I745" i="51"/>
  <c r="D745" i="51"/>
  <c r="J744" i="51"/>
  <c r="I744" i="51"/>
  <c r="D744" i="51"/>
  <c r="J743" i="51"/>
  <c r="I743" i="51"/>
  <c r="D743" i="51"/>
  <c r="J742" i="51"/>
  <c r="I742" i="51"/>
  <c r="D742" i="51"/>
  <c r="J741" i="51"/>
  <c r="I741" i="51"/>
  <c r="D741" i="51"/>
  <c r="J740" i="51"/>
  <c r="I740" i="51"/>
  <c r="D740" i="51"/>
  <c r="J739" i="51"/>
  <c r="I739" i="51"/>
  <c r="D739" i="51"/>
  <c r="J738" i="51"/>
  <c r="I738" i="51"/>
  <c r="D738" i="51"/>
  <c r="J737" i="51"/>
  <c r="I737" i="51"/>
  <c r="D737" i="51"/>
  <c r="J736" i="51"/>
  <c r="I736" i="51"/>
  <c r="D736" i="51"/>
  <c r="J735" i="51"/>
  <c r="I735" i="51"/>
  <c r="D735" i="51"/>
  <c r="J734" i="51"/>
  <c r="I734" i="51"/>
  <c r="D734" i="51"/>
  <c r="J733" i="51"/>
  <c r="I733" i="51"/>
  <c r="D733" i="51"/>
  <c r="J732" i="51"/>
  <c r="I732" i="51"/>
  <c r="D732" i="51"/>
  <c r="J731" i="51"/>
  <c r="I731" i="51"/>
  <c r="D731" i="51"/>
  <c r="J730" i="51"/>
  <c r="I730" i="51"/>
  <c r="D730" i="51"/>
  <c r="J729" i="51"/>
  <c r="I729" i="51"/>
  <c r="D729" i="51"/>
  <c r="J728" i="51"/>
  <c r="I728" i="51"/>
  <c r="D728" i="51"/>
  <c r="J727" i="51"/>
  <c r="I727" i="51"/>
  <c r="D727" i="51"/>
  <c r="J726" i="51"/>
  <c r="I726" i="51"/>
  <c r="D726" i="51"/>
  <c r="J725" i="51"/>
  <c r="I725" i="51"/>
  <c r="D725" i="51"/>
  <c r="J724" i="51"/>
  <c r="I724" i="51"/>
  <c r="D724" i="51"/>
  <c r="J723" i="51"/>
  <c r="I723" i="51"/>
  <c r="D723" i="51"/>
  <c r="J722" i="51"/>
  <c r="I722" i="51"/>
  <c r="D722" i="51"/>
  <c r="J721" i="51"/>
  <c r="I721" i="51"/>
  <c r="D721" i="51"/>
  <c r="J720" i="51"/>
  <c r="I720" i="51"/>
  <c r="D720" i="51"/>
  <c r="J719" i="51"/>
  <c r="I719" i="51"/>
  <c r="D719" i="51"/>
  <c r="J718" i="51"/>
  <c r="I718" i="51"/>
  <c r="D718" i="51"/>
  <c r="J717" i="51"/>
  <c r="I717" i="51"/>
  <c r="D717" i="51"/>
  <c r="J716" i="51"/>
  <c r="I716" i="51"/>
  <c r="D716" i="51"/>
  <c r="J715" i="51"/>
  <c r="I715" i="51"/>
  <c r="D715" i="51"/>
  <c r="J714" i="51"/>
  <c r="I714" i="51"/>
  <c r="D714" i="51"/>
  <c r="J713" i="51"/>
  <c r="I713" i="51"/>
  <c r="D713" i="51"/>
  <c r="J712" i="51"/>
  <c r="I712" i="51"/>
  <c r="D712" i="51"/>
  <c r="J711" i="51"/>
  <c r="I711" i="51"/>
  <c r="D711" i="51"/>
  <c r="J710" i="51"/>
  <c r="I710" i="51"/>
  <c r="D710" i="51"/>
  <c r="J709" i="51"/>
  <c r="I709" i="51"/>
  <c r="D709" i="51"/>
  <c r="J708" i="51"/>
  <c r="I708" i="51"/>
  <c r="D708" i="51"/>
  <c r="J707" i="51"/>
  <c r="I707" i="51"/>
  <c r="D707" i="51"/>
  <c r="J706" i="51"/>
  <c r="I706" i="51"/>
  <c r="D706" i="51"/>
  <c r="J705" i="51"/>
  <c r="I705" i="51"/>
  <c r="D705" i="51"/>
  <c r="J704" i="51"/>
  <c r="I704" i="51"/>
  <c r="D704" i="51"/>
  <c r="J703" i="51"/>
  <c r="I703" i="51"/>
  <c r="D703" i="51"/>
  <c r="J702" i="51"/>
  <c r="I702" i="51"/>
  <c r="D702" i="51"/>
  <c r="J701" i="51"/>
  <c r="I701" i="51"/>
  <c r="D701" i="51"/>
  <c r="J700" i="51"/>
  <c r="I700" i="51"/>
  <c r="D700" i="51"/>
  <c r="J699" i="51"/>
  <c r="I699" i="51"/>
  <c r="D699" i="51"/>
  <c r="J698" i="51"/>
  <c r="I698" i="51"/>
  <c r="D698" i="51"/>
  <c r="J697" i="51"/>
  <c r="I697" i="51"/>
  <c r="D697" i="51"/>
  <c r="J696" i="51"/>
  <c r="I696" i="51"/>
  <c r="D696" i="51"/>
  <c r="J695" i="51"/>
  <c r="I695" i="51"/>
  <c r="D695" i="51"/>
  <c r="J694" i="51"/>
  <c r="I694" i="51"/>
  <c r="D694" i="51"/>
  <c r="J693" i="51"/>
  <c r="I693" i="51"/>
  <c r="D693" i="51"/>
  <c r="J692" i="51"/>
  <c r="I692" i="51"/>
  <c r="D692" i="51"/>
  <c r="J691" i="51"/>
  <c r="I691" i="51"/>
  <c r="D691" i="51"/>
  <c r="J690" i="51"/>
  <c r="I690" i="51"/>
  <c r="D690" i="51"/>
  <c r="J689" i="51"/>
  <c r="I689" i="51"/>
  <c r="D689" i="51"/>
  <c r="J688" i="51"/>
  <c r="I688" i="51"/>
  <c r="D688" i="51"/>
  <c r="J687" i="51"/>
  <c r="I687" i="51"/>
  <c r="D687" i="51"/>
  <c r="J686" i="51"/>
  <c r="I686" i="51"/>
  <c r="D686" i="51"/>
  <c r="J685" i="51"/>
  <c r="I685" i="51"/>
  <c r="D685" i="51"/>
  <c r="J684" i="51"/>
  <c r="I684" i="51"/>
  <c r="D684" i="51"/>
  <c r="J683" i="51"/>
  <c r="I683" i="51"/>
  <c r="D683" i="51"/>
  <c r="J682" i="51"/>
  <c r="I682" i="51"/>
  <c r="D682" i="51"/>
  <c r="J681" i="51"/>
  <c r="I681" i="51"/>
  <c r="D681" i="51"/>
  <c r="J680" i="51"/>
  <c r="I680" i="51"/>
  <c r="D680" i="51"/>
  <c r="J679" i="51"/>
  <c r="I679" i="51"/>
  <c r="D679" i="51"/>
  <c r="J678" i="51"/>
  <c r="I678" i="51"/>
  <c r="D678" i="51"/>
  <c r="J677" i="51"/>
  <c r="I677" i="51"/>
  <c r="D677" i="51"/>
  <c r="J676" i="51"/>
  <c r="I676" i="51"/>
  <c r="D676" i="51"/>
  <c r="J675" i="51"/>
  <c r="I675" i="51"/>
  <c r="D675" i="51"/>
  <c r="J674" i="51"/>
  <c r="I674" i="51"/>
  <c r="D674" i="51"/>
  <c r="J673" i="51"/>
  <c r="I673" i="51"/>
  <c r="D673" i="51"/>
  <c r="J672" i="51"/>
  <c r="I672" i="51"/>
  <c r="D672" i="51"/>
  <c r="J671" i="51"/>
  <c r="I671" i="51"/>
  <c r="D671" i="51"/>
  <c r="J670" i="51"/>
  <c r="I670" i="51"/>
  <c r="D670" i="51"/>
  <c r="J669" i="51"/>
  <c r="I669" i="51"/>
  <c r="D669" i="51"/>
  <c r="J668" i="51"/>
  <c r="I668" i="51"/>
  <c r="D668" i="51"/>
  <c r="J667" i="51"/>
  <c r="I667" i="51"/>
  <c r="D667" i="51"/>
  <c r="J666" i="51"/>
  <c r="I666" i="51"/>
  <c r="D666" i="51"/>
  <c r="J665" i="51"/>
  <c r="I665" i="51"/>
  <c r="D665" i="51"/>
  <c r="J664" i="51"/>
  <c r="I664" i="51"/>
  <c r="D664" i="51"/>
  <c r="J663" i="51"/>
  <c r="I663" i="51"/>
  <c r="D663" i="51"/>
  <c r="J662" i="51"/>
  <c r="I662" i="51"/>
  <c r="D662" i="51"/>
  <c r="J661" i="51"/>
  <c r="I661" i="51"/>
  <c r="D661" i="51"/>
  <c r="J660" i="51"/>
  <c r="I660" i="51"/>
  <c r="D660" i="51"/>
  <c r="J659" i="51"/>
  <c r="I659" i="51"/>
  <c r="D659" i="51"/>
  <c r="J658" i="51"/>
  <c r="I658" i="51"/>
  <c r="D658" i="51"/>
  <c r="J657" i="51"/>
  <c r="I657" i="51"/>
  <c r="D657" i="51"/>
  <c r="J656" i="51"/>
  <c r="I656" i="51"/>
  <c r="D656" i="51"/>
  <c r="J655" i="51"/>
  <c r="I655" i="51"/>
  <c r="D655" i="51"/>
  <c r="J654" i="51"/>
  <c r="I654" i="51"/>
  <c r="D654" i="51"/>
  <c r="J653" i="51"/>
  <c r="I653" i="51"/>
  <c r="D653" i="51"/>
  <c r="J652" i="51"/>
  <c r="I652" i="51"/>
  <c r="D652" i="51"/>
  <c r="J651" i="51"/>
  <c r="I651" i="51"/>
  <c r="D651" i="51"/>
  <c r="J650" i="51"/>
  <c r="I650" i="51"/>
  <c r="D650" i="51"/>
  <c r="J649" i="51"/>
  <c r="I649" i="51"/>
  <c r="D649" i="51"/>
  <c r="J648" i="51"/>
  <c r="I648" i="51"/>
  <c r="D648" i="51"/>
  <c r="J647" i="51"/>
  <c r="I647" i="51"/>
  <c r="D647" i="51"/>
  <c r="J646" i="51"/>
  <c r="I646" i="51"/>
  <c r="D646" i="51"/>
  <c r="J645" i="51"/>
  <c r="I645" i="51"/>
  <c r="D645" i="51"/>
  <c r="J644" i="51"/>
  <c r="I644" i="51"/>
  <c r="D644" i="51"/>
  <c r="J643" i="51"/>
  <c r="I643" i="51"/>
  <c r="D643" i="51"/>
  <c r="J642" i="51"/>
  <c r="I642" i="51"/>
  <c r="D642" i="51"/>
  <c r="J641" i="51"/>
  <c r="I641" i="51"/>
  <c r="D641" i="51"/>
  <c r="J640" i="51"/>
  <c r="I640" i="51"/>
  <c r="D640" i="51"/>
  <c r="J639" i="51"/>
  <c r="I639" i="51"/>
  <c r="D639" i="51"/>
  <c r="J638" i="51"/>
  <c r="I638" i="51"/>
  <c r="D638" i="51"/>
  <c r="J637" i="51"/>
  <c r="I637" i="51"/>
  <c r="D637" i="51"/>
  <c r="J636" i="51"/>
  <c r="I636" i="51"/>
  <c r="D636" i="51"/>
  <c r="J635" i="51"/>
  <c r="I635" i="51"/>
  <c r="D635" i="51"/>
  <c r="J634" i="51"/>
  <c r="I634" i="51"/>
  <c r="D634" i="51"/>
  <c r="J633" i="51"/>
  <c r="I633" i="51"/>
  <c r="D633" i="51"/>
  <c r="J632" i="51"/>
  <c r="I632" i="51"/>
  <c r="D632" i="51"/>
  <c r="J631" i="51"/>
  <c r="I631" i="51"/>
  <c r="D631" i="51"/>
  <c r="J630" i="51"/>
  <c r="I630" i="51"/>
  <c r="D630" i="51"/>
  <c r="J629" i="51"/>
  <c r="I629" i="51"/>
  <c r="D629" i="51"/>
  <c r="J628" i="51"/>
  <c r="I628" i="51"/>
  <c r="D628" i="51"/>
  <c r="J627" i="51"/>
  <c r="I627" i="51"/>
  <c r="D627" i="51"/>
  <c r="J626" i="51"/>
  <c r="I626" i="51"/>
  <c r="D626" i="51"/>
  <c r="J625" i="51"/>
  <c r="I625" i="51"/>
  <c r="D625" i="51"/>
  <c r="J624" i="51"/>
  <c r="I624" i="51"/>
  <c r="D624" i="51"/>
  <c r="J623" i="51"/>
  <c r="I623" i="51"/>
  <c r="D623" i="51"/>
  <c r="J622" i="51"/>
  <c r="I622" i="51"/>
  <c r="D622" i="51"/>
  <c r="J621" i="51"/>
  <c r="I621" i="51"/>
  <c r="D621" i="51"/>
  <c r="J620" i="51"/>
  <c r="I620" i="51"/>
  <c r="D620" i="51"/>
  <c r="J619" i="51"/>
  <c r="I619" i="51"/>
  <c r="D619" i="51"/>
  <c r="J618" i="51"/>
  <c r="I618" i="51"/>
  <c r="D618" i="51"/>
  <c r="J617" i="51"/>
  <c r="I617" i="51"/>
  <c r="D617" i="51"/>
  <c r="J616" i="51"/>
  <c r="I616" i="51"/>
  <c r="D616" i="51"/>
  <c r="J615" i="51"/>
  <c r="I615" i="51"/>
  <c r="D615" i="51"/>
  <c r="J614" i="51"/>
  <c r="I614" i="51"/>
  <c r="D614" i="51"/>
  <c r="J613" i="51"/>
  <c r="I613" i="51"/>
  <c r="D613" i="51"/>
  <c r="J612" i="51"/>
  <c r="I612" i="51"/>
  <c r="D612" i="51"/>
  <c r="J611" i="51"/>
  <c r="I611" i="51"/>
  <c r="D611" i="51"/>
  <c r="J610" i="51"/>
  <c r="I610" i="51"/>
  <c r="D610" i="51"/>
  <c r="J609" i="51"/>
  <c r="I609" i="51"/>
  <c r="D609" i="51"/>
  <c r="J608" i="51"/>
  <c r="I608" i="51"/>
  <c r="D608" i="51"/>
  <c r="J607" i="51"/>
  <c r="I607" i="51"/>
  <c r="D607" i="51"/>
  <c r="J606" i="51"/>
  <c r="I606" i="51"/>
  <c r="D606" i="51"/>
  <c r="J605" i="51"/>
  <c r="I605" i="51"/>
  <c r="D605" i="51"/>
  <c r="J604" i="51"/>
  <c r="I604" i="51"/>
  <c r="D604" i="51"/>
  <c r="J603" i="51"/>
  <c r="I603" i="51"/>
  <c r="D603" i="51"/>
  <c r="J602" i="51"/>
  <c r="I602" i="51"/>
  <c r="D602" i="51"/>
  <c r="J601" i="51"/>
  <c r="I601" i="51"/>
  <c r="D601" i="51"/>
  <c r="J600" i="51"/>
  <c r="I600" i="51"/>
  <c r="D600" i="51"/>
  <c r="J599" i="51"/>
  <c r="I599" i="51"/>
  <c r="D599" i="51"/>
  <c r="J598" i="51"/>
  <c r="I598" i="51"/>
  <c r="D598" i="51"/>
  <c r="J597" i="51"/>
  <c r="I597" i="51"/>
  <c r="D597" i="51"/>
  <c r="J596" i="51"/>
  <c r="I596" i="51"/>
  <c r="D596" i="51"/>
  <c r="J595" i="51"/>
  <c r="I595" i="51"/>
  <c r="D595" i="51"/>
  <c r="J594" i="51"/>
  <c r="I594" i="51"/>
  <c r="D594" i="51"/>
  <c r="J593" i="51"/>
  <c r="I593" i="51"/>
  <c r="D593" i="51"/>
  <c r="J592" i="51"/>
  <c r="I592" i="51"/>
  <c r="D592" i="51"/>
  <c r="J591" i="51"/>
  <c r="I591" i="51"/>
  <c r="D591" i="51"/>
  <c r="J590" i="51"/>
  <c r="I590" i="51"/>
  <c r="D590" i="51"/>
  <c r="J589" i="51"/>
  <c r="I589" i="51"/>
  <c r="D589" i="51"/>
  <c r="J588" i="51"/>
  <c r="I588" i="51"/>
  <c r="D588" i="51"/>
  <c r="J587" i="51"/>
  <c r="I587" i="51"/>
  <c r="D587" i="51"/>
  <c r="J586" i="51"/>
  <c r="I586" i="51"/>
  <c r="D586" i="51"/>
  <c r="J585" i="51"/>
  <c r="I585" i="51"/>
  <c r="D585" i="51"/>
  <c r="J584" i="51"/>
  <c r="I584" i="51"/>
  <c r="D584" i="51"/>
  <c r="J583" i="51"/>
  <c r="I583" i="51"/>
  <c r="D583" i="51"/>
  <c r="J582" i="51"/>
  <c r="I582" i="51"/>
  <c r="D582" i="51"/>
  <c r="J581" i="51"/>
  <c r="I581" i="51"/>
  <c r="D581" i="51"/>
  <c r="J580" i="51"/>
  <c r="I580" i="51"/>
  <c r="D580" i="51"/>
  <c r="J579" i="51"/>
  <c r="I579" i="51"/>
  <c r="D579" i="51"/>
  <c r="J578" i="51"/>
  <c r="I578" i="51"/>
  <c r="D578" i="51"/>
  <c r="J577" i="51"/>
  <c r="I577" i="51"/>
  <c r="D577" i="51"/>
  <c r="J576" i="51"/>
  <c r="I576" i="51"/>
  <c r="D576" i="51"/>
  <c r="J575" i="51"/>
  <c r="I575" i="51"/>
  <c r="D575" i="51"/>
  <c r="J574" i="51"/>
  <c r="I574" i="51"/>
  <c r="D574" i="51"/>
  <c r="J573" i="51"/>
  <c r="I573" i="51"/>
  <c r="D573" i="51"/>
  <c r="J572" i="51"/>
  <c r="I572" i="51"/>
  <c r="D572" i="51"/>
  <c r="J571" i="51"/>
  <c r="I571" i="51"/>
  <c r="D571" i="51"/>
  <c r="J570" i="51"/>
  <c r="I570" i="51"/>
  <c r="D570" i="51"/>
  <c r="J569" i="51"/>
  <c r="I569" i="51"/>
  <c r="D569" i="51"/>
  <c r="J568" i="51"/>
  <c r="I568" i="51"/>
  <c r="D568" i="51"/>
  <c r="J567" i="51"/>
  <c r="I567" i="51"/>
  <c r="D567" i="51"/>
  <c r="J566" i="51"/>
  <c r="I566" i="51"/>
  <c r="D566" i="51"/>
  <c r="J565" i="51"/>
  <c r="I565" i="51"/>
  <c r="D565" i="51"/>
  <c r="J564" i="51"/>
  <c r="I564" i="51"/>
  <c r="D564" i="51"/>
  <c r="J563" i="51"/>
  <c r="I563" i="51"/>
  <c r="D563" i="51"/>
  <c r="J562" i="51"/>
  <c r="I562" i="51"/>
  <c r="D562" i="51"/>
  <c r="J561" i="51"/>
  <c r="I561" i="51"/>
  <c r="D561" i="51"/>
  <c r="J560" i="51"/>
  <c r="I560" i="51"/>
  <c r="D560" i="51"/>
  <c r="J559" i="51"/>
  <c r="I559" i="51"/>
  <c r="D559" i="51"/>
  <c r="J558" i="51"/>
  <c r="I558" i="51"/>
  <c r="D558" i="51"/>
  <c r="J557" i="51"/>
  <c r="I557" i="51"/>
  <c r="D557" i="51"/>
  <c r="J556" i="51"/>
  <c r="I556" i="51"/>
  <c r="D556" i="51"/>
  <c r="J555" i="51"/>
  <c r="I555" i="51"/>
  <c r="D555" i="51"/>
  <c r="J554" i="51"/>
  <c r="I554" i="51"/>
  <c r="D554" i="51"/>
  <c r="J553" i="51"/>
  <c r="I553" i="51"/>
  <c r="D553" i="51"/>
  <c r="J552" i="51"/>
  <c r="I552" i="51"/>
  <c r="D552" i="51"/>
  <c r="J551" i="51"/>
  <c r="I551" i="51"/>
  <c r="D551" i="51"/>
  <c r="J550" i="51"/>
  <c r="I550" i="51"/>
  <c r="D550" i="51"/>
  <c r="J549" i="51"/>
  <c r="I549" i="51"/>
  <c r="D549" i="51"/>
  <c r="J548" i="51"/>
  <c r="I548" i="51"/>
  <c r="D548" i="51"/>
  <c r="J547" i="51"/>
  <c r="I547" i="51"/>
  <c r="D547" i="51"/>
  <c r="J546" i="51"/>
  <c r="I546" i="51"/>
  <c r="D546" i="51"/>
  <c r="J545" i="51"/>
  <c r="I545" i="51"/>
  <c r="D545" i="51"/>
  <c r="J544" i="51"/>
  <c r="I544" i="51"/>
  <c r="D544" i="51"/>
  <c r="J543" i="51"/>
  <c r="I543" i="51"/>
  <c r="D543" i="51"/>
  <c r="J542" i="51"/>
  <c r="I542" i="51"/>
  <c r="D542" i="51"/>
  <c r="J541" i="51"/>
  <c r="I541" i="51"/>
  <c r="D541" i="51"/>
  <c r="D41" i="51"/>
  <c r="F41" i="51" s="1"/>
  <c r="D40" i="51"/>
  <c r="F40" i="51" s="1"/>
  <c r="D39" i="51"/>
  <c r="D38" i="51"/>
  <c r="F38" i="51" s="1"/>
  <c r="D37" i="51"/>
  <c r="F37" i="51" s="1"/>
  <c r="D36" i="51"/>
  <c r="F36" i="51" s="1"/>
  <c r="D35" i="51"/>
  <c r="F35" i="51" s="1"/>
  <c r="D34" i="51"/>
  <c r="F34" i="51" s="1"/>
  <c r="D33" i="51"/>
  <c r="F33" i="51" s="1"/>
  <c r="D32" i="51"/>
  <c r="F32" i="51" s="1"/>
  <c r="D31" i="51"/>
  <c r="F31" i="51" s="1"/>
  <c r="D30" i="51"/>
  <c r="F30" i="51" s="1"/>
  <c r="D29" i="51"/>
  <c r="F29" i="51" s="1"/>
  <c r="D28" i="51"/>
  <c r="F28" i="51" s="1"/>
  <c r="D27" i="51"/>
  <c r="F27" i="51" s="1"/>
  <c r="F26" i="51"/>
  <c r="D25" i="51"/>
  <c r="F25" i="51" s="1"/>
  <c r="F24" i="51"/>
  <c r="D23" i="51"/>
  <c r="F23" i="51" s="1"/>
  <c r="D22" i="51"/>
  <c r="F22" i="51" s="1"/>
  <c r="F21" i="51"/>
  <c r="D20" i="51"/>
  <c r="F20" i="51" s="1"/>
  <c r="D19" i="51"/>
  <c r="F19" i="51" s="1"/>
  <c r="D18" i="51"/>
  <c r="F18" i="51" s="1"/>
  <c r="D17" i="51"/>
  <c r="F17" i="51" s="1"/>
  <c r="D16" i="51"/>
  <c r="F16" i="51" s="1"/>
  <c r="D15" i="51"/>
  <c r="F15" i="51" s="1"/>
  <c r="D14" i="51"/>
  <c r="F14" i="51" s="1"/>
  <c r="D13" i="51"/>
  <c r="F13" i="51" s="1"/>
  <c r="F12" i="51"/>
  <c r="D10" i="51"/>
  <c r="F10" i="51" s="1"/>
  <c r="D9" i="51"/>
  <c r="D8" i="51"/>
  <c r="F8" i="51" s="1"/>
  <c r="F7" i="51"/>
  <c r="G7" i="51" s="1"/>
  <c r="C6" i="51"/>
  <c r="C8" i="1" s="1"/>
  <c r="J962" i="46"/>
  <c r="I962" i="46"/>
  <c r="J961" i="46"/>
  <c r="I961" i="46"/>
  <c r="D961" i="46"/>
  <c r="J960" i="46"/>
  <c r="I960" i="46"/>
  <c r="D960" i="46"/>
  <c r="J959" i="46"/>
  <c r="I959" i="46"/>
  <c r="D959" i="46"/>
  <c r="J958" i="46"/>
  <c r="I958" i="46"/>
  <c r="D958" i="46"/>
  <c r="J957" i="46"/>
  <c r="I957" i="46"/>
  <c r="D957" i="46"/>
  <c r="J956" i="46"/>
  <c r="I956" i="46"/>
  <c r="D956" i="46"/>
  <c r="J955" i="46"/>
  <c r="I955" i="46"/>
  <c r="D955" i="46"/>
  <c r="J954" i="46"/>
  <c r="I954" i="46"/>
  <c r="D954" i="46"/>
  <c r="J953" i="46"/>
  <c r="I953" i="46"/>
  <c r="D953" i="46"/>
  <c r="J952" i="46"/>
  <c r="I952" i="46"/>
  <c r="D952" i="46"/>
  <c r="J951" i="46"/>
  <c r="I951" i="46"/>
  <c r="D951" i="46"/>
  <c r="J950" i="46"/>
  <c r="I950" i="46"/>
  <c r="D950" i="46"/>
  <c r="J949" i="46"/>
  <c r="I949" i="46"/>
  <c r="D949" i="46"/>
  <c r="J948" i="46"/>
  <c r="I948" i="46"/>
  <c r="D948" i="46"/>
  <c r="J947" i="46"/>
  <c r="I947" i="46"/>
  <c r="D947" i="46"/>
  <c r="J946" i="46"/>
  <c r="I946" i="46"/>
  <c r="D946" i="46"/>
  <c r="J945" i="46"/>
  <c r="I945" i="46"/>
  <c r="D945" i="46"/>
  <c r="J944" i="46"/>
  <c r="I944" i="46"/>
  <c r="D944" i="46"/>
  <c r="J943" i="46"/>
  <c r="I943" i="46"/>
  <c r="D943" i="46"/>
  <c r="J942" i="46"/>
  <c r="I942" i="46"/>
  <c r="D942" i="46"/>
  <c r="J941" i="46"/>
  <c r="I941" i="46"/>
  <c r="D941" i="46"/>
  <c r="J940" i="46"/>
  <c r="I940" i="46"/>
  <c r="D940" i="46"/>
  <c r="J939" i="46"/>
  <c r="I939" i="46"/>
  <c r="D939" i="46"/>
  <c r="J938" i="46"/>
  <c r="I938" i="46"/>
  <c r="D938" i="46"/>
  <c r="J937" i="46"/>
  <c r="I937" i="46"/>
  <c r="D937" i="46"/>
  <c r="J936" i="46"/>
  <c r="I936" i="46"/>
  <c r="D936" i="46"/>
  <c r="J935" i="46"/>
  <c r="I935" i="46"/>
  <c r="D935" i="46"/>
  <c r="J934" i="46"/>
  <c r="I934" i="46"/>
  <c r="D934" i="46"/>
  <c r="J933" i="46"/>
  <c r="I933" i="46"/>
  <c r="D933" i="46"/>
  <c r="J932" i="46"/>
  <c r="I932" i="46"/>
  <c r="D932" i="46"/>
  <c r="J931" i="46"/>
  <c r="I931" i="46"/>
  <c r="D931" i="46"/>
  <c r="J930" i="46"/>
  <c r="I930" i="46"/>
  <c r="D930" i="46"/>
  <c r="J929" i="46"/>
  <c r="I929" i="46"/>
  <c r="D929" i="46"/>
  <c r="J928" i="46"/>
  <c r="I928" i="46"/>
  <c r="D928" i="46"/>
  <c r="J927" i="46"/>
  <c r="I927" i="46"/>
  <c r="D927" i="46"/>
  <c r="J926" i="46"/>
  <c r="I926" i="46"/>
  <c r="D926" i="46"/>
  <c r="J925" i="46"/>
  <c r="I925" i="46"/>
  <c r="D925" i="46"/>
  <c r="J924" i="46"/>
  <c r="I924" i="46"/>
  <c r="D924" i="46"/>
  <c r="J923" i="46"/>
  <c r="I923" i="46"/>
  <c r="D923" i="46"/>
  <c r="J922" i="46"/>
  <c r="I922" i="46"/>
  <c r="D922" i="46"/>
  <c r="J921" i="46"/>
  <c r="I921" i="46"/>
  <c r="D921" i="46"/>
  <c r="J920" i="46"/>
  <c r="I920" i="46"/>
  <c r="D920" i="46"/>
  <c r="J919" i="46"/>
  <c r="I919" i="46"/>
  <c r="D919" i="46"/>
  <c r="J918" i="46"/>
  <c r="I918" i="46"/>
  <c r="D918" i="46"/>
  <c r="J917" i="46"/>
  <c r="I917" i="46"/>
  <c r="D917" i="46"/>
  <c r="J916" i="46"/>
  <c r="I916" i="46"/>
  <c r="D916" i="46"/>
  <c r="J915" i="46"/>
  <c r="I915" i="46"/>
  <c r="D915" i="46"/>
  <c r="J914" i="46"/>
  <c r="I914" i="46"/>
  <c r="D914" i="46"/>
  <c r="J913" i="46"/>
  <c r="I913" i="46"/>
  <c r="D913" i="46"/>
  <c r="J912" i="46"/>
  <c r="I912" i="46"/>
  <c r="D912" i="46"/>
  <c r="J911" i="46"/>
  <c r="I911" i="46"/>
  <c r="D911" i="46"/>
  <c r="J910" i="46"/>
  <c r="I910" i="46"/>
  <c r="D910" i="46"/>
  <c r="J909" i="46"/>
  <c r="I909" i="46"/>
  <c r="D909" i="46"/>
  <c r="J908" i="46"/>
  <c r="I908" i="46"/>
  <c r="D908" i="46"/>
  <c r="J907" i="46"/>
  <c r="I907" i="46"/>
  <c r="D907" i="46"/>
  <c r="J906" i="46"/>
  <c r="I906" i="46"/>
  <c r="D906" i="46"/>
  <c r="J905" i="46"/>
  <c r="I905" i="46"/>
  <c r="D905" i="46"/>
  <c r="J904" i="46"/>
  <c r="I904" i="46"/>
  <c r="D904" i="46"/>
  <c r="J903" i="46"/>
  <c r="I903" i="46"/>
  <c r="D903" i="46"/>
  <c r="J902" i="46"/>
  <c r="I902" i="46"/>
  <c r="D902" i="46"/>
  <c r="J901" i="46"/>
  <c r="I901" i="46"/>
  <c r="D901" i="46"/>
  <c r="J900" i="46"/>
  <c r="I900" i="46"/>
  <c r="D900" i="46"/>
  <c r="J899" i="46"/>
  <c r="I899" i="46"/>
  <c r="D899" i="46"/>
  <c r="J898" i="46"/>
  <c r="I898" i="46"/>
  <c r="D898" i="46"/>
  <c r="J897" i="46"/>
  <c r="I897" i="46"/>
  <c r="D897" i="46"/>
  <c r="J896" i="46"/>
  <c r="I896" i="46"/>
  <c r="D896" i="46"/>
  <c r="J895" i="46"/>
  <c r="I895" i="46"/>
  <c r="D895" i="46"/>
  <c r="J894" i="46"/>
  <c r="I894" i="46"/>
  <c r="D894" i="46"/>
  <c r="J893" i="46"/>
  <c r="I893" i="46"/>
  <c r="D893" i="46"/>
  <c r="J892" i="46"/>
  <c r="I892" i="46"/>
  <c r="D892" i="46"/>
  <c r="J891" i="46"/>
  <c r="I891" i="46"/>
  <c r="D891" i="46"/>
  <c r="J890" i="46"/>
  <c r="I890" i="46"/>
  <c r="D890" i="46"/>
  <c r="J889" i="46"/>
  <c r="I889" i="46"/>
  <c r="D889" i="46"/>
  <c r="J888" i="46"/>
  <c r="I888" i="46"/>
  <c r="D888" i="46"/>
  <c r="J887" i="46"/>
  <c r="I887" i="46"/>
  <c r="D887" i="46"/>
  <c r="J886" i="46"/>
  <c r="I886" i="46"/>
  <c r="D886" i="46"/>
  <c r="J885" i="46"/>
  <c r="I885" i="46"/>
  <c r="D885" i="46"/>
  <c r="J884" i="46"/>
  <c r="I884" i="46"/>
  <c r="D884" i="46"/>
  <c r="J883" i="46"/>
  <c r="I883" i="46"/>
  <c r="D883" i="46"/>
  <c r="J882" i="46"/>
  <c r="I882" i="46"/>
  <c r="D882" i="46"/>
  <c r="J881" i="46"/>
  <c r="I881" i="46"/>
  <c r="D881" i="46"/>
  <c r="J880" i="46"/>
  <c r="I880" i="46"/>
  <c r="D880" i="46"/>
  <c r="J879" i="46"/>
  <c r="I879" i="46"/>
  <c r="D879" i="46"/>
  <c r="J878" i="46"/>
  <c r="I878" i="46"/>
  <c r="D878" i="46"/>
  <c r="J877" i="46"/>
  <c r="I877" i="46"/>
  <c r="D877" i="46"/>
  <c r="J876" i="46"/>
  <c r="I876" i="46"/>
  <c r="D876" i="46"/>
  <c r="J875" i="46"/>
  <c r="I875" i="46"/>
  <c r="D875" i="46"/>
  <c r="J874" i="46"/>
  <c r="I874" i="46"/>
  <c r="D874" i="46"/>
  <c r="J873" i="46"/>
  <c r="I873" i="46"/>
  <c r="D873" i="46"/>
  <c r="J872" i="46"/>
  <c r="I872" i="46"/>
  <c r="D872" i="46"/>
  <c r="J871" i="46"/>
  <c r="I871" i="46"/>
  <c r="D871" i="46"/>
  <c r="J870" i="46"/>
  <c r="I870" i="46"/>
  <c r="D870" i="46"/>
  <c r="J869" i="46"/>
  <c r="I869" i="46"/>
  <c r="D869" i="46"/>
  <c r="J868" i="46"/>
  <c r="I868" i="46"/>
  <c r="D868" i="46"/>
  <c r="J867" i="46"/>
  <c r="I867" i="46"/>
  <c r="D867" i="46"/>
  <c r="J866" i="46"/>
  <c r="I866" i="46"/>
  <c r="D866" i="46"/>
  <c r="J865" i="46"/>
  <c r="I865" i="46"/>
  <c r="D865" i="46"/>
  <c r="J864" i="46"/>
  <c r="I864" i="46"/>
  <c r="D864" i="46"/>
  <c r="J863" i="46"/>
  <c r="I863" i="46"/>
  <c r="D863" i="46"/>
  <c r="J862" i="46"/>
  <c r="I862" i="46"/>
  <c r="D862" i="46"/>
  <c r="J861" i="46"/>
  <c r="I861" i="46"/>
  <c r="D861" i="46"/>
  <c r="J860" i="46"/>
  <c r="I860" i="46"/>
  <c r="D860" i="46"/>
  <c r="J859" i="46"/>
  <c r="I859" i="46"/>
  <c r="D859" i="46"/>
  <c r="J858" i="46"/>
  <c r="I858" i="46"/>
  <c r="D858" i="46"/>
  <c r="J857" i="46"/>
  <c r="I857" i="46"/>
  <c r="D857" i="46"/>
  <c r="J856" i="46"/>
  <c r="I856" i="46"/>
  <c r="D856" i="46"/>
  <c r="J855" i="46"/>
  <c r="I855" i="46"/>
  <c r="D855" i="46"/>
  <c r="J854" i="46"/>
  <c r="I854" i="46"/>
  <c r="D854" i="46"/>
  <c r="J853" i="46"/>
  <c r="I853" i="46"/>
  <c r="D853" i="46"/>
  <c r="J852" i="46"/>
  <c r="I852" i="46"/>
  <c r="D852" i="46"/>
  <c r="J851" i="46"/>
  <c r="I851" i="46"/>
  <c r="D851" i="46"/>
  <c r="J850" i="46"/>
  <c r="I850" i="46"/>
  <c r="D850" i="46"/>
  <c r="J849" i="46"/>
  <c r="I849" i="46"/>
  <c r="D849" i="46"/>
  <c r="J848" i="46"/>
  <c r="I848" i="46"/>
  <c r="D848" i="46"/>
  <c r="J847" i="46"/>
  <c r="I847" i="46"/>
  <c r="D847" i="46"/>
  <c r="J846" i="46"/>
  <c r="I846" i="46"/>
  <c r="D846" i="46"/>
  <c r="J845" i="46"/>
  <c r="I845" i="46"/>
  <c r="D845" i="46"/>
  <c r="J844" i="46"/>
  <c r="I844" i="46"/>
  <c r="D844" i="46"/>
  <c r="J843" i="46"/>
  <c r="I843" i="46"/>
  <c r="D843" i="46"/>
  <c r="J842" i="46"/>
  <c r="I842" i="46"/>
  <c r="D842" i="46"/>
  <c r="J841" i="46"/>
  <c r="I841" i="46"/>
  <c r="D841" i="46"/>
  <c r="J840" i="46"/>
  <c r="I840" i="46"/>
  <c r="D840" i="46"/>
  <c r="J839" i="46"/>
  <c r="I839" i="46"/>
  <c r="D839" i="46"/>
  <c r="J838" i="46"/>
  <c r="I838" i="46"/>
  <c r="D838" i="46"/>
  <c r="J837" i="46"/>
  <c r="I837" i="46"/>
  <c r="D837" i="46"/>
  <c r="J836" i="46"/>
  <c r="I836" i="46"/>
  <c r="D836" i="46"/>
  <c r="J835" i="46"/>
  <c r="I835" i="46"/>
  <c r="D835" i="46"/>
  <c r="J834" i="46"/>
  <c r="I834" i="46"/>
  <c r="D834" i="46"/>
  <c r="J833" i="46"/>
  <c r="I833" i="46"/>
  <c r="D833" i="46"/>
  <c r="J832" i="46"/>
  <c r="I832" i="46"/>
  <c r="D832" i="46"/>
  <c r="J831" i="46"/>
  <c r="I831" i="46"/>
  <c r="D831" i="46"/>
  <c r="J830" i="46"/>
  <c r="I830" i="46"/>
  <c r="D830" i="46"/>
  <c r="J829" i="46"/>
  <c r="I829" i="46"/>
  <c r="D829" i="46"/>
  <c r="J828" i="46"/>
  <c r="I828" i="46"/>
  <c r="D828" i="46"/>
  <c r="J827" i="46"/>
  <c r="I827" i="46"/>
  <c r="D827" i="46"/>
  <c r="J826" i="46"/>
  <c r="I826" i="46"/>
  <c r="D826" i="46"/>
  <c r="J825" i="46"/>
  <c r="I825" i="46"/>
  <c r="D825" i="46"/>
  <c r="J824" i="46"/>
  <c r="I824" i="46"/>
  <c r="D824" i="46"/>
  <c r="J823" i="46"/>
  <c r="I823" i="46"/>
  <c r="D823" i="46"/>
  <c r="J822" i="46"/>
  <c r="I822" i="46"/>
  <c r="D822" i="46"/>
  <c r="J821" i="46"/>
  <c r="I821" i="46"/>
  <c r="D821" i="46"/>
  <c r="J820" i="46"/>
  <c r="I820" i="46"/>
  <c r="D820" i="46"/>
  <c r="J819" i="46"/>
  <c r="I819" i="46"/>
  <c r="D819" i="46"/>
  <c r="J818" i="46"/>
  <c r="I818" i="46"/>
  <c r="D818" i="46"/>
  <c r="J817" i="46"/>
  <c r="I817" i="46"/>
  <c r="D817" i="46"/>
  <c r="J816" i="46"/>
  <c r="I816" i="46"/>
  <c r="D816" i="46"/>
  <c r="J815" i="46"/>
  <c r="I815" i="46"/>
  <c r="D815" i="46"/>
  <c r="J814" i="46"/>
  <c r="I814" i="46"/>
  <c r="D814" i="46"/>
  <c r="J813" i="46"/>
  <c r="I813" i="46"/>
  <c r="D813" i="46"/>
  <c r="J812" i="46"/>
  <c r="I812" i="46"/>
  <c r="D812" i="46"/>
  <c r="J811" i="46"/>
  <c r="I811" i="46"/>
  <c r="D811" i="46"/>
  <c r="J810" i="46"/>
  <c r="I810" i="46"/>
  <c r="D810" i="46"/>
  <c r="J809" i="46"/>
  <c r="I809" i="46"/>
  <c r="D809" i="46"/>
  <c r="J808" i="46"/>
  <c r="I808" i="46"/>
  <c r="D808" i="46"/>
  <c r="J807" i="46"/>
  <c r="I807" i="46"/>
  <c r="D807" i="46"/>
  <c r="J806" i="46"/>
  <c r="I806" i="46"/>
  <c r="D806" i="46"/>
  <c r="J805" i="46"/>
  <c r="I805" i="46"/>
  <c r="D805" i="46"/>
  <c r="J804" i="46"/>
  <c r="I804" i="46"/>
  <c r="D804" i="46"/>
  <c r="J803" i="46"/>
  <c r="I803" i="46"/>
  <c r="D803" i="46"/>
  <c r="J802" i="46"/>
  <c r="I802" i="46"/>
  <c r="D802" i="46"/>
  <c r="J801" i="46"/>
  <c r="I801" i="46"/>
  <c r="D801" i="46"/>
  <c r="J800" i="46"/>
  <c r="I800" i="46"/>
  <c r="D800" i="46"/>
  <c r="J799" i="46"/>
  <c r="I799" i="46"/>
  <c r="D799" i="46"/>
  <c r="J798" i="46"/>
  <c r="I798" i="46"/>
  <c r="D798" i="46"/>
  <c r="J797" i="46"/>
  <c r="I797" i="46"/>
  <c r="D797" i="46"/>
  <c r="J796" i="46"/>
  <c r="I796" i="46"/>
  <c r="D796" i="46"/>
  <c r="J795" i="46"/>
  <c r="I795" i="46"/>
  <c r="D795" i="46"/>
  <c r="J794" i="46"/>
  <c r="I794" i="46"/>
  <c r="D794" i="46"/>
  <c r="J793" i="46"/>
  <c r="I793" i="46"/>
  <c r="D793" i="46"/>
  <c r="J792" i="46"/>
  <c r="I792" i="46"/>
  <c r="D792" i="46"/>
  <c r="J791" i="46"/>
  <c r="I791" i="46"/>
  <c r="D791" i="46"/>
  <c r="J790" i="46"/>
  <c r="I790" i="46"/>
  <c r="D790" i="46"/>
  <c r="J789" i="46"/>
  <c r="I789" i="46"/>
  <c r="D789" i="46"/>
  <c r="J788" i="46"/>
  <c r="I788" i="46"/>
  <c r="D788" i="46"/>
  <c r="J787" i="46"/>
  <c r="I787" i="46"/>
  <c r="D787" i="46"/>
  <c r="J786" i="46"/>
  <c r="I786" i="46"/>
  <c r="D786" i="46"/>
  <c r="J785" i="46"/>
  <c r="I785" i="46"/>
  <c r="D785" i="46"/>
  <c r="J784" i="46"/>
  <c r="I784" i="46"/>
  <c r="D784" i="46"/>
  <c r="J783" i="46"/>
  <c r="I783" i="46"/>
  <c r="D783" i="46"/>
  <c r="J782" i="46"/>
  <c r="I782" i="46"/>
  <c r="D782" i="46"/>
  <c r="J781" i="46"/>
  <c r="I781" i="46"/>
  <c r="D781" i="46"/>
  <c r="J780" i="46"/>
  <c r="I780" i="46"/>
  <c r="D780" i="46"/>
  <c r="J779" i="46"/>
  <c r="I779" i="46"/>
  <c r="D779" i="46"/>
  <c r="J778" i="46"/>
  <c r="I778" i="46"/>
  <c r="D778" i="46"/>
  <c r="J777" i="46"/>
  <c r="I777" i="46"/>
  <c r="D777" i="46"/>
  <c r="J776" i="46"/>
  <c r="I776" i="46"/>
  <c r="D776" i="46"/>
  <c r="J775" i="46"/>
  <c r="I775" i="46"/>
  <c r="D775" i="46"/>
  <c r="J774" i="46"/>
  <c r="I774" i="46"/>
  <c r="D774" i="46"/>
  <c r="J773" i="46"/>
  <c r="I773" i="46"/>
  <c r="D773" i="46"/>
  <c r="J772" i="46"/>
  <c r="I772" i="46"/>
  <c r="D772" i="46"/>
  <c r="J771" i="46"/>
  <c r="I771" i="46"/>
  <c r="D771" i="46"/>
  <c r="J770" i="46"/>
  <c r="I770" i="46"/>
  <c r="D770" i="46"/>
  <c r="J769" i="46"/>
  <c r="I769" i="46"/>
  <c r="D769" i="46"/>
  <c r="J768" i="46"/>
  <c r="I768" i="46"/>
  <c r="D768" i="46"/>
  <c r="J767" i="46"/>
  <c r="I767" i="46"/>
  <c r="D767" i="46"/>
  <c r="J766" i="46"/>
  <c r="I766" i="46"/>
  <c r="D766" i="46"/>
  <c r="J765" i="46"/>
  <c r="I765" i="46"/>
  <c r="D765" i="46"/>
  <c r="J764" i="46"/>
  <c r="I764" i="46"/>
  <c r="D764" i="46"/>
  <c r="J763" i="46"/>
  <c r="I763" i="46"/>
  <c r="D763" i="46"/>
  <c r="J762" i="46"/>
  <c r="I762" i="46"/>
  <c r="D762" i="46"/>
  <c r="J761" i="46"/>
  <c r="I761" i="46"/>
  <c r="D761" i="46"/>
  <c r="J760" i="46"/>
  <c r="I760" i="46"/>
  <c r="D760" i="46"/>
  <c r="J759" i="46"/>
  <c r="I759" i="46"/>
  <c r="D759" i="46"/>
  <c r="J758" i="46"/>
  <c r="I758" i="46"/>
  <c r="D758" i="46"/>
  <c r="J757" i="46"/>
  <c r="I757" i="46"/>
  <c r="D757" i="46"/>
  <c r="J756" i="46"/>
  <c r="I756" i="46"/>
  <c r="D756" i="46"/>
  <c r="J755" i="46"/>
  <c r="I755" i="46"/>
  <c r="D755" i="46"/>
  <c r="J754" i="46"/>
  <c r="I754" i="46"/>
  <c r="D754" i="46"/>
  <c r="J753" i="46"/>
  <c r="I753" i="46"/>
  <c r="D753" i="46"/>
  <c r="J752" i="46"/>
  <c r="I752" i="46"/>
  <c r="D752" i="46"/>
  <c r="J751" i="46"/>
  <c r="I751" i="46"/>
  <c r="D751" i="46"/>
  <c r="J750" i="46"/>
  <c r="I750" i="46"/>
  <c r="D750" i="46"/>
  <c r="J749" i="46"/>
  <c r="I749" i="46"/>
  <c r="D749" i="46"/>
  <c r="J748" i="46"/>
  <c r="I748" i="46"/>
  <c r="D748" i="46"/>
  <c r="J747" i="46"/>
  <c r="I747" i="46"/>
  <c r="D747" i="46"/>
  <c r="J746" i="46"/>
  <c r="I746" i="46"/>
  <c r="D746" i="46"/>
  <c r="J745" i="46"/>
  <c r="I745" i="46"/>
  <c r="D745" i="46"/>
  <c r="J744" i="46"/>
  <c r="I744" i="46"/>
  <c r="D744" i="46"/>
  <c r="J743" i="46"/>
  <c r="I743" i="46"/>
  <c r="D743" i="46"/>
  <c r="J742" i="46"/>
  <c r="I742" i="46"/>
  <c r="D742" i="46"/>
  <c r="J741" i="46"/>
  <c r="I741" i="46"/>
  <c r="D741" i="46"/>
  <c r="J740" i="46"/>
  <c r="I740" i="46"/>
  <c r="D740" i="46"/>
  <c r="J739" i="46"/>
  <c r="I739" i="46"/>
  <c r="D739" i="46"/>
  <c r="J738" i="46"/>
  <c r="I738" i="46"/>
  <c r="D738" i="46"/>
  <c r="J737" i="46"/>
  <c r="I737" i="46"/>
  <c r="D737" i="46"/>
  <c r="J736" i="46"/>
  <c r="I736" i="46"/>
  <c r="D736" i="46"/>
  <c r="J735" i="46"/>
  <c r="I735" i="46"/>
  <c r="D735" i="46"/>
  <c r="J734" i="46"/>
  <c r="I734" i="46"/>
  <c r="D734" i="46"/>
  <c r="J733" i="46"/>
  <c r="I733" i="46"/>
  <c r="D733" i="46"/>
  <c r="J732" i="46"/>
  <c r="I732" i="46"/>
  <c r="D732" i="46"/>
  <c r="J731" i="46"/>
  <c r="I731" i="46"/>
  <c r="D731" i="46"/>
  <c r="J730" i="46"/>
  <c r="I730" i="46"/>
  <c r="D730" i="46"/>
  <c r="J729" i="46"/>
  <c r="I729" i="46"/>
  <c r="D729" i="46"/>
  <c r="J728" i="46"/>
  <c r="I728" i="46"/>
  <c r="D728" i="46"/>
  <c r="J727" i="46"/>
  <c r="I727" i="46"/>
  <c r="D727" i="46"/>
  <c r="J726" i="46"/>
  <c r="I726" i="46"/>
  <c r="D726" i="46"/>
  <c r="J725" i="46"/>
  <c r="I725" i="46"/>
  <c r="D725" i="46"/>
  <c r="J724" i="46"/>
  <c r="I724" i="46"/>
  <c r="D724" i="46"/>
  <c r="J723" i="46"/>
  <c r="I723" i="46"/>
  <c r="D723" i="46"/>
  <c r="J722" i="46"/>
  <c r="I722" i="46"/>
  <c r="D722" i="46"/>
  <c r="J721" i="46"/>
  <c r="I721" i="46"/>
  <c r="D721" i="46"/>
  <c r="J720" i="46"/>
  <c r="I720" i="46"/>
  <c r="D720" i="46"/>
  <c r="J719" i="46"/>
  <c r="I719" i="46"/>
  <c r="D719" i="46"/>
  <c r="J718" i="46"/>
  <c r="I718" i="46"/>
  <c r="D718" i="46"/>
  <c r="J717" i="46"/>
  <c r="I717" i="46"/>
  <c r="D717" i="46"/>
  <c r="J716" i="46"/>
  <c r="I716" i="46"/>
  <c r="D716" i="46"/>
  <c r="J715" i="46"/>
  <c r="I715" i="46"/>
  <c r="D715" i="46"/>
  <c r="J714" i="46"/>
  <c r="I714" i="46"/>
  <c r="D714" i="46"/>
  <c r="J713" i="46"/>
  <c r="I713" i="46"/>
  <c r="D713" i="46"/>
  <c r="J712" i="46"/>
  <c r="I712" i="46"/>
  <c r="D712" i="46"/>
  <c r="J711" i="46"/>
  <c r="I711" i="46"/>
  <c r="D711" i="46"/>
  <c r="J710" i="46"/>
  <c r="I710" i="46"/>
  <c r="D710" i="46"/>
  <c r="J709" i="46"/>
  <c r="I709" i="46"/>
  <c r="D709" i="46"/>
  <c r="J708" i="46"/>
  <c r="I708" i="46"/>
  <c r="D708" i="46"/>
  <c r="J707" i="46"/>
  <c r="I707" i="46"/>
  <c r="D707" i="46"/>
  <c r="J706" i="46"/>
  <c r="I706" i="46"/>
  <c r="D706" i="46"/>
  <c r="J705" i="46"/>
  <c r="I705" i="46"/>
  <c r="D705" i="46"/>
  <c r="J704" i="46"/>
  <c r="I704" i="46"/>
  <c r="D704" i="46"/>
  <c r="J703" i="46"/>
  <c r="I703" i="46"/>
  <c r="D703" i="46"/>
  <c r="J702" i="46"/>
  <c r="I702" i="46"/>
  <c r="D702" i="46"/>
  <c r="J701" i="46"/>
  <c r="I701" i="46"/>
  <c r="D701" i="46"/>
  <c r="J700" i="46"/>
  <c r="I700" i="46"/>
  <c r="D700" i="46"/>
  <c r="J699" i="46"/>
  <c r="I699" i="46"/>
  <c r="D699" i="46"/>
  <c r="J698" i="46"/>
  <c r="I698" i="46"/>
  <c r="D698" i="46"/>
  <c r="J697" i="46"/>
  <c r="I697" i="46"/>
  <c r="D697" i="46"/>
  <c r="J696" i="46"/>
  <c r="I696" i="46"/>
  <c r="D696" i="46"/>
  <c r="J695" i="46"/>
  <c r="I695" i="46"/>
  <c r="D695" i="46"/>
  <c r="J694" i="46"/>
  <c r="I694" i="46"/>
  <c r="D694" i="46"/>
  <c r="J693" i="46"/>
  <c r="I693" i="46"/>
  <c r="D693" i="46"/>
  <c r="J692" i="46"/>
  <c r="I692" i="46"/>
  <c r="D692" i="46"/>
  <c r="J691" i="46"/>
  <c r="I691" i="46"/>
  <c r="D691" i="46"/>
  <c r="J690" i="46"/>
  <c r="I690" i="46"/>
  <c r="D690" i="46"/>
  <c r="J689" i="46"/>
  <c r="I689" i="46"/>
  <c r="D689" i="46"/>
  <c r="J688" i="46"/>
  <c r="I688" i="46"/>
  <c r="D688" i="46"/>
  <c r="J687" i="46"/>
  <c r="I687" i="46"/>
  <c r="D687" i="46"/>
  <c r="J686" i="46"/>
  <c r="I686" i="46"/>
  <c r="D686" i="46"/>
  <c r="J685" i="46"/>
  <c r="I685" i="46"/>
  <c r="D685" i="46"/>
  <c r="J684" i="46"/>
  <c r="I684" i="46"/>
  <c r="D684" i="46"/>
  <c r="J683" i="46"/>
  <c r="I683" i="46"/>
  <c r="D683" i="46"/>
  <c r="J682" i="46"/>
  <c r="I682" i="46"/>
  <c r="D682" i="46"/>
  <c r="J681" i="46"/>
  <c r="I681" i="46"/>
  <c r="D681" i="46"/>
  <c r="J680" i="46"/>
  <c r="I680" i="46"/>
  <c r="D680" i="46"/>
  <c r="J679" i="46"/>
  <c r="I679" i="46"/>
  <c r="D679" i="46"/>
  <c r="J678" i="46"/>
  <c r="I678" i="46"/>
  <c r="D678" i="46"/>
  <c r="J677" i="46"/>
  <c r="I677" i="46"/>
  <c r="D677" i="46"/>
  <c r="J676" i="46"/>
  <c r="I676" i="46"/>
  <c r="D676" i="46"/>
  <c r="J675" i="46"/>
  <c r="I675" i="46"/>
  <c r="D675" i="46"/>
  <c r="J674" i="46"/>
  <c r="I674" i="46"/>
  <c r="D674" i="46"/>
  <c r="J673" i="46"/>
  <c r="I673" i="46"/>
  <c r="D673" i="46"/>
  <c r="J672" i="46"/>
  <c r="I672" i="46"/>
  <c r="D672" i="46"/>
  <c r="J671" i="46"/>
  <c r="I671" i="46"/>
  <c r="D671" i="46"/>
  <c r="J670" i="46"/>
  <c r="I670" i="46"/>
  <c r="D670" i="46"/>
  <c r="J669" i="46"/>
  <c r="I669" i="46"/>
  <c r="D669" i="46"/>
  <c r="J668" i="46"/>
  <c r="I668" i="46"/>
  <c r="D668" i="46"/>
  <c r="J667" i="46"/>
  <c r="I667" i="46"/>
  <c r="D667" i="46"/>
  <c r="J666" i="46"/>
  <c r="I666" i="46"/>
  <c r="D666" i="46"/>
  <c r="J665" i="46"/>
  <c r="I665" i="46"/>
  <c r="D665" i="46"/>
  <c r="J664" i="46"/>
  <c r="I664" i="46"/>
  <c r="D664" i="46"/>
  <c r="J663" i="46"/>
  <c r="I663" i="46"/>
  <c r="D663" i="46"/>
  <c r="J662" i="46"/>
  <c r="I662" i="46"/>
  <c r="D662" i="46"/>
  <c r="J661" i="46"/>
  <c r="I661" i="46"/>
  <c r="D661" i="46"/>
  <c r="J660" i="46"/>
  <c r="I660" i="46"/>
  <c r="D660" i="46"/>
  <c r="J659" i="46"/>
  <c r="I659" i="46"/>
  <c r="D659" i="46"/>
  <c r="J658" i="46"/>
  <c r="I658" i="46"/>
  <c r="D658" i="46"/>
  <c r="J657" i="46"/>
  <c r="I657" i="46"/>
  <c r="D657" i="46"/>
  <c r="J656" i="46"/>
  <c r="I656" i="46"/>
  <c r="D656" i="46"/>
  <c r="J655" i="46"/>
  <c r="I655" i="46"/>
  <c r="D655" i="46"/>
  <c r="J654" i="46"/>
  <c r="I654" i="46"/>
  <c r="D654" i="46"/>
  <c r="J653" i="46"/>
  <c r="I653" i="46"/>
  <c r="D653" i="46"/>
  <c r="J652" i="46"/>
  <c r="I652" i="46"/>
  <c r="D652" i="46"/>
  <c r="J651" i="46"/>
  <c r="I651" i="46"/>
  <c r="D651" i="46"/>
  <c r="J650" i="46"/>
  <c r="I650" i="46"/>
  <c r="D650" i="46"/>
  <c r="J649" i="46"/>
  <c r="I649" i="46"/>
  <c r="D649" i="46"/>
  <c r="J648" i="46"/>
  <c r="I648" i="46"/>
  <c r="D648" i="46"/>
  <c r="J647" i="46"/>
  <c r="I647" i="46"/>
  <c r="D647" i="46"/>
  <c r="J646" i="46"/>
  <c r="I646" i="46"/>
  <c r="D646" i="46"/>
  <c r="J645" i="46"/>
  <c r="I645" i="46"/>
  <c r="D645" i="46"/>
  <c r="J644" i="46"/>
  <c r="I644" i="46"/>
  <c r="D644" i="46"/>
  <c r="J643" i="46"/>
  <c r="I643" i="46"/>
  <c r="D643" i="46"/>
  <c r="J642" i="46"/>
  <c r="I642" i="46"/>
  <c r="D642" i="46"/>
  <c r="J641" i="46"/>
  <c r="I641" i="46"/>
  <c r="D641" i="46"/>
  <c r="J640" i="46"/>
  <c r="I640" i="46"/>
  <c r="D640" i="46"/>
  <c r="J639" i="46"/>
  <c r="I639" i="46"/>
  <c r="D639" i="46"/>
  <c r="J638" i="46"/>
  <c r="I638" i="46"/>
  <c r="D638" i="46"/>
  <c r="J637" i="46"/>
  <c r="I637" i="46"/>
  <c r="D637" i="46"/>
  <c r="J636" i="46"/>
  <c r="I636" i="46"/>
  <c r="D636" i="46"/>
  <c r="J635" i="46"/>
  <c r="I635" i="46"/>
  <c r="D635" i="46"/>
  <c r="J634" i="46"/>
  <c r="I634" i="46"/>
  <c r="D634" i="46"/>
  <c r="J633" i="46"/>
  <c r="I633" i="46"/>
  <c r="D633" i="46"/>
  <c r="J632" i="46"/>
  <c r="I632" i="46"/>
  <c r="D632" i="46"/>
  <c r="J631" i="46"/>
  <c r="I631" i="46"/>
  <c r="D631" i="46"/>
  <c r="J630" i="46"/>
  <c r="I630" i="46"/>
  <c r="D630" i="46"/>
  <c r="J629" i="46"/>
  <c r="I629" i="46"/>
  <c r="D629" i="46"/>
  <c r="J628" i="46"/>
  <c r="I628" i="46"/>
  <c r="D628" i="46"/>
  <c r="J627" i="46"/>
  <c r="I627" i="46"/>
  <c r="D627" i="46"/>
  <c r="J626" i="46"/>
  <c r="I626" i="46"/>
  <c r="D626" i="46"/>
  <c r="J625" i="46"/>
  <c r="I625" i="46"/>
  <c r="D625" i="46"/>
  <c r="J624" i="46"/>
  <c r="I624" i="46"/>
  <c r="D624" i="46"/>
  <c r="J623" i="46"/>
  <c r="I623" i="46"/>
  <c r="D623" i="46"/>
  <c r="J622" i="46"/>
  <c r="I622" i="46"/>
  <c r="D622" i="46"/>
  <c r="J621" i="46"/>
  <c r="I621" i="46"/>
  <c r="D621" i="46"/>
  <c r="J620" i="46"/>
  <c r="I620" i="46"/>
  <c r="D620" i="46"/>
  <c r="J619" i="46"/>
  <c r="I619" i="46"/>
  <c r="D619" i="46"/>
  <c r="J618" i="46"/>
  <c r="I618" i="46"/>
  <c r="D618" i="46"/>
  <c r="J617" i="46"/>
  <c r="I617" i="46"/>
  <c r="D617" i="46"/>
  <c r="J616" i="46"/>
  <c r="I616" i="46"/>
  <c r="D616" i="46"/>
  <c r="J615" i="46"/>
  <c r="I615" i="46"/>
  <c r="D615" i="46"/>
  <c r="J614" i="46"/>
  <c r="I614" i="46"/>
  <c r="D614" i="46"/>
  <c r="J613" i="46"/>
  <c r="I613" i="46"/>
  <c r="D613" i="46"/>
  <c r="J612" i="46"/>
  <c r="I612" i="46"/>
  <c r="D612" i="46"/>
  <c r="J611" i="46"/>
  <c r="I611" i="46"/>
  <c r="D611" i="46"/>
  <c r="J610" i="46"/>
  <c r="I610" i="46"/>
  <c r="D610" i="46"/>
  <c r="J609" i="46"/>
  <c r="I609" i="46"/>
  <c r="D609" i="46"/>
  <c r="J608" i="46"/>
  <c r="I608" i="46"/>
  <c r="D608" i="46"/>
  <c r="J607" i="46"/>
  <c r="I607" i="46"/>
  <c r="D607" i="46"/>
  <c r="J606" i="46"/>
  <c r="I606" i="46"/>
  <c r="D606" i="46"/>
  <c r="J605" i="46"/>
  <c r="I605" i="46"/>
  <c r="D605" i="46"/>
  <c r="J604" i="46"/>
  <c r="I604" i="46"/>
  <c r="D604" i="46"/>
  <c r="J603" i="46"/>
  <c r="I603" i="46"/>
  <c r="D603" i="46"/>
  <c r="J602" i="46"/>
  <c r="I602" i="46"/>
  <c r="D602" i="46"/>
  <c r="J601" i="46"/>
  <c r="I601" i="46"/>
  <c r="D601" i="46"/>
  <c r="J600" i="46"/>
  <c r="I600" i="46"/>
  <c r="D600" i="46"/>
  <c r="J599" i="46"/>
  <c r="I599" i="46"/>
  <c r="D599" i="46"/>
  <c r="J598" i="46"/>
  <c r="I598" i="46"/>
  <c r="D598" i="46"/>
  <c r="J597" i="46"/>
  <c r="I597" i="46"/>
  <c r="D597" i="46"/>
  <c r="J596" i="46"/>
  <c r="I596" i="46"/>
  <c r="D596" i="46"/>
  <c r="J595" i="46"/>
  <c r="I595" i="46"/>
  <c r="D595" i="46"/>
  <c r="J594" i="46"/>
  <c r="I594" i="46"/>
  <c r="D594" i="46"/>
  <c r="J593" i="46"/>
  <c r="I593" i="46"/>
  <c r="D593" i="46"/>
  <c r="J592" i="46"/>
  <c r="I592" i="46"/>
  <c r="D592" i="46"/>
  <c r="J591" i="46"/>
  <c r="I591" i="46"/>
  <c r="D591" i="46"/>
  <c r="J590" i="46"/>
  <c r="I590" i="46"/>
  <c r="D590" i="46"/>
  <c r="J589" i="46"/>
  <c r="I589" i="46"/>
  <c r="D589" i="46"/>
  <c r="J588" i="46"/>
  <c r="I588" i="46"/>
  <c r="D588" i="46"/>
  <c r="J587" i="46"/>
  <c r="I587" i="46"/>
  <c r="D587" i="46"/>
  <c r="J586" i="46"/>
  <c r="I586" i="46"/>
  <c r="D586" i="46"/>
  <c r="J585" i="46"/>
  <c r="I585" i="46"/>
  <c r="D585" i="46"/>
  <c r="J584" i="46"/>
  <c r="I584" i="46"/>
  <c r="D584" i="46"/>
  <c r="J583" i="46"/>
  <c r="I583" i="46"/>
  <c r="D583" i="46"/>
  <c r="J582" i="46"/>
  <c r="I582" i="46"/>
  <c r="D582" i="46"/>
  <c r="J581" i="46"/>
  <c r="I581" i="46"/>
  <c r="D581" i="46"/>
  <c r="J580" i="46"/>
  <c r="I580" i="46"/>
  <c r="D580" i="46"/>
  <c r="J579" i="46"/>
  <c r="I579" i="46"/>
  <c r="D579" i="46"/>
  <c r="J578" i="46"/>
  <c r="I578" i="46"/>
  <c r="D578" i="46"/>
  <c r="J577" i="46"/>
  <c r="I577" i="46"/>
  <c r="D577" i="46"/>
  <c r="J576" i="46"/>
  <c r="I576" i="46"/>
  <c r="D576" i="46"/>
  <c r="J575" i="46"/>
  <c r="I575" i="46"/>
  <c r="D575" i="46"/>
  <c r="J574" i="46"/>
  <c r="I574" i="46"/>
  <c r="D574" i="46"/>
  <c r="J573" i="46"/>
  <c r="I573" i="46"/>
  <c r="D573" i="46"/>
  <c r="J572" i="46"/>
  <c r="I572" i="46"/>
  <c r="D572" i="46"/>
  <c r="J571" i="46"/>
  <c r="I571" i="46"/>
  <c r="D571" i="46"/>
  <c r="J570" i="46"/>
  <c r="I570" i="46"/>
  <c r="D570" i="46"/>
  <c r="J569" i="46"/>
  <c r="I569" i="46"/>
  <c r="D569" i="46"/>
  <c r="J568" i="46"/>
  <c r="I568" i="46"/>
  <c r="D568" i="46"/>
  <c r="J567" i="46"/>
  <c r="I567" i="46"/>
  <c r="D567" i="46"/>
  <c r="J566" i="46"/>
  <c r="I566" i="46"/>
  <c r="D566" i="46"/>
  <c r="J565" i="46"/>
  <c r="I565" i="46"/>
  <c r="D565" i="46"/>
  <c r="J564" i="46"/>
  <c r="I564" i="46"/>
  <c r="D564" i="46"/>
  <c r="J563" i="46"/>
  <c r="I563" i="46"/>
  <c r="D563" i="46"/>
  <c r="J562" i="46"/>
  <c r="I562" i="46"/>
  <c r="D562" i="46"/>
  <c r="J561" i="46"/>
  <c r="I561" i="46"/>
  <c r="D561" i="46"/>
  <c r="J560" i="46"/>
  <c r="I560" i="46"/>
  <c r="D560" i="46"/>
  <c r="J559" i="46"/>
  <c r="I559" i="46"/>
  <c r="D559" i="46"/>
  <c r="J558" i="46"/>
  <c r="I558" i="46"/>
  <c r="D558" i="46"/>
  <c r="J557" i="46"/>
  <c r="I557" i="46"/>
  <c r="D557" i="46"/>
  <c r="J556" i="46"/>
  <c r="I556" i="46"/>
  <c r="D556" i="46"/>
  <c r="J555" i="46"/>
  <c r="I555" i="46"/>
  <c r="D555" i="46"/>
  <c r="J554" i="46"/>
  <c r="I554" i="46"/>
  <c r="D554" i="46"/>
  <c r="J553" i="46"/>
  <c r="I553" i="46"/>
  <c r="D553" i="46"/>
  <c r="J552" i="46"/>
  <c r="I552" i="46"/>
  <c r="D552" i="46"/>
  <c r="J551" i="46"/>
  <c r="I551" i="46"/>
  <c r="D551" i="46"/>
  <c r="J550" i="46"/>
  <c r="I550" i="46"/>
  <c r="D550" i="46"/>
  <c r="J549" i="46"/>
  <c r="I549" i="46"/>
  <c r="D549" i="46"/>
  <c r="J548" i="46"/>
  <c r="I548" i="46"/>
  <c r="D548" i="46"/>
  <c r="J547" i="46"/>
  <c r="I547" i="46"/>
  <c r="D547" i="46"/>
  <c r="J546" i="46"/>
  <c r="I546" i="46"/>
  <c r="D546" i="46"/>
  <c r="J545" i="46"/>
  <c r="I545" i="46"/>
  <c r="D545" i="46"/>
  <c r="J544" i="46"/>
  <c r="I544" i="46"/>
  <c r="D544" i="46"/>
  <c r="J543" i="46"/>
  <c r="I543" i="46"/>
  <c r="D543" i="46"/>
  <c r="F29" i="46"/>
  <c r="G29" i="46" s="1"/>
  <c r="H29" i="46" s="1"/>
  <c r="D29" i="46"/>
  <c r="D28" i="46"/>
  <c r="F28" i="46" s="1"/>
  <c r="G28" i="46" s="1"/>
  <c r="H28" i="46" s="1"/>
  <c r="D22" i="46"/>
  <c r="F22" i="46" s="1"/>
  <c r="G22" i="46" s="1"/>
  <c r="H22" i="46" s="1"/>
  <c r="D21" i="46"/>
  <c r="F21" i="46" s="1"/>
  <c r="G21" i="46" s="1"/>
  <c r="H21" i="46" s="1"/>
  <c r="D20" i="46"/>
  <c r="F20" i="46" s="1"/>
  <c r="G20" i="46" s="1"/>
  <c r="H20" i="46" s="1"/>
  <c r="D18" i="46"/>
  <c r="F18" i="46" s="1"/>
  <c r="G18" i="46" s="1"/>
  <c r="H18" i="46" s="1"/>
  <c r="D17" i="46"/>
  <c r="F17" i="46" s="1"/>
  <c r="G17" i="46" s="1"/>
  <c r="H17" i="46" s="1"/>
  <c r="D16" i="46"/>
  <c r="F16" i="46" s="1"/>
  <c r="G16" i="46" s="1"/>
  <c r="H16" i="46" s="1"/>
  <c r="D15" i="46"/>
  <c r="F15" i="46" s="1"/>
  <c r="G15" i="46" s="1"/>
  <c r="H15" i="46" s="1"/>
  <c r="F14" i="46"/>
  <c r="G14" i="46" s="1"/>
  <c r="H14" i="46" s="1"/>
  <c r="F13" i="46"/>
  <c r="G13" i="46" s="1"/>
  <c r="H13" i="46" s="1"/>
  <c r="D12" i="46"/>
  <c r="F12" i="46" s="1"/>
  <c r="G12" i="46" s="1"/>
  <c r="H12" i="46" s="1"/>
  <c r="D11" i="46"/>
  <c r="D10" i="46"/>
  <c r="F10" i="46" s="1"/>
  <c r="G10" i="46" s="1"/>
  <c r="H10" i="46" s="1"/>
  <c r="F9" i="46"/>
  <c r="G9" i="46" s="1"/>
  <c r="H9" i="46" s="1"/>
  <c r="D8" i="46"/>
  <c r="F8" i="46" s="1"/>
  <c r="G8" i="46" s="1"/>
  <c r="H8" i="46" s="1"/>
  <c r="D7" i="46"/>
  <c r="F7" i="46" s="1"/>
  <c r="C6" i="46"/>
  <c r="C7" i="1" s="1"/>
  <c r="G959" i="45"/>
  <c r="F959" i="45"/>
  <c r="G958" i="45"/>
  <c r="F958" i="45"/>
  <c r="D958" i="45"/>
  <c r="G957" i="45"/>
  <c r="F957" i="45"/>
  <c r="D957" i="45"/>
  <c r="G956" i="45"/>
  <c r="F956" i="45"/>
  <c r="D956" i="45"/>
  <c r="G955" i="45"/>
  <c r="F955" i="45"/>
  <c r="D955" i="45"/>
  <c r="G954" i="45"/>
  <c r="F954" i="45"/>
  <c r="D954" i="45"/>
  <c r="G953" i="45"/>
  <c r="F953" i="45"/>
  <c r="D953" i="45"/>
  <c r="G952" i="45"/>
  <c r="F952" i="45"/>
  <c r="D952" i="45"/>
  <c r="G951" i="45"/>
  <c r="F951" i="45"/>
  <c r="D951" i="45"/>
  <c r="G950" i="45"/>
  <c r="F950" i="45"/>
  <c r="D950" i="45"/>
  <c r="G949" i="45"/>
  <c r="F949" i="45"/>
  <c r="D949" i="45"/>
  <c r="G948" i="45"/>
  <c r="F948" i="45"/>
  <c r="D948" i="45"/>
  <c r="G947" i="45"/>
  <c r="F947" i="45"/>
  <c r="D947" i="45"/>
  <c r="G946" i="45"/>
  <c r="F946" i="45"/>
  <c r="D946" i="45"/>
  <c r="G945" i="45"/>
  <c r="F945" i="45"/>
  <c r="D945" i="45"/>
  <c r="G944" i="45"/>
  <c r="F944" i="45"/>
  <c r="D944" i="45"/>
  <c r="G943" i="45"/>
  <c r="F943" i="45"/>
  <c r="D943" i="45"/>
  <c r="G942" i="45"/>
  <c r="F942" i="45"/>
  <c r="D942" i="45"/>
  <c r="G941" i="45"/>
  <c r="F941" i="45"/>
  <c r="D941" i="45"/>
  <c r="G940" i="45"/>
  <c r="F940" i="45"/>
  <c r="D940" i="45"/>
  <c r="G939" i="45"/>
  <c r="F939" i="45"/>
  <c r="D939" i="45"/>
  <c r="G938" i="45"/>
  <c r="F938" i="45"/>
  <c r="D938" i="45"/>
  <c r="G937" i="45"/>
  <c r="F937" i="45"/>
  <c r="D937" i="45"/>
  <c r="G936" i="45"/>
  <c r="F936" i="45"/>
  <c r="D936" i="45"/>
  <c r="G935" i="45"/>
  <c r="F935" i="45"/>
  <c r="D935" i="45"/>
  <c r="G934" i="45"/>
  <c r="F934" i="45"/>
  <c r="D934" i="45"/>
  <c r="G933" i="45"/>
  <c r="F933" i="45"/>
  <c r="D933" i="45"/>
  <c r="G932" i="45"/>
  <c r="F932" i="45"/>
  <c r="D932" i="45"/>
  <c r="G931" i="45"/>
  <c r="F931" i="45"/>
  <c r="D931" i="45"/>
  <c r="G930" i="45"/>
  <c r="F930" i="45"/>
  <c r="D930" i="45"/>
  <c r="G929" i="45"/>
  <c r="F929" i="45"/>
  <c r="D929" i="45"/>
  <c r="G928" i="45"/>
  <c r="F928" i="45"/>
  <c r="D928" i="45"/>
  <c r="G927" i="45"/>
  <c r="F927" i="45"/>
  <c r="D927" i="45"/>
  <c r="G926" i="45"/>
  <c r="F926" i="45"/>
  <c r="D926" i="45"/>
  <c r="G925" i="45"/>
  <c r="F925" i="45"/>
  <c r="D925" i="45"/>
  <c r="G924" i="45"/>
  <c r="F924" i="45"/>
  <c r="D924" i="45"/>
  <c r="G923" i="45"/>
  <c r="F923" i="45"/>
  <c r="D923" i="45"/>
  <c r="G922" i="45"/>
  <c r="F922" i="45"/>
  <c r="D922" i="45"/>
  <c r="G921" i="45"/>
  <c r="F921" i="45"/>
  <c r="D921" i="45"/>
  <c r="G920" i="45"/>
  <c r="F920" i="45"/>
  <c r="D920" i="45"/>
  <c r="G919" i="45"/>
  <c r="F919" i="45"/>
  <c r="D919" i="45"/>
  <c r="G918" i="45"/>
  <c r="F918" i="45"/>
  <c r="D918" i="45"/>
  <c r="G917" i="45"/>
  <c r="F917" i="45"/>
  <c r="D917" i="45"/>
  <c r="G916" i="45"/>
  <c r="F916" i="45"/>
  <c r="D916" i="45"/>
  <c r="G915" i="45"/>
  <c r="F915" i="45"/>
  <c r="D915" i="45"/>
  <c r="G914" i="45"/>
  <c r="F914" i="45"/>
  <c r="D914" i="45"/>
  <c r="G913" i="45"/>
  <c r="F913" i="45"/>
  <c r="D913" i="45"/>
  <c r="G912" i="45"/>
  <c r="F912" i="45"/>
  <c r="D912" i="45"/>
  <c r="G911" i="45"/>
  <c r="F911" i="45"/>
  <c r="D911" i="45"/>
  <c r="G910" i="45"/>
  <c r="F910" i="45"/>
  <c r="D910" i="45"/>
  <c r="G909" i="45"/>
  <c r="F909" i="45"/>
  <c r="D909" i="45"/>
  <c r="G908" i="45"/>
  <c r="F908" i="45"/>
  <c r="D908" i="45"/>
  <c r="G907" i="45"/>
  <c r="F907" i="45"/>
  <c r="D907" i="45"/>
  <c r="G906" i="45"/>
  <c r="F906" i="45"/>
  <c r="D906" i="45"/>
  <c r="G905" i="45"/>
  <c r="F905" i="45"/>
  <c r="D905" i="45"/>
  <c r="G904" i="45"/>
  <c r="F904" i="45"/>
  <c r="D904" i="45"/>
  <c r="G903" i="45"/>
  <c r="F903" i="45"/>
  <c r="D903" i="45"/>
  <c r="G902" i="45"/>
  <c r="F902" i="45"/>
  <c r="D902" i="45"/>
  <c r="G901" i="45"/>
  <c r="F901" i="45"/>
  <c r="D901" i="45"/>
  <c r="G900" i="45"/>
  <c r="F900" i="45"/>
  <c r="D900" i="45"/>
  <c r="G899" i="45"/>
  <c r="F899" i="45"/>
  <c r="D899" i="45"/>
  <c r="G898" i="45"/>
  <c r="F898" i="45"/>
  <c r="D898" i="45"/>
  <c r="G897" i="45"/>
  <c r="F897" i="45"/>
  <c r="D897" i="45"/>
  <c r="G896" i="45"/>
  <c r="F896" i="45"/>
  <c r="D896" i="45"/>
  <c r="G895" i="45"/>
  <c r="F895" i="45"/>
  <c r="D895" i="45"/>
  <c r="G894" i="45"/>
  <c r="F894" i="45"/>
  <c r="D894" i="45"/>
  <c r="G893" i="45"/>
  <c r="F893" i="45"/>
  <c r="D893" i="45"/>
  <c r="G892" i="45"/>
  <c r="F892" i="45"/>
  <c r="D892" i="45"/>
  <c r="G891" i="45"/>
  <c r="F891" i="45"/>
  <c r="D891" i="45"/>
  <c r="G890" i="45"/>
  <c r="F890" i="45"/>
  <c r="D890" i="45"/>
  <c r="G889" i="45"/>
  <c r="F889" i="45"/>
  <c r="D889" i="45"/>
  <c r="G888" i="45"/>
  <c r="F888" i="45"/>
  <c r="D888" i="45"/>
  <c r="G887" i="45"/>
  <c r="F887" i="45"/>
  <c r="D887" i="45"/>
  <c r="G886" i="45"/>
  <c r="F886" i="45"/>
  <c r="D886" i="45"/>
  <c r="G885" i="45"/>
  <c r="F885" i="45"/>
  <c r="D885" i="45"/>
  <c r="G884" i="45"/>
  <c r="F884" i="45"/>
  <c r="D884" i="45"/>
  <c r="G883" i="45"/>
  <c r="F883" i="45"/>
  <c r="D883" i="45"/>
  <c r="G882" i="45"/>
  <c r="F882" i="45"/>
  <c r="D882" i="45"/>
  <c r="G881" i="45"/>
  <c r="F881" i="45"/>
  <c r="D881" i="45"/>
  <c r="G880" i="45"/>
  <c r="F880" i="45"/>
  <c r="D880" i="45"/>
  <c r="G879" i="45"/>
  <c r="F879" i="45"/>
  <c r="D879" i="45"/>
  <c r="G878" i="45"/>
  <c r="F878" i="45"/>
  <c r="D878" i="45"/>
  <c r="G877" i="45"/>
  <c r="F877" i="45"/>
  <c r="D877" i="45"/>
  <c r="G876" i="45"/>
  <c r="F876" i="45"/>
  <c r="D876" i="45"/>
  <c r="G875" i="45"/>
  <c r="F875" i="45"/>
  <c r="D875" i="45"/>
  <c r="G874" i="45"/>
  <c r="F874" i="45"/>
  <c r="D874" i="45"/>
  <c r="G873" i="45"/>
  <c r="F873" i="45"/>
  <c r="D873" i="45"/>
  <c r="G872" i="45"/>
  <c r="F872" i="45"/>
  <c r="D872" i="45"/>
  <c r="G871" i="45"/>
  <c r="F871" i="45"/>
  <c r="D871" i="45"/>
  <c r="G870" i="45"/>
  <c r="F870" i="45"/>
  <c r="D870" i="45"/>
  <c r="G869" i="45"/>
  <c r="F869" i="45"/>
  <c r="D869" i="45"/>
  <c r="G868" i="45"/>
  <c r="F868" i="45"/>
  <c r="D868" i="45"/>
  <c r="G867" i="45"/>
  <c r="F867" i="45"/>
  <c r="D867" i="45"/>
  <c r="G866" i="45"/>
  <c r="F866" i="45"/>
  <c r="D866" i="45"/>
  <c r="G865" i="45"/>
  <c r="F865" i="45"/>
  <c r="D865" i="45"/>
  <c r="G864" i="45"/>
  <c r="F864" i="45"/>
  <c r="D864" i="45"/>
  <c r="G863" i="45"/>
  <c r="F863" i="45"/>
  <c r="D863" i="45"/>
  <c r="G862" i="45"/>
  <c r="F862" i="45"/>
  <c r="D862" i="45"/>
  <c r="G861" i="45"/>
  <c r="F861" i="45"/>
  <c r="D861" i="45"/>
  <c r="G860" i="45"/>
  <c r="F860" i="45"/>
  <c r="D860" i="45"/>
  <c r="G859" i="45"/>
  <c r="F859" i="45"/>
  <c r="D859" i="45"/>
  <c r="G858" i="45"/>
  <c r="F858" i="45"/>
  <c r="D858" i="45"/>
  <c r="G857" i="45"/>
  <c r="F857" i="45"/>
  <c r="D857" i="45"/>
  <c r="G856" i="45"/>
  <c r="F856" i="45"/>
  <c r="D856" i="45"/>
  <c r="G855" i="45"/>
  <c r="F855" i="45"/>
  <c r="D855" i="45"/>
  <c r="G854" i="45"/>
  <c r="F854" i="45"/>
  <c r="D854" i="45"/>
  <c r="G853" i="45"/>
  <c r="F853" i="45"/>
  <c r="D853" i="45"/>
  <c r="G852" i="45"/>
  <c r="F852" i="45"/>
  <c r="D852" i="45"/>
  <c r="G851" i="45"/>
  <c r="F851" i="45"/>
  <c r="D851" i="45"/>
  <c r="G850" i="45"/>
  <c r="F850" i="45"/>
  <c r="D850" i="45"/>
  <c r="G849" i="45"/>
  <c r="F849" i="45"/>
  <c r="D849" i="45"/>
  <c r="G848" i="45"/>
  <c r="F848" i="45"/>
  <c r="D848" i="45"/>
  <c r="G847" i="45"/>
  <c r="F847" i="45"/>
  <c r="D847" i="45"/>
  <c r="G846" i="45"/>
  <c r="F846" i="45"/>
  <c r="D846" i="45"/>
  <c r="G845" i="45"/>
  <c r="F845" i="45"/>
  <c r="D845" i="45"/>
  <c r="G844" i="45"/>
  <c r="F844" i="45"/>
  <c r="D844" i="45"/>
  <c r="G843" i="45"/>
  <c r="F843" i="45"/>
  <c r="D843" i="45"/>
  <c r="G842" i="45"/>
  <c r="F842" i="45"/>
  <c r="D842" i="45"/>
  <c r="G841" i="45"/>
  <c r="F841" i="45"/>
  <c r="D841" i="45"/>
  <c r="G840" i="45"/>
  <c r="F840" i="45"/>
  <c r="D840" i="45"/>
  <c r="G839" i="45"/>
  <c r="F839" i="45"/>
  <c r="D839" i="45"/>
  <c r="G838" i="45"/>
  <c r="F838" i="45"/>
  <c r="D838" i="45"/>
  <c r="G837" i="45"/>
  <c r="F837" i="45"/>
  <c r="D837" i="45"/>
  <c r="G836" i="45"/>
  <c r="F836" i="45"/>
  <c r="D836" i="45"/>
  <c r="G835" i="45"/>
  <c r="F835" i="45"/>
  <c r="D835" i="45"/>
  <c r="G834" i="45"/>
  <c r="F834" i="45"/>
  <c r="D834" i="45"/>
  <c r="G833" i="45"/>
  <c r="F833" i="45"/>
  <c r="D833" i="45"/>
  <c r="G832" i="45"/>
  <c r="F832" i="45"/>
  <c r="D832" i="45"/>
  <c r="G831" i="45"/>
  <c r="F831" i="45"/>
  <c r="D831" i="45"/>
  <c r="G830" i="45"/>
  <c r="F830" i="45"/>
  <c r="D830" i="45"/>
  <c r="G829" i="45"/>
  <c r="F829" i="45"/>
  <c r="D829" i="45"/>
  <c r="G828" i="45"/>
  <c r="F828" i="45"/>
  <c r="D828" i="45"/>
  <c r="G827" i="45"/>
  <c r="F827" i="45"/>
  <c r="D827" i="45"/>
  <c r="G826" i="45"/>
  <c r="F826" i="45"/>
  <c r="D826" i="45"/>
  <c r="G825" i="45"/>
  <c r="F825" i="45"/>
  <c r="D825" i="45"/>
  <c r="G824" i="45"/>
  <c r="F824" i="45"/>
  <c r="D824" i="45"/>
  <c r="G823" i="45"/>
  <c r="F823" i="45"/>
  <c r="D823" i="45"/>
  <c r="G822" i="45"/>
  <c r="F822" i="45"/>
  <c r="D822" i="45"/>
  <c r="G821" i="45"/>
  <c r="F821" i="45"/>
  <c r="D821" i="45"/>
  <c r="G820" i="45"/>
  <c r="F820" i="45"/>
  <c r="D820" i="45"/>
  <c r="G819" i="45"/>
  <c r="F819" i="45"/>
  <c r="D819" i="45"/>
  <c r="G818" i="45"/>
  <c r="F818" i="45"/>
  <c r="D818" i="45"/>
  <c r="G817" i="45"/>
  <c r="F817" i="45"/>
  <c r="D817" i="45"/>
  <c r="G816" i="45"/>
  <c r="F816" i="45"/>
  <c r="D816" i="45"/>
  <c r="G815" i="45"/>
  <c r="F815" i="45"/>
  <c r="D815" i="45"/>
  <c r="G814" i="45"/>
  <c r="F814" i="45"/>
  <c r="D814" i="45"/>
  <c r="G813" i="45"/>
  <c r="F813" i="45"/>
  <c r="D813" i="45"/>
  <c r="G812" i="45"/>
  <c r="F812" i="45"/>
  <c r="D812" i="45"/>
  <c r="G811" i="45"/>
  <c r="F811" i="45"/>
  <c r="D811" i="45"/>
  <c r="G810" i="45"/>
  <c r="F810" i="45"/>
  <c r="D810" i="45"/>
  <c r="G809" i="45"/>
  <c r="F809" i="45"/>
  <c r="D809" i="45"/>
  <c r="G808" i="45"/>
  <c r="F808" i="45"/>
  <c r="D808" i="45"/>
  <c r="G807" i="45"/>
  <c r="F807" i="45"/>
  <c r="D807" i="45"/>
  <c r="G806" i="45"/>
  <c r="F806" i="45"/>
  <c r="D806" i="45"/>
  <c r="G805" i="45"/>
  <c r="F805" i="45"/>
  <c r="D805" i="45"/>
  <c r="G804" i="45"/>
  <c r="F804" i="45"/>
  <c r="D804" i="45"/>
  <c r="G803" i="45"/>
  <c r="F803" i="45"/>
  <c r="D803" i="45"/>
  <c r="G802" i="45"/>
  <c r="F802" i="45"/>
  <c r="D802" i="45"/>
  <c r="G801" i="45"/>
  <c r="F801" i="45"/>
  <c r="D801" i="45"/>
  <c r="G800" i="45"/>
  <c r="F800" i="45"/>
  <c r="D800" i="45"/>
  <c r="G799" i="45"/>
  <c r="F799" i="45"/>
  <c r="D799" i="45"/>
  <c r="G798" i="45"/>
  <c r="F798" i="45"/>
  <c r="D798" i="45"/>
  <c r="G797" i="45"/>
  <c r="F797" i="45"/>
  <c r="D797" i="45"/>
  <c r="G796" i="45"/>
  <c r="F796" i="45"/>
  <c r="D796" i="45"/>
  <c r="G795" i="45"/>
  <c r="F795" i="45"/>
  <c r="D795" i="45"/>
  <c r="G794" i="45"/>
  <c r="F794" i="45"/>
  <c r="D794" i="45"/>
  <c r="G793" i="45"/>
  <c r="F793" i="45"/>
  <c r="D793" i="45"/>
  <c r="G792" i="45"/>
  <c r="F792" i="45"/>
  <c r="D792" i="45"/>
  <c r="G791" i="45"/>
  <c r="F791" i="45"/>
  <c r="D791" i="45"/>
  <c r="G790" i="45"/>
  <c r="F790" i="45"/>
  <c r="D790" i="45"/>
  <c r="G789" i="45"/>
  <c r="F789" i="45"/>
  <c r="D789" i="45"/>
  <c r="G788" i="45"/>
  <c r="F788" i="45"/>
  <c r="D788" i="45"/>
  <c r="G787" i="45"/>
  <c r="F787" i="45"/>
  <c r="D787" i="45"/>
  <c r="G786" i="45"/>
  <c r="F786" i="45"/>
  <c r="D786" i="45"/>
  <c r="G785" i="45"/>
  <c r="F785" i="45"/>
  <c r="D785" i="45"/>
  <c r="G784" i="45"/>
  <c r="F784" i="45"/>
  <c r="D784" i="45"/>
  <c r="G783" i="45"/>
  <c r="F783" i="45"/>
  <c r="D783" i="45"/>
  <c r="G782" i="45"/>
  <c r="F782" i="45"/>
  <c r="D782" i="45"/>
  <c r="G781" i="45"/>
  <c r="F781" i="45"/>
  <c r="D781" i="45"/>
  <c r="G780" i="45"/>
  <c r="F780" i="45"/>
  <c r="D780" i="45"/>
  <c r="G779" i="45"/>
  <c r="F779" i="45"/>
  <c r="D779" i="45"/>
  <c r="G778" i="45"/>
  <c r="F778" i="45"/>
  <c r="D778" i="45"/>
  <c r="G777" i="45"/>
  <c r="F777" i="45"/>
  <c r="D777" i="45"/>
  <c r="G776" i="45"/>
  <c r="F776" i="45"/>
  <c r="D776" i="45"/>
  <c r="G775" i="45"/>
  <c r="F775" i="45"/>
  <c r="D775" i="45"/>
  <c r="G774" i="45"/>
  <c r="F774" i="45"/>
  <c r="D774" i="45"/>
  <c r="G773" i="45"/>
  <c r="F773" i="45"/>
  <c r="D773" i="45"/>
  <c r="G772" i="45"/>
  <c r="F772" i="45"/>
  <c r="D772" i="45"/>
  <c r="G771" i="45"/>
  <c r="F771" i="45"/>
  <c r="D771" i="45"/>
  <c r="G770" i="45"/>
  <c r="F770" i="45"/>
  <c r="D770" i="45"/>
  <c r="G769" i="45"/>
  <c r="F769" i="45"/>
  <c r="D769" i="45"/>
  <c r="G768" i="45"/>
  <c r="F768" i="45"/>
  <c r="D768" i="45"/>
  <c r="G767" i="45"/>
  <c r="F767" i="45"/>
  <c r="D767" i="45"/>
  <c r="G766" i="45"/>
  <c r="F766" i="45"/>
  <c r="D766" i="45"/>
  <c r="G765" i="45"/>
  <c r="F765" i="45"/>
  <c r="D765" i="45"/>
  <c r="G764" i="45"/>
  <c r="F764" i="45"/>
  <c r="D764" i="45"/>
  <c r="G763" i="45"/>
  <c r="F763" i="45"/>
  <c r="D763" i="45"/>
  <c r="G762" i="45"/>
  <c r="F762" i="45"/>
  <c r="D762" i="45"/>
  <c r="G761" i="45"/>
  <c r="F761" i="45"/>
  <c r="D761" i="45"/>
  <c r="G760" i="45"/>
  <c r="F760" i="45"/>
  <c r="D760" i="45"/>
  <c r="G759" i="45"/>
  <c r="F759" i="45"/>
  <c r="D759" i="45"/>
  <c r="G758" i="45"/>
  <c r="F758" i="45"/>
  <c r="D758" i="45"/>
  <c r="G757" i="45"/>
  <c r="F757" i="45"/>
  <c r="D757" i="45"/>
  <c r="G756" i="45"/>
  <c r="F756" i="45"/>
  <c r="D756" i="45"/>
  <c r="G755" i="45"/>
  <c r="F755" i="45"/>
  <c r="D755" i="45"/>
  <c r="G754" i="45"/>
  <c r="F754" i="45"/>
  <c r="D754" i="45"/>
  <c r="G753" i="45"/>
  <c r="F753" i="45"/>
  <c r="D753" i="45"/>
  <c r="G752" i="45"/>
  <c r="F752" i="45"/>
  <c r="D752" i="45"/>
  <c r="G751" i="45"/>
  <c r="F751" i="45"/>
  <c r="D751" i="45"/>
  <c r="G750" i="45"/>
  <c r="F750" i="45"/>
  <c r="D750" i="45"/>
  <c r="G749" i="45"/>
  <c r="F749" i="45"/>
  <c r="D749" i="45"/>
  <c r="G748" i="45"/>
  <c r="F748" i="45"/>
  <c r="D748" i="45"/>
  <c r="G747" i="45"/>
  <c r="F747" i="45"/>
  <c r="D747" i="45"/>
  <c r="G746" i="45"/>
  <c r="F746" i="45"/>
  <c r="D746" i="45"/>
  <c r="G745" i="45"/>
  <c r="F745" i="45"/>
  <c r="D745" i="45"/>
  <c r="G744" i="45"/>
  <c r="F744" i="45"/>
  <c r="D744" i="45"/>
  <c r="G743" i="45"/>
  <c r="F743" i="45"/>
  <c r="D743" i="45"/>
  <c r="G742" i="45"/>
  <c r="F742" i="45"/>
  <c r="D742" i="45"/>
  <c r="G741" i="45"/>
  <c r="F741" i="45"/>
  <c r="D741" i="45"/>
  <c r="G740" i="45"/>
  <c r="F740" i="45"/>
  <c r="D740" i="45"/>
  <c r="G739" i="45"/>
  <c r="F739" i="45"/>
  <c r="D739" i="45"/>
  <c r="G738" i="45"/>
  <c r="F738" i="45"/>
  <c r="D738" i="45"/>
  <c r="G737" i="45"/>
  <c r="F737" i="45"/>
  <c r="D737" i="45"/>
  <c r="G736" i="45"/>
  <c r="F736" i="45"/>
  <c r="D736" i="45"/>
  <c r="G735" i="45"/>
  <c r="F735" i="45"/>
  <c r="D735" i="45"/>
  <c r="G734" i="45"/>
  <c r="F734" i="45"/>
  <c r="D734" i="45"/>
  <c r="G733" i="45"/>
  <c r="F733" i="45"/>
  <c r="D733" i="45"/>
  <c r="G732" i="45"/>
  <c r="F732" i="45"/>
  <c r="D732" i="45"/>
  <c r="G731" i="45"/>
  <c r="F731" i="45"/>
  <c r="D731" i="45"/>
  <c r="G730" i="45"/>
  <c r="F730" i="45"/>
  <c r="D730" i="45"/>
  <c r="G729" i="45"/>
  <c r="F729" i="45"/>
  <c r="D729" i="45"/>
  <c r="G728" i="45"/>
  <c r="F728" i="45"/>
  <c r="D728" i="45"/>
  <c r="G727" i="45"/>
  <c r="F727" i="45"/>
  <c r="D727" i="45"/>
  <c r="G726" i="45"/>
  <c r="F726" i="45"/>
  <c r="D726" i="45"/>
  <c r="G725" i="45"/>
  <c r="F725" i="45"/>
  <c r="D725" i="45"/>
  <c r="G724" i="45"/>
  <c r="F724" i="45"/>
  <c r="D724" i="45"/>
  <c r="G723" i="45"/>
  <c r="F723" i="45"/>
  <c r="D723" i="45"/>
  <c r="G722" i="45"/>
  <c r="F722" i="45"/>
  <c r="D722" i="45"/>
  <c r="G721" i="45"/>
  <c r="F721" i="45"/>
  <c r="D721" i="45"/>
  <c r="G720" i="45"/>
  <c r="F720" i="45"/>
  <c r="D720" i="45"/>
  <c r="G719" i="45"/>
  <c r="F719" i="45"/>
  <c r="D719" i="45"/>
  <c r="G718" i="45"/>
  <c r="F718" i="45"/>
  <c r="D718" i="45"/>
  <c r="G717" i="45"/>
  <c r="F717" i="45"/>
  <c r="D717" i="45"/>
  <c r="G716" i="45"/>
  <c r="F716" i="45"/>
  <c r="D716" i="45"/>
  <c r="G715" i="45"/>
  <c r="F715" i="45"/>
  <c r="D715" i="45"/>
  <c r="G714" i="45"/>
  <c r="F714" i="45"/>
  <c r="D714" i="45"/>
  <c r="G713" i="45"/>
  <c r="F713" i="45"/>
  <c r="D713" i="45"/>
  <c r="G712" i="45"/>
  <c r="F712" i="45"/>
  <c r="D712" i="45"/>
  <c r="G711" i="45"/>
  <c r="F711" i="45"/>
  <c r="D711" i="45"/>
  <c r="G710" i="45"/>
  <c r="F710" i="45"/>
  <c r="D710" i="45"/>
  <c r="G709" i="45"/>
  <c r="F709" i="45"/>
  <c r="D709" i="45"/>
  <c r="G708" i="45"/>
  <c r="F708" i="45"/>
  <c r="D708" i="45"/>
  <c r="G707" i="45"/>
  <c r="F707" i="45"/>
  <c r="D707" i="45"/>
  <c r="G706" i="45"/>
  <c r="F706" i="45"/>
  <c r="D706" i="45"/>
  <c r="G705" i="45"/>
  <c r="F705" i="45"/>
  <c r="D705" i="45"/>
  <c r="G704" i="45"/>
  <c r="F704" i="45"/>
  <c r="D704" i="45"/>
  <c r="G703" i="45"/>
  <c r="F703" i="45"/>
  <c r="D703" i="45"/>
  <c r="G702" i="45"/>
  <c r="F702" i="45"/>
  <c r="D702" i="45"/>
  <c r="G701" i="45"/>
  <c r="F701" i="45"/>
  <c r="D701" i="45"/>
  <c r="G700" i="45"/>
  <c r="F700" i="45"/>
  <c r="D700" i="45"/>
  <c r="G699" i="45"/>
  <c r="F699" i="45"/>
  <c r="D699" i="45"/>
  <c r="G698" i="45"/>
  <c r="F698" i="45"/>
  <c r="D698" i="45"/>
  <c r="G697" i="45"/>
  <c r="F697" i="45"/>
  <c r="D697" i="45"/>
  <c r="G696" i="45"/>
  <c r="F696" i="45"/>
  <c r="D696" i="45"/>
  <c r="G695" i="45"/>
  <c r="F695" i="45"/>
  <c r="D695" i="45"/>
  <c r="G694" i="45"/>
  <c r="F694" i="45"/>
  <c r="D694" i="45"/>
  <c r="G693" i="45"/>
  <c r="F693" i="45"/>
  <c r="D693" i="45"/>
  <c r="G692" i="45"/>
  <c r="F692" i="45"/>
  <c r="D692" i="45"/>
  <c r="G691" i="45"/>
  <c r="F691" i="45"/>
  <c r="D691" i="45"/>
  <c r="G690" i="45"/>
  <c r="F690" i="45"/>
  <c r="D690" i="45"/>
  <c r="G689" i="45"/>
  <c r="F689" i="45"/>
  <c r="D689" i="45"/>
  <c r="G688" i="45"/>
  <c r="F688" i="45"/>
  <c r="D688" i="45"/>
  <c r="G687" i="45"/>
  <c r="F687" i="45"/>
  <c r="D687" i="45"/>
  <c r="G686" i="45"/>
  <c r="F686" i="45"/>
  <c r="D686" i="45"/>
  <c r="G685" i="45"/>
  <c r="F685" i="45"/>
  <c r="D685" i="45"/>
  <c r="G684" i="45"/>
  <c r="F684" i="45"/>
  <c r="D684" i="45"/>
  <c r="G683" i="45"/>
  <c r="F683" i="45"/>
  <c r="D683" i="45"/>
  <c r="G682" i="45"/>
  <c r="F682" i="45"/>
  <c r="D682" i="45"/>
  <c r="G681" i="45"/>
  <c r="F681" i="45"/>
  <c r="D681" i="45"/>
  <c r="G680" i="45"/>
  <c r="F680" i="45"/>
  <c r="D680" i="45"/>
  <c r="G679" i="45"/>
  <c r="F679" i="45"/>
  <c r="D679" i="45"/>
  <c r="G678" i="45"/>
  <c r="F678" i="45"/>
  <c r="D678" i="45"/>
  <c r="G677" i="45"/>
  <c r="F677" i="45"/>
  <c r="D677" i="45"/>
  <c r="G676" i="45"/>
  <c r="F676" i="45"/>
  <c r="D676" i="45"/>
  <c r="G675" i="45"/>
  <c r="F675" i="45"/>
  <c r="D675" i="45"/>
  <c r="G674" i="45"/>
  <c r="F674" i="45"/>
  <c r="D674" i="45"/>
  <c r="G673" i="45"/>
  <c r="F673" i="45"/>
  <c r="D673" i="45"/>
  <c r="G672" i="45"/>
  <c r="F672" i="45"/>
  <c r="D672" i="45"/>
  <c r="G671" i="45"/>
  <c r="F671" i="45"/>
  <c r="D671" i="45"/>
  <c r="G670" i="45"/>
  <c r="F670" i="45"/>
  <c r="D670" i="45"/>
  <c r="G669" i="45"/>
  <c r="F669" i="45"/>
  <c r="D669" i="45"/>
  <c r="G668" i="45"/>
  <c r="F668" i="45"/>
  <c r="D668" i="45"/>
  <c r="G667" i="45"/>
  <c r="F667" i="45"/>
  <c r="D667" i="45"/>
  <c r="G666" i="45"/>
  <c r="F666" i="45"/>
  <c r="D666" i="45"/>
  <c r="G665" i="45"/>
  <c r="F665" i="45"/>
  <c r="D665" i="45"/>
  <c r="G664" i="45"/>
  <c r="F664" i="45"/>
  <c r="D664" i="45"/>
  <c r="G663" i="45"/>
  <c r="F663" i="45"/>
  <c r="D663" i="45"/>
  <c r="G662" i="45"/>
  <c r="F662" i="45"/>
  <c r="D662" i="45"/>
  <c r="G661" i="45"/>
  <c r="F661" i="45"/>
  <c r="D661" i="45"/>
  <c r="G660" i="45"/>
  <c r="F660" i="45"/>
  <c r="D660" i="45"/>
  <c r="G659" i="45"/>
  <c r="F659" i="45"/>
  <c r="D659" i="45"/>
  <c r="G658" i="45"/>
  <c r="F658" i="45"/>
  <c r="D658" i="45"/>
  <c r="G657" i="45"/>
  <c r="F657" i="45"/>
  <c r="D657" i="45"/>
  <c r="G656" i="45"/>
  <c r="F656" i="45"/>
  <c r="D656" i="45"/>
  <c r="G655" i="45"/>
  <c r="F655" i="45"/>
  <c r="D655" i="45"/>
  <c r="G654" i="45"/>
  <c r="F654" i="45"/>
  <c r="D654" i="45"/>
  <c r="G653" i="45"/>
  <c r="F653" i="45"/>
  <c r="D653" i="45"/>
  <c r="G652" i="45"/>
  <c r="F652" i="45"/>
  <c r="D652" i="45"/>
  <c r="G651" i="45"/>
  <c r="F651" i="45"/>
  <c r="D651" i="45"/>
  <c r="G650" i="45"/>
  <c r="F650" i="45"/>
  <c r="D650" i="45"/>
  <c r="G649" i="45"/>
  <c r="F649" i="45"/>
  <c r="D649" i="45"/>
  <c r="G648" i="45"/>
  <c r="F648" i="45"/>
  <c r="D648" i="45"/>
  <c r="G647" i="45"/>
  <c r="F647" i="45"/>
  <c r="D647" i="45"/>
  <c r="G646" i="45"/>
  <c r="F646" i="45"/>
  <c r="D646" i="45"/>
  <c r="G645" i="45"/>
  <c r="F645" i="45"/>
  <c r="D645" i="45"/>
  <c r="G644" i="45"/>
  <c r="F644" i="45"/>
  <c r="D644" i="45"/>
  <c r="G643" i="45"/>
  <c r="F643" i="45"/>
  <c r="D643" i="45"/>
  <c r="G642" i="45"/>
  <c r="F642" i="45"/>
  <c r="D642" i="45"/>
  <c r="G641" i="45"/>
  <c r="F641" i="45"/>
  <c r="D641" i="45"/>
  <c r="G640" i="45"/>
  <c r="F640" i="45"/>
  <c r="D640" i="45"/>
  <c r="G639" i="45"/>
  <c r="F639" i="45"/>
  <c r="D639" i="45"/>
  <c r="G638" i="45"/>
  <c r="F638" i="45"/>
  <c r="D638" i="45"/>
  <c r="G637" i="45"/>
  <c r="F637" i="45"/>
  <c r="D637" i="45"/>
  <c r="G636" i="45"/>
  <c r="F636" i="45"/>
  <c r="D636" i="45"/>
  <c r="G635" i="45"/>
  <c r="F635" i="45"/>
  <c r="D635" i="45"/>
  <c r="G634" i="45"/>
  <c r="F634" i="45"/>
  <c r="D634" i="45"/>
  <c r="G633" i="45"/>
  <c r="F633" i="45"/>
  <c r="D633" i="45"/>
  <c r="G632" i="45"/>
  <c r="F632" i="45"/>
  <c r="D632" i="45"/>
  <c r="G631" i="45"/>
  <c r="F631" i="45"/>
  <c r="D631" i="45"/>
  <c r="G630" i="45"/>
  <c r="F630" i="45"/>
  <c r="D630" i="45"/>
  <c r="G629" i="45"/>
  <c r="F629" i="45"/>
  <c r="D629" i="45"/>
  <c r="G628" i="45"/>
  <c r="F628" i="45"/>
  <c r="D628" i="45"/>
  <c r="G627" i="45"/>
  <c r="F627" i="45"/>
  <c r="D627" i="45"/>
  <c r="G626" i="45"/>
  <c r="F626" i="45"/>
  <c r="D626" i="45"/>
  <c r="G625" i="45"/>
  <c r="F625" i="45"/>
  <c r="D625" i="45"/>
  <c r="G624" i="45"/>
  <c r="F624" i="45"/>
  <c r="D624" i="45"/>
  <c r="G623" i="45"/>
  <c r="F623" i="45"/>
  <c r="D623" i="45"/>
  <c r="G622" i="45"/>
  <c r="F622" i="45"/>
  <c r="D622" i="45"/>
  <c r="G621" i="45"/>
  <c r="F621" i="45"/>
  <c r="D621" i="45"/>
  <c r="G620" i="45"/>
  <c r="F620" i="45"/>
  <c r="D620" i="45"/>
  <c r="G619" i="45"/>
  <c r="F619" i="45"/>
  <c r="D619" i="45"/>
  <c r="G618" i="45"/>
  <c r="F618" i="45"/>
  <c r="D618" i="45"/>
  <c r="G617" i="45"/>
  <c r="F617" i="45"/>
  <c r="D617" i="45"/>
  <c r="G616" i="45"/>
  <c r="F616" i="45"/>
  <c r="D616" i="45"/>
  <c r="G615" i="45"/>
  <c r="F615" i="45"/>
  <c r="D615" i="45"/>
  <c r="G614" i="45"/>
  <c r="F614" i="45"/>
  <c r="D614" i="45"/>
  <c r="G613" i="45"/>
  <c r="F613" i="45"/>
  <c r="D613" i="45"/>
  <c r="G612" i="45"/>
  <c r="F612" i="45"/>
  <c r="D612" i="45"/>
  <c r="G611" i="45"/>
  <c r="F611" i="45"/>
  <c r="D611" i="45"/>
  <c r="G610" i="45"/>
  <c r="F610" i="45"/>
  <c r="D610" i="45"/>
  <c r="G609" i="45"/>
  <c r="F609" i="45"/>
  <c r="D609" i="45"/>
  <c r="G608" i="45"/>
  <c r="F608" i="45"/>
  <c r="D608" i="45"/>
  <c r="G607" i="45"/>
  <c r="F607" i="45"/>
  <c r="D607" i="45"/>
  <c r="G606" i="45"/>
  <c r="F606" i="45"/>
  <c r="D606" i="45"/>
  <c r="G605" i="45"/>
  <c r="F605" i="45"/>
  <c r="D605" i="45"/>
  <c r="G604" i="45"/>
  <c r="F604" i="45"/>
  <c r="D604" i="45"/>
  <c r="G603" i="45"/>
  <c r="F603" i="45"/>
  <c r="D603" i="45"/>
  <c r="G602" i="45"/>
  <c r="F602" i="45"/>
  <c r="D602" i="45"/>
  <c r="G601" i="45"/>
  <c r="F601" i="45"/>
  <c r="D601" i="45"/>
  <c r="G600" i="45"/>
  <c r="F600" i="45"/>
  <c r="D600" i="45"/>
  <c r="G599" i="45"/>
  <c r="F599" i="45"/>
  <c r="D599" i="45"/>
  <c r="G598" i="45"/>
  <c r="F598" i="45"/>
  <c r="D598" i="45"/>
  <c r="G597" i="45"/>
  <c r="F597" i="45"/>
  <c r="D597" i="45"/>
  <c r="G596" i="45"/>
  <c r="F596" i="45"/>
  <c r="D596" i="45"/>
  <c r="G595" i="45"/>
  <c r="F595" i="45"/>
  <c r="D595" i="45"/>
  <c r="G594" i="45"/>
  <c r="F594" i="45"/>
  <c r="D594" i="45"/>
  <c r="G593" i="45"/>
  <c r="F593" i="45"/>
  <c r="D593" i="45"/>
  <c r="G592" i="45"/>
  <c r="F592" i="45"/>
  <c r="D592" i="45"/>
  <c r="G591" i="45"/>
  <c r="F591" i="45"/>
  <c r="D591" i="45"/>
  <c r="G590" i="45"/>
  <c r="F590" i="45"/>
  <c r="D590" i="45"/>
  <c r="G589" i="45"/>
  <c r="F589" i="45"/>
  <c r="D589" i="45"/>
  <c r="G588" i="45"/>
  <c r="F588" i="45"/>
  <c r="D588" i="45"/>
  <c r="G587" i="45"/>
  <c r="F587" i="45"/>
  <c r="D587" i="45"/>
  <c r="G586" i="45"/>
  <c r="F586" i="45"/>
  <c r="D586" i="45"/>
  <c r="G585" i="45"/>
  <c r="F585" i="45"/>
  <c r="D585" i="45"/>
  <c r="G584" i="45"/>
  <c r="F584" i="45"/>
  <c r="D584" i="45"/>
  <c r="G583" i="45"/>
  <c r="F583" i="45"/>
  <c r="D583" i="45"/>
  <c r="G582" i="45"/>
  <c r="F582" i="45"/>
  <c r="D582" i="45"/>
  <c r="G581" i="45"/>
  <c r="F581" i="45"/>
  <c r="D581" i="45"/>
  <c r="G580" i="45"/>
  <c r="F580" i="45"/>
  <c r="D580" i="45"/>
  <c r="G579" i="45"/>
  <c r="F579" i="45"/>
  <c r="D579" i="45"/>
  <c r="G578" i="45"/>
  <c r="F578" i="45"/>
  <c r="D578" i="45"/>
  <c r="G577" i="45"/>
  <c r="F577" i="45"/>
  <c r="D577" i="45"/>
  <c r="G576" i="45"/>
  <c r="F576" i="45"/>
  <c r="D576" i="45"/>
  <c r="G575" i="45"/>
  <c r="F575" i="45"/>
  <c r="D575" i="45"/>
  <c r="G574" i="45"/>
  <c r="F574" i="45"/>
  <c r="D574" i="45"/>
  <c r="G573" i="45"/>
  <c r="F573" i="45"/>
  <c r="D573" i="45"/>
  <c r="G572" i="45"/>
  <c r="F572" i="45"/>
  <c r="D572" i="45"/>
  <c r="G571" i="45"/>
  <c r="F571" i="45"/>
  <c r="D571" i="45"/>
  <c r="G570" i="45"/>
  <c r="F570" i="45"/>
  <c r="D570" i="45"/>
  <c r="G569" i="45"/>
  <c r="F569" i="45"/>
  <c r="D569" i="45"/>
  <c r="G568" i="45"/>
  <c r="F568" i="45"/>
  <c r="D568" i="45"/>
  <c r="G567" i="45"/>
  <c r="F567" i="45"/>
  <c r="D567" i="45"/>
  <c r="G566" i="45"/>
  <c r="F566" i="45"/>
  <c r="D566" i="45"/>
  <c r="G565" i="45"/>
  <c r="F565" i="45"/>
  <c r="D565" i="45"/>
  <c r="G564" i="45"/>
  <c r="F564" i="45"/>
  <c r="D564" i="45"/>
  <c r="G563" i="45"/>
  <c r="F563" i="45"/>
  <c r="D563" i="45"/>
  <c r="G562" i="45"/>
  <c r="F562" i="45"/>
  <c r="D562" i="45"/>
  <c r="G561" i="45"/>
  <c r="F561" i="45"/>
  <c r="D561" i="45"/>
  <c r="G560" i="45"/>
  <c r="F560" i="45"/>
  <c r="D560" i="45"/>
  <c r="G559" i="45"/>
  <c r="F559" i="45"/>
  <c r="D559" i="45"/>
  <c r="G558" i="45"/>
  <c r="F558" i="45"/>
  <c r="D558" i="45"/>
  <c r="G557" i="45"/>
  <c r="F557" i="45"/>
  <c r="D557" i="45"/>
  <c r="G556" i="45"/>
  <c r="F556" i="45"/>
  <c r="D556" i="45"/>
  <c r="G555" i="45"/>
  <c r="F555" i="45"/>
  <c r="D555" i="45"/>
  <c r="G554" i="45"/>
  <c r="F554" i="45"/>
  <c r="D554" i="45"/>
  <c r="G553" i="45"/>
  <c r="F553" i="45"/>
  <c r="D553" i="45"/>
  <c r="G552" i="45"/>
  <c r="F552" i="45"/>
  <c r="D552" i="45"/>
  <c r="G551" i="45"/>
  <c r="F551" i="45"/>
  <c r="D551" i="45"/>
  <c r="G550" i="45"/>
  <c r="F550" i="45"/>
  <c r="D550" i="45"/>
  <c r="G549" i="45"/>
  <c r="F549" i="45"/>
  <c r="D549" i="45"/>
  <c r="G548" i="45"/>
  <c r="F548" i="45"/>
  <c r="D548" i="45"/>
  <c r="G547" i="45"/>
  <c r="F547" i="45"/>
  <c r="D547" i="45"/>
  <c r="G546" i="45"/>
  <c r="F546" i="45"/>
  <c r="D546" i="45"/>
  <c r="G545" i="45"/>
  <c r="F545" i="45"/>
  <c r="D545" i="45"/>
  <c r="G544" i="45"/>
  <c r="F544" i="45"/>
  <c r="D544" i="45"/>
  <c r="G543" i="45"/>
  <c r="F543" i="45"/>
  <c r="D543" i="45"/>
  <c r="G542" i="45"/>
  <c r="F542" i="45"/>
  <c r="D542" i="45"/>
  <c r="G541" i="45"/>
  <c r="F541" i="45"/>
  <c r="D541" i="45"/>
  <c r="G540" i="45"/>
  <c r="F540" i="45"/>
  <c r="D540" i="45"/>
  <c r="E6" i="45"/>
  <c r="G6" i="45" s="1"/>
  <c r="G5" i="45" s="1"/>
  <c r="G6" i="1" s="1"/>
  <c r="D5" i="45"/>
  <c r="D6" i="1" s="1"/>
  <c r="C5" i="45"/>
  <c r="C6" i="1" s="1"/>
  <c r="G961" i="5"/>
  <c r="F961" i="5"/>
  <c r="G960" i="5"/>
  <c r="F960" i="5"/>
  <c r="D960" i="5"/>
  <c r="G959" i="5"/>
  <c r="F959" i="5"/>
  <c r="D959" i="5"/>
  <c r="G958" i="5"/>
  <c r="F958" i="5"/>
  <c r="D958" i="5"/>
  <c r="G957" i="5"/>
  <c r="F957" i="5"/>
  <c r="D957" i="5"/>
  <c r="G956" i="5"/>
  <c r="F956" i="5"/>
  <c r="D956" i="5"/>
  <c r="G955" i="5"/>
  <c r="F955" i="5"/>
  <c r="D955" i="5"/>
  <c r="G954" i="5"/>
  <c r="F954" i="5"/>
  <c r="D954" i="5"/>
  <c r="G953" i="5"/>
  <c r="F953" i="5"/>
  <c r="D953" i="5"/>
  <c r="G952" i="5"/>
  <c r="F952" i="5"/>
  <c r="D952" i="5"/>
  <c r="G951" i="5"/>
  <c r="F951" i="5"/>
  <c r="D951" i="5"/>
  <c r="G950" i="5"/>
  <c r="F950" i="5"/>
  <c r="D950" i="5"/>
  <c r="G949" i="5"/>
  <c r="F949" i="5"/>
  <c r="D949" i="5"/>
  <c r="G948" i="5"/>
  <c r="F948" i="5"/>
  <c r="D948" i="5"/>
  <c r="G947" i="5"/>
  <c r="F947" i="5"/>
  <c r="D947" i="5"/>
  <c r="G946" i="5"/>
  <c r="F946" i="5"/>
  <c r="D946" i="5"/>
  <c r="G945" i="5"/>
  <c r="F945" i="5"/>
  <c r="D945" i="5"/>
  <c r="G944" i="5"/>
  <c r="F944" i="5"/>
  <c r="D944" i="5"/>
  <c r="G943" i="5"/>
  <c r="F943" i="5"/>
  <c r="D943" i="5"/>
  <c r="G942" i="5"/>
  <c r="F942" i="5"/>
  <c r="D942" i="5"/>
  <c r="G941" i="5"/>
  <c r="F941" i="5"/>
  <c r="D941" i="5"/>
  <c r="G940" i="5"/>
  <c r="F940" i="5"/>
  <c r="D940" i="5"/>
  <c r="G939" i="5"/>
  <c r="F939" i="5"/>
  <c r="D939" i="5"/>
  <c r="G938" i="5"/>
  <c r="F938" i="5"/>
  <c r="D938" i="5"/>
  <c r="G937" i="5"/>
  <c r="F937" i="5"/>
  <c r="D937" i="5"/>
  <c r="G936" i="5"/>
  <c r="F936" i="5"/>
  <c r="D936" i="5"/>
  <c r="G935" i="5"/>
  <c r="F935" i="5"/>
  <c r="D935" i="5"/>
  <c r="G934" i="5"/>
  <c r="F934" i="5"/>
  <c r="D934" i="5"/>
  <c r="G933" i="5"/>
  <c r="F933" i="5"/>
  <c r="D933" i="5"/>
  <c r="G932" i="5"/>
  <c r="F932" i="5"/>
  <c r="D932" i="5"/>
  <c r="G931" i="5"/>
  <c r="F931" i="5"/>
  <c r="D931" i="5"/>
  <c r="G930" i="5"/>
  <c r="F930" i="5"/>
  <c r="D930" i="5"/>
  <c r="G929" i="5"/>
  <c r="F929" i="5"/>
  <c r="D929" i="5"/>
  <c r="G928" i="5"/>
  <c r="F928" i="5"/>
  <c r="D928" i="5"/>
  <c r="G927" i="5"/>
  <c r="F927" i="5"/>
  <c r="D927" i="5"/>
  <c r="G926" i="5"/>
  <c r="F926" i="5"/>
  <c r="D926" i="5"/>
  <c r="G925" i="5"/>
  <c r="F925" i="5"/>
  <c r="D925" i="5"/>
  <c r="G924" i="5"/>
  <c r="F924" i="5"/>
  <c r="D924" i="5"/>
  <c r="G923" i="5"/>
  <c r="F923" i="5"/>
  <c r="D923" i="5"/>
  <c r="G922" i="5"/>
  <c r="F922" i="5"/>
  <c r="D922" i="5"/>
  <c r="G921" i="5"/>
  <c r="F921" i="5"/>
  <c r="D921" i="5"/>
  <c r="G920" i="5"/>
  <c r="F920" i="5"/>
  <c r="D920" i="5"/>
  <c r="G919" i="5"/>
  <c r="F919" i="5"/>
  <c r="D919" i="5"/>
  <c r="G918" i="5"/>
  <c r="F918" i="5"/>
  <c r="D918" i="5"/>
  <c r="G917" i="5"/>
  <c r="F917" i="5"/>
  <c r="D917" i="5"/>
  <c r="G916" i="5"/>
  <c r="F916" i="5"/>
  <c r="D916" i="5"/>
  <c r="G915" i="5"/>
  <c r="F915" i="5"/>
  <c r="D915" i="5"/>
  <c r="G914" i="5"/>
  <c r="F914" i="5"/>
  <c r="D914" i="5"/>
  <c r="G913" i="5"/>
  <c r="F913" i="5"/>
  <c r="D913" i="5"/>
  <c r="G912" i="5"/>
  <c r="F912" i="5"/>
  <c r="D912" i="5"/>
  <c r="G911" i="5"/>
  <c r="F911" i="5"/>
  <c r="D911" i="5"/>
  <c r="G910" i="5"/>
  <c r="F910" i="5"/>
  <c r="D910" i="5"/>
  <c r="G909" i="5"/>
  <c r="F909" i="5"/>
  <c r="D909" i="5"/>
  <c r="G908" i="5"/>
  <c r="F908" i="5"/>
  <c r="D908" i="5"/>
  <c r="G907" i="5"/>
  <c r="F907" i="5"/>
  <c r="D907" i="5"/>
  <c r="G906" i="5"/>
  <c r="F906" i="5"/>
  <c r="D906" i="5"/>
  <c r="G905" i="5"/>
  <c r="F905" i="5"/>
  <c r="D905" i="5"/>
  <c r="G904" i="5"/>
  <c r="F904" i="5"/>
  <c r="D904" i="5"/>
  <c r="G903" i="5"/>
  <c r="F903" i="5"/>
  <c r="D903" i="5"/>
  <c r="G902" i="5"/>
  <c r="F902" i="5"/>
  <c r="D902" i="5"/>
  <c r="G901" i="5"/>
  <c r="F901" i="5"/>
  <c r="D901" i="5"/>
  <c r="G900" i="5"/>
  <c r="F900" i="5"/>
  <c r="D900" i="5"/>
  <c r="G899" i="5"/>
  <c r="F899" i="5"/>
  <c r="D899" i="5"/>
  <c r="G898" i="5"/>
  <c r="F898" i="5"/>
  <c r="D898" i="5"/>
  <c r="G897" i="5"/>
  <c r="F897" i="5"/>
  <c r="D897" i="5"/>
  <c r="G896" i="5"/>
  <c r="F896" i="5"/>
  <c r="D896" i="5"/>
  <c r="G895" i="5"/>
  <c r="F895" i="5"/>
  <c r="D895" i="5"/>
  <c r="G894" i="5"/>
  <c r="F894" i="5"/>
  <c r="D894" i="5"/>
  <c r="G893" i="5"/>
  <c r="F893" i="5"/>
  <c r="D893" i="5"/>
  <c r="G892" i="5"/>
  <c r="F892" i="5"/>
  <c r="D892" i="5"/>
  <c r="G891" i="5"/>
  <c r="F891" i="5"/>
  <c r="D891" i="5"/>
  <c r="G890" i="5"/>
  <c r="F890" i="5"/>
  <c r="D890" i="5"/>
  <c r="G889" i="5"/>
  <c r="F889" i="5"/>
  <c r="D889" i="5"/>
  <c r="G888" i="5"/>
  <c r="F888" i="5"/>
  <c r="D888" i="5"/>
  <c r="G887" i="5"/>
  <c r="F887" i="5"/>
  <c r="D887" i="5"/>
  <c r="G886" i="5"/>
  <c r="F886" i="5"/>
  <c r="D886" i="5"/>
  <c r="G885" i="5"/>
  <c r="F885" i="5"/>
  <c r="D885" i="5"/>
  <c r="G884" i="5"/>
  <c r="F884" i="5"/>
  <c r="D884" i="5"/>
  <c r="G883" i="5"/>
  <c r="F883" i="5"/>
  <c r="D883" i="5"/>
  <c r="G882" i="5"/>
  <c r="F882" i="5"/>
  <c r="D882" i="5"/>
  <c r="G881" i="5"/>
  <c r="F881" i="5"/>
  <c r="D881" i="5"/>
  <c r="G880" i="5"/>
  <c r="F880" i="5"/>
  <c r="D880" i="5"/>
  <c r="G879" i="5"/>
  <c r="F879" i="5"/>
  <c r="D879" i="5"/>
  <c r="G878" i="5"/>
  <c r="F878" i="5"/>
  <c r="D878" i="5"/>
  <c r="G877" i="5"/>
  <c r="F877" i="5"/>
  <c r="D877" i="5"/>
  <c r="G876" i="5"/>
  <c r="F876" i="5"/>
  <c r="D876" i="5"/>
  <c r="G875" i="5"/>
  <c r="F875" i="5"/>
  <c r="D875" i="5"/>
  <c r="G874" i="5"/>
  <c r="F874" i="5"/>
  <c r="D874" i="5"/>
  <c r="G873" i="5"/>
  <c r="F873" i="5"/>
  <c r="D873" i="5"/>
  <c r="G872" i="5"/>
  <c r="F872" i="5"/>
  <c r="D872" i="5"/>
  <c r="G871" i="5"/>
  <c r="F871" i="5"/>
  <c r="D871" i="5"/>
  <c r="G870" i="5"/>
  <c r="F870" i="5"/>
  <c r="D870" i="5"/>
  <c r="G869" i="5"/>
  <c r="F869" i="5"/>
  <c r="D869" i="5"/>
  <c r="G868" i="5"/>
  <c r="F868" i="5"/>
  <c r="D868" i="5"/>
  <c r="G867" i="5"/>
  <c r="F867" i="5"/>
  <c r="D867" i="5"/>
  <c r="G866" i="5"/>
  <c r="F866" i="5"/>
  <c r="D866" i="5"/>
  <c r="G865" i="5"/>
  <c r="F865" i="5"/>
  <c r="D865" i="5"/>
  <c r="G864" i="5"/>
  <c r="F864" i="5"/>
  <c r="D864" i="5"/>
  <c r="G863" i="5"/>
  <c r="F863" i="5"/>
  <c r="D863" i="5"/>
  <c r="G862" i="5"/>
  <c r="F862" i="5"/>
  <c r="D862" i="5"/>
  <c r="G861" i="5"/>
  <c r="F861" i="5"/>
  <c r="D861" i="5"/>
  <c r="G860" i="5"/>
  <c r="F860" i="5"/>
  <c r="D860" i="5"/>
  <c r="G859" i="5"/>
  <c r="F859" i="5"/>
  <c r="D859" i="5"/>
  <c r="G858" i="5"/>
  <c r="F858" i="5"/>
  <c r="D858" i="5"/>
  <c r="G857" i="5"/>
  <c r="F857" i="5"/>
  <c r="D857" i="5"/>
  <c r="G856" i="5"/>
  <c r="F856" i="5"/>
  <c r="D856" i="5"/>
  <c r="G855" i="5"/>
  <c r="F855" i="5"/>
  <c r="D855" i="5"/>
  <c r="G854" i="5"/>
  <c r="F854" i="5"/>
  <c r="D854" i="5"/>
  <c r="G853" i="5"/>
  <c r="F853" i="5"/>
  <c r="D853" i="5"/>
  <c r="G852" i="5"/>
  <c r="F852" i="5"/>
  <c r="D852" i="5"/>
  <c r="G851" i="5"/>
  <c r="F851" i="5"/>
  <c r="D851" i="5"/>
  <c r="G850" i="5"/>
  <c r="F850" i="5"/>
  <c r="D850" i="5"/>
  <c r="G849" i="5"/>
  <c r="F849" i="5"/>
  <c r="D849" i="5"/>
  <c r="G848" i="5"/>
  <c r="F848" i="5"/>
  <c r="D848" i="5"/>
  <c r="G847" i="5"/>
  <c r="F847" i="5"/>
  <c r="D847" i="5"/>
  <c r="G846" i="5"/>
  <c r="F846" i="5"/>
  <c r="D846" i="5"/>
  <c r="G845" i="5"/>
  <c r="F845" i="5"/>
  <c r="D845" i="5"/>
  <c r="G844" i="5"/>
  <c r="F844" i="5"/>
  <c r="D844" i="5"/>
  <c r="G843" i="5"/>
  <c r="F843" i="5"/>
  <c r="D843" i="5"/>
  <c r="G842" i="5"/>
  <c r="F842" i="5"/>
  <c r="D842" i="5"/>
  <c r="G841" i="5"/>
  <c r="F841" i="5"/>
  <c r="D841" i="5"/>
  <c r="G840" i="5"/>
  <c r="F840" i="5"/>
  <c r="D840" i="5"/>
  <c r="G839" i="5"/>
  <c r="F839" i="5"/>
  <c r="D839" i="5"/>
  <c r="G838" i="5"/>
  <c r="F838" i="5"/>
  <c r="D838" i="5"/>
  <c r="G837" i="5"/>
  <c r="F837" i="5"/>
  <c r="D837" i="5"/>
  <c r="G836" i="5"/>
  <c r="F836" i="5"/>
  <c r="D836" i="5"/>
  <c r="G835" i="5"/>
  <c r="F835" i="5"/>
  <c r="D835" i="5"/>
  <c r="G834" i="5"/>
  <c r="F834" i="5"/>
  <c r="D834" i="5"/>
  <c r="G833" i="5"/>
  <c r="F833" i="5"/>
  <c r="D833" i="5"/>
  <c r="G832" i="5"/>
  <c r="F832" i="5"/>
  <c r="D832" i="5"/>
  <c r="G831" i="5"/>
  <c r="F831" i="5"/>
  <c r="D831" i="5"/>
  <c r="G830" i="5"/>
  <c r="F830" i="5"/>
  <c r="D830" i="5"/>
  <c r="G829" i="5"/>
  <c r="F829" i="5"/>
  <c r="D829" i="5"/>
  <c r="G828" i="5"/>
  <c r="F828" i="5"/>
  <c r="D828" i="5"/>
  <c r="G827" i="5"/>
  <c r="F827" i="5"/>
  <c r="D827" i="5"/>
  <c r="G826" i="5"/>
  <c r="F826" i="5"/>
  <c r="D826" i="5"/>
  <c r="G825" i="5"/>
  <c r="F825" i="5"/>
  <c r="D825" i="5"/>
  <c r="G824" i="5"/>
  <c r="F824" i="5"/>
  <c r="D824" i="5"/>
  <c r="G823" i="5"/>
  <c r="F823" i="5"/>
  <c r="D823" i="5"/>
  <c r="G822" i="5"/>
  <c r="F822" i="5"/>
  <c r="D822" i="5"/>
  <c r="G821" i="5"/>
  <c r="F821" i="5"/>
  <c r="D821" i="5"/>
  <c r="G820" i="5"/>
  <c r="F820" i="5"/>
  <c r="D820" i="5"/>
  <c r="G819" i="5"/>
  <c r="F819" i="5"/>
  <c r="D819" i="5"/>
  <c r="G818" i="5"/>
  <c r="F818" i="5"/>
  <c r="D818" i="5"/>
  <c r="G817" i="5"/>
  <c r="F817" i="5"/>
  <c r="D817" i="5"/>
  <c r="G816" i="5"/>
  <c r="F816" i="5"/>
  <c r="D816" i="5"/>
  <c r="G815" i="5"/>
  <c r="F815" i="5"/>
  <c r="D815" i="5"/>
  <c r="G814" i="5"/>
  <c r="F814" i="5"/>
  <c r="D814" i="5"/>
  <c r="G813" i="5"/>
  <c r="F813" i="5"/>
  <c r="D813" i="5"/>
  <c r="G812" i="5"/>
  <c r="F812" i="5"/>
  <c r="D812" i="5"/>
  <c r="G811" i="5"/>
  <c r="F811" i="5"/>
  <c r="D811" i="5"/>
  <c r="G810" i="5"/>
  <c r="F810" i="5"/>
  <c r="D810" i="5"/>
  <c r="G809" i="5"/>
  <c r="F809" i="5"/>
  <c r="D809" i="5"/>
  <c r="G808" i="5"/>
  <c r="F808" i="5"/>
  <c r="D808" i="5"/>
  <c r="G807" i="5"/>
  <c r="F807" i="5"/>
  <c r="D807" i="5"/>
  <c r="G806" i="5"/>
  <c r="F806" i="5"/>
  <c r="D806" i="5"/>
  <c r="G805" i="5"/>
  <c r="F805" i="5"/>
  <c r="D805" i="5"/>
  <c r="G804" i="5"/>
  <c r="F804" i="5"/>
  <c r="D804" i="5"/>
  <c r="G803" i="5"/>
  <c r="F803" i="5"/>
  <c r="D803" i="5"/>
  <c r="G802" i="5"/>
  <c r="F802" i="5"/>
  <c r="D802" i="5"/>
  <c r="G801" i="5"/>
  <c r="F801" i="5"/>
  <c r="D801" i="5"/>
  <c r="G800" i="5"/>
  <c r="F800" i="5"/>
  <c r="D800" i="5"/>
  <c r="G799" i="5"/>
  <c r="F799" i="5"/>
  <c r="D799" i="5"/>
  <c r="G798" i="5"/>
  <c r="F798" i="5"/>
  <c r="D798" i="5"/>
  <c r="G797" i="5"/>
  <c r="F797" i="5"/>
  <c r="D797" i="5"/>
  <c r="G796" i="5"/>
  <c r="F796" i="5"/>
  <c r="D796" i="5"/>
  <c r="G795" i="5"/>
  <c r="F795" i="5"/>
  <c r="D795" i="5"/>
  <c r="G794" i="5"/>
  <c r="F794" i="5"/>
  <c r="D794" i="5"/>
  <c r="G793" i="5"/>
  <c r="F793" i="5"/>
  <c r="D793" i="5"/>
  <c r="G792" i="5"/>
  <c r="F792" i="5"/>
  <c r="D792" i="5"/>
  <c r="G791" i="5"/>
  <c r="F791" i="5"/>
  <c r="D791" i="5"/>
  <c r="G790" i="5"/>
  <c r="F790" i="5"/>
  <c r="D790" i="5"/>
  <c r="G789" i="5"/>
  <c r="F789" i="5"/>
  <c r="D789" i="5"/>
  <c r="G788" i="5"/>
  <c r="F788" i="5"/>
  <c r="D788" i="5"/>
  <c r="G787" i="5"/>
  <c r="F787" i="5"/>
  <c r="D787" i="5"/>
  <c r="G786" i="5"/>
  <c r="F786" i="5"/>
  <c r="D786" i="5"/>
  <c r="G785" i="5"/>
  <c r="F785" i="5"/>
  <c r="D785" i="5"/>
  <c r="G784" i="5"/>
  <c r="F784" i="5"/>
  <c r="D784" i="5"/>
  <c r="G783" i="5"/>
  <c r="F783" i="5"/>
  <c r="D783" i="5"/>
  <c r="G782" i="5"/>
  <c r="F782" i="5"/>
  <c r="D782" i="5"/>
  <c r="G781" i="5"/>
  <c r="F781" i="5"/>
  <c r="D781" i="5"/>
  <c r="G780" i="5"/>
  <c r="F780" i="5"/>
  <c r="D780" i="5"/>
  <c r="G779" i="5"/>
  <c r="F779" i="5"/>
  <c r="D779" i="5"/>
  <c r="G778" i="5"/>
  <c r="F778" i="5"/>
  <c r="D778" i="5"/>
  <c r="G777" i="5"/>
  <c r="F777" i="5"/>
  <c r="D777" i="5"/>
  <c r="G776" i="5"/>
  <c r="F776" i="5"/>
  <c r="D776" i="5"/>
  <c r="G775" i="5"/>
  <c r="F775" i="5"/>
  <c r="D775" i="5"/>
  <c r="G774" i="5"/>
  <c r="F774" i="5"/>
  <c r="D774" i="5"/>
  <c r="G773" i="5"/>
  <c r="F773" i="5"/>
  <c r="D773" i="5"/>
  <c r="G772" i="5"/>
  <c r="F772" i="5"/>
  <c r="D772" i="5"/>
  <c r="G771" i="5"/>
  <c r="F771" i="5"/>
  <c r="D771" i="5"/>
  <c r="G770" i="5"/>
  <c r="F770" i="5"/>
  <c r="D770" i="5"/>
  <c r="G769" i="5"/>
  <c r="F769" i="5"/>
  <c r="D769" i="5"/>
  <c r="G768" i="5"/>
  <c r="F768" i="5"/>
  <c r="D768" i="5"/>
  <c r="G767" i="5"/>
  <c r="F767" i="5"/>
  <c r="D767" i="5"/>
  <c r="G766" i="5"/>
  <c r="F766" i="5"/>
  <c r="D766" i="5"/>
  <c r="G765" i="5"/>
  <c r="F765" i="5"/>
  <c r="D765" i="5"/>
  <c r="G764" i="5"/>
  <c r="F764" i="5"/>
  <c r="D764" i="5"/>
  <c r="G763" i="5"/>
  <c r="F763" i="5"/>
  <c r="D763" i="5"/>
  <c r="G762" i="5"/>
  <c r="F762" i="5"/>
  <c r="D762" i="5"/>
  <c r="G761" i="5"/>
  <c r="F761" i="5"/>
  <c r="D761" i="5"/>
  <c r="G760" i="5"/>
  <c r="F760" i="5"/>
  <c r="D760" i="5"/>
  <c r="G759" i="5"/>
  <c r="F759" i="5"/>
  <c r="D759" i="5"/>
  <c r="G758" i="5"/>
  <c r="F758" i="5"/>
  <c r="D758" i="5"/>
  <c r="G757" i="5"/>
  <c r="F757" i="5"/>
  <c r="D757" i="5"/>
  <c r="G756" i="5"/>
  <c r="F756" i="5"/>
  <c r="D756" i="5"/>
  <c r="G755" i="5"/>
  <c r="F755" i="5"/>
  <c r="D755" i="5"/>
  <c r="G754" i="5"/>
  <c r="F754" i="5"/>
  <c r="D754" i="5"/>
  <c r="G753" i="5"/>
  <c r="F753" i="5"/>
  <c r="D753" i="5"/>
  <c r="G752" i="5"/>
  <c r="F752" i="5"/>
  <c r="D752" i="5"/>
  <c r="G751" i="5"/>
  <c r="F751" i="5"/>
  <c r="D751" i="5"/>
  <c r="G750" i="5"/>
  <c r="F750" i="5"/>
  <c r="D750" i="5"/>
  <c r="G749" i="5"/>
  <c r="F749" i="5"/>
  <c r="D749" i="5"/>
  <c r="G748" i="5"/>
  <c r="F748" i="5"/>
  <c r="D748" i="5"/>
  <c r="G747" i="5"/>
  <c r="F747" i="5"/>
  <c r="D747" i="5"/>
  <c r="G746" i="5"/>
  <c r="F746" i="5"/>
  <c r="D746" i="5"/>
  <c r="G745" i="5"/>
  <c r="F745" i="5"/>
  <c r="D745" i="5"/>
  <c r="G744" i="5"/>
  <c r="F744" i="5"/>
  <c r="D744" i="5"/>
  <c r="G743" i="5"/>
  <c r="F743" i="5"/>
  <c r="D743" i="5"/>
  <c r="G742" i="5"/>
  <c r="F742" i="5"/>
  <c r="D742" i="5"/>
  <c r="G741" i="5"/>
  <c r="F741" i="5"/>
  <c r="D741" i="5"/>
  <c r="G740" i="5"/>
  <c r="F740" i="5"/>
  <c r="D740" i="5"/>
  <c r="G739" i="5"/>
  <c r="F739" i="5"/>
  <c r="D739" i="5"/>
  <c r="G738" i="5"/>
  <c r="F738" i="5"/>
  <c r="D738" i="5"/>
  <c r="G737" i="5"/>
  <c r="F737" i="5"/>
  <c r="D737" i="5"/>
  <c r="G736" i="5"/>
  <c r="F736" i="5"/>
  <c r="D736" i="5"/>
  <c r="G735" i="5"/>
  <c r="F735" i="5"/>
  <c r="D735" i="5"/>
  <c r="G734" i="5"/>
  <c r="F734" i="5"/>
  <c r="D734" i="5"/>
  <c r="G733" i="5"/>
  <c r="F733" i="5"/>
  <c r="D733" i="5"/>
  <c r="G732" i="5"/>
  <c r="F732" i="5"/>
  <c r="D732" i="5"/>
  <c r="G731" i="5"/>
  <c r="F731" i="5"/>
  <c r="D731" i="5"/>
  <c r="G730" i="5"/>
  <c r="F730" i="5"/>
  <c r="D730" i="5"/>
  <c r="G729" i="5"/>
  <c r="F729" i="5"/>
  <c r="D729" i="5"/>
  <c r="G728" i="5"/>
  <c r="F728" i="5"/>
  <c r="D728" i="5"/>
  <c r="G727" i="5"/>
  <c r="F727" i="5"/>
  <c r="D727" i="5"/>
  <c r="G726" i="5"/>
  <c r="F726" i="5"/>
  <c r="D726" i="5"/>
  <c r="G725" i="5"/>
  <c r="F725" i="5"/>
  <c r="D725" i="5"/>
  <c r="G724" i="5"/>
  <c r="F724" i="5"/>
  <c r="D724" i="5"/>
  <c r="G723" i="5"/>
  <c r="F723" i="5"/>
  <c r="D723" i="5"/>
  <c r="G722" i="5"/>
  <c r="F722" i="5"/>
  <c r="D722" i="5"/>
  <c r="G721" i="5"/>
  <c r="F721" i="5"/>
  <c r="D721" i="5"/>
  <c r="G720" i="5"/>
  <c r="F720" i="5"/>
  <c r="D720" i="5"/>
  <c r="G719" i="5"/>
  <c r="F719" i="5"/>
  <c r="D719" i="5"/>
  <c r="G718" i="5"/>
  <c r="F718" i="5"/>
  <c r="D718" i="5"/>
  <c r="G717" i="5"/>
  <c r="F717" i="5"/>
  <c r="D717" i="5"/>
  <c r="G716" i="5"/>
  <c r="F716" i="5"/>
  <c r="D716" i="5"/>
  <c r="G715" i="5"/>
  <c r="F715" i="5"/>
  <c r="D715" i="5"/>
  <c r="G714" i="5"/>
  <c r="F714" i="5"/>
  <c r="D714" i="5"/>
  <c r="G713" i="5"/>
  <c r="F713" i="5"/>
  <c r="D713" i="5"/>
  <c r="G712" i="5"/>
  <c r="F712" i="5"/>
  <c r="D712" i="5"/>
  <c r="G711" i="5"/>
  <c r="F711" i="5"/>
  <c r="D711" i="5"/>
  <c r="G710" i="5"/>
  <c r="F710" i="5"/>
  <c r="D710" i="5"/>
  <c r="G709" i="5"/>
  <c r="F709" i="5"/>
  <c r="D709" i="5"/>
  <c r="G708" i="5"/>
  <c r="F708" i="5"/>
  <c r="D708" i="5"/>
  <c r="G707" i="5"/>
  <c r="F707" i="5"/>
  <c r="D707" i="5"/>
  <c r="G706" i="5"/>
  <c r="F706" i="5"/>
  <c r="D706" i="5"/>
  <c r="G705" i="5"/>
  <c r="F705" i="5"/>
  <c r="D705" i="5"/>
  <c r="G704" i="5"/>
  <c r="F704" i="5"/>
  <c r="D704" i="5"/>
  <c r="G703" i="5"/>
  <c r="F703" i="5"/>
  <c r="D703" i="5"/>
  <c r="G702" i="5"/>
  <c r="F702" i="5"/>
  <c r="D702" i="5"/>
  <c r="G701" i="5"/>
  <c r="F701" i="5"/>
  <c r="D701" i="5"/>
  <c r="G700" i="5"/>
  <c r="F700" i="5"/>
  <c r="D700" i="5"/>
  <c r="G699" i="5"/>
  <c r="F699" i="5"/>
  <c r="D699" i="5"/>
  <c r="G698" i="5"/>
  <c r="F698" i="5"/>
  <c r="D698" i="5"/>
  <c r="G697" i="5"/>
  <c r="F697" i="5"/>
  <c r="D697" i="5"/>
  <c r="G696" i="5"/>
  <c r="F696" i="5"/>
  <c r="D696" i="5"/>
  <c r="G695" i="5"/>
  <c r="F695" i="5"/>
  <c r="D695" i="5"/>
  <c r="G694" i="5"/>
  <c r="F694" i="5"/>
  <c r="D694" i="5"/>
  <c r="G693" i="5"/>
  <c r="F693" i="5"/>
  <c r="D693" i="5"/>
  <c r="G692" i="5"/>
  <c r="F692" i="5"/>
  <c r="D692" i="5"/>
  <c r="G691" i="5"/>
  <c r="F691" i="5"/>
  <c r="D691" i="5"/>
  <c r="G690" i="5"/>
  <c r="F690" i="5"/>
  <c r="D690" i="5"/>
  <c r="G689" i="5"/>
  <c r="F689" i="5"/>
  <c r="D689" i="5"/>
  <c r="G688" i="5"/>
  <c r="F688" i="5"/>
  <c r="D688" i="5"/>
  <c r="G687" i="5"/>
  <c r="F687" i="5"/>
  <c r="D687" i="5"/>
  <c r="G686" i="5"/>
  <c r="F686" i="5"/>
  <c r="D686" i="5"/>
  <c r="G685" i="5"/>
  <c r="F685" i="5"/>
  <c r="D685" i="5"/>
  <c r="G684" i="5"/>
  <c r="F684" i="5"/>
  <c r="D684" i="5"/>
  <c r="G683" i="5"/>
  <c r="F683" i="5"/>
  <c r="D683" i="5"/>
  <c r="G682" i="5"/>
  <c r="F682" i="5"/>
  <c r="D682" i="5"/>
  <c r="G681" i="5"/>
  <c r="F681" i="5"/>
  <c r="D681" i="5"/>
  <c r="G680" i="5"/>
  <c r="F680" i="5"/>
  <c r="D680" i="5"/>
  <c r="G679" i="5"/>
  <c r="F679" i="5"/>
  <c r="D679" i="5"/>
  <c r="G678" i="5"/>
  <c r="F678" i="5"/>
  <c r="D678" i="5"/>
  <c r="G677" i="5"/>
  <c r="F677" i="5"/>
  <c r="D677" i="5"/>
  <c r="G676" i="5"/>
  <c r="F676" i="5"/>
  <c r="D676" i="5"/>
  <c r="G675" i="5"/>
  <c r="F675" i="5"/>
  <c r="D675" i="5"/>
  <c r="G674" i="5"/>
  <c r="F674" i="5"/>
  <c r="D674" i="5"/>
  <c r="G673" i="5"/>
  <c r="F673" i="5"/>
  <c r="D673" i="5"/>
  <c r="G672" i="5"/>
  <c r="F672" i="5"/>
  <c r="D672" i="5"/>
  <c r="G671" i="5"/>
  <c r="F671" i="5"/>
  <c r="D671" i="5"/>
  <c r="G670" i="5"/>
  <c r="F670" i="5"/>
  <c r="D670" i="5"/>
  <c r="G669" i="5"/>
  <c r="F669" i="5"/>
  <c r="D669" i="5"/>
  <c r="G668" i="5"/>
  <c r="F668" i="5"/>
  <c r="D668" i="5"/>
  <c r="G667" i="5"/>
  <c r="F667" i="5"/>
  <c r="D667" i="5"/>
  <c r="G666" i="5"/>
  <c r="F666" i="5"/>
  <c r="D666" i="5"/>
  <c r="G665" i="5"/>
  <c r="F665" i="5"/>
  <c r="D665" i="5"/>
  <c r="G664" i="5"/>
  <c r="F664" i="5"/>
  <c r="D664" i="5"/>
  <c r="G663" i="5"/>
  <c r="F663" i="5"/>
  <c r="D663" i="5"/>
  <c r="G662" i="5"/>
  <c r="F662" i="5"/>
  <c r="D662" i="5"/>
  <c r="G661" i="5"/>
  <c r="F661" i="5"/>
  <c r="D661" i="5"/>
  <c r="G660" i="5"/>
  <c r="F660" i="5"/>
  <c r="D660" i="5"/>
  <c r="G659" i="5"/>
  <c r="F659" i="5"/>
  <c r="D659" i="5"/>
  <c r="G658" i="5"/>
  <c r="F658" i="5"/>
  <c r="D658" i="5"/>
  <c r="G657" i="5"/>
  <c r="F657" i="5"/>
  <c r="D657" i="5"/>
  <c r="G656" i="5"/>
  <c r="F656" i="5"/>
  <c r="D656" i="5"/>
  <c r="G655" i="5"/>
  <c r="F655" i="5"/>
  <c r="D655" i="5"/>
  <c r="G654" i="5"/>
  <c r="F654" i="5"/>
  <c r="D654" i="5"/>
  <c r="G653" i="5"/>
  <c r="F653" i="5"/>
  <c r="D653" i="5"/>
  <c r="G652" i="5"/>
  <c r="F652" i="5"/>
  <c r="D652" i="5"/>
  <c r="G651" i="5"/>
  <c r="F651" i="5"/>
  <c r="D651" i="5"/>
  <c r="G650" i="5"/>
  <c r="F650" i="5"/>
  <c r="D650" i="5"/>
  <c r="G649" i="5"/>
  <c r="F649" i="5"/>
  <c r="D649" i="5"/>
  <c r="G648" i="5"/>
  <c r="F648" i="5"/>
  <c r="D648" i="5"/>
  <c r="G647" i="5"/>
  <c r="F647" i="5"/>
  <c r="D647" i="5"/>
  <c r="G646" i="5"/>
  <c r="F646" i="5"/>
  <c r="D646" i="5"/>
  <c r="G645" i="5"/>
  <c r="F645" i="5"/>
  <c r="D645" i="5"/>
  <c r="G644" i="5"/>
  <c r="F644" i="5"/>
  <c r="D644" i="5"/>
  <c r="G643" i="5"/>
  <c r="F643" i="5"/>
  <c r="D643" i="5"/>
  <c r="G642" i="5"/>
  <c r="F642" i="5"/>
  <c r="D642" i="5"/>
  <c r="G641" i="5"/>
  <c r="F641" i="5"/>
  <c r="D641" i="5"/>
  <c r="G640" i="5"/>
  <c r="F640" i="5"/>
  <c r="D640" i="5"/>
  <c r="G639" i="5"/>
  <c r="F639" i="5"/>
  <c r="D639" i="5"/>
  <c r="G638" i="5"/>
  <c r="F638" i="5"/>
  <c r="D638" i="5"/>
  <c r="G637" i="5"/>
  <c r="F637" i="5"/>
  <c r="D637" i="5"/>
  <c r="G636" i="5"/>
  <c r="F636" i="5"/>
  <c r="D636" i="5"/>
  <c r="G635" i="5"/>
  <c r="F635" i="5"/>
  <c r="D635" i="5"/>
  <c r="G634" i="5"/>
  <c r="F634" i="5"/>
  <c r="D634" i="5"/>
  <c r="G633" i="5"/>
  <c r="F633" i="5"/>
  <c r="D633" i="5"/>
  <c r="G632" i="5"/>
  <c r="F632" i="5"/>
  <c r="D632" i="5"/>
  <c r="G631" i="5"/>
  <c r="F631" i="5"/>
  <c r="D631" i="5"/>
  <c r="G630" i="5"/>
  <c r="F630" i="5"/>
  <c r="D630" i="5"/>
  <c r="G629" i="5"/>
  <c r="F629" i="5"/>
  <c r="D629" i="5"/>
  <c r="G628" i="5"/>
  <c r="F628" i="5"/>
  <c r="D628" i="5"/>
  <c r="G627" i="5"/>
  <c r="F627" i="5"/>
  <c r="D627" i="5"/>
  <c r="G626" i="5"/>
  <c r="F626" i="5"/>
  <c r="D626" i="5"/>
  <c r="G625" i="5"/>
  <c r="F625" i="5"/>
  <c r="D625" i="5"/>
  <c r="G624" i="5"/>
  <c r="F624" i="5"/>
  <c r="D624" i="5"/>
  <c r="G623" i="5"/>
  <c r="F623" i="5"/>
  <c r="D623" i="5"/>
  <c r="G622" i="5"/>
  <c r="F622" i="5"/>
  <c r="D622" i="5"/>
  <c r="G621" i="5"/>
  <c r="F621" i="5"/>
  <c r="D621" i="5"/>
  <c r="G620" i="5"/>
  <c r="F620" i="5"/>
  <c r="D620" i="5"/>
  <c r="G619" i="5"/>
  <c r="F619" i="5"/>
  <c r="D619" i="5"/>
  <c r="G618" i="5"/>
  <c r="F618" i="5"/>
  <c r="D618" i="5"/>
  <c r="G617" i="5"/>
  <c r="F617" i="5"/>
  <c r="D617" i="5"/>
  <c r="G616" i="5"/>
  <c r="F616" i="5"/>
  <c r="D616" i="5"/>
  <c r="G615" i="5"/>
  <c r="F615" i="5"/>
  <c r="D615" i="5"/>
  <c r="G614" i="5"/>
  <c r="F614" i="5"/>
  <c r="D614" i="5"/>
  <c r="G613" i="5"/>
  <c r="F613" i="5"/>
  <c r="D613" i="5"/>
  <c r="G612" i="5"/>
  <c r="F612" i="5"/>
  <c r="D612" i="5"/>
  <c r="G611" i="5"/>
  <c r="F611" i="5"/>
  <c r="D611" i="5"/>
  <c r="G610" i="5"/>
  <c r="F610" i="5"/>
  <c r="D610" i="5"/>
  <c r="G609" i="5"/>
  <c r="F609" i="5"/>
  <c r="D609" i="5"/>
  <c r="G608" i="5"/>
  <c r="F608" i="5"/>
  <c r="D608" i="5"/>
  <c r="G607" i="5"/>
  <c r="F607" i="5"/>
  <c r="D607" i="5"/>
  <c r="G606" i="5"/>
  <c r="F606" i="5"/>
  <c r="D606" i="5"/>
  <c r="G605" i="5"/>
  <c r="F605" i="5"/>
  <c r="D605" i="5"/>
  <c r="G604" i="5"/>
  <c r="F604" i="5"/>
  <c r="D604" i="5"/>
  <c r="G603" i="5"/>
  <c r="F603" i="5"/>
  <c r="D603" i="5"/>
  <c r="G602" i="5"/>
  <c r="F602" i="5"/>
  <c r="D602" i="5"/>
  <c r="G601" i="5"/>
  <c r="F601" i="5"/>
  <c r="D601" i="5"/>
  <c r="G600" i="5"/>
  <c r="F600" i="5"/>
  <c r="D600" i="5"/>
  <c r="G599" i="5"/>
  <c r="F599" i="5"/>
  <c r="D599" i="5"/>
  <c r="G598" i="5"/>
  <c r="F598" i="5"/>
  <c r="D598" i="5"/>
  <c r="G597" i="5"/>
  <c r="F597" i="5"/>
  <c r="D597" i="5"/>
  <c r="G596" i="5"/>
  <c r="F596" i="5"/>
  <c r="D596" i="5"/>
  <c r="G595" i="5"/>
  <c r="F595" i="5"/>
  <c r="D595" i="5"/>
  <c r="G594" i="5"/>
  <c r="F594" i="5"/>
  <c r="D594" i="5"/>
  <c r="G593" i="5"/>
  <c r="F593" i="5"/>
  <c r="D593" i="5"/>
  <c r="G592" i="5"/>
  <c r="F592" i="5"/>
  <c r="D592" i="5"/>
  <c r="G591" i="5"/>
  <c r="F591" i="5"/>
  <c r="D591" i="5"/>
  <c r="G590" i="5"/>
  <c r="F590" i="5"/>
  <c r="D590" i="5"/>
  <c r="G589" i="5"/>
  <c r="F589" i="5"/>
  <c r="D589" i="5"/>
  <c r="G588" i="5"/>
  <c r="F588" i="5"/>
  <c r="D588" i="5"/>
  <c r="G587" i="5"/>
  <c r="F587" i="5"/>
  <c r="D587" i="5"/>
  <c r="G586" i="5"/>
  <c r="F586" i="5"/>
  <c r="D586" i="5"/>
  <c r="G585" i="5"/>
  <c r="F585" i="5"/>
  <c r="D585" i="5"/>
  <c r="G584" i="5"/>
  <c r="F584" i="5"/>
  <c r="D584" i="5"/>
  <c r="G583" i="5"/>
  <c r="F583" i="5"/>
  <c r="D583" i="5"/>
  <c r="G582" i="5"/>
  <c r="F582" i="5"/>
  <c r="D582" i="5"/>
  <c r="G581" i="5"/>
  <c r="F581" i="5"/>
  <c r="D581" i="5"/>
  <c r="G580" i="5"/>
  <c r="F580" i="5"/>
  <c r="D580" i="5"/>
  <c r="G579" i="5"/>
  <c r="F579" i="5"/>
  <c r="D579" i="5"/>
  <c r="G578" i="5"/>
  <c r="F578" i="5"/>
  <c r="D578" i="5"/>
  <c r="G577" i="5"/>
  <c r="F577" i="5"/>
  <c r="D577" i="5"/>
  <c r="G576" i="5"/>
  <c r="F576" i="5"/>
  <c r="D576" i="5"/>
  <c r="G575" i="5"/>
  <c r="F575" i="5"/>
  <c r="D575" i="5"/>
  <c r="G574" i="5"/>
  <c r="F574" i="5"/>
  <c r="D574" i="5"/>
  <c r="G573" i="5"/>
  <c r="F573" i="5"/>
  <c r="D573" i="5"/>
  <c r="G572" i="5"/>
  <c r="F572" i="5"/>
  <c r="D572" i="5"/>
  <c r="G571" i="5"/>
  <c r="F571" i="5"/>
  <c r="D571" i="5"/>
  <c r="G570" i="5"/>
  <c r="F570" i="5"/>
  <c r="D570" i="5"/>
  <c r="G569" i="5"/>
  <c r="F569" i="5"/>
  <c r="D569" i="5"/>
  <c r="G568" i="5"/>
  <c r="F568" i="5"/>
  <c r="D568" i="5"/>
  <c r="G567" i="5"/>
  <c r="F567" i="5"/>
  <c r="D567" i="5"/>
  <c r="G566" i="5"/>
  <c r="F566" i="5"/>
  <c r="D566" i="5"/>
  <c r="G565" i="5"/>
  <c r="F565" i="5"/>
  <c r="D565" i="5"/>
  <c r="G564" i="5"/>
  <c r="F564" i="5"/>
  <c r="D564" i="5"/>
  <c r="G563" i="5"/>
  <c r="F563" i="5"/>
  <c r="D563" i="5"/>
  <c r="G562" i="5"/>
  <c r="F562" i="5"/>
  <c r="D562" i="5"/>
  <c r="G561" i="5"/>
  <c r="F561" i="5"/>
  <c r="D561" i="5"/>
  <c r="G560" i="5"/>
  <c r="F560" i="5"/>
  <c r="D560" i="5"/>
  <c r="G559" i="5"/>
  <c r="F559" i="5"/>
  <c r="D559" i="5"/>
  <c r="G558" i="5"/>
  <c r="F558" i="5"/>
  <c r="D558" i="5"/>
  <c r="G557" i="5"/>
  <c r="F557" i="5"/>
  <c r="D557" i="5"/>
  <c r="G556" i="5"/>
  <c r="F556" i="5"/>
  <c r="D556" i="5"/>
  <c r="G555" i="5"/>
  <c r="F555" i="5"/>
  <c r="D555" i="5"/>
  <c r="G554" i="5"/>
  <c r="F554" i="5"/>
  <c r="D554" i="5"/>
  <c r="G553" i="5"/>
  <c r="F553" i="5"/>
  <c r="D553" i="5"/>
  <c r="G552" i="5"/>
  <c r="F552" i="5"/>
  <c r="D552" i="5"/>
  <c r="G551" i="5"/>
  <c r="F551" i="5"/>
  <c r="D551" i="5"/>
  <c r="G550" i="5"/>
  <c r="F550" i="5"/>
  <c r="D550" i="5"/>
  <c r="G549" i="5"/>
  <c r="F549" i="5"/>
  <c r="D549" i="5"/>
  <c r="G548" i="5"/>
  <c r="F548" i="5"/>
  <c r="D548" i="5"/>
  <c r="G547" i="5"/>
  <c r="F547" i="5"/>
  <c r="D547" i="5"/>
  <c r="G546" i="5"/>
  <c r="F546" i="5"/>
  <c r="D546" i="5"/>
  <c r="G545" i="5"/>
  <c r="F545" i="5"/>
  <c r="D545" i="5"/>
  <c r="G544" i="5"/>
  <c r="F544" i="5"/>
  <c r="D544" i="5"/>
  <c r="D5" i="5" s="1"/>
  <c r="D5" i="1" s="1"/>
  <c r="G543" i="5"/>
  <c r="F543" i="5"/>
  <c r="D543" i="5"/>
  <c r="G542" i="5"/>
  <c r="F542" i="5"/>
  <c r="D542" i="5"/>
  <c r="C5" i="5"/>
  <c r="C5" i="1" s="1"/>
  <c r="O13" i="1"/>
  <c r="L3" i="1"/>
  <c r="F7" i="52" l="1"/>
  <c r="G7" i="52" s="1"/>
  <c r="H7" i="52" s="1"/>
  <c r="J28" i="46"/>
  <c r="I28" i="46"/>
  <c r="J29" i="46"/>
  <c r="I29" i="46"/>
  <c r="F8" i="52"/>
  <c r="G41" i="51"/>
  <c r="H41" i="51" s="1"/>
  <c r="G13" i="51"/>
  <c r="H13" i="51" s="1"/>
  <c r="E5" i="45"/>
  <c r="E6" i="1" s="1"/>
  <c r="F6" i="45"/>
  <c r="F5" i="45" s="1"/>
  <c r="F6" i="1" s="1"/>
  <c r="D6" i="52"/>
  <c r="G40" i="51"/>
  <c r="H40" i="51" s="1"/>
  <c r="G39" i="51"/>
  <c r="H39" i="51" s="1"/>
  <c r="G38" i="51"/>
  <c r="H38" i="51" s="1"/>
  <c r="G37" i="51"/>
  <c r="H37" i="51" s="1"/>
  <c r="G36" i="51"/>
  <c r="H36" i="51" s="1"/>
  <c r="G35" i="51"/>
  <c r="H35" i="51" s="1"/>
  <c r="G34" i="51"/>
  <c r="H34" i="51" s="1"/>
  <c r="G33" i="51"/>
  <c r="H33" i="51" s="1"/>
  <c r="G32" i="51"/>
  <c r="H32" i="51" s="1"/>
  <c r="G31" i="51"/>
  <c r="H31" i="51" s="1"/>
  <c r="G30" i="51"/>
  <c r="H30" i="51" s="1"/>
  <c r="G29" i="51"/>
  <c r="H29" i="51" s="1"/>
  <c r="G28" i="51"/>
  <c r="H28" i="51" s="1"/>
  <c r="G27" i="51"/>
  <c r="H27" i="51" s="1"/>
  <c r="G26" i="51"/>
  <c r="H26" i="51" s="1"/>
  <c r="G25" i="51"/>
  <c r="H25" i="51" s="1"/>
  <c r="G24" i="51"/>
  <c r="H24" i="51" s="1"/>
  <c r="G23" i="51"/>
  <c r="H23" i="51" s="1"/>
  <c r="G22" i="51"/>
  <c r="H22" i="51" s="1"/>
  <c r="G21" i="51"/>
  <c r="H21" i="51" s="1"/>
  <c r="G20" i="51"/>
  <c r="H20" i="51" s="1"/>
  <c r="G19" i="51"/>
  <c r="H19" i="51" s="1"/>
  <c r="G18" i="51"/>
  <c r="H18" i="51" s="1"/>
  <c r="G17" i="51"/>
  <c r="H17" i="51" s="1"/>
  <c r="G16" i="51"/>
  <c r="H16" i="51" s="1"/>
  <c r="G15" i="51"/>
  <c r="H15" i="51" s="1"/>
  <c r="G14" i="51"/>
  <c r="H14" i="51" s="1"/>
  <c r="G12" i="51"/>
  <c r="H12" i="51" s="1"/>
  <c r="G10" i="51"/>
  <c r="H10" i="51" s="1"/>
  <c r="G8" i="51"/>
  <c r="H8" i="51" s="1"/>
  <c r="F10" i="53"/>
  <c r="G10" i="53" s="1"/>
  <c r="H10" i="53" s="1"/>
  <c r="F9" i="53"/>
  <c r="G9" i="53" s="1"/>
  <c r="H9" i="53" s="1"/>
  <c r="D6" i="53"/>
  <c r="F7" i="53"/>
  <c r="G7" i="53" s="1"/>
  <c r="H7" i="53" s="1"/>
  <c r="I10" i="46"/>
  <c r="J10" i="46"/>
  <c r="I13" i="46"/>
  <c r="J13" i="46"/>
  <c r="J15" i="46"/>
  <c r="I15" i="46"/>
  <c r="J21" i="46"/>
  <c r="I21" i="46"/>
  <c r="J9" i="46"/>
  <c r="I9" i="46"/>
  <c r="J16" i="46"/>
  <c r="I16" i="46"/>
  <c r="J12" i="46"/>
  <c r="I12" i="46"/>
  <c r="I18" i="46"/>
  <c r="J18" i="46"/>
  <c r="J22" i="46"/>
  <c r="I22" i="46"/>
  <c r="J8" i="46"/>
  <c r="I8" i="46"/>
  <c r="I14" i="46"/>
  <c r="J14" i="46"/>
  <c r="J17" i="46"/>
  <c r="I17" i="46"/>
  <c r="J20" i="46"/>
  <c r="I20" i="46"/>
  <c r="D6" i="46"/>
  <c r="G7" i="46"/>
  <c r="F6" i="46"/>
  <c r="E6" i="46"/>
  <c r="D6" i="51"/>
  <c r="F9" i="51"/>
  <c r="G9" i="51" s="1"/>
  <c r="H7" i="51"/>
  <c r="G5" i="5"/>
  <c r="G5" i="1" s="1"/>
  <c r="E5" i="1"/>
  <c r="E6" i="52"/>
  <c r="F8" i="53"/>
  <c r="G8" i="53" s="1"/>
  <c r="H8" i="53" s="1"/>
  <c r="E6" i="53"/>
  <c r="F6" i="52" l="1"/>
  <c r="G8" i="52"/>
  <c r="H8" i="52" s="1"/>
  <c r="H6" i="52" s="1"/>
  <c r="E10" i="1" s="1"/>
  <c r="O6" i="1"/>
  <c r="I41" i="51"/>
  <c r="J41" i="51"/>
  <c r="J8" i="53"/>
  <c r="I8" i="53"/>
  <c r="F5" i="5"/>
  <c r="F5" i="1" s="1"/>
  <c r="O5" i="1" s="1"/>
  <c r="E6" i="51"/>
  <c r="H9" i="51"/>
  <c r="F6" i="51"/>
  <c r="F6" i="53"/>
  <c r="D9" i="1" s="1"/>
  <c r="I10" i="53"/>
  <c r="J10" i="53"/>
  <c r="I9" i="53"/>
  <c r="J9" i="53"/>
  <c r="H7" i="46"/>
  <c r="G6" i="46"/>
  <c r="D7" i="1" s="1"/>
  <c r="I10" i="51"/>
  <c r="J10" i="51"/>
  <c r="I40" i="51"/>
  <c r="J40" i="51"/>
  <c r="J38" i="51"/>
  <c r="I38" i="51"/>
  <c r="J39" i="51"/>
  <c r="I39" i="51"/>
  <c r="J35" i="51"/>
  <c r="I35" i="51"/>
  <c r="J29" i="51"/>
  <c r="I29" i="51"/>
  <c r="J25" i="51"/>
  <c r="I25" i="51"/>
  <c r="J30" i="51"/>
  <c r="I30" i="51"/>
  <c r="J36" i="51"/>
  <c r="I36" i="51"/>
  <c r="J26" i="51"/>
  <c r="I26" i="51"/>
  <c r="J37" i="51"/>
  <c r="I37" i="51"/>
  <c r="J33" i="51"/>
  <c r="I33" i="51"/>
  <c r="J31" i="51"/>
  <c r="I31" i="51"/>
  <c r="J27" i="51"/>
  <c r="I27" i="51"/>
  <c r="J34" i="51"/>
  <c r="I34" i="51"/>
  <c r="J32" i="51"/>
  <c r="I32" i="51"/>
  <c r="J28" i="51"/>
  <c r="I28" i="51"/>
  <c r="J22" i="51"/>
  <c r="I22" i="51"/>
  <c r="I18" i="51"/>
  <c r="J18" i="51"/>
  <c r="J14" i="51"/>
  <c r="I14" i="51"/>
  <c r="J23" i="51"/>
  <c r="I23" i="51"/>
  <c r="I19" i="51"/>
  <c r="J19" i="51"/>
  <c r="I15" i="51"/>
  <c r="J15" i="51"/>
  <c r="I24" i="51"/>
  <c r="J24" i="51"/>
  <c r="I20" i="51"/>
  <c r="J20" i="51"/>
  <c r="I16" i="51"/>
  <c r="J16" i="51"/>
  <c r="J12" i="51"/>
  <c r="I12" i="51"/>
  <c r="I21" i="51"/>
  <c r="J21" i="51"/>
  <c r="I17" i="51"/>
  <c r="J17" i="51"/>
  <c r="J13" i="51"/>
  <c r="I13" i="51"/>
  <c r="J8" i="51"/>
  <c r="I8" i="51"/>
  <c r="G6" i="51"/>
  <c r="D8" i="1" s="1"/>
  <c r="O11" i="1"/>
  <c r="G6" i="53"/>
  <c r="G6" i="52" l="1"/>
  <c r="D10" i="1" s="1"/>
  <c r="D14" i="1" s="1"/>
  <c r="I8" i="52"/>
  <c r="J8" i="52"/>
  <c r="J7" i="52"/>
  <c r="I7" i="52"/>
  <c r="J7" i="46"/>
  <c r="J6" i="46" s="1"/>
  <c r="G7" i="1" s="1"/>
  <c r="I7" i="46"/>
  <c r="I6" i="46" s="1"/>
  <c r="F7" i="1" s="1"/>
  <c r="H6" i="46"/>
  <c r="E7" i="1" s="1"/>
  <c r="J9" i="51"/>
  <c r="I9" i="51"/>
  <c r="J6" i="52" l="1"/>
  <c r="G10" i="1" s="1"/>
  <c r="I6" i="52"/>
  <c r="F10" i="1" s="1"/>
  <c r="O12" i="1"/>
  <c r="O7" i="1"/>
  <c r="J7" i="51"/>
  <c r="J6" i="51" s="1"/>
  <c r="G8" i="1" s="1"/>
  <c r="I7" i="51"/>
  <c r="I6" i="51" s="1"/>
  <c r="F8" i="1" s="1"/>
  <c r="H6" i="51"/>
  <c r="E8" i="1" s="1"/>
  <c r="I7" i="53"/>
  <c r="I6" i="53" s="1"/>
  <c r="F9" i="1" s="1"/>
  <c r="J7" i="53"/>
  <c r="J6" i="53" s="1"/>
  <c r="G9" i="1" s="1"/>
  <c r="H6" i="53"/>
  <c r="E9" i="1" s="1"/>
  <c r="O9" i="1" l="1"/>
  <c r="O8" i="1"/>
  <c r="E14" i="1"/>
  <c r="E19" i="1" s="1"/>
  <c r="F19" i="1" s="1"/>
  <c r="G14" i="1"/>
  <c r="E20" i="1" s="1"/>
  <c r="F20" i="1" s="1"/>
  <c r="O10" i="1"/>
  <c r="M24" i="1" l="1"/>
  <c r="M26" i="1"/>
  <c r="M12" i="1"/>
  <c r="M13" i="1"/>
  <c r="M9" i="1"/>
  <c r="M10" i="1"/>
  <c r="M11" i="1" s="1"/>
  <c r="E21" i="1"/>
  <c r="M15" i="1" l="1"/>
  <c r="M7" i="1"/>
  <c r="F21" i="1"/>
  <c r="M25" i="1" l="1"/>
  <c r="M30" i="1"/>
  <c r="M31" i="1" s="1"/>
  <c r="M32" i="1" s="1"/>
  <c r="M33" i="1" s="1"/>
  <c r="F23" i="1"/>
  <c r="L35" i="1" s="1"/>
  <c r="M16" i="1"/>
  <c r="M17" i="1" s="1"/>
  <c r="M18" i="1" s="1"/>
  <c r="M29" i="1" l="1"/>
  <c r="M34" i="1"/>
  <c r="M35" i="1" s="1"/>
  <c r="M27" i="1"/>
  <c r="M21" i="1"/>
  <c r="M8" i="1"/>
  <c r="M28" i="1" l="1"/>
  <c r="L36" i="1"/>
  <c r="C6" i="53"/>
  <c r="C9" i="1" s="1"/>
  <c r="C14" i="1" s="1"/>
</calcChain>
</file>

<file path=xl/comments1.xml><?xml version="1.0" encoding="utf-8"?>
<comments xmlns="http://schemas.openxmlformats.org/spreadsheetml/2006/main">
  <authors>
    <author>jihui</author>
  </authors>
  <commentList>
    <comment ref="L4" authorId="0" shapeId="0">
      <text>
        <r>
          <rPr>
            <b/>
            <sz val="9"/>
            <color indexed="81"/>
            <rFont val="돋움"/>
            <family val="3"/>
            <charset val="129"/>
          </rPr>
          <t>스토리위즈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값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케이코믹스→스토리위즈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</t>
        </r>
        <r>
          <rPr>
            <b/>
            <sz val="9"/>
            <color indexed="81"/>
            <rFont val="Tahoma"/>
            <family val="2"/>
          </rPr>
          <t>('</t>
        </r>
        <r>
          <rPr>
            <b/>
            <sz val="9"/>
            <color indexed="81"/>
            <rFont val="돋움"/>
            <family val="3"/>
            <charset val="129"/>
          </rPr>
          <t>적요</t>
        </r>
        <r>
          <rPr>
            <b/>
            <sz val="9"/>
            <color indexed="81"/>
            <rFont val="Tahoma"/>
            <family val="2"/>
          </rPr>
          <t xml:space="preserve"> : O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</t>
        </r>
        <r>
          <rPr>
            <b/>
            <sz val="9"/>
            <color indexed="81"/>
            <rFont val="Tahoma"/>
            <family val="2"/>
          </rPr>
          <t>MG</t>
        </r>
        <r>
          <rPr>
            <b/>
            <sz val="9"/>
            <color indexed="81"/>
            <rFont val="돋움"/>
            <family val="3"/>
            <charset val="129"/>
          </rPr>
          <t>상환</t>
        </r>
        <r>
          <rPr>
            <b/>
            <sz val="9"/>
            <color indexed="81"/>
            <rFont val="Tahoma"/>
            <family val="2"/>
          </rPr>
          <t>'))</t>
        </r>
      </text>
    </comment>
    <comment ref="C19" authorId="0" shapeId="0">
      <text>
        <r>
          <rPr>
            <b/>
            <sz val="9"/>
            <color indexed="81"/>
            <rFont val="돋움"/>
            <family val="3"/>
            <charset val="129"/>
          </rPr>
          <t>스토리위즈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매출액</t>
        </r>
      </text>
    </comment>
    <comment ref="C20" authorId="0" shapeId="0">
      <text>
        <r>
          <rPr>
            <b/>
            <sz val="9"/>
            <color indexed="81"/>
            <rFont val="돋움"/>
            <family val="3"/>
            <charset val="129"/>
          </rPr>
          <t>케이코믹스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</t>
        </r>
      </text>
    </comment>
    <comment ref="C21" authorId="0" shapeId="0">
      <text>
        <r>
          <rPr>
            <b/>
            <sz val="9"/>
            <color indexed="81"/>
            <rFont val="돋움"/>
            <family val="3"/>
            <charset val="129"/>
          </rPr>
          <t>케이코믹스→스토리위즈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입금</t>
        </r>
      </text>
    </comment>
  </commentList>
</comments>
</file>

<file path=xl/comments2.xml><?xml version="1.0" encoding="utf-8"?>
<comments xmlns="http://schemas.openxmlformats.org/spreadsheetml/2006/main">
  <authors>
    <author>jihui</author>
  </authors>
  <commentList>
    <comment ref="B2" authorId="0" shapeId="0">
      <text>
        <r>
          <rPr>
            <b/>
            <sz val="9"/>
            <color indexed="81"/>
            <rFont val="돋움"/>
            <family val="3"/>
            <charset val="129"/>
          </rPr>
          <t>플랫폼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</t>
        </r>
      </text>
    </comment>
  </commentList>
</comments>
</file>

<file path=xl/comments3.xml><?xml version="1.0" encoding="utf-8"?>
<comments xmlns="http://schemas.openxmlformats.org/spreadsheetml/2006/main">
  <authors>
    <author>jihui</author>
  </authors>
  <commentList>
    <comment ref="B2" authorId="0" shapeId="0">
      <text>
        <r>
          <rPr>
            <b/>
            <sz val="9"/>
            <color indexed="81"/>
            <rFont val="돋움"/>
            <family val="3"/>
            <charset val="129"/>
          </rPr>
          <t>플랫폼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</t>
        </r>
      </text>
    </comment>
  </commentList>
</comments>
</file>

<file path=xl/comments4.xml><?xml version="1.0" encoding="utf-8"?>
<comments xmlns="http://schemas.openxmlformats.org/spreadsheetml/2006/main">
  <authors>
    <author>jihui</author>
  </authors>
  <commentList>
    <comment ref="B2" authorId="0" shapeId="0">
      <text>
        <r>
          <rPr>
            <b/>
            <sz val="9"/>
            <color indexed="81"/>
            <rFont val="돋움"/>
            <family val="3"/>
            <charset val="129"/>
          </rPr>
          <t>플랫폼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</t>
        </r>
      </text>
    </comment>
  </commentList>
</comments>
</file>

<file path=xl/comments5.xml><?xml version="1.0" encoding="utf-8"?>
<comments xmlns="http://schemas.openxmlformats.org/spreadsheetml/2006/main">
  <authors>
    <author>jihui</author>
  </authors>
  <commentList>
    <comment ref="B2" authorId="0" shapeId="0">
      <text>
        <r>
          <rPr>
            <b/>
            <sz val="9"/>
            <color indexed="81"/>
            <rFont val="돋움"/>
            <family val="3"/>
            <charset val="129"/>
          </rPr>
          <t>플랫폼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</t>
        </r>
      </text>
    </comment>
  </commentList>
</comments>
</file>

<file path=xl/comments6.xml><?xml version="1.0" encoding="utf-8"?>
<comments xmlns="http://schemas.openxmlformats.org/spreadsheetml/2006/main">
  <authors>
    <author>jihui</author>
  </authors>
  <commentList>
    <comment ref="B2" authorId="0" shapeId="0">
      <text>
        <r>
          <rPr>
            <b/>
            <sz val="9"/>
            <color indexed="81"/>
            <rFont val="돋움"/>
            <family val="3"/>
            <charset val="129"/>
          </rPr>
          <t>플랫폼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</t>
        </r>
      </text>
    </comment>
  </commentList>
</comments>
</file>

<file path=xl/comments7.xml><?xml version="1.0" encoding="utf-8"?>
<comments xmlns="http://schemas.openxmlformats.org/spreadsheetml/2006/main">
  <authors>
    <author>jihui</author>
  </authors>
  <commentList>
    <comment ref="B2" authorId="0" shapeId="0">
      <text>
        <r>
          <rPr>
            <b/>
            <sz val="9"/>
            <color indexed="81"/>
            <rFont val="돋움"/>
            <family val="3"/>
            <charset val="129"/>
          </rPr>
          <t>플랫폼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</t>
        </r>
      </text>
    </comment>
  </commentList>
</comments>
</file>

<file path=xl/sharedStrings.xml><?xml version="1.0" encoding="utf-8"?>
<sst xmlns="http://schemas.openxmlformats.org/spreadsheetml/2006/main" count="236" uniqueCount="184">
  <si>
    <t>서비스명</t>
    <phoneticPr fontId="1" type="noConversion"/>
  </si>
  <si>
    <t>URL</t>
    <phoneticPr fontId="1" type="noConversion"/>
  </si>
  <si>
    <t>사이트명</t>
    <phoneticPr fontId="1" type="noConversion"/>
  </si>
  <si>
    <t xml:space="preserve">소비자매출액 </t>
    <phoneticPr fontId="1" type="noConversion"/>
  </si>
  <si>
    <t>유통사수수료</t>
    <phoneticPr fontId="1" type="noConversion"/>
  </si>
  <si>
    <t>합계</t>
  </si>
  <si>
    <t>아이디</t>
    <phoneticPr fontId="1" type="noConversion"/>
  </si>
  <si>
    <t>패스워드</t>
    <phoneticPr fontId="1" type="noConversion"/>
  </si>
  <si>
    <t>비고</t>
    <phoneticPr fontId="1" type="noConversion"/>
  </si>
  <si>
    <t>합계</t>
    <phoneticPr fontId="1" type="noConversion"/>
  </si>
  <si>
    <t xml:space="preserve"> * 플랫폼이 추가될 경우: (1) 본 합계표 내 행 추가 (2) 계정정보 추가 (3) 플랫폼 시트 추가</t>
    <phoneticPr fontId="1" type="noConversion"/>
  </si>
  <si>
    <t>작품명</t>
    <phoneticPr fontId="1" type="noConversion"/>
  </si>
  <si>
    <t xml:space="preserve">소비자매출액 </t>
    <phoneticPr fontId="1" type="noConversion"/>
  </si>
  <si>
    <t>유통사수수료</t>
    <phoneticPr fontId="1" type="noConversion"/>
  </si>
  <si>
    <t>비고</t>
    <phoneticPr fontId="1" type="noConversion"/>
  </si>
  <si>
    <t>합계</t>
    <phoneticPr fontId="4" type="noConversion"/>
  </si>
  <si>
    <t>2020년 8월</t>
  </si>
  <si>
    <t>2020년 9월</t>
  </si>
  <si>
    <t>2020년 10월</t>
  </si>
  <si>
    <t>2020년 11월</t>
  </si>
  <si>
    <t>2020년 12월</t>
  </si>
  <si>
    <t>■ 케이코믹스 유통계정정보</t>
    <phoneticPr fontId="1" type="noConversion"/>
  </si>
  <si>
    <t>스토리위즈매출액</t>
    <phoneticPr fontId="1" type="noConversion"/>
  </si>
  <si>
    <t>스토리위즈수익</t>
    <phoneticPr fontId="1" type="noConversion"/>
  </si>
  <si>
    <t>케이코믹스수익</t>
    <phoneticPr fontId="1" type="noConversion"/>
  </si>
  <si>
    <t>2020년 7월</t>
    <phoneticPr fontId="1" type="noConversion"/>
  </si>
  <si>
    <t>케이코믹스 수익</t>
    <phoneticPr fontId="1" type="noConversion"/>
  </si>
  <si>
    <t>스토리위즈 수익</t>
    <phoneticPr fontId="1" type="noConversion"/>
  </si>
  <si>
    <t>스토리위즈 매출액</t>
    <phoneticPr fontId="1" type="noConversion"/>
  </si>
  <si>
    <t>정산요율:스토리위즈15%/케이코믹스 85%</t>
    <phoneticPr fontId="1" type="noConversion"/>
  </si>
  <si>
    <t>스토리위즈-&gt;케이코믹스 계산서발행</t>
    <phoneticPr fontId="1" type="noConversion"/>
  </si>
  <si>
    <t>케이코믹스-&gt;스토리위즈 계산서발행</t>
    <phoneticPr fontId="1" type="noConversion"/>
  </si>
  <si>
    <t>정산월</t>
    <phoneticPr fontId="1" type="noConversion"/>
  </si>
  <si>
    <t>수익회수금</t>
    <phoneticPr fontId="1" type="noConversion"/>
  </si>
  <si>
    <t>선MG</t>
    <phoneticPr fontId="1" type="noConversion"/>
  </si>
  <si>
    <t>MG 회수금</t>
    <phoneticPr fontId="1" type="noConversion"/>
  </si>
  <si>
    <t xml:space="preserve"> 프로젝트수익</t>
    <phoneticPr fontId="1" type="noConversion"/>
  </si>
  <si>
    <t>잔여 MG</t>
    <phoneticPr fontId="1" type="noConversion"/>
  </si>
  <si>
    <t>2021년 1월</t>
    <phoneticPr fontId="1" type="noConversion"/>
  </si>
  <si>
    <t>2021년 2월</t>
  </si>
  <si>
    <t>2021년 3월</t>
  </si>
  <si>
    <t>2021년 4월</t>
  </si>
  <si>
    <t>2021년 5월</t>
  </si>
  <si>
    <t>2021년 6월</t>
  </si>
  <si>
    <t>2021년 7월</t>
  </si>
  <si>
    <t>2021년 8월</t>
  </si>
  <si>
    <t>2021년 9월</t>
  </si>
  <si>
    <t>2021년 10월</t>
  </si>
  <si>
    <t>2021년 11월</t>
  </si>
  <si>
    <t>2021년 12월</t>
  </si>
  <si>
    <t>상계 후 입금액</t>
    <phoneticPr fontId="1" type="noConversion"/>
  </si>
  <si>
    <t>정산요율:스토리위즈15%/케이코믹스 85%</t>
    <phoneticPr fontId="1" type="noConversion"/>
  </si>
  <si>
    <t>정산요율:스토리위즈15%/케이코믹스 85%</t>
    <phoneticPr fontId="1" type="noConversion"/>
  </si>
  <si>
    <t>브랜드웹툰</t>
    <phoneticPr fontId="4" type="noConversion"/>
  </si>
  <si>
    <t>브랜드이모티콘</t>
    <phoneticPr fontId="4" type="noConversion"/>
  </si>
  <si>
    <t>브랜드이모티콘</t>
    <phoneticPr fontId="1" type="noConversion"/>
  </si>
  <si>
    <t>브랜드웹툰</t>
    <phoneticPr fontId="1" type="noConversion"/>
  </si>
  <si>
    <t>카카오톡(케이코믹스IP)</t>
    <phoneticPr fontId="1" type="noConversion"/>
  </si>
  <si>
    <t>카카오톡(작가IP)</t>
    <phoneticPr fontId="1" type="noConversion"/>
  </si>
  <si>
    <t>레디엔터테인먼트</t>
    <phoneticPr fontId="4" type="noConversion"/>
  </si>
  <si>
    <t>(VAT포함)</t>
    <phoneticPr fontId="37" type="noConversion"/>
  </si>
  <si>
    <t>앱스토어
(30%)</t>
    <phoneticPr fontId="37" type="noConversion"/>
  </si>
  <si>
    <t>결재금액</t>
    <phoneticPr fontId="1" type="noConversion"/>
  </si>
  <si>
    <t>정산대상금액
(VAT포함)</t>
    <phoneticPr fontId="37" type="noConversion"/>
  </si>
  <si>
    <t>정산대상금액
(VAT별도)</t>
    <phoneticPr fontId="37" type="noConversion"/>
  </si>
  <si>
    <t>카카오톡
(50%)</t>
    <phoneticPr fontId="37" type="noConversion"/>
  </si>
  <si>
    <t>나대지마심장아</t>
    <phoneticPr fontId="37" type="noConversion"/>
  </si>
  <si>
    <t>니니의 꽃스런 일상</t>
    <phoneticPr fontId="37" type="noConversion"/>
  </si>
  <si>
    <t>달콤톡! 꼬미</t>
    <phoneticPr fontId="37" type="noConversion"/>
  </si>
  <si>
    <t>달콤톡! 또미</t>
  </si>
  <si>
    <t>인절미 토끼 머디</t>
    <phoneticPr fontId="37" type="noConversion"/>
  </si>
  <si>
    <t>얌얌이의 먹방티콘</t>
    <phoneticPr fontId="37" type="noConversion"/>
  </si>
  <si>
    <t>몽글몽글 몽구리</t>
    <phoneticPr fontId="37" type="noConversion"/>
  </si>
  <si>
    <t>썸톡(7종)</t>
    <phoneticPr fontId="37" type="noConversion"/>
  </si>
  <si>
    <t>곰니찌와 곰방와(2종)</t>
    <phoneticPr fontId="4" type="noConversion"/>
  </si>
  <si>
    <t>무조껀 나와!! 약속티콘</t>
    <phoneticPr fontId="37" type="noConversion"/>
  </si>
  <si>
    <t>탱탱볼 예동이(2종)</t>
    <phoneticPr fontId="37" type="noConversion"/>
  </si>
  <si>
    <t>잔망폭발 와니가 왔따!!!</t>
    <phoneticPr fontId="37" type="noConversion"/>
  </si>
  <si>
    <t>원시 토끼</t>
    <phoneticPr fontId="37" type="noConversion"/>
  </si>
  <si>
    <t>이나의 다이어트는 내일부터!</t>
    <phoneticPr fontId="37" type="noConversion"/>
  </si>
  <si>
    <t>카카오톡</t>
    <phoneticPr fontId="4" type="noConversion"/>
  </si>
  <si>
    <t>EBS 3종(두다다쿵, 번개맨, 뿡뿡이)</t>
    <phoneticPr fontId="37" type="noConversion"/>
  </si>
  <si>
    <t>강성수(위대한캣츠비)</t>
    <phoneticPr fontId="37" type="noConversion"/>
  </si>
  <si>
    <t>고필헌(메가쇼킹 5종)</t>
    <phoneticPr fontId="37" type="noConversion"/>
  </si>
  <si>
    <t>곽백수(가우스전자)</t>
    <phoneticPr fontId="37" type="noConversion"/>
  </si>
  <si>
    <t>김미숙(배추걸의 배추티콘)</t>
    <phoneticPr fontId="37" type="noConversion"/>
  </si>
  <si>
    <t>김보통(쉬고싶은 고양이)</t>
    <phoneticPr fontId="37" type="noConversion"/>
  </si>
  <si>
    <t>김성모(김성모 3종)</t>
    <phoneticPr fontId="37" type="noConversion"/>
  </si>
  <si>
    <t>김양수(3종)</t>
    <phoneticPr fontId="37" type="noConversion"/>
  </si>
  <si>
    <t>감자도리(16종)</t>
    <phoneticPr fontId="37" type="noConversion"/>
  </si>
  <si>
    <t>기량(천년구미호)</t>
    <phoneticPr fontId="37" type="noConversion"/>
  </si>
  <si>
    <t>김인호(패밀리사이즈 랄라공주)</t>
    <phoneticPr fontId="37" type="noConversion"/>
  </si>
  <si>
    <t>김풍(김풍의 사랑 듬풍도시락)</t>
    <phoneticPr fontId="37" type="noConversion"/>
  </si>
  <si>
    <t>김효정(3종)</t>
    <phoneticPr fontId="37" type="noConversion"/>
  </si>
  <si>
    <t>강민구(3종)</t>
    <phoneticPr fontId="37" type="noConversion"/>
  </si>
  <si>
    <t>야구하는 고릴라 미스터고</t>
    <phoneticPr fontId="37" type="noConversion"/>
  </si>
  <si>
    <t>박종원</t>
    <phoneticPr fontId="37" type="noConversion"/>
  </si>
  <si>
    <t>박종원+심윤수</t>
    <phoneticPr fontId="37" type="noConversion"/>
  </si>
  <si>
    <t>배진수(2종)</t>
    <phoneticPr fontId="37" type="noConversion"/>
  </si>
  <si>
    <t>백승원(쭈그리 라이프)</t>
    <phoneticPr fontId="37" type="noConversion"/>
  </si>
  <si>
    <t>성은호(2종)</t>
    <phoneticPr fontId="37" type="noConversion"/>
  </si>
  <si>
    <t>오현동(캐러멜의 칭찬스티커)</t>
    <phoneticPr fontId="37" type="noConversion"/>
  </si>
  <si>
    <t>원수연(4종)</t>
    <phoneticPr fontId="37" type="noConversion"/>
  </si>
  <si>
    <t>이상신,국중록(2종)</t>
    <phoneticPr fontId="37" type="noConversion"/>
  </si>
  <si>
    <t>이주희(2종)</t>
    <phoneticPr fontId="37" type="noConversion"/>
  </si>
  <si>
    <t>정희수(아이들의권선생님)</t>
    <phoneticPr fontId="37" type="noConversion"/>
  </si>
  <si>
    <t>케이원미디어/혈관고(9종)</t>
    <phoneticPr fontId="37" type="noConversion"/>
  </si>
  <si>
    <t>투유엔터테인먼트/걍이</t>
    <phoneticPr fontId="37" type="noConversion"/>
  </si>
  <si>
    <t>페페리코(페페리코의 데일리콘)</t>
    <phoneticPr fontId="37" type="noConversion"/>
  </si>
  <si>
    <t>현용민(5종)</t>
    <phoneticPr fontId="37" type="noConversion"/>
  </si>
  <si>
    <t>홍지선(날바다줘)</t>
    <phoneticPr fontId="37" type="noConversion"/>
  </si>
  <si>
    <t>밴드스티커</t>
    <phoneticPr fontId="4" type="noConversion"/>
  </si>
  <si>
    <t>감자도리(1종)</t>
    <phoneticPr fontId="37" type="noConversion"/>
  </si>
  <si>
    <t>송지선(3종)</t>
    <phoneticPr fontId="37" type="noConversion"/>
  </si>
  <si>
    <t>네이버밴드
(70%)</t>
    <phoneticPr fontId="37" type="noConversion"/>
  </si>
  <si>
    <t>순매출</t>
    <phoneticPr fontId="37" type="noConversion"/>
  </si>
  <si>
    <t>정산대상금액
(약30%)</t>
    <phoneticPr fontId="37" type="noConversion"/>
  </si>
  <si>
    <t>밴드스티커(케이코믹스IP)</t>
    <phoneticPr fontId="1" type="noConversion"/>
  </si>
  <si>
    <t>밴드스티커(작가IP)</t>
    <phoneticPr fontId="1" type="noConversion"/>
  </si>
  <si>
    <t>행운이의 따뜻한 마음이야</t>
    <phoneticPr fontId="37" type="noConversion"/>
  </si>
  <si>
    <t>MC냥은 춤출거야</t>
    <phoneticPr fontId="37" type="noConversion"/>
  </si>
  <si>
    <t>반전매력 쫄랑이</t>
    <phoneticPr fontId="37" type="noConversion"/>
  </si>
  <si>
    <t>크리미프렌즈</t>
    <phoneticPr fontId="37" type="noConversion"/>
  </si>
  <si>
    <t>카카오톡 이모티콘</t>
    <phoneticPr fontId="1" type="noConversion"/>
  </si>
  <si>
    <t>https://emoticonstudio.kakao.com/</t>
    <phoneticPr fontId="1" type="noConversion"/>
  </si>
  <si>
    <t>emoticon_team@k-comics.com</t>
    <phoneticPr fontId="1" type="noConversion"/>
  </si>
  <si>
    <t>7503cyk!!</t>
    <phoneticPr fontId="1" type="noConversion"/>
  </si>
  <si>
    <t>권순호(호조 15종)</t>
    <phoneticPr fontId="37" type="noConversion"/>
  </si>
  <si>
    <t>와탕카/김석주, 정필용, 김은구</t>
    <phoneticPr fontId="37" type="noConversion"/>
  </si>
  <si>
    <t>조선경(올리브의하루)/ 조선경, 김은구</t>
    <phoneticPr fontId="37" type="noConversion"/>
  </si>
  <si>
    <t>공급가액</t>
    <phoneticPr fontId="1" type="noConversion"/>
  </si>
  <si>
    <t>합계금액</t>
    <phoneticPr fontId="1" type="noConversion"/>
  </si>
  <si>
    <t>다미(2종)</t>
    <phoneticPr fontId="37" type="noConversion"/>
  </si>
  <si>
    <t>오입금액</t>
    <phoneticPr fontId="1" type="noConversion"/>
  </si>
  <si>
    <t>사회복지법인 사회복지공동모금회</t>
    <phoneticPr fontId="37" type="noConversion"/>
  </si>
  <si>
    <t>오셨슴까!! 햄님!!</t>
    <phoneticPr fontId="37" type="noConversion"/>
  </si>
  <si>
    <t>토블리의 매콤달콤 연애</t>
    <phoneticPr fontId="37" type="noConversion"/>
  </si>
  <si>
    <t>대발랄 깨환장 오렌지덕</t>
    <phoneticPr fontId="37" type="noConversion"/>
  </si>
  <si>
    <t>2022년 01월</t>
    <phoneticPr fontId="1" type="noConversion"/>
  </si>
  <si>
    <t>2022년 02월</t>
    <phoneticPr fontId="1" type="noConversion"/>
  </si>
  <si>
    <t>2022년 03월</t>
    <phoneticPr fontId="1" type="noConversion"/>
  </si>
  <si>
    <t>2022년 04월</t>
    <phoneticPr fontId="1" type="noConversion"/>
  </si>
  <si>
    <t>2022년 05월</t>
    <phoneticPr fontId="1" type="noConversion"/>
  </si>
  <si>
    <t>2022년 06월</t>
  </si>
  <si>
    <t>2022년 07월</t>
  </si>
  <si>
    <t>송지선(8종)</t>
    <phoneticPr fontId="37" type="noConversion"/>
  </si>
  <si>
    <t>2022년 08월</t>
  </si>
  <si>
    <t>2022년 09월</t>
    <phoneticPr fontId="1" type="noConversion"/>
  </si>
  <si>
    <t>2022년 10월</t>
  </si>
  <si>
    <t>2022년 11월</t>
  </si>
  <si>
    <t>■ 케이코믹스 22년 12월 판매 정산서</t>
    <phoneticPr fontId="1" type="noConversion"/>
  </si>
  <si>
    <t>2022년 12월</t>
    <phoneticPr fontId="1" type="noConversion"/>
  </si>
  <si>
    <t>카카오톡 11월 매출
(판매용이모티콘_케이코믹스IP)</t>
    <phoneticPr fontId="1" type="noConversion"/>
  </si>
  <si>
    <t>카카오톡 11월 매출
(판매용이모티콘_작가IP)</t>
    <phoneticPr fontId="1" type="noConversion"/>
  </si>
  <si>
    <t>밴드스티커 11월 매출
(판매용밴드스티커_자사IP)</t>
    <phoneticPr fontId="1" type="noConversion"/>
  </si>
  <si>
    <t>밴드스티커 11월 매출
(판매용밴드스티커_작가IP)</t>
    <phoneticPr fontId="1" type="noConversion"/>
  </si>
  <si>
    <t>한국수자원공사</t>
    <phoneticPr fontId="37" type="noConversion"/>
  </si>
  <si>
    <t>큐티즈주식회사</t>
    <phoneticPr fontId="4" type="noConversion"/>
  </si>
  <si>
    <t>주식회사 디그리드인터렉티브</t>
  </si>
  <si>
    <t>주식회사 워니프레임</t>
  </si>
  <si>
    <t>롯데쇼핑(주)</t>
  </si>
  <si>
    <t>주식회사 데이그린</t>
  </si>
  <si>
    <t>영천시청</t>
    <phoneticPr fontId="37" type="noConversion"/>
  </si>
  <si>
    <t>디원씽</t>
    <phoneticPr fontId="4" type="noConversion"/>
  </si>
  <si>
    <t>현대지비에프엠에스(주)</t>
  </si>
  <si>
    <t>순천시청</t>
  </si>
  <si>
    <t>에프앤에프</t>
    <phoneticPr fontId="4" type="noConversion"/>
  </si>
  <si>
    <t>광주관광재단</t>
    <phoneticPr fontId="4" type="noConversion"/>
  </si>
  <si>
    <t>볼보자동자코리아</t>
    <phoneticPr fontId="4" type="noConversion"/>
  </si>
  <si>
    <t>짐싸</t>
    <phoneticPr fontId="4" type="noConversion"/>
  </si>
  <si>
    <t>프라다코리아</t>
    <phoneticPr fontId="4" type="noConversion"/>
  </si>
  <si>
    <t>대구문화예술진흥원</t>
    <phoneticPr fontId="4" type="noConversion"/>
  </si>
  <si>
    <t>한국장애인개발원</t>
    <phoneticPr fontId="4" type="noConversion"/>
  </si>
  <si>
    <t>관세청</t>
    <phoneticPr fontId="4" type="noConversion"/>
  </si>
  <si>
    <t>엔씨소프트</t>
    <phoneticPr fontId="4" type="noConversion"/>
  </si>
  <si>
    <t>스토리잇다</t>
    <phoneticPr fontId="4" type="noConversion"/>
  </si>
  <si>
    <t>퍼틸레인</t>
    <phoneticPr fontId="4" type="noConversion"/>
  </si>
  <si>
    <t>메타포</t>
    <phoneticPr fontId="4" type="noConversion"/>
  </si>
  <si>
    <t>이랜드월드</t>
    <phoneticPr fontId="4" type="noConversion"/>
  </si>
  <si>
    <t>산림청 국립수목원</t>
    <phoneticPr fontId="4" type="noConversion"/>
  </si>
  <si>
    <t>넥스브레인</t>
    <phoneticPr fontId="4" type="noConversion"/>
  </si>
  <si>
    <t>한국교통안전공단</t>
    <phoneticPr fontId="4" type="noConversion"/>
  </si>
  <si>
    <t>제이슨그룹</t>
    <phoneticPr fontId="4" type="noConversion"/>
  </si>
  <si>
    <t>현대그린푸드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</si>
</sst>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_-* #,##0.000_-;\-* #,##0.000_-;_-* &quot;-&quot;_-;_-@_-"/>
    <numFmt numFmtId="178" formatCode="###,##0"/>
    <numFmt numFmtId="179" formatCode="_-* #,##0_-;\-* #,##0_-;_-* &quot;-&quot;??_-;_-@_-"/>
  </numFmts>
  <fonts count="4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indexed="8"/>
      <name val="맑은 고딕"/>
      <family val="3"/>
      <charset val="129"/>
    </font>
    <font>
      <sz val="10"/>
      <name val="Arial"/>
      <family val="2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u val="singleAccounting"/>
      <sz val="9"/>
      <color rgb="FFFF0000"/>
      <name val="맑은 고딕"/>
      <family val="3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sz val="9"/>
      <color rgb="FFC00000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06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6" borderId="16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28" borderId="17" applyNumberFormat="0" applyFont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0" borderId="18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31" borderId="16" applyNumberFormat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26" borderId="24" applyNumberFormat="0" applyAlignment="0" applyProtection="0">
      <alignment vertical="center"/>
    </xf>
    <xf numFmtId="0" fontId="5" fillId="0" borderId="0">
      <alignment vertical="center"/>
    </xf>
    <xf numFmtId="0" fontId="3" fillId="0" borderId="0"/>
    <xf numFmtId="0" fontId="22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40" fillId="0" borderId="0">
      <alignment vertical="center"/>
    </xf>
    <xf numFmtId="0" fontId="3" fillId="0" borderId="0"/>
    <xf numFmtId="176" fontId="3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</cellStyleXfs>
  <cellXfs count="167">
    <xf numFmtId="0" fontId="0" fillId="0" borderId="0" xfId="0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41" fontId="5" fillId="0" borderId="0" xfId="33" applyFont="1">
      <alignment vertical="center"/>
    </xf>
    <xf numFmtId="41" fontId="26" fillId="0" borderId="0" xfId="33" applyFont="1">
      <alignment vertical="center"/>
    </xf>
    <xf numFmtId="41" fontId="24" fillId="0" borderId="0" xfId="33" applyFont="1">
      <alignment vertical="center"/>
    </xf>
    <xf numFmtId="41" fontId="25" fillId="33" borderId="3" xfId="33" applyFont="1" applyFill="1" applyBorder="1" applyAlignment="1">
      <alignment horizontal="center" vertical="center"/>
    </xf>
    <xf numFmtId="41" fontId="25" fillId="33" borderId="5" xfId="33" applyFont="1" applyFill="1" applyBorder="1" applyAlignment="1">
      <alignment horizontal="center" vertical="center"/>
    </xf>
    <xf numFmtId="41" fontId="25" fillId="33" borderId="6" xfId="33" applyFont="1" applyFill="1" applyBorder="1" applyAlignment="1">
      <alignment horizontal="center" vertical="center"/>
    </xf>
    <xf numFmtId="0" fontId="28" fillId="0" borderId="7" xfId="173" applyFont="1" applyBorder="1">
      <alignment vertical="center"/>
    </xf>
    <xf numFmtId="41" fontId="29" fillId="0" borderId="0" xfId="33" applyFont="1" applyAlignment="1">
      <alignment vertical="center"/>
    </xf>
    <xf numFmtId="41" fontId="2" fillId="0" borderId="0" xfId="33" applyFont="1">
      <alignment vertical="center"/>
    </xf>
    <xf numFmtId="41" fontId="30" fillId="0" borderId="0" xfId="33" applyFont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0" fontId="0" fillId="0" borderId="0" xfId="0" applyAlignment="1">
      <alignment horizontal="center" vertical="center"/>
    </xf>
    <xf numFmtId="9" fontId="5" fillId="0" borderId="0" xfId="29" applyFont="1" applyAlignment="1">
      <alignment horizontal="center" vertical="center"/>
    </xf>
    <xf numFmtId="41" fontId="33" fillId="0" borderId="0" xfId="0" applyNumberFormat="1" applyFont="1" applyAlignment="1">
      <alignment horizontal="left" vertical="center"/>
    </xf>
    <xf numFmtId="41" fontId="34" fillId="0" borderId="0" xfId="33" applyFont="1" applyAlignment="1">
      <alignment horizontal="right" vertical="center"/>
    </xf>
    <xf numFmtId="41" fontId="5" fillId="0" borderId="0" xfId="33" applyFont="1">
      <alignment vertical="center"/>
    </xf>
    <xf numFmtId="41" fontId="24" fillId="0" borderId="4" xfId="33" applyFont="1" applyFill="1" applyBorder="1">
      <alignment vertical="center"/>
    </xf>
    <xf numFmtId="41" fontId="24" fillId="0" borderId="1" xfId="33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0" fontId="0" fillId="0" borderId="0" xfId="0">
      <alignment vertical="center"/>
    </xf>
    <xf numFmtId="0" fontId="23" fillId="0" borderId="7" xfId="0" applyFont="1" applyBorder="1">
      <alignment vertical="center"/>
    </xf>
    <xf numFmtId="41" fontId="26" fillId="0" borderId="0" xfId="33" applyFont="1" applyFill="1">
      <alignment vertical="center"/>
    </xf>
    <xf numFmtId="0" fontId="35" fillId="34" borderId="11" xfId="0" applyFont="1" applyFill="1" applyBorder="1" applyAlignment="1">
      <alignment horizontal="center" vertical="center"/>
    </xf>
    <xf numFmtId="0" fontId="25" fillId="36" borderId="3" xfId="0" applyFont="1" applyFill="1" applyBorder="1" applyAlignment="1">
      <alignment horizontal="center" vertical="center"/>
    </xf>
    <xf numFmtId="41" fontId="25" fillId="36" borderId="5" xfId="33" applyFont="1" applyFill="1" applyBorder="1">
      <alignment vertical="center"/>
    </xf>
    <xf numFmtId="0" fontId="23" fillId="36" borderId="6" xfId="0" applyFont="1" applyFill="1" applyBorder="1">
      <alignment vertical="center"/>
    </xf>
    <xf numFmtId="0" fontId="36" fillId="0" borderId="7" xfId="173" applyFont="1" applyBorder="1" applyAlignment="1">
      <alignment vertical="center" wrapText="1"/>
    </xf>
    <xf numFmtId="0" fontId="27" fillId="33" borderId="13" xfId="0" applyFont="1" applyFill="1" applyBorder="1" applyAlignment="1">
      <alignment horizontal="center" vertical="center"/>
    </xf>
    <xf numFmtId="0" fontId="27" fillId="33" borderId="25" xfId="0" applyFont="1" applyFill="1" applyBorder="1" applyAlignment="1">
      <alignment horizontal="center" vertical="center"/>
    </xf>
    <xf numFmtId="0" fontId="27" fillId="33" borderId="26" xfId="0" applyFont="1" applyFill="1" applyBorder="1" applyAlignment="1">
      <alignment horizontal="center" vertical="center"/>
    </xf>
    <xf numFmtId="0" fontId="23" fillId="0" borderId="1" xfId="0" applyFont="1" applyBorder="1">
      <alignment vertical="center"/>
    </xf>
    <xf numFmtId="0" fontId="25" fillId="0" borderId="15" xfId="0" applyFont="1" applyBorder="1" applyAlignment="1">
      <alignment horizontal="center" vertical="center"/>
    </xf>
    <xf numFmtId="0" fontId="36" fillId="0" borderId="7" xfId="173" applyFont="1" applyBorder="1" applyAlignment="1">
      <alignment vertical="center"/>
    </xf>
    <xf numFmtId="0" fontId="35" fillId="34" borderId="8" xfId="0" applyFont="1" applyFill="1" applyBorder="1" applyAlignment="1">
      <alignment horizontal="center" vertical="center"/>
    </xf>
    <xf numFmtId="0" fontId="23" fillId="0" borderId="27" xfId="0" applyFont="1" applyBorder="1">
      <alignment vertical="center"/>
    </xf>
    <xf numFmtId="0" fontId="23" fillId="0" borderId="28" xfId="0" applyFont="1" applyBorder="1">
      <alignment vertical="center"/>
    </xf>
    <xf numFmtId="41" fontId="0" fillId="0" borderId="0" xfId="33" applyFont="1">
      <alignment vertical="center"/>
    </xf>
    <xf numFmtId="0" fontId="23" fillId="35" borderId="1" xfId="0" applyFont="1" applyFill="1" applyBorder="1">
      <alignment vertical="center"/>
    </xf>
    <xf numFmtId="9" fontId="23" fillId="0" borderId="7" xfId="0" applyNumberFormat="1" applyFont="1" applyBorder="1" applyAlignment="1">
      <alignment horizontal="left" vertical="center"/>
    </xf>
    <xf numFmtId="0" fontId="0" fillId="0" borderId="0" xfId="0" applyBorder="1">
      <alignment vertical="center"/>
    </xf>
    <xf numFmtId="41" fontId="0" fillId="0" borderId="0" xfId="33" applyFont="1" applyBorder="1">
      <alignment vertical="center"/>
    </xf>
    <xf numFmtId="41" fontId="25" fillId="33" borderId="1" xfId="33" applyFont="1" applyFill="1" applyBorder="1" applyAlignment="1">
      <alignment horizontal="center" vertical="center"/>
    </xf>
    <xf numFmtId="41" fontId="14" fillId="33" borderId="1" xfId="33" applyFont="1" applyFill="1" applyBorder="1" applyAlignment="1">
      <alignment horizontal="center" vertical="center"/>
    </xf>
    <xf numFmtId="41" fontId="5" fillId="35" borderId="1" xfId="33" applyFont="1" applyFill="1" applyBorder="1">
      <alignment vertical="center"/>
    </xf>
    <xf numFmtId="0" fontId="2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41" fontId="0" fillId="0" borderId="0" xfId="0" applyNumberFormat="1">
      <alignment vertical="center"/>
    </xf>
    <xf numFmtId="41" fontId="24" fillId="34" borderId="4" xfId="33" applyFont="1" applyFill="1" applyBorder="1">
      <alignment vertical="center"/>
    </xf>
    <xf numFmtId="41" fontId="24" fillId="0" borderId="0" xfId="0" applyNumberFormat="1" applyFont="1">
      <alignment vertical="center"/>
    </xf>
    <xf numFmtId="41" fontId="24" fillId="34" borderId="1" xfId="33" applyFont="1" applyFill="1" applyBorder="1">
      <alignment vertical="center"/>
    </xf>
    <xf numFmtId="0" fontId="0" fillId="35" borderId="29" xfId="0" applyFill="1" applyBorder="1" applyAlignment="1">
      <alignment horizontal="center" vertical="center"/>
    </xf>
    <xf numFmtId="3" fontId="24" fillId="0" borderId="0" xfId="0" applyNumberFormat="1" applyFont="1">
      <alignment vertical="center"/>
    </xf>
    <xf numFmtId="41" fontId="0" fillId="0" borderId="0" xfId="0" applyNumberFormat="1" applyBorder="1">
      <alignment vertical="center"/>
    </xf>
    <xf numFmtId="43" fontId="0" fillId="0" borderId="0" xfId="33" applyNumberFormat="1" applyFont="1" applyBorder="1">
      <alignment vertical="center"/>
    </xf>
    <xf numFmtId="177" fontId="24" fillId="0" borderId="0" xfId="33" applyNumberFormat="1" applyFont="1">
      <alignment vertical="center"/>
    </xf>
    <xf numFmtId="41" fontId="39" fillId="0" borderId="0" xfId="33" applyFont="1" applyBorder="1">
      <alignment vertical="center"/>
    </xf>
    <xf numFmtId="41" fontId="36" fillId="34" borderId="2" xfId="33" applyNumberFormat="1" applyFont="1" applyFill="1" applyBorder="1">
      <alignment vertical="center"/>
    </xf>
    <xf numFmtId="41" fontId="36" fillId="34" borderId="1" xfId="33" applyFont="1" applyFill="1" applyBorder="1">
      <alignment vertical="center"/>
    </xf>
    <xf numFmtId="41" fontId="24" fillId="33" borderId="1" xfId="33" applyFont="1" applyFill="1" applyBorder="1">
      <alignment vertical="center"/>
    </xf>
    <xf numFmtId="0" fontId="35" fillId="33" borderId="12" xfId="0" applyFont="1" applyFill="1" applyBorder="1" applyAlignment="1">
      <alignment horizontal="center" vertical="center"/>
    </xf>
    <xf numFmtId="41" fontId="24" fillId="33" borderId="4" xfId="33" applyFont="1" applyFill="1" applyBorder="1">
      <alignment vertical="center"/>
    </xf>
    <xf numFmtId="0" fontId="25" fillId="33" borderId="14" xfId="0" applyFont="1" applyFill="1" applyBorder="1" applyAlignment="1">
      <alignment horizontal="center" vertical="center"/>
    </xf>
    <xf numFmtId="41" fontId="36" fillId="33" borderId="2" xfId="33" applyNumberFormat="1" applyFont="1" applyFill="1" applyBorder="1">
      <alignment vertical="center"/>
    </xf>
    <xf numFmtId="0" fontId="25" fillId="33" borderId="11" xfId="0" applyFont="1" applyFill="1" applyBorder="1" applyAlignment="1">
      <alignment horizontal="center" vertical="center"/>
    </xf>
    <xf numFmtId="41" fontId="36" fillId="33" borderId="1" xfId="33" applyFont="1" applyFill="1" applyBorder="1">
      <alignment vertical="center"/>
    </xf>
    <xf numFmtId="9" fontId="0" fillId="0" borderId="0" xfId="33" applyNumberFormat="1" applyFont="1" applyBorder="1">
      <alignment vertical="center"/>
    </xf>
    <xf numFmtId="0" fontId="25" fillId="33" borderId="29" xfId="0" applyFont="1" applyFill="1" applyBorder="1" applyAlignment="1">
      <alignment horizontal="center" vertical="center"/>
    </xf>
    <xf numFmtId="41" fontId="25" fillId="33" borderId="29" xfId="33" applyFont="1" applyFill="1" applyBorder="1" applyAlignment="1">
      <alignment horizontal="center" vertical="center"/>
    </xf>
    <xf numFmtId="41" fontId="0" fillId="0" borderId="29" xfId="33" applyFont="1" applyBorder="1">
      <alignment vertical="center"/>
    </xf>
    <xf numFmtId="0" fontId="0" fillId="0" borderId="29" xfId="0" applyBorder="1">
      <alignment vertical="center"/>
    </xf>
    <xf numFmtId="31" fontId="25" fillId="34" borderId="29" xfId="0" applyNumberFormat="1" applyFont="1" applyFill="1" applyBorder="1" applyAlignment="1">
      <alignment horizontal="center" vertical="center"/>
    </xf>
    <xf numFmtId="41" fontId="0" fillId="34" borderId="29" xfId="33" applyFont="1" applyFill="1" applyBorder="1" applyAlignment="1">
      <alignment horizontal="center" vertical="center"/>
    </xf>
    <xf numFmtId="41" fontId="0" fillId="0" borderId="29" xfId="0" applyNumberFormat="1" applyBorder="1">
      <alignment vertical="center"/>
    </xf>
    <xf numFmtId="41" fontId="0" fillId="0" borderId="29" xfId="33" applyFont="1" applyFill="1" applyBorder="1" applyAlignment="1">
      <alignment horizontal="center" vertical="center"/>
    </xf>
    <xf numFmtId="41" fontId="0" fillId="33" borderId="29" xfId="33" applyFont="1" applyFill="1" applyBorder="1" applyAlignment="1">
      <alignment horizontal="center" vertical="center"/>
    </xf>
    <xf numFmtId="0" fontId="0" fillId="33" borderId="29" xfId="0" applyFill="1" applyBorder="1" applyAlignment="1">
      <alignment horizontal="center" vertical="center"/>
    </xf>
    <xf numFmtId="41" fontId="14" fillId="33" borderId="29" xfId="33" applyFont="1" applyFill="1" applyBorder="1" applyAlignment="1">
      <alignment horizontal="center" vertical="center"/>
    </xf>
    <xf numFmtId="0" fontId="14" fillId="36" borderId="29" xfId="0" applyFont="1" applyFill="1" applyBorder="1" applyAlignment="1">
      <alignment horizontal="center" vertical="center"/>
    </xf>
    <xf numFmtId="41" fontId="0" fillId="36" borderId="29" xfId="33" applyFont="1" applyFill="1" applyBorder="1">
      <alignment vertical="center"/>
    </xf>
    <xf numFmtId="41" fontId="14" fillId="33" borderId="29" xfId="33" applyFont="1" applyFill="1" applyBorder="1" applyAlignment="1">
      <alignment horizontal="center" vertical="center"/>
    </xf>
    <xf numFmtId="0" fontId="44" fillId="33" borderId="11" xfId="0" applyFont="1" applyFill="1" applyBorder="1" applyAlignment="1">
      <alignment horizontal="center" vertical="center"/>
    </xf>
    <xf numFmtId="41" fontId="0" fillId="0" borderId="0" xfId="0" applyNumberFormat="1" applyBorder="1" applyAlignment="1">
      <alignment horizontal="center" vertical="center"/>
    </xf>
    <xf numFmtId="41" fontId="14" fillId="33" borderId="1" xfId="33" applyFont="1" applyFill="1" applyBorder="1" applyAlignment="1">
      <alignment horizontal="center" vertical="center" wrapText="1"/>
    </xf>
    <xf numFmtId="41" fontId="14" fillId="33" borderId="29" xfId="33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41" fontId="23" fillId="0" borderId="0" xfId="33" applyFont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45" fillId="0" borderId="0" xfId="33" applyFont="1" applyBorder="1" applyAlignment="1">
      <alignment horizontal="center" vertical="center"/>
    </xf>
    <xf numFmtId="41" fontId="23" fillId="0" borderId="0" xfId="33" applyFont="1">
      <alignment vertical="center"/>
    </xf>
    <xf numFmtId="41" fontId="23" fillId="0" borderId="0" xfId="33" applyFont="1" applyBorder="1">
      <alignment vertical="center"/>
    </xf>
    <xf numFmtId="41" fontId="45" fillId="0" borderId="0" xfId="33" applyFont="1" applyBorder="1">
      <alignment vertical="center"/>
    </xf>
    <xf numFmtId="0" fontId="23" fillId="0" borderId="0" xfId="0" applyNumberFormat="1" applyFont="1">
      <alignment vertical="center"/>
    </xf>
    <xf numFmtId="43" fontId="23" fillId="0" borderId="0" xfId="33" applyNumberFormat="1" applyFont="1" applyBorder="1">
      <alignment vertical="center"/>
    </xf>
    <xf numFmtId="41" fontId="23" fillId="0" borderId="0" xfId="33" applyFont="1" applyBorder="1" applyAlignment="1">
      <alignment horizontal="center" vertical="center" wrapText="1"/>
    </xf>
    <xf numFmtId="41" fontId="23" fillId="0" borderId="0" xfId="0" applyNumberFormat="1" applyFont="1" applyBorder="1" applyAlignment="1">
      <alignment horizontal="center" vertical="center"/>
    </xf>
    <xf numFmtId="43" fontId="23" fillId="0" borderId="0" xfId="33" applyNumberFormat="1" applyFont="1" applyBorder="1" applyAlignment="1">
      <alignment horizontal="center" vertical="center"/>
    </xf>
    <xf numFmtId="41" fontId="23" fillId="0" borderId="0" xfId="0" applyNumberFormat="1" applyFont="1" applyBorder="1">
      <alignment vertical="center"/>
    </xf>
    <xf numFmtId="41" fontId="23" fillId="0" borderId="0" xfId="0" applyNumberFormat="1" applyFont="1">
      <alignment vertical="center"/>
    </xf>
    <xf numFmtId="0" fontId="23" fillId="0" borderId="0" xfId="0" applyFont="1" applyAlignment="1">
      <alignment horizontal="left" vertical="center"/>
    </xf>
    <xf numFmtId="41" fontId="14" fillId="33" borderId="2" xfId="33" applyFont="1" applyFill="1" applyBorder="1" applyAlignment="1">
      <alignment horizontal="center" vertical="center" wrapText="1"/>
    </xf>
    <xf numFmtId="0" fontId="46" fillId="33" borderId="11" xfId="0" applyFont="1" applyFill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0" fontId="22" fillId="0" borderId="10" xfId="173" applyBorder="1">
      <alignment vertical="center"/>
    </xf>
    <xf numFmtId="0" fontId="22" fillId="0" borderId="7" xfId="173" applyBorder="1">
      <alignment vertical="center"/>
    </xf>
    <xf numFmtId="0" fontId="47" fillId="0" borderId="9" xfId="0" applyFont="1" applyBorder="1" applyAlignment="1">
      <alignment horizontal="center" vertical="center"/>
    </xf>
    <xf numFmtId="0" fontId="45" fillId="0" borderId="9" xfId="0" applyFont="1" applyFill="1" applyBorder="1" applyAlignment="1">
      <alignment horizontal="center" vertical="center" wrapText="1"/>
    </xf>
    <xf numFmtId="0" fontId="23" fillId="0" borderId="29" xfId="0" applyFont="1" applyFill="1" applyBorder="1" applyAlignment="1">
      <alignment horizontal="center" vertical="center" wrapText="1"/>
    </xf>
    <xf numFmtId="0" fontId="45" fillId="0" borderId="29" xfId="0" applyFont="1" applyFill="1" applyBorder="1" applyAlignment="1">
      <alignment horizontal="center" vertical="center" wrapText="1"/>
    </xf>
    <xf numFmtId="0" fontId="45" fillId="0" borderId="29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/>
    </xf>
    <xf numFmtId="41" fontId="14" fillId="33" borderId="29" xfId="33" applyFont="1" applyFill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5" fillId="35" borderId="29" xfId="33" applyFont="1" applyFill="1" applyBorder="1">
      <alignment vertical="center"/>
    </xf>
    <xf numFmtId="0" fontId="23" fillId="35" borderId="29" xfId="0" applyFont="1" applyFill="1" applyBorder="1">
      <alignment vertical="center"/>
    </xf>
    <xf numFmtId="178" fontId="23" fillId="0" borderId="0" xfId="0" applyNumberFormat="1" applyFont="1" applyBorder="1" applyAlignment="1">
      <alignment horizontal="right" vertical="center"/>
    </xf>
    <xf numFmtId="41" fontId="23" fillId="0" borderId="0" xfId="33" applyFont="1" applyBorder="1" applyAlignment="1">
      <alignment horizontal="center" vertical="center"/>
    </xf>
    <xf numFmtId="41" fontId="24" fillId="33" borderId="0" xfId="33" applyFont="1" applyFill="1">
      <alignment vertical="center"/>
    </xf>
    <xf numFmtId="41" fontId="0" fillId="0" borderId="0" xfId="33" applyFont="1" applyFill="1">
      <alignment vertical="center"/>
    </xf>
    <xf numFmtId="41" fontId="23" fillId="0" borderId="0" xfId="33" applyFont="1" applyBorder="1" applyAlignment="1">
      <alignment horizontal="center" vertical="center"/>
    </xf>
    <xf numFmtId="41" fontId="5" fillId="35" borderId="1" xfId="33" applyNumberFormat="1" applyFont="1" applyFill="1" applyBorder="1">
      <alignment vertical="center"/>
    </xf>
    <xf numFmtId="41" fontId="23" fillId="0" borderId="0" xfId="33" applyNumberFormat="1" applyFont="1" applyBorder="1" applyAlignment="1">
      <alignment horizontal="center" vertical="center"/>
    </xf>
    <xf numFmtId="41" fontId="36" fillId="0" borderId="1" xfId="33" applyFont="1" applyFill="1" applyBorder="1">
      <alignment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179" fontId="23" fillId="0" borderId="0" xfId="33" applyNumberFormat="1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right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0" applyNumberFormat="1" applyFont="1" applyBorder="1" applyAlignment="1">
      <alignment vertical="center" wrapText="1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23" fillId="0" borderId="0" xfId="33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1" fontId="23" fillId="0" borderId="0" xfId="178" applyFont="1">
      <alignment vertical="center"/>
    </xf>
    <xf numFmtId="41" fontId="23" fillId="0" borderId="0" xfId="178" applyFont="1" applyBorder="1">
      <alignment vertical="center"/>
    </xf>
    <xf numFmtId="0" fontId="23" fillId="0" borderId="0" xfId="0" applyFont="1" applyBorder="1" applyAlignment="1">
      <alignment horizontal="center" vertical="center"/>
    </xf>
    <xf numFmtId="178" fontId="23" fillId="0" borderId="0" xfId="0" applyNumberFormat="1" applyFont="1" applyBorder="1" applyAlignment="1">
      <alignment horizontal="right" vertical="center"/>
    </xf>
    <xf numFmtId="3" fontId="24" fillId="0" borderId="34" xfId="0" applyNumberFormat="1" applyFont="1" applyBorder="1" applyAlignment="1">
      <alignment horizontal="center" vertical="center"/>
    </xf>
    <xf numFmtId="41" fontId="43" fillId="33" borderId="29" xfId="33" applyFont="1" applyFill="1" applyBorder="1" applyAlignment="1">
      <alignment horizontal="center" vertical="center"/>
    </xf>
    <xf numFmtId="41" fontId="14" fillId="33" borderId="29" xfId="33" applyFont="1" applyFill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177" fontId="24" fillId="0" borderId="30" xfId="33" applyNumberFormat="1" applyFont="1" applyBorder="1" applyAlignment="1">
      <alignment horizontal="center" vertical="center"/>
    </xf>
    <xf numFmtId="177" fontId="24" fillId="0" borderId="31" xfId="33" applyNumberFormat="1" applyFont="1" applyBorder="1" applyAlignment="1">
      <alignment horizontal="center" vertical="center"/>
    </xf>
    <xf numFmtId="177" fontId="24" fillId="0" borderId="32" xfId="33" applyNumberFormat="1" applyFont="1" applyBorder="1" applyAlignment="1">
      <alignment horizontal="center" vertical="center"/>
    </xf>
    <xf numFmtId="41" fontId="25" fillId="33" borderId="4" xfId="33" applyFont="1" applyFill="1" applyBorder="1" applyAlignment="1">
      <alignment horizontal="center" vertical="center"/>
    </xf>
    <xf numFmtId="41" fontId="25" fillId="33" borderId="2" xfId="33" applyFont="1" applyFill="1" applyBorder="1" applyAlignment="1">
      <alignment horizontal="center" vertical="center"/>
    </xf>
    <xf numFmtId="41" fontId="14" fillId="33" borderId="30" xfId="33" applyFont="1" applyFill="1" applyBorder="1" applyAlignment="1">
      <alignment horizontal="center" vertical="center"/>
    </xf>
    <xf numFmtId="41" fontId="14" fillId="33" borderId="32" xfId="33" applyFont="1" applyFill="1" applyBorder="1" applyAlignment="1">
      <alignment horizontal="center" vertical="center"/>
    </xf>
    <xf numFmtId="41" fontId="14" fillId="33" borderId="31" xfId="33" applyFont="1" applyFill="1" applyBorder="1" applyAlignment="1">
      <alignment horizontal="center" vertical="center"/>
    </xf>
    <xf numFmtId="41" fontId="25" fillId="33" borderId="4" xfId="33" applyFont="1" applyFill="1" applyBorder="1" applyAlignment="1">
      <alignment horizontal="center" vertical="center" wrapText="1"/>
    </xf>
    <xf numFmtId="41" fontId="14" fillId="33" borderId="4" xfId="33" applyFont="1" applyFill="1" applyBorder="1" applyAlignment="1">
      <alignment horizontal="center" vertical="center"/>
    </xf>
    <xf numFmtId="41" fontId="14" fillId="33" borderId="2" xfId="33" applyFont="1" applyFill="1" applyBorder="1" applyAlignment="1">
      <alignment horizontal="center" vertical="center"/>
    </xf>
    <xf numFmtId="41" fontId="23" fillId="0" borderId="0" xfId="33" applyFont="1" applyBorder="1" applyAlignment="1">
      <alignment horizontal="center" vertical="center"/>
    </xf>
    <xf numFmtId="41" fontId="14" fillId="33" borderId="33" xfId="33" applyFont="1" applyFill="1" applyBorder="1" applyAlignment="1">
      <alignment horizontal="center" vertical="center"/>
    </xf>
    <xf numFmtId="41" fontId="14" fillId="33" borderId="34" xfId="33" applyFont="1" applyFill="1" applyBorder="1" applyAlignment="1">
      <alignment horizontal="center" vertical="center"/>
    </xf>
  </cellXfs>
  <cellStyles count="306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백분율" xfId="29" builtinId="5"/>
    <cellStyle name="보통" xfId="30" builtinId="28" customBuiltin="1"/>
    <cellStyle name="설명 텍스트" xfId="31" builtinId="53" customBuiltin="1"/>
    <cellStyle name="셀 확인" xfId="32" builtinId="23" customBuiltin="1"/>
    <cellStyle name="쉼표 [0]" xfId="33" builtinId="6"/>
    <cellStyle name="쉼표 [0] 2" xfId="34"/>
    <cellStyle name="쉼표 [0] 2 2" xfId="35"/>
    <cellStyle name="쉼표 [0] 2 2 2" xfId="36"/>
    <cellStyle name="쉼표 [0] 2 2 2 2" xfId="37"/>
    <cellStyle name="쉼표 [0] 2 2 2 2 2" xfId="38"/>
    <cellStyle name="쉼표 [0] 2 2 2 2 2 2" xfId="39"/>
    <cellStyle name="쉼표 [0] 2 2 2 2 2 2 2" xfId="40"/>
    <cellStyle name="쉼표 [0] 2 2 2 2 2 2 2 2" xfId="185"/>
    <cellStyle name="쉼표 [0] 2 2 2 2 2 2 3" xfId="184"/>
    <cellStyle name="쉼표 [0] 2 2 2 2 2 3" xfId="41"/>
    <cellStyle name="쉼표 [0] 2 2 2 2 2 3 2" xfId="186"/>
    <cellStyle name="쉼표 [0] 2 2 2 2 2 4" xfId="183"/>
    <cellStyle name="쉼표 [0] 2 2 2 2 3" xfId="42"/>
    <cellStyle name="쉼표 [0] 2 2 2 2 3 2" xfId="43"/>
    <cellStyle name="쉼표 [0] 2 2 2 2 3 2 2" xfId="188"/>
    <cellStyle name="쉼표 [0] 2 2 2 2 3 3" xfId="187"/>
    <cellStyle name="쉼표 [0] 2 2 2 2 4" xfId="44"/>
    <cellStyle name="쉼표 [0] 2 2 2 2 4 2" xfId="189"/>
    <cellStyle name="쉼표 [0] 2 2 2 2 5" xfId="182"/>
    <cellStyle name="쉼표 [0] 2 2 2 3" xfId="45"/>
    <cellStyle name="쉼표 [0] 2 2 2 3 2" xfId="46"/>
    <cellStyle name="쉼표 [0] 2 2 2 3 2 2" xfId="47"/>
    <cellStyle name="쉼표 [0] 2 2 2 3 2 2 2" xfId="192"/>
    <cellStyle name="쉼표 [0] 2 2 2 3 2 3" xfId="191"/>
    <cellStyle name="쉼표 [0] 2 2 2 3 3" xfId="48"/>
    <cellStyle name="쉼표 [0] 2 2 2 3 3 2" xfId="193"/>
    <cellStyle name="쉼표 [0] 2 2 2 3 4" xfId="190"/>
    <cellStyle name="쉼표 [0] 2 2 2 4" xfId="49"/>
    <cellStyle name="쉼표 [0] 2 2 2 4 2" xfId="50"/>
    <cellStyle name="쉼표 [0] 2 2 2 4 2 2" xfId="195"/>
    <cellStyle name="쉼표 [0] 2 2 2 4 3" xfId="194"/>
    <cellStyle name="쉼표 [0] 2 2 2 5" xfId="51"/>
    <cellStyle name="쉼표 [0] 2 2 2 5 2" xfId="196"/>
    <cellStyle name="쉼표 [0] 2 2 2 6" xfId="181"/>
    <cellStyle name="쉼표 [0] 2 2 3" xfId="52"/>
    <cellStyle name="쉼표 [0] 2 2 3 2" xfId="53"/>
    <cellStyle name="쉼표 [0] 2 2 3 2 2" xfId="54"/>
    <cellStyle name="쉼표 [0] 2 2 3 2 2 2" xfId="55"/>
    <cellStyle name="쉼표 [0] 2 2 3 2 2 2 2" xfId="200"/>
    <cellStyle name="쉼표 [0] 2 2 3 2 2 3" xfId="199"/>
    <cellStyle name="쉼표 [0] 2 2 3 2 3" xfId="56"/>
    <cellStyle name="쉼표 [0] 2 2 3 2 3 2" xfId="201"/>
    <cellStyle name="쉼표 [0] 2 2 3 2 4" xfId="198"/>
    <cellStyle name="쉼표 [0] 2 2 3 3" xfId="57"/>
    <cellStyle name="쉼표 [0] 2 2 3 3 2" xfId="58"/>
    <cellStyle name="쉼표 [0] 2 2 3 3 2 2" xfId="203"/>
    <cellStyle name="쉼표 [0] 2 2 3 3 3" xfId="202"/>
    <cellStyle name="쉼표 [0] 2 2 3 4" xfId="59"/>
    <cellStyle name="쉼표 [0] 2 2 3 4 2" xfId="204"/>
    <cellStyle name="쉼표 [0] 2 2 3 5" xfId="197"/>
    <cellStyle name="쉼표 [0] 2 2 4" xfId="60"/>
    <cellStyle name="쉼표 [0] 2 2 4 2" xfId="61"/>
    <cellStyle name="쉼표 [0] 2 2 4 2 2" xfId="62"/>
    <cellStyle name="쉼표 [0] 2 2 4 2 2 2" xfId="207"/>
    <cellStyle name="쉼표 [0] 2 2 4 2 3" xfId="206"/>
    <cellStyle name="쉼표 [0] 2 2 4 3" xfId="63"/>
    <cellStyle name="쉼표 [0] 2 2 4 3 2" xfId="208"/>
    <cellStyle name="쉼표 [0] 2 2 4 4" xfId="205"/>
    <cellStyle name="쉼표 [0] 2 2 5" xfId="64"/>
    <cellStyle name="쉼표 [0] 2 2 5 2" xfId="65"/>
    <cellStyle name="쉼표 [0] 2 2 5 2 2" xfId="210"/>
    <cellStyle name="쉼표 [0] 2 2 5 3" xfId="209"/>
    <cellStyle name="쉼표 [0] 2 2 6" xfId="66"/>
    <cellStyle name="쉼표 [0] 2 2 6 2" xfId="211"/>
    <cellStyle name="쉼표 [0] 2 2 7" xfId="180"/>
    <cellStyle name="쉼표 [0] 2 3" xfId="67"/>
    <cellStyle name="쉼표 [0] 2 3 2" xfId="68"/>
    <cellStyle name="쉼표 [0] 2 3 2 2" xfId="69"/>
    <cellStyle name="쉼표 [0] 2 3 2 2 2" xfId="70"/>
    <cellStyle name="쉼표 [0] 2 3 2 2 2 2" xfId="71"/>
    <cellStyle name="쉼표 [0] 2 3 2 2 2 2 2" xfId="216"/>
    <cellStyle name="쉼표 [0] 2 3 2 2 2 3" xfId="215"/>
    <cellStyle name="쉼표 [0] 2 3 2 2 3" xfId="72"/>
    <cellStyle name="쉼표 [0] 2 3 2 2 3 2" xfId="217"/>
    <cellStyle name="쉼표 [0] 2 3 2 2 4" xfId="214"/>
    <cellStyle name="쉼표 [0] 2 3 2 3" xfId="73"/>
    <cellStyle name="쉼표 [0] 2 3 2 3 2" xfId="74"/>
    <cellStyle name="쉼표 [0] 2 3 2 3 2 2" xfId="219"/>
    <cellStyle name="쉼표 [0] 2 3 2 3 3" xfId="218"/>
    <cellStyle name="쉼표 [0] 2 3 2 4" xfId="75"/>
    <cellStyle name="쉼표 [0] 2 3 2 4 2" xfId="220"/>
    <cellStyle name="쉼표 [0] 2 3 2 5" xfId="213"/>
    <cellStyle name="쉼표 [0] 2 3 3" xfId="76"/>
    <cellStyle name="쉼표 [0] 2 3 3 2" xfId="77"/>
    <cellStyle name="쉼표 [0] 2 3 3 2 2" xfId="78"/>
    <cellStyle name="쉼표 [0] 2 3 3 2 2 2" xfId="223"/>
    <cellStyle name="쉼표 [0] 2 3 3 2 3" xfId="222"/>
    <cellStyle name="쉼표 [0] 2 3 3 3" xfId="79"/>
    <cellStyle name="쉼표 [0] 2 3 3 3 2" xfId="224"/>
    <cellStyle name="쉼표 [0] 2 3 3 4" xfId="221"/>
    <cellStyle name="쉼표 [0] 2 3 4" xfId="80"/>
    <cellStyle name="쉼표 [0] 2 3 4 2" xfId="81"/>
    <cellStyle name="쉼표 [0] 2 3 4 2 2" xfId="226"/>
    <cellStyle name="쉼표 [0] 2 3 4 3" xfId="225"/>
    <cellStyle name="쉼표 [0] 2 3 5" xfId="82"/>
    <cellStyle name="쉼표 [0] 2 3 5 2" xfId="227"/>
    <cellStyle name="쉼표 [0] 2 3 6" xfId="212"/>
    <cellStyle name="쉼표 [0] 2 4" xfId="83"/>
    <cellStyle name="쉼표 [0] 2 4 2" xfId="84"/>
    <cellStyle name="쉼표 [0] 2 4 2 2" xfId="85"/>
    <cellStyle name="쉼표 [0] 2 4 2 2 2" xfId="86"/>
    <cellStyle name="쉼표 [0] 2 4 2 2 2 2" xfId="231"/>
    <cellStyle name="쉼표 [0] 2 4 2 2 3" xfId="230"/>
    <cellStyle name="쉼표 [0] 2 4 2 3" xfId="87"/>
    <cellStyle name="쉼표 [0] 2 4 2 3 2" xfId="232"/>
    <cellStyle name="쉼표 [0] 2 4 2 4" xfId="229"/>
    <cellStyle name="쉼표 [0] 2 4 3" xfId="88"/>
    <cellStyle name="쉼표 [0] 2 4 3 2" xfId="89"/>
    <cellStyle name="쉼표 [0] 2 4 3 2 2" xfId="234"/>
    <cellStyle name="쉼표 [0] 2 4 3 3" xfId="233"/>
    <cellStyle name="쉼표 [0] 2 4 4" xfId="90"/>
    <cellStyle name="쉼표 [0] 2 4 4 2" xfId="235"/>
    <cellStyle name="쉼표 [0] 2 4 5" xfId="228"/>
    <cellStyle name="쉼표 [0] 2 5" xfId="91"/>
    <cellStyle name="쉼표 [0] 2 5 2" xfId="92"/>
    <cellStyle name="쉼표 [0] 2 5 2 2" xfId="93"/>
    <cellStyle name="쉼표 [0] 2 5 2 2 2" xfId="238"/>
    <cellStyle name="쉼표 [0] 2 5 2 3" xfId="237"/>
    <cellStyle name="쉼표 [0] 2 5 3" xfId="94"/>
    <cellStyle name="쉼표 [0] 2 5 3 2" xfId="239"/>
    <cellStyle name="쉼표 [0] 2 5 4" xfId="236"/>
    <cellStyle name="쉼표 [0] 2 6" xfId="95"/>
    <cellStyle name="쉼표 [0] 2 6 2" xfId="96"/>
    <cellStyle name="쉼표 [0] 2 6 2 2" xfId="241"/>
    <cellStyle name="쉼표 [0] 2 6 3" xfId="240"/>
    <cellStyle name="쉼표 [0] 2 7" xfId="97"/>
    <cellStyle name="쉼표 [0] 2 7 2" xfId="242"/>
    <cellStyle name="쉼표 [0] 2 8" xfId="179"/>
    <cellStyle name="쉼표 [0] 3" xfId="98"/>
    <cellStyle name="쉼표 [0] 3 2" xfId="99"/>
    <cellStyle name="쉼표 [0] 3 2 2" xfId="100"/>
    <cellStyle name="쉼표 [0] 3 2 2 2" xfId="101"/>
    <cellStyle name="쉼표 [0] 3 2 2 2 2" xfId="102"/>
    <cellStyle name="쉼표 [0] 3 2 2 2 2 2" xfId="103"/>
    <cellStyle name="쉼표 [0] 3 2 2 2 2 2 2" xfId="248"/>
    <cellStyle name="쉼표 [0] 3 2 2 2 2 3" xfId="247"/>
    <cellStyle name="쉼표 [0] 3 2 2 2 3" xfId="104"/>
    <cellStyle name="쉼표 [0] 3 2 2 2 3 2" xfId="249"/>
    <cellStyle name="쉼표 [0] 3 2 2 2 4" xfId="246"/>
    <cellStyle name="쉼표 [0] 3 2 2 3" xfId="105"/>
    <cellStyle name="쉼표 [0] 3 2 2 3 2" xfId="106"/>
    <cellStyle name="쉼표 [0] 3 2 2 3 2 2" xfId="251"/>
    <cellStyle name="쉼표 [0] 3 2 2 3 3" xfId="250"/>
    <cellStyle name="쉼표 [0] 3 2 2 4" xfId="107"/>
    <cellStyle name="쉼표 [0] 3 2 2 4 2" xfId="252"/>
    <cellStyle name="쉼표 [0] 3 2 2 5" xfId="245"/>
    <cellStyle name="쉼표 [0] 3 2 3" xfId="108"/>
    <cellStyle name="쉼표 [0] 3 2 3 2" xfId="109"/>
    <cellStyle name="쉼표 [0] 3 2 3 2 2" xfId="110"/>
    <cellStyle name="쉼표 [0] 3 2 3 2 2 2" xfId="255"/>
    <cellStyle name="쉼표 [0] 3 2 3 2 3" xfId="254"/>
    <cellStyle name="쉼표 [0] 3 2 3 3" xfId="111"/>
    <cellStyle name="쉼표 [0] 3 2 3 3 2" xfId="256"/>
    <cellStyle name="쉼표 [0] 3 2 3 4" xfId="253"/>
    <cellStyle name="쉼표 [0] 3 2 4" xfId="112"/>
    <cellStyle name="쉼표 [0] 3 2 4 2" xfId="113"/>
    <cellStyle name="쉼표 [0] 3 2 4 2 2" xfId="258"/>
    <cellStyle name="쉼표 [0] 3 2 4 3" xfId="257"/>
    <cellStyle name="쉼표 [0] 3 2 5" xfId="114"/>
    <cellStyle name="쉼표 [0] 3 2 5 2" xfId="259"/>
    <cellStyle name="쉼표 [0] 3 2 6" xfId="244"/>
    <cellStyle name="쉼표 [0] 3 3" xfId="115"/>
    <cellStyle name="쉼표 [0] 3 3 2" xfId="116"/>
    <cellStyle name="쉼표 [0] 3 3 2 2" xfId="117"/>
    <cellStyle name="쉼표 [0] 3 3 2 2 2" xfId="118"/>
    <cellStyle name="쉼표 [0] 3 3 2 2 2 2" xfId="263"/>
    <cellStyle name="쉼표 [0] 3 3 2 2 3" xfId="262"/>
    <cellStyle name="쉼표 [0] 3 3 2 3" xfId="119"/>
    <cellStyle name="쉼표 [0] 3 3 2 3 2" xfId="264"/>
    <cellStyle name="쉼표 [0] 3 3 2 4" xfId="261"/>
    <cellStyle name="쉼표 [0] 3 3 3" xfId="120"/>
    <cellStyle name="쉼표 [0] 3 3 3 2" xfId="121"/>
    <cellStyle name="쉼표 [0] 3 3 3 2 2" xfId="266"/>
    <cellStyle name="쉼표 [0] 3 3 3 3" xfId="265"/>
    <cellStyle name="쉼표 [0] 3 3 4" xfId="122"/>
    <cellStyle name="쉼표 [0] 3 3 4 2" xfId="267"/>
    <cellStyle name="쉼표 [0] 3 3 5" xfId="260"/>
    <cellStyle name="쉼표 [0] 3 4" xfId="123"/>
    <cellStyle name="쉼표 [0] 3 4 2" xfId="124"/>
    <cellStyle name="쉼표 [0] 3 4 2 2" xfId="125"/>
    <cellStyle name="쉼표 [0] 3 4 2 2 2" xfId="270"/>
    <cellStyle name="쉼표 [0] 3 4 2 3" xfId="269"/>
    <cellStyle name="쉼표 [0] 3 4 3" xfId="126"/>
    <cellStyle name="쉼표 [0] 3 4 3 2" xfId="271"/>
    <cellStyle name="쉼표 [0] 3 4 4" xfId="268"/>
    <cellStyle name="쉼표 [0] 3 5" xfId="127"/>
    <cellStyle name="쉼표 [0] 3 5 2" xfId="128"/>
    <cellStyle name="쉼표 [0] 3 5 2 2" xfId="273"/>
    <cellStyle name="쉼표 [0] 3 5 3" xfId="272"/>
    <cellStyle name="쉼표 [0] 3 6" xfId="129"/>
    <cellStyle name="쉼표 [0] 3 6 2" xfId="274"/>
    <cellStyle name="쉼표 [0] 3 7" xfId="243"/>
    <cellStyle name="쉼표 [0] 34" xfId="177"/>
    <cellStyle name="쉼표 [0] 4" xfId="130"/>
    <cellStyle name="쉼표 [0] 4 2" xfId="131"/>
    <cellStyle name="쉼표 [0] 4 2 2" xfId="132"/>
    <cellStyle name="쉼표 [0] 4 2 2 2" xfId="133"/>
    <cellStyle name="쉼표 [0] 4 2 2 2 2" xfId="134"/>
    <cellStyle name="쉼표 [0] 4 2 2 2 2 2" xfId="279"/>
    <cellStyle name="쉼표 [0] 4 2 2 2 3" xfId="278"/>
    <cellStyle name="쉼표 [0] 4 2 2 3" xfId="135"/>
    <cellStyle name="쉼표 [0] 4 2 2 3 2" xfId="280"/>
    <cellStyle name="쉼표 [0] 4 2 2 4" xfId="277"/>
    <cellStyle name="쉼표 [0] 4 2 3" xfId="136"/>
    <cellStyle name="쉼표 [0] 4 2 3 2" xfId="137"/>
    <cellStyle name="쉼표 [0] 4 2 3 2 2" xfId="282"/>
    <cellStyle name="쉼표 [0] 4 2 3 3" xfId="281"/>
    <cellStyle name="쉼표 [0] 4 2 4" xfId="138"/>
    <cellStyle name="쉼표 [0] 4 2 4 2" xfId="283"/>
    <cellStyle name="쉼표 [0] 4 2 5" xfId="276"/>
    <cellStyle name="쉼표 [0] 4 3" xfId="139"/>
    <cellStyle name="쉼표 [0] 4 3 2" xfId="140"/>
    <cellStyle name="쉼표 [0] 4 3 2 2" xfId="141"/>
    <cellStyle name="쉼표 [0] 4 3 2 2 2" xfId="286"/>
    <cellStyle name="쉼표 [0] 4 3 2 3" xfId="285"/>
    <cellStyle name="쉼표 [0] 4 3 3" xfId="142"/>
    <cellStyle name="쉼표 [0] 4 3 3 2" xfId="287"/>
    <cellStyle name="쉼표 [0] 4 3 4" xfId="284"/>
    <cellStyle name="쉼표 [0] 4 4" xfId="143"/>
    <cellStyle name="쉼표 [0] 4 4 2" xfId="144"/>
    <cellStyle name="쉼표 [0] 4 4 2 2" xfId="289"/>
    <cellStyle name="쉼표 [0] 4 4 3" xfId="288"/>
    <cellStyle name="쉼표 [0] 4 5" xfId="145"/>
    <cellStyle name="쉼표 [0] 4 5 2" xfId="290"/>
    <cellStyle name="쉼표 [0] 4 6" xfId="275"/>
    <cellStyle name="쉼표 [0] 5" xfId="146"/>
    <cellStyle name="쉼표 [0] 5 2" xfId="147"/>
    <cellStyle name="쉼표 [0] 5 2 2" xfId="148"/>
    <cellStyle name="쉼표 [0] 5 2 2 2" xfId="149"/>
    <cellStyle name="쉼표 [0] 5 2 2 2 2" xfId="294"/>
    <cellStyle name="쉼표 [0] 5 2 2 3" xfId="293"/>
    <cellStyle name="쉼표 [0] 5 2 3" xfId="150"/>
    <cellStyle name="쉼표 [0] 5 2 3 2" xfId="295"/>
    <cellStyle name="쉼표 [0] 5 2 4" xfId="292"/>
    <cellStyle name="쉼표 [0] 5 3" xfId="151"/>
    <cellStyle name="쉼표 [0] 5 3 2" xfId="152"/>
    <cellStyle name="쉼표 [0] 5 3 2 2" xfId="297"/>
    <cellStyle name="쉼표 [0] 5 3 3" xfId="296"/>
    <cellStyle name="쉼표 [0] 5 4" xfId="153"/>
    <cellStyle name="쉼표 [0] 5 4 2" xfId="298"/>
    <cellStyle name="쉼표 [0] 5 5" xfId="291"/>
    <cellStyle name="쉼표 [0] 6" xfId="154"/>
    <cellStyle name="쉼표 [0] 6 2" xfId="155"/>
    <cellStyle name="쉼표 [0] 6 2 2" xfId="156"/>
    <cellStyle name="쉼표 [0] 6 2 2 2" xfId="301"/>
    <cellStyle name="쉼표 [0] 6 2 3" xfId="300"/>
    <cellStyle name="쉼표 [0] 6 3" xfId="157"/>
    <cellStyle name="쉼표 [0] 6 3 2" xfId="302"/>
    <cellStyle name="쉼표 [0] 6 4" xfId="299"/>
    <cellStyle name="쉼표 [0] 7" xfId="158"/>
    <cellStyle name="쉼표 [0] 7 2" xfId="159"/>
    <cellStyle name="쉼표 [0] 7 2 2" xfId="304"/>
    <cellStyle name="쉼표 [0] 7 3" xfId="303"/>
    <cellStyle name="쉼표 [0] 8" xfId="160"/>
    <cellStyle name="쉼표 [0] 8 2" xfId="305"/>
    <cellStyle name="쉼표 [0] 9" xfId="178"/>
    <cellStyle name="연결된 셀" xfId="161" builtinId="24" customBuiltin="1"/>
    <cellStyle name="요약" xfId="162" builtinId="25" customBuiltin="1"/>
    <cellStyle name="입력" xfId="163" builtinId="20" customBuiltin="1"/>
    <cellStyle name="제목 1" xfId="164" builtinId="16" customBuiltin="1"/>
    <cellStyle name="제목 2" xfId="165" builtinId="17" customBuiltin="1"/>
    <cellStyle name="제목 3" xfId="166" builtinId="18" customBuiltin="1"/>
    <cellStyle name="제목 4" xfId="167" builtinId="19" customBuiltin="1"/>
    <cellStyle name="제목 5" xfId="168"/>
    <cellStyle name="좋음" xfId="169" builtinId="26" customBuiltin="1"/>
    <cellStyle name="출력" xfId="170" builtinId="21" customBuiltin="1"/>
    <cellStyle name="표준" xfId="0" builtinId="0"/>
    <cellStyle name="표준 144 2" xfId="174"/>
    <cellStyle name="표준 152" xfId="175"/>
    <cellStyle name="표준 2" xfId="171"/>
    <cellStyle name="표준 3" xfId="172"/>
    <cellStyle name="표준 97" xfId="176"/>
    <cellStyle name="하이퍼링크" xfId="17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moticonstudio.kakao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FFFF00"/>
    <pageSetUpPr fitToPage="1"/>
  </sheetPr>
  <dimension ref="A1:O40"/>
  <sheetViews>
    <sheetView tabSelected="1" zoomScale="80" zoomScaleNormal="80" zoomScaleSheetLayoutView="90" workbookViewId="0">
      <selection activeCell="F27" sqref="F27"/>
    </sheetView>
  </sheetViews>
  <sheetFormatPr defaultRowHeight="17.399999999999999"/>
  <cols>
    <col min="1" max="1" width="3.59765625" style="2" customWidth="1"/>
    <col min="2" max="2" width="18.8984375" style="2" customWidth="1"/>
    <col min="3" max="3" width="14.3984375" style="2" bestFit="1" customWidth="1"/>
    <col min="4" max="4" width="13.19921875" style="2" customWidth="1"/>
    <col min="5" max="5" width="16.59765625" style="2" customWidth="1"/>
    <col min="6" max="6" width="14.8984375" style="2" customWidth="1"/>
    <col min="7" max="7" width="14.59765625" bestFit="1" customWidth="1"/>
    <col min="8" max="8" width="30.19921875" customWidth="1"/>
    <col min="9" max="9" width="3.69921875" style="15" customWidth="1"/>
    <col min="10" max="10" width="3.3984375" style="15" bestFit="1" customWidth="1"/>
    <col min="11" max="11" width="15.8984375" customWidth="1"/>
    <col min="12" max="12" width="15.19921875" style="40" customWidth="1"/>
    <col min="13" max="13" width="16.69921875" style="40" customWidth="1"/>
    <col min="14" max="14" width="15.5" customWidth="1"/>
  </cols>
  <sheetData>
    <row r="1" spans="1:15" ht="15.9" customHeight="1">
      <c r="A1" s="3"/>
      <c r="B1" s="3"/>
      <c r="C1" s="3"/>
      <c r="D1" s="3"/>
      <c r="E1" s="3"/>
      <c r="F1" s="3"/>
      <c r="G1" s="3"/>
      <c r="H1" s="18"/>
    </row>
    <row r="2" spans="1:15" ht="21">
      <c r="A2" s="3"/>
      <c r="B2" s="11" t="s">
        <v>150</v>
      </c>
      <c r="C2" s="4"/>
      <c r="D2" s="25"/>
      <c r="E2" s="4"/>
      <c r="F2" s="10"/>
      <c r="H2" s="17"/>
      <c r="K2" s="72" t="s">
        <v>34</v>
      </c>
      <c r="L2" s="150">
        <v>516950000</v>
      </c>
      <c r="M2" s="150"/>
      <c r="N2" s="150"/>
    </row>
    <row r="3" spans="1:15" ht="18" thickBot="1">
      <c r="A3" s="3"/>
      <c r="B3" s="5"/>
      <c r="C3" s="5"/>
      <c r="D3" s="5"/>
      <c r="E3" s="5"/>
      <c r="F3" s="5"/>
      <c r="G3" s="5"/>
      <c r="K3" s="72" t="s">
        <v>36</v>
      </c>
      <c r="L3" s="149">
        <f>636950000-516950000</f>
        <v>120000000</v>
      </c>
      <c r="M3" s="149"/>
      <c r="N3" s="149"/>
    </row>
    <row r="4" spans="1:15" ht="18" thickBot="1">
      <c r="A4" s="3"/>
      <c r="B4" s="6" t="s">
        <v>2</v>
      </c>
      <c r="C4" s="7" t="s">
        <v>3</v>
      </c>
      <c r="D4" s="7" t="s">
        <v>4</v>
      </c>
      <c r="E4" s="7" t="s">
        <v>22</v>
      </c>
      <c r="F4" s="7" t="s">
        <v>23</v>
      </c>
      <c r="G4" s="7" t="s">
        <v>24</v>
      </c>
      <c r="H4" s="8" t="s">
        <v>8</v>
      </c>
      <c r="K4" s="73" t="s">
        <v>32</v>
      </c>
      <c r="L4" s="80" t="s">
        <v>35</v>
      </c>
      <c r="M4" s="80" t="s">
        <v>37</v>
      </c>
      <c r="N4" s="81" t="s">
        <v>33</v>
      </c>
    </row>
    <row r="5" spans="1:15" ht="16.5" customHeight="1">
      <c r="A5" s="3"/>
      <c r="B5" s="67" t="s">
        <v>55</v>
      </c>
      <c r="C5" s="68">
        <f>브랜드이모티콘!C5</f>
        <v>830480000</v>
      </c>
      <c r="D5" s="68">
        <f>브랜드이모티콘!D5</f>
        <v>685800000</v>
      </c>
      <c r="E5" s="62">
        <f>브랜드이모티콘!E5</f>
        <v>144680000</v>
      </c>
      <c r="F5" s="62">
        <f>브랜드이모티콘!F5</f>
        <v>21702000</v>
      </c>
      <c r="G5" s="62">
        <f>브랜드이모티콘!G5</f>
        <v>122978000</v>
      </c>
      <c r="H5" s="42" t="s">
        <v>29</v>
      </c>
      <c r="J5" s="15">
        <v>1</v>
      </c>
      <c r="K5" s="76" t="s">
        <v>25</v>
      </c>
      <c r="L5" s="77">
        <f>4411886/1.1</f>
        <v>4010805.4545454541</v>
      </c>
      <c r="M5" s="77">
        <f>L2-L5</f>
        <v>512939194.54545456</v>
      </c>
      <c r="N5" s="78"/>
      <c r="O5" s="52">
        <f>(F5+G5)-E5</f>
        <v>0</v>
      </c>
    </row>
    <row r="6" spans="1:15" ht="17.399999999999999" customHeight="1">
      <c r="A6" s="3"/>
      <c r="B6" s="69" t="s">
        <v>56</v>
      </c>
      <c r="C6" s="70">
        <f>브랜드웹툰!C5</f>
        <v>29418183</v>
      </c>
      <c r="D6" s="70">
        <f>브랜드웹툰!D5</f>
        <v>9400000</v>
      </c>
      <c r="E6" s="63">
        <f>브랜드웹툰!E5</f>
        <v>20018183</v>
      </c>
      <c r="F6" s="63">
        <f>브랜드웹툰!F5</f>
        <v>3002727</v>
      </c>
      <c r="G6" s="63">
        <f>브랜드웹툰!G5</f>
        <v>17015456</v>
      </c>
      <c r="H6" s="42" t="s">
        <v>51</v>
      </c>
      <c r="J6" s="15">
        <v>2</v>
      </c>
      <c r="K6" s="76" t="s">
        <v>16</v>
      </c>
      <c r="L6" s="77">
        <f>5440596/1.1</f>
        <v>4945996.3636363633</v>
      </c>
      <c r="M6" s="77">
        <v>507993197</v>
      </c>
      <c r="N6" s="78"/>
      <c r="O6" s="52">
        <f t="shared" ref="O6:O13" si="0">(F6+G6)-E6</f>
        <v>0</v>
      </c>
    </row>
    <row r="7" spans="1:15">
      <c r="A7" s="3"/>
      <c r="B7" s="86" t="s">
        <v>57</v>
      </c>
      <c r="C7" s="70">
        <f>'카카오톡 판매용이모티콘(자사IP)'!C6</f>
        <v>1040960</v>
      </c>
      <c r="D7" s="70">
        <f>'카카오톡 판매용이모티콘(자사IP)'!D6+'카카오톡 판매용이모티콘(자사IP)'!G6</f>
        <v>2233712</v>
      </c>
      <c r="E7" s="63">
        <f>'카카오톡 판매용이모티콘(자사IP)'!H6</f>
        <v>1921424</v>
      </c>
      <c r="F7" s="63">
        <f>'카카오톡 판매용이모티콘(자사IP)'!I6</f>
        <v>288214</v>
      </c>
      <c r="G7" s="63">
        <f>'카카오톡 판매용이모티콘(자사IP)'!J6</f>
        <v>1633210</v>
      </c>
      <c r="H7" s="42" t="s">
        <v>52</v>
      </c>
      <c r="J7" s="15">
        <v>3</v>
      </c>
      <c r="K7" s="76" t="s">
        <v>17</v>
      </c>
      <c r="L7" s="77">
        <v>7741975</v>
      </c>
      <c r="M7" s="77">
        <f>M6-L7</f>
        <v>500251222</v>
      </c>
      <c r="N7" s="78"/>
      <c r="O7" s="52">
        <f t="shared" si="0"/>
        <v>0</v>
      </c>
    </row>
    <row r="8" spans="1:15">
      <c r="A8" s="3"/>
      <c r="B8" s="86" t="s">
        <v>58</v>
      </c>
      <c r="C8" s="70">
        <f>'카카오톡 판매용이모티콘(작가IP)'!C6</f>
        <v>2615229</v>
      </c>
      <c r="D8" s="70">
        <f>'카카오톡 판매용이모티콘(작가IP)'!D6+'카카오톡 판매용이모티콘(작가IP)'!G6</f>
        <v>3854267</v>
      </c>
      <c r="E8" s="63">
        <f>'카카오톡 판매용이모티콘(작가IP)'!H6</f>
        <v>3071198</v>
      </c>
      <c r="F8" s="63">
        <f>'카카오톡 판매용이모티콘(작가IP)'!I6</f>
        <v>460680</v>
      </c>
      <c r="G8" s="63">
        <f>'카카오톡 판매용이모티콘(작가IP)'!J6</f>
        <v>2610518</v>
      </c>
      <c r="H8" s="42" t="s">
        <v>29</v>
      </c>
      <c r="J8" s="15">
        <v>4</v>
      </c>
      <c r="K8" s="76" t="s">
        <v>18</v>
      </c>
      <c r="L8" s="77">
        <v>5800332</v>
      </c>
      <c r="M8" s="77">
        <f>M7-L8</f>
        <v>494450890</v>
      </c>
      <c r="N8" s="78"/>
      <c r="O8" s="52">
        <f t="shared" si="0"/>
        <v>0</v>
      </c>
    </row>
    <row r="9" spans="1:15">
      <c r="A9" s="3"/>
      <c r="B9" s="86" t="s">
        <v>117</v>
      </c>
      <c r="C9" s="64">
        <f>'밴드스티커(자사IP)'!C6</f>
        <v>7323</v>
      </c>
      <c r="D9" s="64">
        <f>'밴드스티커(자사IP)'!D6+'밴드스티커(자사IP)'!F6</f>
        <v>5785</v>
      </c>
      <c r="E9" s="55">
        <f>'밴드스티커(자사IP)'!H6</f>
        <v>1538</v>
      </c>
      <c r="F9" s="129">
        <f>'밴드스티커(자사IP)'!I6</f>
        <v>231</v>
      </c>
      <c r="G9" s="21">
        <f>'밴드스티커(자사IP)'!J6</f>
        <v>1307</v>
      </c>
      <c r="H9" s="42" t="s">
        <v>29</v>
      </c>
      <c r="J9" s="15">
        <v>5</v>
      </c>
      <c r="K9" s="76" t="s">
        <v>19</v>
      </c>
      <c r="L9" s="77">
        <v>8297406</v>
      </c>
      <c r="M9" s="77">
        <f>M8-L9</f>
        <v>486153484</v>
      </c>
      <c r="N9" s="78"/>
      <c r="O9" s="52">
        <f t="shared" si="0"/>
        <v>0</v>
      </c>
    </row>
    <row r="10" spans="1:15">
      <c r="A10" s="3"/>
      <c r="B10" s="106" t="s">
        <v>118</v>
      </c>
      <c r="C10" s="64">
        <f>'밴드스티커(작가IP)'!C6</f>
        <v>10500</v>
      </c>
      <c r="D10" s="64">
        <f>'밴드스티커(작가IP)'!D6+'밴드스티커(작가IP)'!G6</f>
        <v>5355</v>
      </c>
      <c r="E10" s="55">
        <f>'밴드스티커(작가IP)'!H6</f>
        <v>2205</v>
      </c>
      <c r="F10" s="129">
        <f>'밴드스티커(작가IP)'!I6</f>
        <v>331</v>
      </c>
      <c r="G10" s="21">
        <f>'밴드스티커(작가IP)'!J6</f>
        <v>1874</v>
      </c>
      <c r="H10" s="42" t="s">
        <v>29</v>
      </c>
      <c r="J10" s="15">
        <v>6</v>
      </c>
      <c r="K10" s="76" t="s">
        <v>20</v>
      </c>
      <c r="L10" s="77">
        <v>32035958</v>
      </c>
      <c r="M10" s="77">
        <f t="shared" ref="M10:M15" si="1">M9-L10</f>
        <v>454117526</v>
      </c>
      <c r="N10" s="78"/>
      <c r="O10" s="52">
        <f t="shared" si="0"/>
        <v>0</v>
      </c>
    </row>
    <row r="11" spans="1:15">
      <c r="A11" s="3"/>
      <c r="B11" s="106"/>
      <c r="C11" s="64"/>
      <c r="D11" s="64"/>
      <c r="E11" s="55"/>
      <c r="F11" s="129"/>
      <c r="G11" s="21"/>
      <c r="H11" s="42"/>
      <c r="J11" s="15">
        <v>7</v>
      </c>
      <c r="K11" s="76" t="s">
        <v>38</v>
      </c>
      <c r="L11" s="77">
        <v>1722168</v>
      </c>
      <c r="M11" s="77">
        <f t="shared" si="1"/>
        <v>452395358</v>
      </c>
      <c r="N11" s="78"/>
      <c r="O11" s="52">
        <f t="shared" si="0"/>
        <v>0</v>
      </c>
    </row>
    <row r="12" spans="1:15">
      <c r="A12" s="3"/>
      <c r="B12" s="106"/>
      <c r="C12" s="66"/>
      <c r="D12" s="66"/>
      <c r="E12" s="53"/>
      <c r="F12" s="20"/>
      <c r="G12" s="20"/>
      <c r="H12" s="42"/>
      <c r="J12" s="15">
        <v>8</v>
      </c>
      <c r="K12" s="76" t="s">
        <v>39</v>
      </c>
      <c r="L12" s="77">
        <v>1613941</v>
      </c>
      <c r="M12" s="77">
        <f t="shared" si="1"/>
        <v>450781417</v>
      </c>
      <c r="N12" s="78"/>
      <c r="O12" s="52">
        <f t="shared" si="0"/>
        <v>0</v>
      </c>
    </row>
    <row r="13" spans="1:15" ht="18" thickBot="1">
      <c r="A13" s="3"/>
      <c r="B13" s="65"/>
      <c r="C13" s="66"/>
      <c r="D13" s="66"/>
      <c r="E13" s="20"/>
      <c r="F13" s="53"/>
      <c r="G13" s="20"/>
      <c r="H13" s="42"/>
      <c r="J13" s="15">
        <v>9</v>
      </c>
      <c r="K13" s="76" t="s">
        <v>40</v>
      </c>
      <c r="L13" s="77">
        <v>6715963</v>
      </c>
      <c r="M13" s="77">
        <f t="shared" si="1"/>
        <v>444065454</v>
      </c>
      <c r="N13" s="75"/>
      <c r="O13" s="52">
        <f t="shared" si="0"/>
        <v>0</v>
      </c>
    </row>
    <row r="14" spans="1:15" ht="18" thickBot="1">
      <c r="A14" s="3"/>
      <c r="B14" s="27" t="s">
        <v>5</v>
      </c>
      <c r="C14" s="28">
        <f>SUM(C5:C13)</f>
        <v>863572195</v>
      </c>
      <c r="D14" s="28">
        <f>SUM(D5:D13)</f>
        <v>701299119</v>
      </c>
      <c r="E14" s="28">
        <f>SUM(E5:E13)</f>
        <v>169694548</v>
      </c>
      <c r="F14" s="28">
        <f>SUM(F5:F13)</f>
        <v>25454183</v>
      </c>
      <c r="G14" s="28">
        <f>SUM(G5:G13)</f>
        <v>144240365</v>
      </c>
      <c r="H14" s="29"/>
      <c r="J14" s="15">
        <v>10</v>
      </c>
      <c r="K14" s="76" t="s">
        <v>41</v>
      </c>
      <c r="L14" s="77">
        <v>4947594</v>
      </c>
      <c r="M14" s="77">
        <f t="shared" si="1"/>
        <v>439117860</v>
      </c>
      <c r="N14" s="75"/>
    </row>
    <row r="15" spans="1:15" ht="16.5" customHeight="1">
      <c r="A15" s="3"/>
      <c r="B15" s="5"/>
      <c r="C15" s="5"/>
      <c r="D15" s="5"/>
      <c r="E15" s="5"/>
      <c r="F15" s="12"/>
      <c r="G15" s="5"/>
      <c r="H15" s="13"/>
      <c r="J15" s="15">
        <v>11</v>
      </c>
      <c r="K15" s="76" t="s">
        <v>42</v>
      </c>
      <c r="L15" s="77">
        <v>6579706</v>
      </c>
      <c r="M15" s="77">
        <f t="shared" si="1"/>
        <v>432538154</v>
      </c>
      <c r="N15" s="75"/>
    </row>
    <row r="16" spans="1:15">
      <c r="A16" s="3"/>
      <c r="B16" s="14" t="s">
        <v>10</v>
      </c>
      <c r="E16" s="15"/>
      <c r="F16"/>
      <c r="J16" s="15">
        <v>12</v>
      </c>
      <c r="K16" s="76" t="s">
        <v>43</v>
      </c>
      <c r="L16" s="77">
        <v>7693335</v>
      </c>
      <c r="M16" s="77">
        <f>M15-L16</f>
        <v>424844819</v>
      </c>
      <c r="N16" s="75"/>
    </row>
    <row r="17" spans="1:14">
      <c r="A17" s="3"/>
      <c r="B17" s="14"/>
      <c r="E17" s="15"/>
      <c r="F17" s="54"/>
      <c r="G17" s="40"/>
      <c r="J17" s="15">
        <v>13</v>
      </c>
      <c r="K17" s="76" t="s">
        <v>44</v>
      </c>
      <c r="L17" s="77">
        <v>10452516</v>
      </c>
      <c r="M17" s="77">
        <f>M16-L17</f>
        <v>414392303</v>
      </c>
      <c r="N17" s="75"/>
    </row>
    <row r="18" spans="1:14">
      <c r="A18" s="3"/>
      <c r="E18" s="2" t="s">
        <v>130</v>
      </c>
      <c r="F18" s="52" t="s">
        <v>131</v>
      </c>
      <c r="J18" s="15">
        <v>14</v>
      </c>
      <c r="K18" s="76" t="s">
        <v>45</v>
      </c>
      <c r="L18" s="77">
        <v>10374097</v>
      </c>
      <c r="M18" s="77">
        <f>M17-L18</f>
        <v>404018206</v>
      </c>
      <c r="N18" s="74"/>
    </row>
    <row r="19" spans="1:14">
      <c r="A19" s="3"/>
      <c r="C19" s="151" t="s">
        <v>30</v>
      </c>
      <c r="D19" s="152"/>
      <c r="E19" s="78">
        <f>E14</f>
        <v>169694548</v>
      </c>
      <c r="F19" s="40">
        <f>E19</f>
        <v>169694548</v>
      </c>
      <c r="J19" s="15">
        <v>15</v>
      </c>
      <c r="K19" s="76" t="s">
        <v>46</v>
      </c>
      <c r="L19" s="74">
        <v>2587622</v>
      </c>
      <c r="M19" s="74">
        <v>401430584</v>
      </c>
      <c r="N19" s="75"/>
    </row>
    <row r="20" spans="1:14">
      <c r="A20" s="3"/>
      <c r="C20" s="153" t="s">
        <v>31</v>
      </c>
      <c r="D20" s="154"/>
      <c r="E20" s="78">
        <f>G14</f>
        <v>144240365</v>
      </c>
      <c r="F20" s="40">
        <f>E20</f>
        <v>144240365</v>
      </c>
      <c r="I20" s="16"/>
      <c r="J20" s="15">
        <v>16</v>
      </c>
      <c r="K20" s="76" t="s">
        <v>47</v>
      </c>
      <c r="L20" s="79">
        <v>10768091</v>
      </c>
      <c r="M20" s="77">
        <f>M19-L20</f>
        <v>390662493</v>
      </c>
      <c r="N20" s="75"/>
    </row>
    <row r="21" spans="1:14">
      <c r="A21" s="3"/>
      <c r="C21" s="153" t="s">
        <v>50</v>
      </c>
      <c r="D21" s="154"/>
      <c r="E21" s="74">
        <f>F14</f>
        <v>25454183</v>
      </c>
      <c r="F21" s="125">
        <f>E21</f>
        <v>25454183</v>
      </c>
      <c r="I21"/>
      <c r="J21" s="15">
        <v>17</v>
      </c>
      <c r="K21" s="76" t="s">
        <v>48</v>
      </c>
      <c r="L21" s="77">
        <v>10162222</v>
      </c>
      <c r="M21" s="77">
        <f>M20-L21</f>
        <v>380500271</v>
      </c>
      <c r="N21" s="75"/>
    </row>
    <row r="22" spans="1:14" s="23" customFormat="1">
      <c r="A22" s="19"/>
      <c r="B22" s="2"/>
      <c r="C22" s="155" t="s">
        <v>133</v>
      </c>
      <c r="D22" s="155"/>
      <c r="E22" s="44"/>
      <c r="F22" s="125"/>
      <c r="J22" s="15"/>
      <c r="K22" s="76"/>
      <c r="L22" s="77"/>
      <c r="M22" s="77"/>
      <c r="N22" s="75"/>
    </row>
    <row r="23" spans="1:14">
      <c r="A23" s="3"/>
      <c r="C23" s="148"/>
      <c r="D23" s="148"/>
      <c r="E23" s="5"/>
      <c r="F23" s="124">
        <f>F21+E23+F22</f>
        <v>25454183</v>
      </c>
      <c r="G23" s="40"/>
      <c r="I23"/>
      <c r="J23" s="15">
        <v>18</v>
      </c>
      <c r="K23" s="76" t="s">
        <v>49</v>
      </c>
      <c r="L23" s="77">
        <v>15953145</v>
      </c>
      <c r="M23" s="77">
        <v>364547126</v>
      </c>
      <c r="N23" s="75"/>
    </row>
    <row r="24" spans="1:14">
      <c r="A24" s="3"/>
      <c r="C24" s="57"/>
      <c r="E24" s="60"/>
      <c r="F24" s="5"/>
      <c r="I24"/>
      <c r="J24" s="15">
        <v>19</v>
      </c>
      <c r="K24" s="76" t="s">
        <v>138</v>
      </c>
      <c r="L24" s="77">
        <v>4170625</v>
      </c>
      <c r="M24" s="77">
        <f t="shared" ref="M24:M30" si="2">M23-L24</f>
        <v>360376501</v>
      </c>
      <c r="N24" s="75"/>
    </row>
    <row r="25" spans="1:14">
      <c r="A25" s="3"/>
      <c r="F25" s="5"/>
      <c r="J25" s="15">
        <v>20</v>
      </c>
      <c r="K25" s="76" t="s">
        <v>139</v>
      </c>
      <c r="L25" s="77">
        <v>4968474</v>
      </c>
      <c r="M25" s="77">
        <f t="shared" si="2"/>
        <v>355408027</v>
      </c>
      <c r="N25" s="75"/>
    </row>
    <row r="26" spans="1:14">
      <c r="A26" s="3"/>
      <c r="E26" s="54"/>
      <c r="F26" s="5"/>
      <c r="J26" s="15">
        <v>21</v>
      </c>
      <c r="K26" s="76" t="s">
        <v>140</v>
      </c>
      <c r="L26" s="77">
        <v>6137824</v>
      </c>
      <c r="M26" s="77">
        <f t="shared" si="2"/>
        <v>349270203</v>
      </c>
      <c r="N26" s="75"/>
    </row>
    <row r="27" spans="1:14">
      <c r="A27" s="3"/>
      <c r="C27" s="54"/>
      <c r="F27" s="5"/>
      <c r="J27" s="15">
        <v>22</v>
      </c>
      <c r="K27" s="76" t="s">
        <v>141</v>
      </c>
      <c r="L27" s="77">
        <v>3606106</v>
      </c>
      <c r="M27" s="77">
        <f t="shared" si="2"/>
        <v>345664097</v>
      </c>
      <c r="N27" s="75"/>
    </row>
    <row r="28" spans="1:14" s="23" customFormat="1">
      <c r="A28" s="19"/>
      <c r="B28" s="2"/>
      <c r="C28" s="57"/>
      <c r="D28" s="2"/>
      <c r="E28" s="60"/>
      <c r="F28" s="5"/>
      <c r="G28"/>
      <c r="H28"/>
      <c r="I28" s="15"/>
      <c r="J28" s="15">
        <v>23</v>
      </c>
      <c r="K28" s="76" t="s">
        <v>142</v>
      </c>
      <c r="L28" s="77">
        <v>11504011</v>
      </c>
      <c r="M28" s="77">
        <f t="shared" si="2"/>
        <v>334160086</v>
      </c>
      <c r="N28" s="75"/>
    </row>
    <row r="29" spans="1:14">
      <c r="A29" s="3"/>
      <c r="C29" s="57"/>
      <c r="D29" s="54"/>
      <c r="E29" s="60"/>
      <c r="F29" s="5"/>
      <c r="J29" s="15">
        <v>24</v>
      </c>
      <c r="K29" s="76" t="s">
        <v>143</v>
      </c>
      <c r="L29" s="77">
        <v>4545796</v>
      </c>
      <c r="M29" s="77">
        <f t="shared" si="2"/>
        <v>329614290</v>
      </c>
      <c r="N29" s="75"/>
    </row>
    <row r="30" spans="1:14" s="23" customFormat="1">
      <c r="A30" s="19"/>
      <c r="B30" s="2"/>
      <c r="C30" s="57"/>
      <c r="D30" s="54"/>
      <c r="E30" s="60"/>
      <c r="F30" s="5"/>
      <c r="I30" s="15"/>
      <c r="J30" s="15">
        <v>25</v>
      </c>
      <c r="K30" s="76" t="s">
        <v>144</v>
      </c>
      <c r="L30" s="77">
        <v>9074989</v>
      </c>
      <c r="M30" s="77">
        <f t="shared" si="2"/>
        <v>320539301</v>
      </c>
      <c r="N30" s="75"/>
    </row>
    <row r="31" spans="1:14" s="23" customFormat="1">
      <c r="A31" s="19"/>
      <c r="B31" s="2"/>
      <c r="C31" s="57"/>
      <c r="D31" s="54"/>
      <c r="E31" s="60"/>
      <c r="F31" s="5"/>
      <c r="I31" s="15"/>
      <c r="J31" s="15">
        <v>26</v>
      </c>
      <c r="K31" s="76" t="s">
        <v>146</v>
      </c>
      <c r="L31" s="77">
        <v>9161122</v>
      </c>
      <c r="M31" s="77">
        <f>M30-L31</f>
        <v>311378179</v>
      </c>
      <c r="N31" s="75"/>
    </row>
    <row r="32" spans="1:14" s="23" customFormat="1">
      <c r="A32" s="19"/>
      <c r="B32" s="2"/>
      <c r="C32" s="57"/>
      <c r="D32" s="54"/>
      <c r="E32" s="60"/>
      <c r="F32" s="5"/>
      <c r="I32" s="15"/>
      <c r="J32" s="15">
        <v>27</v>
      </c>
      <c r="K32" s="76" t="s">
        <v>147</v>
      </c>
      <c r="L32" s="77">
        <v>7480310</v>
      </c>
      <c r="M32" s="77">
        <f>M31-L32</f>
        <v>303897869</v>
      </c>
      <c r="N32" s="75"/>
    </row>
    <row r="33" spans="1:14" s="23" customFormat="1">
      <c r="A33" s="19"/>
      <c r="B33" s="2"/>
      <c r="C33" s="57"/>
      <c r="D33" s="54"/>
      <c r="E33" s="60"/>
      <c r="F33" s="5"/>
      <c r="I33" s="15"/>
      <c r="J33" s="15">
        <v>28</v>
      </c>
      <c r="K33" s="76" t="s">
        <v>148</v>
      </c>
      <c r="L33" s="77">
        <v>5629884</v>
      </c>
      <c r="M33" s="77">
        <f>M32-L33</f>
        <v>298267985</v>
      </c>
      <c r="N33" s="75"/>
    </row>
    <row r="34" spans="1:14" s="23" customFormat="1">
      <c r="A34" s="19"/>
      <c r="B34" s="2"/>
      <c r="C34" s="57"/>
      <c r="D34" s="54"/>
      <c r="E34" s="60"/>
      <c r="F34" s="5"/>
      <c r="I34" s="15"/>
      <c r="J34" s="15">
        <v>29</v>
      </c>
      <c r="K34" s="76" t="s">
        <v>149</v>
      </c>
      <c r="L34" s="77">
        <v>6854629</v>
      </c>
      <c r="M34" s="77">
        <f>M33-L34</f>
        <v>291413356</v>
      </c>
      <c r="N34" s="75"/>
    </row>
    <row r="35" spans="1:14" s="23" customFormat="1">
      <c r="A35" s="19"/>
      <c r="B35" s="2"/>
      <c r="C35" s="57"/>
      <c r="D35" s="54"/>
      <c r="E35" s="60"/>
      <c r="F35" s="5"/>
      <c r="I35" s="15"/>
      <c r="J35" s="15">
        <v>30</v>
      </c>
      <c r="K35" s="76" t="s">
        <v>151</v>
      </c>
      <c r="L35" s="77">
        <f>F23</f>
        <v>25454183</v>
      </c>
      <c r="M35" s="77">
        <f>M34-L35</f>
        <v>265959173</v>
      </c>
      <c r="N35" s="75"/>
    </row>
    <row r="36" spans="1:14">
      <c r="A36" s="3"/>
      <c r="D36" s="54"/>
      <c r="E36" s="60"/>
      <c r="F36" s="5"/>
      <c r="K36" s="83" t="s">
        <v>9</v>
      </c>
      <c r="L36" s="84">
        <f>SUM(L5:L29)</f>
        <v>187335708.81818181</v>
      </c>
      <c r="M36" s="84"/>
      <c r="N36" s="84"/>
    </row>
    <row r="37" spans="1:14">
      <c r="A37" s="3"/>
      <c r="J37" s="16"/>
    </row>
    <row r="38" spans="1:14">
      <c r="J38" s="23"/>
    </row>
    <row r="39" spans="1:14">
      <c r="J39" s="23"/>
    </row>
    <row r="40" spans="1:14">
      <c r="J40" s="23"/>
    </row>
  </sheetData>
  <mergeCells count="7">
    <mergeCell ref="C23:D23"/>
    <mergeCell ref="L3:N3"/>
    <mergeCell ref="L2:N2"/>
    <mergeCell ref="C19:D19"/>
    <mergeCell ref="C20:D20"/>
    <mergeCell ref="C21:D21"/>
    <mergeCell ref="C22:D22"/>
  </mergeCells>
  <phoneticPr fontId="1" type="noConversion"/>
  <pageMargins left="0.25" right="0.25" top="0.75" bottom="0.75" header="0.3" footer="0.3"/>
  <pageSetup paperSize="9" scale="67" orientation="landscape" verticalDpi="4294967293" r:id="rId1"/>
  <colBreaks count="1" manualBreakCount="1">
    <brk id="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70C0"/>
  </sheetPr>
  <dimension ref="B1:E14"/>
  <sheetViews>
    <sheetView workbookViewId="0">
      <selection activeCell="D5" sqref="D5"/>
    </sheetView>
  </sheetViews>
  <sheetFormatPr defaultRowHeight="17.399999999999999"/>
  <cols>
    <col min="1" max="1" width="3.59765625" customWidth="1"/>
    <col min="2" max="2" width="21.3984375" style="1" customWidth="1"/>
    <col min="3" max="3" width="15.59765625" style="1" customWidth="1"/>
    <col min="4" max="4" width="17.8984375" style="1" bestFit="1" customWidth="1"/>
    <col min="5" max="5" width="87.8984375" style="1" customWidth="1"/>
    <col min="6" max="6" width="10.8984375" customWidth="1"/>
  </cols>
  <sheetData>
    <row r="1" spans="2:5" ht="15.9" customHeight="1"/>
    <row r="2" spans="2:5" ht="21">
      <c r="B2" s="11" t="s">
        <v>21</v>
      </c>
    </row>
    <row r="3" spans="2:5" ht="18" thickBot="1"/>
    <row r="4" spans="2:5" ht="18" thickBot="1">
      <c r="B4" s="31" t="s">
        <v>0</v>
      </c>
      <c r="C4" s="32" t="s">
        <v>6</v>
      </c>
      <c r="D4" s="32" t="s">
        <v>7</v>
      </c>
      <c r="E4" s="33" t="s">
        <v>1</v>
      </c>
    </row>
    <row r="5" spans="2:5">
      <c r="B5" s="35" t="s">
        <v>123</v>
      </c>
      <c r="C5" s="111" t="s">
        <v>125</v>
      </c>
      <c r="D5" s="112" t="s">
        <v>126</v>
      </c>
      <c r="E5" s="109" t="s">
        <v>124</v>
      </c>
    </row>
    <row r="6" spans="2:5">
      <c r="B6" s="22"/>
      <c r="C6" s="113"/>
      <c r="D6" s="114"/>
      <c r="E6" s="110"/>
    </row>
    <row r="7" spans="2:5" s="23" customFormat="1">
      <c r="B7" s="22"/>
      <c r="C7" s="115"/>
      <c r="D7" s="115"/>
      <c r="E7" s="110"/>
    </row>
    <row r="8" spans="2:5" s="23" customFormat="1">
      <c r="B8" s="22"/>
      <c r="C8" s="116"/>
      <c r="D8" s="116"/>
      <c r="E8" s="9"/>
    </row>
    <row r="9" spans="2:5">
      <c r="B9" s="22"/>
      <c r="C9" s="116"/>
      <c r="D9" s="116"/>
      <c r="E9" s="30"/>
    </row>
    <row r="10" spans="2:5">
      <c r="B10" s="22"/>
      <c r="C10" s="116"/>
      <c r="D10" s="116"/>
      <c r="E10" s="36"/>
    </row>
    <row r="11" spans="2:5">
      <c r="B11" s="26"/>
      <c r="C11" s="34"/>
      <c r="D11" s="34"/>
      <c r="E11" s="24"/>
    </row>
    <row r="12" spans="2:5">
      <c r="B12" s="26"/>
      <c r="C12" s="34"/>
      <c r="D12" s="34"/>
      <c r="E12" s="24"/>
    </row>
    <row r="13" spans="2:5">
      <c r="B13" s="26"/>
      <c r="C13" s="34"/>
      <c r="D13" s="34"/>
      <c r="E13" s="24"/>
    </row>
    <row r="14" spans="2:5" ht="18" thickBot="1">
      <c r="B14" s="37"/>
      <c r="C14" s="38"/>
      <c r="D14" s="38"/>
      <c r="E14" s="39"/>
    </row>
  </sheetData>
  <phoneticPr fontId="1" type="noConversion"/>
  <hyperlinks>
    <hyperlink ref="E5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theme="0"/>
    <pageSetUpPr fitToPage="1"/>
  </sheetPr>
  <dimension ref="A2:J961"/>
  <sheetViews>
    <sheetView zoomScaleNormal="100" workbookViewId="0">
      <selection activeCell="D21" sqref="D21"/>
    </sheetView>
  </sheetViews>
  <sheetFormatPr defaultColWidth="8.69921875" defaultRowHeight="17.399999999999999"/>
  <cols>
    <col min="1" max="1" width="8.69921875" style="23"/>
    <col min="2" max="2" width="35.69921875" style="15" customWidth="1"/>
    <col min="3" max="3" width="15.3984375" style="40" bestFit="1" customWidth="1"/>
    <col min="4" max="4" width="12.69921875" style="40" bestFit="1" customWidth="1"/>
    <col min="5" max="5" width="17.09765625" style="40" customWidth="1"/>
    <col min="6" max="6" width="16" style="40" customWidth="1"/>
    <col min="7" max="7" width="14.59765625" style="40" customWidth="1"/>
    <col min="8" max="8" width="11.59765625" style="23" customWidth="1"/>
    <col min="9" max="16384" width="8.69921875" style="23"/>
  </cols>
  <sheetData>
    <row r="2" spans="1:10">
      <c r="A2" s="43"/>
      <c r="B2" s="48" t="s">
        <v>54</v>
      </c>
      <c r="C2" s="44"/>
      <c r="D2" s="44"/>
      <c r="E2" s="44"/>
      <c r="F2" s="44"/>
      <c r="G2" s="44"/>
      <c r="H2" s="43"/>
      <c r="I2" s="43"/>
      <c r="J2" s="43"/>
    </row>
    <row r="3" spans="1:10">
      <c r="A3" s="43"/>
      <c r="B3" s="49"/>
      <c r="C3" s="44"/>
      <c r="D3" s="44"/>
      <c r="E3" s="59"/>
      <c r="F3" s="71">
        <v>0.15</v>
      </c>
      <c r="G3" s="71">
        <v>0.85</v>
      </c>
      <c r="H3" s="43"/>
      <c r="I3" s="43"/>
      <c r="J3" s="43"/>
    </row>
    <row r="4" spans="1:10" ht="16.5" customHeight="1">
      <c r="A4" s="43"/>
      <c r="B4" s="73" t="s">
        <v>11</v>
      </c>
      <c r="C4" s="117" t="s">
        <v>12</v>
      </c>
      <c r="D4" s="117" t="s">
        <v>13</v>
      </c>
      <c r="E4" s="117" t="s">
        <v>28</v>
      </c>
      <c r="F4" s="117" t="s">
        <v>27</v>
      </c>
      <c r="G4" s="117" t="s">
        <v>26</v>
      </c>
      <c r="H4" s="73" t="s">
        <v>14</v>
      </c>
      <c r="I4" s="43"/>
      <c r="J4" s="43"/>
    </row>
    <row r="5" spans="1:10">
      <c r="B5" s="56" t="s">
        <v>15</v>
      </c>
      <c r="C5" s="120">
        <f>ROUND(SUM(C6:C1981),0)</f>
        <v>830480000</v>
      </c>
      <c r="D5" s="120">
        <f>ROUND(SUM(D6:D1981),0)</f>
        <v>685800000</v>
      </c>
      <c r="E5" s="120">
        <f>ROUND(SUM(E6:E1981),0)</f>
        <v>144680000</v>
      </c>
      <c r="F5" s="120">
        <f>ROUND(SUM(F6:F1981),0)</f>
        <v>21702000</v>
      </c>
      <c r="G5" s="120">
        <f>ROUND(SUM(G6:G1981),0)</f>
        <v>122978000</v>
      </c>
      <c r="H5" s="121"/>
    </row>
    <row r="6" spans="1:10">
      <c r="B6" s="146" t="s">
        <v>157</v>
      </c>
      <c r="C6" s="147">
        <v>18480000</v>
      </c>
      <c r="D6" s="118">
        <v>16800000</v>
      </c>
      <c r="E6" s="126">
        <f t="shared" ref="E6" si="0">C6-D6</f>
        <v>1680000</v>
      </c>
      <c r="F6" s="93">
        <f t="shared" ref="F6" si="1">E6*15%</f>
        <v>252000</v>
      </c>
      <c r="G6" s="132">
        <f t="shared" ref="G6" si="2">E6*85%</f>
        <v>1428000</v>
      </c>
      <c r="H6" s="100"/>
      <c r="I6" s="52"/>
    </row>
    <row r="7" spans="1:10">
      <c r="B7" s="146" t="s">
        <v>158</v>
      </c>
      <c r="C7" s="141">
        <v>19800000</v>
      </c>
      <c r="D7" s="141">
        <v>18000000</v>
      </c>
      <c r="E7" s="141">
        <f t="shared" ref="E7" si="3">C7-D7</f>
        <v>1800000</v>
      </c>
      <c r="F7" s="93">
        <f t="shared" ref="F7" si="4">E7*15%</f>
        <v>270000</v>
      </c>
      <c r="G7" s="141">
        <f t="shared" ref="G7" si="5">E7*85%</f>
        <v>1530000</v>
      </c>
      <c r="H7" s="100"/>
      <c r="I7" s="52"/>
    </row>
    <row r="8" spans="1:10">
      <c r="B8" s="146" t="s">
        <v>159</v>
      </c>
      <c r="C8" s="141">
        <v>21000000</v>
      </c>
      <c r="D8" s="141">
        <v>20000000</v>
      </c>
      <c r="E8" s="141">
        <f t="shared" ref="E8" si="6">C8-D8</f>
        <v>1000000</v>
      </c>
      <c r="F8" s="93">
        <f t="shared" ref="F8" si="7">E8*15%</f>
        <v>150000</v>
      </c>
      <c r="G8" s="141">
        <f t="shared" ref="G8" si="8">E8*85%</f>
        <v>850000</v>
      </c>
      <c r="H8" s="100"/>
      <c r="I8" s="52"/>
    </row>
    <row r="9" spans="1:10">
      <c r="B9" s="146" t="s">
        <v>160</v>
      </c>
      <c r="C9" s="141">
        <v>18700000</v>
      </c>
      <c r="D9" s="141">
        <v>17000000</v>
      </c>
      <c r="E9" s="141">
        <f t="shared" ref="E9" si="9">C9-D9</f>
        <v>1700000</v>
      </c>
      <c r="F9" s="93">
        <f t="shared" ref="F9" si="10">E9*15%</f>
        <v>255000</v>
      </c>
      <c r="G9" s="141">
        <f t="shared" ref="G9" si="11">E9*85%</f>
        <v>1445000</v>
      </c>
      <c r="H9" s="100"/>
      <c r="I9" s="52"/>
    </row>
    <row r="10" spans="1:10">
      <c r="B10" s="146" t="s">
        <v>161</v>
      </c>
      <c r="C10" s="141">
        <v>19000000</v>
      </c>
      <c r="D10" s="141">
        <v>10000000</v>
      </c>
      <c r="E10" s="141">
        <f t="shared" ref="E10:E19" si="12">C10-D10</f>
        <v>9000000</v>
      </c>
      <c r="F10" s="93">
        <f t="shared" ref="F10:F19" si="13">E10*15%</f>
        <v>1350000</v>
      </c>
      <c r="G10" s="141">
        <f t="shared" ref="G10:G19" si="14">E10*85%</f>
        <v>7650000</v>
      </c>
      <c r="H10" s="100"/>
      <c r="I10" s="52"/>
    </row>
    <row r="11" spans="1:10">
      <c r="B11" s="146" t="s">
        <v>163</v>
      </c>
      <c r="C11" s="141">
        <v>180000000</v>
      </c>
      <c r="D11" s="141">
        <v>175000000</v>
      </c>
      <c r="E11" s="141">
        <f t="shared" si="12"/>
        <v>5000000</v>
      </c>
      <c r="F11" s="93">
        <f t="shared" si="13"/>
        <v>750000</v>
      </c>
      <c r="G11" s="141">
        <f t="shared" si="14"/>
        <v>4250000</v>
      </c>
      <c r="H11" s="100"/>
      <c r="I11" s="52"/>
    </row>
    <row r="12" spans="1:10">
      <c r="B12" s="146" t="s">
        <v>164</v>
      </c>
      <c r="C12" s="141">
        <v>19000000</v>
      </c>
      <c r="D12" s="141">
        <v>10000000</v>
      </c>
      <c r="E12" s="141">
        <f t="shared" si="12"/>
        <v>9000000</v>
      </c>
      <c r="F12" s="93">
        <f t="shared" si="13"/>
        <v>1350000</v>
      </c>
      <c r="G12" s="141">
        <f t="shared" si="14"/>
        <v>7650000</v>
      </c>
      <c r="H12" s="100"/>
      <c r="I12" s="52"/>
    </row>
    <row r="13" spans="1:10">
      <c r="B13" s="146" t="s">
        <v>165</v>
      </c>
      <c r="C13" s="141">
        <v>8000000</v>
      </c>
      <c r="D13" s="141">
        <v>0</v>
      </c>
      <c r="E13" s="141">
        <f t="shared" si="12"/>
        <v>8000000</v>
      </c>
      <c r="F13" s="93">
        <f t="shared" si="13"/>
        <v>1200000</v>
      </c>
      <c r="G13" s="141">
        <f t="shared" si="14"/>
        <v>6800000</v>
      </c>
      <c r="H13" s="138"/>
      <c r="I13" s="52"/>
    </row>
    <row r="14" spans="1:10">
      <c r="B14" s="146" t="s">
        <v>166</v>
      </c>
      <c r="C14" s="141">
        <v>11000000</v>
      </c>
      <c r="D14" s="141">
        <v>10000000</v>
      </c>
      <c r="E14" s="141">
        <f t="shared" si="12"/>
        <v>1000000</v>
      </c>
      <c r="F14" s="93">
        <f t="shared" si="13"/>
        <v>150000</v>
      </c>
      <c r="G14" s="141">
        <f t="shared" si="14"/>
        <v>850000</v>
      </c>
      <c r="H14" s="138"/>
      <c r="I14" s="52"/>
    </row>
    <row r="15" spans="1:10">
      <c r="B15" s="146" t="s">
        <v>167</v>
      </c>
      <c r="C15" s="141">
        <v>29000000</v>
      </c>
      <c r="D15" s="141">
        <v>20000000</v>
      </c>
      <c r="E15" s="141">
        <f t="shared" si="12"/>
        <v>9000000</v>
      </c>
      <c r="F15" s="93">
        <f t="shared" si="13"/>
        <v>1350000</v>
      </c>
      <c r="G15" s="141">
        <f t="shared" si="14"/>
        <v>7650000</v>
      </c>
      <c r="H15" s="102"/>
      <c r="I15" s="52"/>
    </row>
    <row r="16" spans="1:10">
      <c r="B16" s="146" t="s">
        <v>168</v>
      </c>
      <c r="C16" s="141">
        <v>42000000</v>
      </c>
      <c r="D16" s="141">
        <v>30000000</v>
      </c>
      <c r="E16" s="141">
        <f t="shared" si="12"/>
        <v>12000000</v>
      </c>
      <c r="F16" s="93">
        <f t="shared" si="13"/>
        <v>1800000</v>
      </c>
      <c r="G16" s="141">
        <f t="shared" si="14"/>
        <v>10200000</v>
      </c>
      <c r="H16" s="102"/>
      <c r="I16" s="52"/>
    </row>
    <row r="17" spans="2:9">
      <c r="B17" s="146" t="s">
        <v>169</v>
      </c>
      <c r="C17" s="141">
        <v>11000000</v>
      </c>
      <c r="D17" s="141">
        <v>10000000</v>
      </c>
      <c r="E17" s="141">
        <f t="shared" si="12"/>
        <v>1000000</v>
      </c>
      <c r="F17" s="93">
        <f t="shared" si="13"/>
        <v>150000</v>
      </c>
      <c r="G17" s="141">
        <f t="shared" si="14"/>
        <v>850000</v>
      </c>
      <c r="H17" s="87"/>
      <c r="I17" s="52"/>
    </row>
    <row r="18" spans="2:9">
      <c r="B18" s="146" t="s">
        <v>170</v>
      </c>
      <c r="C18" s="141">
        <v>176400000</v>
      </c>
      <c r="D18" s="136">
        <v>168000000</v>
      </c>
      <c r="E18" s="141">
        <f t="shared" si="12"/>
        <v>8400000</v>
      </c>
      <c r="F18" s="93">
        <f t="shared" si="13"/>
        <v>1260000</v>
      </c>
      <c r="G18" s="141">
        <f t="shared" si="14"/>
        <v>7140000</v>
      </c>
      <c r="H18" s="87"/>
      <c r="I18" s="52"/>
    </row>
    <row r="19" spans="2:9">
      <c r="B19" s="146" t="s">
        <v>171</v>
      </c>
      <c r="C19" s="141">
        <v>24900000</v>
      </c>
      <c r="D19" s="141">
        <v>22000000</v>
      </c>
      <c r="E19" s="141">
        <f t="shared" si="12"/>
        <v>2900000</v>
      </c>
      <c r="F19" s="93">
        <f t="shared" si="13"/>
        <v>435000</v>
      </c>
      <c r="G19" s="141">
        <f t="shared" si="14"/>
        <v>2465000</v>
      </c>
      <c r="H19" s="87"/>
      <c r="I19" s="52"/>
    </row>
    <row r="20" spans="2:9">
      <c r="B20" s="146" t="s">
        <v>172</v>
      </c>
      <c r="C20" s="141">
        <v>19600000</v>
      </c>
      <c r="D20" s="141">
        <v>14000000</v>
      </c>
      <c r="E20" s="141">
        <f t="shared" ref="E20:E24" si="15">C20-D20</f>
        <v>5600000</v>
      </c>
      <c r="F20" s="93">
        <f t="shared" ref="F20:F24" si="16">E20*15%</f>
        <v>840000</v>
      </c>
      <c r="G20" s="141">
        <f t="shared" ref="G20:G24" si="17">E20*85%</f>
        <v>4760000</v>
      </c>
      <c r="H20" s="87"/>
      <c r="I20" s="52"/>
    </row>
    <row r="21" spans="2:9">
      <c r="B21" s="146" t="s">
        <v>173</v>
      </c>
      <c r="C21" s="141">
        <v>20000000</v>
      </c>
      <c r="D21" s="141">
        <v>20000000</v>
      </c>
      <c r="E21" s="141">
        <f t="shared" si="15"/>
        <v>0</v>
      </c>
      <c r="F21" s="93">
        <f t="shared" si="16"/>
        <v>0</v>
      </c>
      <c r="G21" s="141">
        <f t="shared" si="17"/>
        <v>0</v>
      </c>
      <c r="H21" s="87"/>
      <c r="I21" s="52"/>
    </row>
    <row r="22" spans="2:9">
      <c r="B22" s="146" t="s">
        <v>174</v>
      </c>
      <c r="C22" s="141">
        <v>4100000</v>
      </c>
      <c r="D22" s="141">
        <v>0</v>
      </c>
      <c r="E22" s="141">
        <f t="shared" si="15"/>
        <v>4100000</v>
      </c>
      <c r="F22" s="93">
        <f t="shared" si="16"/>
        <v>615000</v>
      </c>
      <c r="G22" s="141">
        <f t="shared" si="17"/>
        <v>3485000</v>
      </c>
      <c r="H22" s="87"/>
      <c r="I22" s="52"/>
    </row>
    <row r="23" spans="2:9">
      <c r="B23" s="146" t="s">
        <v>175</v>
      </c>
      <c r="C23" s="141">
        <v>7500000</v>
      </c>
      <c r="D23" s="141">
        <v>0</v>
      </c>
      <c r="E23" s="141">
        <f t="shared" si="15"/>
        <v>7500000</v>
      </c>
      <c r="F23" s="93">
        <f t="shared" si="16"/>
        <v>1125000</v>
      </c>
      <c r="G23" s="141">
        <f t="shared" si="17"/>
        <v>6375000</v>
      </c>
      <c r="H23" s="87"/>
      <c r="I23" s="52"/>
    </row>
    <row r="24" spans="2:9">
      <c r="B24" s="146" t="s">
        <v>176</v>
      </c>
      <c r="C24" s="141">
        <v>13500000</v>
      </c>
      <c r="D24" s="141">
        <v>0</v>
      </c>
      <c r="E24" s="141">
        <f t="shared" si="15"/>
        <v>13500000</v>
      </c>
      <c r="F24" s="93">
        <f t="shared" si="16"/>
        <v>2025000</v>
      </c>
      <c r="G24" s="141">
        <f t="shared" si="17"/>
        <v>11475000</v>
      </c>
      <c r="H24" s="87"/>
      <c r="I24" s="52"/>
    </row>
    <row r="25" spans="2:9">
      <c r="B25" s="146" t="s">
        <v>177</v>
      </c>
      <c r="C25" s="141">
        <v>45500000</v>
      </c>
      <c r="D25" s="141">
        <v>40000000</v>
      </c>
      <c r="E25" s="141">
        <f t="shared" ref="E25:E30" si="18">C25-D25</f>
        <v>5500000</v>
      </c>
      <c r="F25" s="93">
        <f t="shared" ref="F25:F30" si="19">E25*15%</f>
        <v>825000</v>
      </c>
      <c r="G25" s="141">
        <f t="shared" ref="G25:G30" si="20">E25*85%</f>
        <v>4675000</v>
      </c>
      <c r="H25" s="87"/>
      <c r="I25" s="52"/>
    </row>
    <row r="26" spans="2:9">
      <c r="B26" s="146" t="s">
        <v>178</v>
      </c>
      <c r="C26" s="141">
        <v>19000000</v>
      </c>
      <c r="D26" s="141">
        <v>15000000</v>
      </c>
      <c r="E26" s="141">
        <f t="shared" si="18"/>
        <v>4000000</v>
      </c>
      <c r="F26" s="93">
        <f t="shared" si="19"/>
        <v>600000</v>
      </c>
      <c r="G26" s="141">
        <f t="shared" si="20"/>
        <v>3400000</v>
      </c>
      <c r="H26" s="87"/>
      <c r="I26" s="52"/>
    </row>
    <row r="27" spans="2:9">
      <c r="B27" s="146" t="s">
        <v>156</v>
      </c>
      <c r="C27" s="141">
        <v>19000000</v>
      </c>
      <c r="D27" s="95">
        <v>10000000</v>
      </c>
      <c r="E27" s="95">
        <f>C27-D27</f>
        <v>9000000</v>
      </c>
      <c r="F27" s="96">
        <f>E27*15%</f>
        <v>1350000</v>
      </c>
      <c r="G27" s="95">
        <f>E27*85%</f>
        <v>7650000</v>
      </c>
      <c r="H27" s="102"/>
      <c r="I27" s="52"/>
    </row>
    <row r="28" spans="2:9">
      <c r="B28" s="146" t="s">
        <v>180</v>
      </c>
      <c r="C28" s="142">
        <v>23000000</v>
      </c>
      <c r="D28" s="95">
        <v>10000000</v>
      </c>
      <c r="E28" s="141">
        <f t="shared" si="18"/>
        <v>13000000</v>
      </c>
      <c r="F28" s="93">
        <f t="shared" si="19"/>
        <v>1950000</v>
      </c>
      <c r="G28" s="141">
        <f t="shared" si="20"/>
        <v>11050000</v>
      </c>
      <c r="H28" s="58"/>
      <c r="I28" s="52"/>
    </row>
    <row r="29" spans="2:9">
      <c r="B29" s="146" t="s">
        <v>181</v>
      </c>
      <c r="C29" s="142">
        <v>19000000</v>
      </c>
      <c r="D29" s="95">
        <v>10000000</v>
      </c>
      <c r="E29" s="141">
        <f t="shared" si="18"/>
        <v>9000000</v>
      </c>
      <c r="F29" s="93">
        <f t="shared" si="19"/>
        <v>1350000</v>
      </c>
      <c r="G29" s="141">
        <f t="shared" si="20"/>
        <v>7650000</v>
      </c>
      <c r="H29" s="58"/>
      <c r="I29" s="52"/>
    </row>
    <row r="30" spans="2:9">
      <c r="B30" s="146" t="s">
        <v>182</v>
      </c>
      <c r="C30" s="142">
        <v>31000000</v>
      </c>
      <c r="D30" s="95">
        <v>30000000</v>
      </c>
      <c r="E30" s="141">
        <f t="shared" si="18"/>
        <v>1000000</v>
      </c>
      <c r="F30" s="93">
        <f t="shared" si="19"/>
        <v>150000</v>
      </c>
      <c r="G30" s="141">
        <f t="shared" si="20"/>
        <v>850000</v>
      </c>
      <c r="H30" s="58"/>
      <c r="I30" s="52"/>
    </row>
    <row r="31" spans="2:9">
      <c r="B31" s="146" t="s">
        <v>183</v>
      </c>
      <c r="C31" s="142">
        <v>11000000</v>
      </c>
      <c r="D31" s="95">
        <v>10000000</v>
      </c>
      <c r="E31" s="141">
        <f t="shared" ref="E31:E35" si="21">C31-D31</f>
        <v>1000000</v>
      </c>
      <c r="F31" s="93">
        <f t="shared" ref="F31:F35" si="22">E31*15%</f>
        <v>150000</v>
      </c>
      <c r="G31" s="141">
        <f t="shared" ref="G31:G35" si="23">E31*85%</f>
        <v>850000</v>
      </c>
      <c r="H31" s="58"/>
      <c r="I31" s="52"/>
    </row>
    <row r="32" spans="2:9">
      <c r="B32" s="50"/>
      <c r="C32" s="51"/>
      <c r="D32" s="44"/>
      <c r="E32" s="141">
        <f t="shared" si="21"/>
        <v>0</v>
      </c>
      <c r="F32" s="93">
        <f t="shared" si="22"/>
        <v>0</v>
      </c>
      <c r="G32" s="101">
        <f t="shared" si="23"/>
        <v>0</v>
      </c>
      <c r="H32" s="58"/>
      <c r="I32" s="52"/>
    </row>
    <row r="33" spans="2:9">
      <c r="B33" s="50"/>
      <c r="C33" s="51"/>
      <c r="D33" s="44"/>
      <c r="E33" s="141">
        <f t="shared" si="21"/>
        <v>0</v>
      </c>
      <c r="F33" s="93">
        <f t="shared" si="22"/>
        <v>0</v>
      </c>
      <c r="G33" s="101">
        <f t="shared" si="23"/>
        <v>0</v>
      </c>
      <c r="H33" s="58"/>
      <c r="I33" s="52"/>
    </row>
    <row r="34" spans="2:9">
      <c r="B34" s="50"/>
      <c r="C34" s="51"/>
      <c r="D34" s="44"/>
      <c r="E34" s="141">
        <f t="shared" si="21"/>
        <v>0</v>
      </c>
      <c r="F34" s="93">
        <f t="shared" si="22"/>
        <v>0</v>
      </c>
      <c r="G34" s="101">
        <f t="shared" si="23"/>
        <v>0</v>
      </c>
      <c r="H34" s="58"/>
      <c r="I34" s="52"/>
    </row>
    <row r="35" spans="2:9">
      <c r="B35" s="50"/>
      <c r="C35" s="51"/>
      <c r="D35" s="44"/>
      <c r="E35" s="141">
        <f t="shared" si="21"/>
        <v>0</v>
      </c>
      <c r="F35" s="93">
        <f t="shared" si="22"/>
        <v>0</v>
      </c>
      <c r="G35" s="101">
        <f t="shared" si="23"/>
        <v>0</v>
      </c>
      <c r="H35" s="58"/>
      <c r="I35" s="52"/>
    </row>
    <row r="36" spans="2:9">
      <c r="B36" s="50"/>
      <c r="C36" s="51"/>
      <c r="D36" s="44"/>
      <c r="E36" s="44"/>
      <c r="F36" s="61"/>
      <c r="G36" s="59"/>
      <c r="H36" s="58"/>
      <c r="I36" s="52"/>
    </row>
    <row r="37" spans="2:9">
      <c r="B37" s="50"/>
      <c r="C37" s="51"/>
      <c r="D37" s="44"/>
      <c r="E37" s="44"/>
      <c r="F37" s="61"/>
      <c r="G37" s="59"/>
      <c r="H37" s="58"/>
      <c r="I37" s="52"/>
    </row>
    <row r="38" spans="2:9">
      <c r="B38" s="50"/>
      <c r="C38" s="51"/>
      <c r="D38" s="44"/>
      <c r="E38" s="44"/>
      <c r="F38" s="61"/>
      <c r="G38" s="59"/>
      <c r="H38" s="58"/>
      <c r="I38" s="52"/>
    </row>
    <row r="39" spans="2:9">
      <c r="B39" s="50"/>
      <c r="C39" s="51"/>
      <c r="D39" s="44"/>
      <c r="E39" s="44"/>
      <c r="F39" s="61"/>
      <c r="G39" s="59"/>
      <c r="H39" s="58"/>
      <c r="I39" s="52"/>
    </row>
    <row r="40" spans="2:9">
      <c r="B40" s="50"/>
      <c r="C40" s="51"/>
      <c r="D40" s="44"/>
      <c r="E40" s="44"/>
      <c r="F40" s="61"/>
      <c r="G40" s="59"/>
      <c r="H40" s="58"/>
      <c r="I40" s="52"/>
    </row>
    <row r="41" spans="2:9">
      <c r="B41" s="50"/>
      <c r="C41" s="51"/>
      <c r="D41" s="44"/>
      <c r="E41" s="44"/>
      <c r="F41" s="61"/>
      <c r="G41" s="59"/>
      <c r="H41" s="58"/>
      <c r="I41" s="52"/>
    </row>
    <row r="42" spans="2:9">
      <c r="B42" s="50"/>
      <c r="C42" s="51"/>
      <c r="D42" s="44"/>
      <c r="E42" s="44"/>
      <c r="F42" s="61"/>
      <c r="G42" s="59"/>
      <c r="H42" s="58"/>
      <c r="I42" s="52"/>
    </row>
    <row r="43" spans="2:9">
      <c r="B43" s="50"/>
      <c r="C43" s="51"/>
      <c r="D43" s="44"/>
      <c r="E43" s="44"/>
      <c r="F43" s="61"/>
      <c r="G43" s="59"/>
      <c r="H43" s="58"/>
      <c r="I43" s="52"/>
    </row>
    <row r="44" spans="2:9">
      <c r="B44" s="50"/>
      <c r="C44" s="51"/>
      <c r="D44" s="44"/>
      <c r="E44" s="44"/>
      <c r="F44" s="61"/>
      <c r="G44" s="59"/>
      <c r="H44" s="58"/>
      <c r="I44" s="52"/>
    </row>
    <row r="45" spans="2:9">
      <c r="B45" s="50"/>
      <c r="C45" s="51"/>
      <c r="D45" s="44"/>
      <c r="E45" s="44"/>
      <c r="F45" s="61"/>
      <c r="G45" s="59"/>
      <c r="H45" s="58"/>
      <c r="I45" s="52"/>
    </row>
    <row r="46" spans="2:9">
      <c r="B46" s="50"/>
      <c r="C46" s="51"/>
      <c r="D46" s="44"/>
      <c r="E46" s="44"/>
      <c r="F46" s="61"/>
      <c r="G46" s="59"/>
      <c r="H46" s="58"/>
      <c r="I46" s="52"/>
    </row>
    <row r="47" spans="2:9">
      <c r="B47" s="50"/>
      <c r="C47" s="51"/>
      <c r="D47" s="44"/>
      <c r="E47" s="44"/>
      <c r="F47" s="61"/>
      <c r="G47" s="59"/>
      <c r="H47" s="58"/>
      <c r="I47" s="52"/>
    </row>
    <row r="48" spans="2:9">
      <c r="B48" s="50"/>
      <c r="C48" s="51"/>
      <c r="D48" s="44"/>
      <c r="E48" s="44"/>
      <c r="F48" s="61"/>
      <c r="G48" s="59"/>
      <c r="H48" s="58"/>
      <c r="I48" s="52"/>
    </row>
    <row r="49" spans="2:9">
      <c r="B49" s="50"/>
      <c r="C49" s="51"/>
      <c r="D49" s="44"/>
      <c r="E49" s="44"/>
      <c r="F49" s="61"/>
      <c r="G49" s="59"/>
      <c r="H49" s="58"/>
      <c r="I49" s="52"/>
    </row>
    <row r="50" spans="2:9">
      <c r="B50" s="50"/>
      <c r="C50" s="51"/>
      <c r="D50" s="44"/>
      <c r="E50" s="44"/>
      <c r="F50" s="61"/>
      <c r="G50" s="59"/>
      <c r="H50" s="58"/>
      <c r="I50" s="52"/>
    </row>
    <row r="51" spans="2:9">
      <c r="B51" s="50"/>
      <c r="C51" s="51"/>
      <c r="D51" s="44"/>
      <c r="E51" s="44"/>
      <c r="F51" s="61"/>
      <c r="G51" s="59"/>
      <c r="H51" s="58"/>
      <c r="I51" s="52"/>
    </row>
    <row r="52" spans="2:9">
      <c r="B52" s="50"/>
      <c r="C52" s="51"/>
      <c r="D52" s="44"/>
      <c r="E52" s="44"/>
      <c r="F52" s="61"/>
      <c r="G52" s="59"/>
      <c r="H52" s="58"/>
      <c r="I52" s="52"/>
    </row>
    <row r="53" spans="2:9">
      <c r="B53" s="50"/>
      <c r="C53" s="51"/>
      <c r="D53" s="44"/>
      <c r="E53" s="44"/>
      <c r="F53" s="61"/>
      <c r="G53" s="59"/>
      <c r="H53" s="58"/>
      <c r="I53" s="52"/>
    </row>
    <row r="54" spans="2:9">
      <c r="B54" s="50"/>
      <c r="C54" s="51"/>
      <c r="D54" s="44"/>
      <c r="E54" s="44"/>
      <c r="F54" s="61"/>
      <c r="G54" s="59"/>
      <c r="H54" s="58"/>
      <c r="I54" s="52"/>
    </row>
    <row r="55" spans="2:9">
      <c r="B55" s="50"/>
      <c r="C55" s="51"/>
      <c r="D55" s="44"/>
      <c r="E55" s="44"/>
      <c r="F55" s="61"/>
      <c r="G55" s="59"/>
      <c r="H55" s="58"/>
      <c r="I55" s="52"/>
    </row>
    <row r="56" spans="2:9">
      <c r="B56" s="50"/>
      <c r="C56" s="51"/>
      <c r="D56" s="44"/>
      <c r="E56" s="44"/>
      <c r="F56" s="61"/>
      <c r="G56" s="59"/>
      <c r="H56" s="58"/>
      <c r="I56" s="52"/>
    </row>
    <row r="57" spans="2:9">
      <c r="B57" s="50"/>
      <c r="C57" s="51"/>
      <c r="D57" s="44"/>
      <c r="E57" s="44"/>
      <c r="F57" s="61"/>
      <c r="G57" s="59"/>
      <c r="H57" s="58"/>
      <c r="I57" s="52"/>
    </row>
    <row r="58" spans="2:9">
      <c r="B58" s="50"/>
      <c r="C58" s="51"/>
      <c r="D58" s="44"/>
      <c r="E58" s="44"/>
      <c r="F58" s="61"/>
      <c r="G58" s="59"/>
      <c r="H58" s="58"/>
      <c r="I58" s="52"/>
    </row>
    <row r="59" spans="2:9">
      <c r="B59" s="50"/>
      <c r="C59" s="51"/>
      <c r="D59" s="44"/>
      <c r="E59" s="44"/>
      <c r="F59" s="61"/>
      <c r="G59" s="59"/>
      <c r="H59" s="58"/>
      <c r="I59" s="52"/>
    </row>
    <row r="60" spans="2:9">
      <c r="B60" s="50"/>
      <c r="C60" s="51"/>
      <c r="D60" s="44"/>
      <c r="E60" s="44"/>
      <c r="F60" s="61"/>
      <c r="G60" s="59"/>
      <c r="H60" s="58"/>
      <c r="I60" s="52"/>
    </row>
    <row r="61" spans="2:9">
      <c r="B61" s="50"/>
      <c r="C61" s="51"/>
      <c r="D61" s="44"/>
      <c r="E61" s="44"/>
      <c r="F61" s="61"/>
      <c r="G61" s="59"/>
      <c r="H61" s="58"/>
      <c r="I61" s="52"/>
    </row>
    <row r="62" spans="2:9">
      <c r="B62" s="50"/>
      <c r="C62" s="51"/>
      <c r="D62" s="44"/>
      <c r="E62" s="44"/>
      <c r="F62" s="61"/>
      <c r="G62" s="59"/>
      <c r="H62" s="58"/>
      <c r="I62" s="52"/>
    </row>
    <row r="63" spans="2:9">
      <c r="B63" s="50"/>
      <c r="C63" s="51"/>
      <c r="D63" s="44"/>
      <c r="E63" s="44"/>
      <c r="F63" s="61"/>
      <c r="G63" s="59"/>
      <c r="H63" s="58"/>
      <c r="I63" s="52"/>
    </row>
    <row r="64" spans="2:9">
      <c r="B64" s="50"/>
      <c r="C64" s="51"/>
      <c r="D64" s="44"/>
      <c r="E64" s="44"/>
      <c r="F64" s="61"/>
      <c r="G64" s="59"/>
      <c r="H64" s="58"/>
      <c r="I64" s="52"/>
    </row>
    <row r="65" spans="2:9">
      <c r="B65" s="50"/>
      <c r="C65" s="51"/>
      <c r="D65" s="44"/>
      <c r="E65" s="44"/>
      <c r="F65" s="61"/>
      <c r="G65" s="59"/>
      <c r="H65" s="58"/>
      <c r="I65" s="52"/>
    </row>
    <row r="66" spans="2:9">
      <c r="B66" s="50"/>
      <c r="C66" s="51"/>
      <c r="D66" s="44"/>
      <c r="E66" s="44"/>
      <c r="F66" s="61"/>
      <c r="G66" s="59"/>
      <c r="H66" s="58"/>
      <c r="I66" s="52"/>
    </row>
    <row r="67" spans="2:9">
      <c r="B67" s="50"/>
      <c r="C67" s="51"/>
      <c r="D67" s="44"/>
      <c r="E67" s="44"/>
      <c r="F67" s="61"/>
      <c r="G67" s="59"/>
      <c r="H67" s="58"/>
      <c r="I67" s="52"/>
    </row>
    <row r="68" spans="2:9">
      <c r="B68" s="50"/>
      <c r="C68" s="51"/>
      <c r="D68" s="44"/>
      <c r="E68" s="44"/>
      <c r="F68" s="61"/>
      <c r="G68" s="59"/>
      <c r="H68" s="58"/>
      <c r="I68" s="52"/>
    </row>
    <row r="69" spans="2:9">
      <c r="B69" s="50"/>
      <c r="C69" s="51"/>
      <c r="D69" s="44"/>
      <c r="E69" s="44"/>
      <c r="F69" s="61"/>
      <c r="G69" s="59"/>
      <c r="H69" s="58"/>
      <c r="I69" s="52"/>
    </row>
    <row r="70" spans="2:9">
      <c r="B70" s="50"/>
      <c r="C70" s="51"/>
      <c r="D70" s="44"/>
      <c r="E70" s="44"/>
      <c r="F70" s="61"/>
      <c r="G70" s="59"/>
      <c r="H70" s="58"/>
      <c r="I70" s="52"/>
    </row>
    <row r="71" spans="2:9">
      <c r="B71" s="50"/>
      <c r="C71" s="51"/>
      <c r="D71" s="44"/>
      <c r="E71" s="44"/>
      <c r="F71" s="61"/>
      <c r="G71" s="59"/>
      <c r="H71" s="58"/>
      <c r="I71" s="52"/>
    </row>
    <row r="72" spans="2:9">
      <c r="B72" s="50"/>
      <c r="C72" s="51"/>
      <c r="D72" s="44"/>
      <c r="E72" s="44"/>
      <c r="F72" s="61"/>
      <c r="G72" s="59"/>
      <c r="H72" s="58"/>
      <c r="I72" s="52"/>
    </row>
    <row r="73" spans="2:9">
      <c r="B73" s="50"/>
      <c r="C73" s="51"/>
      <c r="D73" s="44"/>
      <c r="E73" s="44"/>
      <c r="F73" s="61"/>
      <c r="G73" s="59"/>
      <c r="H73" s="58"/>
      <c r="I73" s="52"/>
    </row>
    <row r="74" spans="2:9">
      <c r="B74" s="50"/>
      <c r="C74" s="51"/>
      <c r="D74" s="44"/>
      <c r="E74" s="44"/>
      <c r="F74" s="61"/>
      <c r="G74" s="59"/>
      <c r="H74" s="58"/>
      <c r="I74" s="52"/>
    </row>
    <row r="75" spans="2:9">
      <c r="B75" s="50"/>
      <c r="C75" s="51"/>
      <c r="D75" s="44"/>
      <c r="E75" s="44"/>
      <c r="F75" s="61"/>
      <c r="G75" s="59"/>
      <c r="H75" s="58"/>
      <c r="I75" s="52"/>
    </row>
    <row r="76" spans="2:9">
      <c r="B76" s="50"/>
      <c r="C76" s="51"/>
      <c r="D76" s="44"/>
      <c r="E76" s="44"/>
      <c r="F76" s="61"/>
      <c r="G76" s="59"/>
      <c r="H76" s="58"/>
      <c r="I76" s="52"/>
    </row>
    <row r="77" spans="2:9">
      <c r="B77" s="50"/>
      <c r="C77" s="51"/>
      <c r="D77" s="44"/>
      <c r="E77" s="44"/>
      <c r="F77" s="61"/>
      <c r="G77" s="59"/>
      <c r="H77" s="58"/>
      <c r="I77" s="52"/>
    </row>
    <row r="78" spans="2:9">
      <c r="B78" s="50"/>
      <c r="C78" s="51"/>
      <c r="D78" s="44"/>
      <c r="E78" s="44"/>
      <c r="F78" s="61"/>
      <c r="G78" s="59"/>
      <c r="H78" s="58"/>
      <c r="I78" s="52"/>
    </row>
    <row r="79" spans="2:9">
      <c r="B79" s="50"/>
      <c r="C79" s="51"/>
      <c r="D79" s="44"/>
      <c r="E79" s="44"/>
      <c r="F79" s="61"/>
      <c r="G79" s="59"/>
      <c r="H79" s="58"/>
      <c r="I79" s="52"/>
    </row>
    <row r="80" spans="2:9">
      <c r="B80" s="50"/>
      <c r="C80" s="51"/>
      <c r="D80" s="44"/>
      <c r="E80" s="44"/>
      <c r="F80" s="61"/>
      <c r="G80" s="59"/>
      <c r="H80" s="58"/>
      <c r="I80" s="52"/>
    </row>
    <row r="81" spans="2:9">
      <c r="B81" s="50"/>
      <c r="C81" s="51"/>
      <c r="D81" s="44"/>
      <c r="E81" s="44"/>
      <c r="F81" s="61"/>
      <c r="G81" s="59"/>
      <c r="H81" s="58"/>
      <c r="I81" s="52"/>
    </row>
    <row r="82" spans="2:9">
      <c r="B82" s="50"/>
      <c r="C82" s="51"/>
      <c r="D82" s="44"/>
      <c r="E82" s="44"/>
      <c r="F82" s="61"/>
      <c r="G82" s="59"/>
      <c r="H82" s="58"/>
      <c r="I82" s="52"/>
    </row>
    <row r="83" spans="2:9">
      <c r="B83" s="50"/>
      <c r="C83" s="51"/>
      <c r="D83" s="44"/>
      <c r="E83" s="44"/>
      <c r="F83" s="61"/>
      <c r="G83" s="59"/>
      <c r="H83" s="58"/>
      <c r="I83" s="52"/>
    </row>
    <row r="84" spans="2:9">
      <c r="B84" s="50"/>
      <c r="C84" s="51"/>
      <c r="D84" s="44"/>
      <c r="E84" s="44"/>
      <c r="F84" s="61"/>
      <c r="G84" s="59"/>
      <c r="H84" s="58"/>
      <c r="I84" s="52"/>
    </row>
    <row r="85" spans="2:9">
      <c r="B85" s="50"/>
      <c r="C85" s="51"/>
      <c r="D85" s="44"/>
      <c r="E85" s="44"/>
      <c r="F85" s="61"/>
      <c r="G85" s="59"/>
      <c r="H85" s="58"/>
      <c r="I85" s="52"/>
    </row>
    <row r="86" spans="2:9">
      <c r="B86" s="50"/>
      <c r="C86" s="51"/>
      <c r="D86" s="44"/>
      <c r="E86" s="44"/>
      <c r="F86" s="61"/>
      <c r="G86" s="59"/>
      <c r="H86" s="58"/>
      <c r="I86" s="52"/>
    </row>
    <row r="87" spans="2:9">
      <c r="B87" s="50"/>
      <c r="C87" s="51"/>
      <c r="D87" s="44"/>
      <c r="E87" s="44"/>
      <c r="F87" s="61"/>
      <c r="G87" s="59"/>
      <c r="H87" s="58"/>
      <c r="I87" s="52"/>
    </row>
    <row r="88" spans="2:9">
      <c r="B88" s="50"/>
      <c r="C88" s="51"/>
      <c r="D88" s="44"/>
      <c r="E88" s="44"/>
      <c r="F88" s="61"/>
      <c r="G88" s="59"/>
      <c r="H88" s="58"/>
      <c r="I88" s="52"/>
    </row>
    <row r="89" spans="2:9">
      <c r="B89" s="50"/>
      <c r="C89" s="51"/>
      <c r="D89" s="44"/>
      <c r="E89" s="44"/>
      <c r="F89" s="61"/>
      <c r="G89" s="59"/>
      <c r="H89" s="58"/>
      <c r="I89" s="52"/>
    </row>
    <row r="90" spans="2:9">
      <c r="B90" s="50"/>
      <c r="C90" s="51"/>
      <c r="D90" s="44"/>
      <c r="E90" s="44"/>
      <c r="F90" s="61"/>
      <c r="G90" s="59"/>
      <c r="H90" s="58"/>
      <c r="I90" s="52"/>
    </row>
    <row r="91" spans="2:9">
      <c r="B91" s="50"/>
      <c r="C91" s="51"/>
      <c r="D91" s="44"/>
      <c r="E91" s="44"/>
      <c r="F91" s="61"/>
      <c r="G91" s="59"/>
      <c r="H91" s="58"/>
      <c r="I91" s="52"/>
    </row>
    <row r="92" spans="2:9">
      <c r="B92" s="50"/>
      <c r="C92" s="51"/>
      <c r="D92" s="44"/>
      <c r="E92" s="44"/>
      <c r="F92" s="61"/>
      <c r="G92" s="59"/>
      <c r="H92" s="58"/>
      <c r="I92" s="52"/>
    </row>
    <row r="93" spans="2:9">
      <c r="B93" s="50"/>
      <c r="C93" s="51"/>
      <c r="D93" s="44"/>
      <c r="E93" s="44"/>
      <c r="F93" s="61"/>
      <c r="G93" s="59"/>
      <c r="H93" s="58"/>
      <c r="I93" s="52"/>
    </row>
    <row r="94" spans="2:9">
      <c r="B94" s="50"/>
      <c r="C94" s="51"/>
      <c r="D94" s="44"/>
      <c r="E94" s="44"/>
      <c r="F94" s="61"/>
      <c r="G94" s="59"/>
      <c r="H94" s="58"/>
      <c r="I94" s="52"/>
    </row>
    <row r="95" spans="2:9">
      <c r="B95" s="50"/>
      <c r="C95" s="51"/>
      <c r="D95" s="44"/>
      <c r="E95" s="44"/>
      <c r="F95" s="61"/>
      <c r="G95" s="59"/>
      <c r="H95" s="58"/>
      <c r="I95" s="52"/>
    </row>
    <row r="96" spans="2:9">
      <c r="B96" s="50"/>
      <c r="C96" s="51"/>
      <c r="D96" s="44"/>
      <c r="E96" s="44"/>
      <c r="F96" s="61"/>
      <c r="G96" s="59"/>
      <c r="H96" s="58"/>
      <c r="I96" s="52"/>
    </row>
    <row r="97" spans="2:9">
      <c r="B97" s="50"/>
      <c r="C97" s="51"/>
      <c r="D97" s="44"/>
      <c r="E97" s="44"/>
      <c r="F97" s="61"/>
      <c r="G97" s="59"/>
      <c r="H97" s="58"/>
      <c r="I97" s="52"/>
    </row>
    <row r="98" spans="2:9">
      <c r="B98" s="50"/>
      <c r="C98" s="51"/>
      <c r="D98" s="44"/>
      <c r="E98" s="44"/>
      <c r="F98" s="61"/>
      <c r="G98" s="59"/>
      <c r="H98" s="58"/>
      <c r="I98" s="52"/>
    </row>
    <row r="99" spans="2:9">
      <c r="B99" s="50"/>
      <c r="C99" s="51"/>
      <c r="D99" s="44"/>
      <c r="E99" s="44"/>
      <c r="F99" s="61"/>
      <c r="G99" s="59"/>
      <c r="H99" s="58"/>
      <c r="I99" s="52"/>
    </row>
    <row r="100" spans="2:9">
      <c r="B100" s="50"/>
      <c r="C100" s="51"/>
      <c r="D100" s="44"/>
      <c r="E100" s="44"/>
      <c r="F100" s="61"/>
      <c r="G100" s="59"/>
      <c r="H100" s="58"/>
      <c r="I100" s="52"/>
    </row>
    <row r="101" spans="2:9">
      <c r="B101" s="50"/>
      <c r="C101" s="51"/>
      <c r="D101" s="44"/>
      <c r="E101" s="44"/>
      <c r="F101" s="61"/>
      <c r="G101" s="59"/>
      <c r="H101" s="58"/>
      <c r="I101" s="52"/>
    </row>
    <row r="102" spans="2:9">
      <c r="B102" s="50"/>
      <c r="C102" s="51"/>
      <c r="D102" s="44"/>
      <c r="E102" s="44"/>
      <c r="F102" s="61"/>
      <c r="G102" s="59"/>
      <c r="H102" s="58"/>
      <c r="I102" s="52"/>
    </row>
    <row r="103" spans="2:9">
      <c r="B103" s="50"/>
      <c r="C103" s="51"/>
      <c r="D103" s="44"/>
      <c r="E103" s="44"/>
      <c r="F103" s="61"/>
      <c r="G103" s="59"/>
      <c r="H103" s="58"/>
      <c r="I103" s="52"/>
    </row>
    <row r="104" spans="2:9">
      <c r="B104" s="50"/>
      <c r="C104" s="51"/>
      <c r="D104" s="44"/>
      <c r="E104" s="44"/>
      <c r="F104" s="61"/>
      <c r="G104" s="59"/>
      <c r="H104" s="58"/>
      <c r="I104" s="52"/>
    </row>
    <row r="105" spans="2:9">
      <c r="B105" s="50"/>
      <c r="C105" s="51"/>
      <c r="D105" s="44"/>
      <c r="E105" s="44"/>
      <c r="F105" s="61"/>
      <c r="G105" s="59"/>
      <c r="H105" s="58"/>
      <c r="I105" s="52"/>
    </row>
    <row r="106" spans="2:9">
      <c r="B106" s="50"/>
      <c r="C106" s="51"/>
      <c r="D106" s="44"/>
      <c r="E106" s="44"/>
      <c r="F106" s="61"/>
      <c r="G106" s="59"/>
      <c r="H106" s="58"/>
      <c r="I106" s="52"/>
    </row>
    <row r="107" spans="2:9">
      <c r="B107" s="50"/>
      <c r="C107" s="51"/>
      <c r="D107" s="44"/>
      <c r="E107" s="44"/>
      <c r="F107" s="61"/>
      <c r="G107" s="59"/>
      <c r="H107" s="58"/>
      <c r="I107" s="52"/>
    </row>
    <row r="108" spans="2:9">
      <c r="B108" s="50"/>
      <c r="C108" s="51"/>
      <c r="D108" s="44"/>
      <c r="E108" s="44"/>
      <c r="F108" s="61"/>
      <c r="G108" s="59"/>
      <c r="H108" s="58"/>
      <c r="I108" s="52"/>
    </row>
    <row r="109" spans="2:9">
      <c r="B109" s="50"/>
      <c r="C109" s="51"/>
      <c r="D109" s="44"/>
      <c r="E109" s="44"/>
      <c r="F109" s="61"/>
      <c r="G109" s="59"/>
      <c r="H109" s="58"/>
      <c r="I109" s="52"/>
    </row>
    <row r="110" spans="2:9">
      <c r="B110" s="50"/>
      <c r="C110" s="51"/>
      <c r="D110" s="44"/>
      <c r="E110" s="44"/>
      <c r="F110" s="61"/>
      <c r="G110" s="59"/>
      <c r="H110" s="58"/>
      <c r="I110" s="52"/>
    </row>
    <row r="111" spans="2:9">
      <c r="B111" s="50"/>
      <c r="C111" s="51"/>
      <c r="D111" s="44"/>
      <c r="E111" s="44"/>
      <c r="F111" s="61"/>
      <c r="G111" s="59"/>
      <c r="H111" s="58"/>
      <c r="I111" s="52"/>
    </row>
    <row r="112" spans="2:9">
      <c r="B112" s="50"/>
      <c r="C112" s="51"/>
      <c r="D112" s="44"/>
      <c r="E112" s="44"/>
      <c r="F112" s="61"/>
      <c r="G112" s="59"/>
      <c r="H112" s="58"/>
      <c r="I112" s="52"/>
    </row>
    <row r="113" spans="2:9">
      <c r="B113" s="50"/>
      <c r="C113" s="51"/>
      <c r="D113" s="44"/>
      <c r="E113" s="44"/>
      <c r="F113" s="61"/>
      <c r="G113" s="59"/>
      <c r="H113" s="58"/>
      <c r="I113" s="52"/>
    </row>
    <row r="114" spans="2:9">
      <c r="B114" s="50"/>
      <c r="C114" s="51"/>
      <c r="D114" s="44"/>
      <c r="E114" s="44"/>
      <c r="F114" s="61"/>
      <c r="G114" s="59"/>
      <c r="H114" s="58"/>
      <c r="I114" s="52"/>
    </row>
    <row r="115" spans="2:9">
      <c r="B115" s="50"/>
      <c r="C115" s="51"/>
      <c r="D115" s="44"/>
      <c r="E115" s="44"/>
      <c r="F115" s="61"/>
      <c r="G115" s="59"/>
      <c r="H115" s="58"/>
      <c r="I115" s="52"/>
    </row>
    <row r="116" spans="2:9">
      <c r="B116" s="50"/>
      <c r="C116" s="51"/>
      <c r="D116" s="44"/>
      <c r="E116" s="44"/>
      <c r="F116" s="61"/>
      <c r="G116" s="59"/>
      <c r="H116" s="58"/>
      <c r="I116" s="52"/>
    </row>
    <row r="117" spans="2:9">
      <c r="B117" s="50"/>
      <c r="C117" s="51"/>
      <c r="D117" s="44"/>
      <c r="E117" s="44"/>
      <c r="F117" s="61"/>
      <c r="G117" s="59"/>
      <c r="H117" s="58"/>
      <c r="I117" s="52"/>
    </row>
    <row r="118" spans="2:9">
      <c r="B118" s="50"/>
      <c r="C118" s="51"/>
      <c r="D118" s="44"/>
      <c r="E118" s="44"/>
      <c r="F118" s="61"/>
      <c r="G118" s="59"/>
      <c r="H118" s="58"/>
      <c r="I118" s="52"/>
    </row>
    <row r="119" spans="2:9">
      <c r="B119" s="50"/>
      <c r="C119" s="51"/>
      <c r="D119" s="44"/>
      <c r="E119" s="44"/>
      <c r="F119" s="61"/>
      <c r="G119" s="59"/>
      <c r="H119" s="58"/>
      <c r="I119" s="52"/>
    </row>
    <row r="120" spans="2:9">
      <c r="B120" s="50"/>
      <c r="C120" s="51"/>
      <c r="D120" s="44"/>
      <c r="E120" s="44"/>
      <c r="F120" s="61"/>
      <c r="G120" s="59"/>
      <c r="H120" s="58"/>
      <c r="I120" s="52"/>
    </row>
    <row r="121" spans="2:9">
      <c r="B121" s="50"/>
      <c r="C121" s="51"/>
      <c r="D121" s="44"/>
      <c r="E121" s="44"/>
      <c r="F121" s="61"/>
      <c r="G121" s="59"/>
      <c r="H121" s="58"/>
      <c r="I121" s="52"/>
    </row>
    <row r="122" spans="2:9">
      <c r="B122" s="50"/>
      <c r="C122" s="51"/>
      <c r="D122" s="44"/>
      <c r="E122" s="44"/>
      <c r="F122" s="61"/>
      <c r="G122" s="59"/>
      <c r="H122" s="58"/>
      <c r="I122" s="52"/>
    </row>
    <row r="123" spans="2:9">
      <c r="B123" s="50"/>
      <c r="C123" s="51"/>
      <c r="D123" s="44"/>
      <c r="E123" s="44"/>
      <c r="F123" s="61"/>
      <c r="G123" s="59"/>
      <c r="H123" s="58"/>
      <c r="I123" s="52"/>
    </row>
    <row r="124" spans="2:9">
      <c r="B124" s="50"/>
      <c r="C124" s="51"/>
      <c r="D124" s="44"/>
      <c r="E124" s="44"/>
      <c r="F124" s="61"/>
      <c r="G124" s="59"/>
      <c r="H124" s="58"/>
      <c r="I124" s="52"/>
    </row>
    <row r="125" spans="2:9">
      <c r="B125" s="50"/>
      <c r="C125" s="51"/>
      <c r="D125" s="44"/>
      <c r="E125" s="44"/>
      <c r="F125" s="61"/>
      <c r="G125" s="59"/>
      <c r="H125" s="58"/>
      <c r="I125" s="52"/>
    </row>
    <row r="126" spans="2:9">
      <c r="B126" s="50"/>
      <c r="C126" s="51"/>
      <c r="D126" s="44"/>
      <c r="E126" s="44"/>
      <c r="F126" s="61"/>
      <c r="G126" s="59"/>
      <c r="H126" s="58"/>
      <c r="I126" s="52"/>
    </row>
    <row r="127" spans="2:9">
      <c r="B127" s="50"/>
      <c r="C127" s="51"/>
      <c r="D127" s="44"/>
      <c r="E127" s="44"/>
      <c r="F127" s="61"/>
      <c r="G127" s="59"/>
      <c r="H127" s="58"/>
      <c r="I127" s="52"/>
    </row>
    <row r="128" spans="2:9">
      <c r="B128" s="50"/>
      <c r="C128" s="51"/>
      <c r="D128" s="44"/>
      <c r="E128" s="44"/>
      <c r="F128" s="61"/>
      <c r="G128" s="59"/>
      <c r="H128" s="58"/>
      <c r="I128" s="52"/>
    </row>
    <row r="129" spans="2:9">
      <c r="B129" s="50"/>
      <c r="C129" s="51"/>
      <c r="D129" s="44"/>
      <c r="E129" s="44"/>
      <c r="F129" s="61"/>
      <c r="G129" s="59"/>
      <c r="H129" s="58"/>
      <c r="I129" s="52"/>
    </row>
    <row r="130" spans="2:9">
      <c r="B130" s="50"/>
      <c r="C130" s="51"/>
      <c r="D130" s="44"/>
      <c r="E130" s="44"/>
      <c r="F130" s="61"/>
      <c r="G130" s="59"/>
      <c r="H130" s="58"/>
      <c r="I130" s="52"/>
    </row>
    <row r="131" spans="2:9">
      <c r="B131" s="50"/>
      <c r="C131" s="51"/>
      <c r="D131" s="44"/>
      <c r="E131" s="44"/>
      <c r="F131" s="61"/>
      <c r="G131" s="59"/>
      <c r="H131" s="58"/>
      <c r="I131" s="52"/>
    </row>
    <row r="132" spans="2:9">
      <c r="B132" s="50"/>
      <c r="C132" s="51"/>
      <c r="D132" s="44"/>
      <c r="E132" s="44"/>
      <c r="F132" s="61"/>
      <c r="G132" s="59"/>
      <c r="H132" s="58"/>
      <c r="I132" s="52"/>
    </row>
    <row r="133" spans="2:9">
      <c r="B133" s="50"/>
      <c r="C133" s="51"/>
      <c r="D133" s="44"/>
      <c r="E133" s="44"/>
      <c r="F133" s="61"/>
      <c r="G133" s="59"/>
      <c r="H133" s="58"/>
      <c r="I133" s="52"/>
    </row>
    <row r="134" spans="2:9">
      <c r="B134" s="50"/>
      <c r="C134" s="51"/>
      <c r="D134" s="44"/>
      <c r="E134" s="44"/>
      <c r="F134" s="61"/>
      <c r="G134" s="59"/>
      <c r="H134" s="58"/>
      <c r="I134" s="52"/>
    </row>
    <row r="135" spans="2:9">
      <c r="B135" s="50"/>
      <c r="C135" s="51"/>
      <c r="D135" s="44"/>
      <c r="E135" s="44"/>
      <c r="F135" s="61"/>
      <c r="G135" s="59"/>
      <c r="H135" s="58"/>
      <c r="I135" s="52"/>
    </row>
    <row r="136" spans="2:9">
      <c r="B136" s="50"/>
      <c r="C136" s="51"/>
      <c r="D136" s="44"/>
      <c r="E136" s="44"/>
      <c r="F136" s="61"/>
      <c r="G136" s="59"/>
      <c r="H136" s="58"/>
      <c r="I136" s="52"/>
    </row>
    <row r="137" spans="2:9">
      <c r="B137" s="50"/>
      <c r="C137" s="51"/>
      <c r="D137" s="44"/>
      <c r="E137" s="44"/>
      <c r="F137" s="61"/>
      <c r="G137" s="59"/>
      <c r="H137" s="58"/>
      <c r="I137" s="52"/>
    </row>
    <row r="138" spans="2:9">
      <c r="B138" s="50"/>
      <c r="C138" s="51"/>
      <c r="D138" s="44"/>
      <c r="E138" s="44"/>
      <c r="F138" s="61"/>
      <c r="G138" s="59"/>
      <c r="H138" s="58"/>
      <c r="I138" s="52"/>
    </row>
    <row r="139" spans="2:9">
      <c r="B139" s="50"/>
      <c r="C139" s="51"/>
      <c r="D139" s="44"/>
      <c r="E139" s="44"/>
      <c r="F139" s="61"/>
      <c r="G139" s="59"/>
      <c r="H139" s="58"/>
      <c r="I139" s="52"/>
    </row>
    <row r="140" spans="2:9">
      <c r="B140" s="50"/>
      <c r="C140" s="51"/>
      <c r="D140" s="44"/>
      <c r="E140" s="44"/>
      <c r="F140" s="61"/>
      <c r="G140" s="59"/>
      <c r="H140" s="58"/>
      <c r="I140" s="52"/>
    </row>
    <row r="141" spans="2:9">
      <c r="B141" s="50"/>
      <c r="C141" s="51"/>
      <c r="D141" s="44"/>
      <c r="E141" s="44"/>
      <c r="F141" s="61"/>
      <c r="G141" s="59"/>
      <c r="H141" s="58"/>
      <c r="I141" s="52"/>
    </row>
    <row r="142" spans="2:9">
      <c r="B142" s="50"/>
      <c r="C142" s="51"/>
      <c r="D142" s="44"/>
      <c r="E142" s="44"/>
      <c r="F142" s="61"/>
      <c r="G142" s="59"/>
      <c r="H142" s="58"/>
      <c r="I142" s="52"/>
    </row>
    <row r="143" spans="2:9">
      <c r="B143" s="50"/>
      <c r="C143" s="51"/>
      <c r="D143" s="44"/>
      <c r="E143" s="44"/>
      <c r="F143" s="61"/>
      <c r="G143" s="59"/>
      <c r="H143" s="58"/>
      <c r="I143" s="52"/>
    </row>
    <row r="144" spans="2:9">
      <c r="B144" s="50"/>
      <c r="C144" s="51"/>
      <c r="D144" s="44"/>
      <c r="E144" s="44"/>
      <c r="F144" s="61"/>
      <c r="G144" s="59"/>
      <c r="H144" s="58"/>
      <c r="I144" s="52"/>
    </row>
    <row r="145" spans="2:9">
      <c r="B145" s="50"/>
      <c r="C145" s="51"/>
      <c r="D145" s="44"/>
      <c r="E145" s="44"/>
      <c r="F145" s="61"/>
      <c r="G145" s="59"/>
      <c r="H145" s="58"/>
      <c r="I145" s="52"/>
    </row>
    <row r="146" spans="2:9">
      <c r="B146" s="50"/>
      <c r="C146" s="51"/>
      <c r="D146" s="44"/>
      <c r="E146" s="44"/>
      <c r="F146" s="61"/>
      <c r="G146" s="59"/>
      <c r="H146" s="58"/>
      <c r="I146" s="52"/>
    </row>
    <row r="147" spans="2:9">
      <c r="B147" s="50"/>
      <c r="C147" s="51"/>
      <c r="D147" s="44"/>
      <c r="E147" s="44"/>
      <c r="F147" s="61"/>
      <c r="G147" s="59"/>
      <c r="H147" s="58"/>
      <c r="I147" s="52"/>
    </row>
    <row r="148" spans="2:9">
      <c r="B148" s="50"/>
      <c r="C148" s="51"/>
      <c r="D148" s="44"/>
      <c r="E148" s="44"/>
      <c r="F148" s="61"/>
      <c r="G148" s="59"/>
      <c r="H148" s="58"/>
      <c r="I148" s="52"/>
    </row>
    <row r="149" spans="2:9">
      <c r="B149" s="50"/>
      <c r="C149" s="51"/>
      <c r="D149" s="44"/>
      <c r="E149" s="44"/>
      <c r="F149" s="61"/>
      <c r="G149" s="59"/>
      <c r="H149" s="58"/>
      <c r="I149" s="52"/>
    </row>
    <row r="150" spans="2:9">
      <c r="B150" s="50"/>
      <c r="C150" s="51"/>
      <c r="D150" s="44"/>
      <c r="E150" s="44"/>
      <c r="F150" s="61"/>
      <c r="G150" s="59"/>
      <c r="H150" s="58"/>
      <c r="I150" s="52"/>
    </row>
    <row r="151" spans="2:9">
      <c r="B151" s="50"/>
      <c r="C151" s="51"/>
      <c r="D151" s="44"/>
      <c r="E151" s="44"/>
      <c r="F151" s="61"/>
      <c r="G151" s="59"/>
      <c r="H151" s="58"/>
      <c r="I151" s="52"/>
    </row>
    <row r="152" spans="2:9">
      <c r="B152" s="50"/>
      <c r="C152" s="51"/>
      <c r="D152" s="44"/>
      <c r="E152" s="44"/>
      <c r="F152" s="61"/>
      <c r="G152" s="59"/>
      <c r="H152" s="58"/>
      <c r="I152" s="52"/>
    </row>
    <row r="153" spans="2:9">
      <c r="B153" s="50"/>
      <c r="C153" s="51"/>
      <c r="D153" s="44"/>
      <c r="E153" s="44"/>
      <c r="F153" s="61"/>
      <c r="G153" s="59"/>
      <c r="H153" s="58"/>
      <c r="I153" s="52"/>
    </row>
    <row r="154" spans="2:9">
      <c r="B154" s="50"/>
      <c r="C154" s="51"/>
      <c r="D154" s="44"/>
      <c r="E154" s="44"/>
      <c r="F154" s="61"/>
      <c r="G154" s="59"/>
      <c r="H154" s="58"/>
      <c r="I154" s="52"/>
    </row>
    <row r="155" spans="2:9">
      <c r="B155" s="50"/>
      <c r="C155" s="51"/>
      <c r="D155" s="44"/>
      <c r="E155" s="44"/>
      <c r="F155" s="61"/>
      <c r="G155" s="59"/>
      <c r="H155" s="58"/>
      <c r="I155" s="52"/>
    </row>
    <row r="156" spans="2:9">
      <c r="B156" s="50"/>
      <c r="C156" s="51"/>
      <c r="D156" s="44"/>
      <c r="E156" s="44"/>
      <c r="F156" s="61"/>
      <c r="G156" s="59"/>
      <c r="H156" s="58"/>
      <c r="I156" s="52"/>
    </row>
    <row r="157" spans="2:9">
      <c r="B157" s="50"/>
      <c r="C157" s="51"/>
      <c r="D157" s="44"/>
      <c r="E157" s="44"/>
      <c r="F157" s="61"/>
      <c r="G157" s="59"/>
      <c r="H157" s="58"/>
      <c r="I157" s="52"/>
    </row>
    <row r="158" spans="2:9">
      <c r="B158" s="50"/>
      <c r="C158" s="51"/>
      <c r="D158" s="44"/>
      <c r="E158" s="44"/>
      <c r="F158" s="61"/>
      <c r="G158" s="59"/>
      <c r="H158" s="58"/>
      <c r="I158" s="52"/>
    </row>
    <row r="159" spans="2:9">
      <c r="B159" s="50"/>
      <c r="C159" s="51"/>
      <c r="D159" s="44"/>
      <c r="E159" s="44"/>
      <c r="F159" s="61"/>
      <c r="G159" s="59"/>
      <c r="H159" s="58"/>
      <c r="I159" s="52"/>
    </row>
    <row r="160" spans="2:9">
      <c r="B160" s="50"/>
      <c r="C160" s="51"/>
      <c r="D160" s="44"/>
      <c r="E160" s="44"/>
      <c r="F160" s="61"/>
      <c r="G160" s="59"/>
      <c r="H160" s="58"/>
      <c r="I160" s="52"/>
    </row>
    <row r="161" spans="2:9">
      <c r="B161" s="50"/>
      <c r="C161" s="51"/>
      <c r="D161" s="44"/>
      <c r="E161" s="44"/>
      <c r="F161" s="61"/>
      <c r="G161" s="59"/>
      <c r="H161" s="58"/>
      <c r="I161" s="52"/>
    </row>
    <row r="162" spans="2:9">
      <c r="B162" s="50"/>
      <c r="C162" s="51"/>
      <c r="D162" s="44"/>
      <c r="E162" s="44"/>
      <c r="F162" s="61"/>
      <c r="G162" s="59"/>
      <c r="H162" s="58"/>
      <c r="I162" s="52"/>
    </row>
    <row r="163" spans="2:9">
      <c r="B163" s="50"/>
      <c r="C163" s="51"/>
      <c r="D163" s="44"/>
      <c r="E163" s="44"/>
      <c r="F163" s="61"/>
      <c r="G163" s="59"/>
      <c r="H163" s="58"/>
      <c r="I163" s="52"/>
    </row>
    <row r="164" spans="2:9">
      <c r="B164" s="50"/>
      <c r="C164" s="51"/>
      <c r="D164" s="44"/>
      <c r="E164" s="44"/>
      <c r="F164" s="61"/>
      <c r="G164" s="59"/>
      <c r="H164" s="58"/>
      <c r="I164" s="52"/>
    </row>
    <row r="165" spans="2:9">
      <c r="B165" s="50"/>
      <c r="C165" s="51"/>
      <c r="D165" s="44"/>
      <c r="E165" s="44"/>
      <c r="F165" s="61"/>
      <c r="G165" s="59"/>
      <c r="H165" s="58"/>
      <c r="I165" s="52"/>
    </row>
    <row r="166" spans="2:9">
      <c r="B166" s="50"/>
      <c r="C166" s="51"/>
      <c r="D166" s="44"/>
      <c r="E166" s="44"/>
      <c r="F166" s="61"/>
      <c r="G166" s="59"/>
      <c r="H166" s="58"/>
      <c r="I166" s="52"/>
    </row>
    <row r="167" spans="2:9">
      <c r="B167" s="50"/>
      <c r="C167" s="51"/>
      <c r="D167" s="44"/>
      <c r="E167" s="44"/>
      <c r="F167" s="61"/>
      <c r="G167" s="59"/>
      <c r="H167" s="58"/>
      <c r="I167" s="52"/>
    </row>
    <row r="168" spans="2:9">
      <c r="B168" s="50"/>
      <c r="C168" s="51"/>
      <c r="D168" s="44"/>
      <c r="E168" s="44"/>
      <c r="F168" s="61"/>
      <c r="G168" s="59"/>
      <c r="H168" s="58"/>
      <c r="I168" s="52"/>
    </row>
    <row r="169" spans="2:9">
      <c r="B169" s="50"/>
      <c r="C169" s="51"/>
      <c r="D169" s="44"/>
      <c r="E169" s="44"/>
      <c r="F169" s="61"/>
      <c r="G169" s="59"/>
      <c r="H169" s="58"/>
      <c r="I169" s="52"/>
    </row>
    <row r="170" spans="2:9">
      <c r="B170" s="50"/>
      <c r="C170" s="51"/>
      <c r="D170" s="44"/>
      <c r="E170" s="44"/>
      <c r="F170" s="61"/>
      <c r="G170" s="59"/>
      <c r="H170" s="58"/>
      <c r="I170" s="52"/>
    </row>
    <row r="171" spans="2:9">
      <c r="B171" s="50"/>
      <c r="C171" s="51"/>
      <c r="D171" s="44"/>
      <c r="E171" s="44"/>
      <c r="F171" s="61"/>
      <c r="G171" s="59"/>
      <c r="H171" s="58"/>
      <c r="I171" s="52"/>
    </row>
    <row r="172" spans="2:9">
      <c r="B172" s="50"/>
      <c r="C172" s="51"/>
      <c r="D172" s="44"/>
      <c r="E172" s="44"/>
      <c r="F172" s="61"/>
      <c r="G172" s="59"/>
      <c r="H172" s="58"/>
      <c r="I172" s="52"/>
    </row>
    <row r="173" spans="2:9">
      <c r="B173" s="50"/>
      <c r="C173" s="51"/>
      <c r="D173" s="44"/>
      <c r="E173" s="44"/>
      <c r="F173" s="61"/>
      <c r="G173" s="59"/>
      <c r="H173" s="58"/>
      <c r="I173" s="52"/>
    </row>
    <row r="174" spans="2:9">
      <c r="B174" s="50"/>
      <c r="C174" s="51"/>
      <c r="D174" s="44"/>
      <c r="E174" s="44"/>
      <c r="F174" s="61"/>
      <c r="G174" s="59"/>
      <c r="H174" s="58"/>
      <c r="I174" s="52"/>
    </row>
    <row r="175" spans="2:9">
      <c r="B175" s="50"/>
      <c r="C175" s="51"/>
      <c r="D175" s="44"/>
      <c r="E175" s="44"/>
      <c r="F175" s="61"/>
      <c r="G175" s="59"/>
      <c r="H175" s="58"/>
      <c r="I175" s="52"/>
    </row>
    <row r="176" spans="2:9">
      <c r="B176" s="50"/>
      <c r="C176" s="51"/>
      <c r="D176" s="44"/>
      <c r="E176" s="44"/>
      <c r="F176" s="61"/>
      <c r="G176" s="59"/>
      <c r="H176" s="58"/>
      <c r="I176" s="52"/>
    </row>
    <row r="177" spans="2:9">
      <c r="B177" s="50"/>
      <c r="C177" s="51"/>
      <c r="D177" s="44"/>
      <c r="E177" s="44"/>
      <c r="F177" s="61"/>
      <c r="G177" s="59"/>
      <c r="H177" s="58"/>
      <c r="I177" s="52"/>
    </row>
    <row r="178" spans="2:9">
      <c r="B178" s="50"/>
      <c r="C178" s="51"/>
      <c r="D178" s="44"/>
      <c r="E178" s="44"/>
      <c r="F178" s="61"/>
      <c r="G178" s="59"/>
      <c r="H178" s="58"/>
      <c r="I178" s="52"/>
    </row>
    <row r="179" spans="2:9">
      <c r="B179" s="50"/>
      <c r="C179" s="51"/>
      <c r="D179" s="44"/>
      <c r="E179" s="44"/>
      <c r="F179" s="61"/>
      <c r="G179" s="59"/>
      <c r="H179" s="58"/>
      <c r="I179" s="52"/>
    </row>
    <row r="180" spans="2:9">
      <c r="B180" s="50"/>
      <c r="C180" s="51"/>
      <c r="D180" s="44"/>
      <c r="E180" s="44"/>
      <c r="F180" s="61"/>
      <c r="G180" s="59"/>
      <c r="H180" s="58"/>
      <c r="I180" s="52"/>
    </row>
    <row r="181" spans="2:9">
      <c r="B181" s="50"/>
      <c r="C181" s="51"/>
      <c r="D181" s="44"/>
      <c r="E181" s="44"/>
      <c r="F181" s="61"/>
      <c r="G181" s="59"/>
      <c r="H181" s="58"/>
      <c r="I181" s="52"/>
    </row>
    <row r="182" spans="2:9">
      <c r="B182" s="50"/>
      <c r="C182" s="51"/>
      <c r="D182" s="44"/>
      <c r="E182" s="44"/>
      <c r="F182" s="61"/>
      <c r="G182" s="59"/>
      <c r="H182" s="58"/>
      <c r="I182" s="52"/>
    </row>
    <row r="183" spans="2:9">
      <c r="B183" s="50"/>
      <c r="C183" s="51"/>
      <c r="D183" s="44"/>
      <c r="E183" s="44"/>
      <c r="F183" s="61"/>
      <c r="G183" s="59"/>
      <c r="H183" s="58"/>
      <c r="I183" s="52"/>
    </row>
    <row r="184" spans="2:9">
      <c r="B184" s="50"/>
      <c r="C184" s="51"/>
      <c r="D184" s="44"/>
      <c r="E184" s="44"/>
      <c r="F184" s="61"/>
      <c r="G184" s="59"/>
      <c r="H184" s="58"/>
      <c r="I184" s="52"/>
    </row>
    <row r="185" spans="2:9">
      <c r="B185" s="50"/>
      <c r="C185" s="51"/>
      <c r="D185" s="44"/>
      <c r="E185" s="44"/>
      <c r="F185" s="61"/>
      <c r="G185" s="59"/>
      <c r="H185" s="58"/>
      <c r="I185" s="52"/>
    </row>
    <row r="186" spans="2:9">
      <c r="B186" s="50"/>
      <c r="C186" s="51"/>
      <c r="D186" s="44"/>
      <c r="E186" s="44"/>
      <c r="F186" s="61"/>
      <c r="G186" s="59"/>
      <c r="H186" s="58"/>
      <c r="I186" s="52"/>
    </row>
    <row r="187" spans="2:9">
      <c r="B187" s="50"/>
      <c r="C187" s="51"/>
      <c r="D187" s="44"/>
      <c r="E187" s="44"/>
      <c r="F187" s="61"/>
      <c r="G187" s="59"/>
      <c r="H187" s="58"/>
      <c r="I187" s="52"/>
    </row>
    <row r="188" spans="2:9">
      <c r="B188" s="50"/>
      <c r="C188" s="51"/>
      <c r="D188" s="44"/>
      <c r="E188" s="44"/>
      <c r="F188" s="61"/>
      <c r="G188" s="59"/>
      <c r="H188" s="58"/>
      <c r="I188" s="52"/>
    </row>
    <row r="189" spans="2:9">
      <c r="B189" s="50"/>
      <c r="C189" s="51"/>
      <c r="D189" s="44"/>
      <c r="E189" s="44"/>
      <c r="F189" s="61"/>
      <c r="G189" s="59"/>
      <c r="H189" s="58"/>
      <c r="I189" s="52"/>
    </row>
    <row r="190" spans="2:9">
      <c r="B190" s="50"/>
      <c r="C190" s="51"/>
      <c r="D190" s="44"/>
      <c r="E190" s="44"/>
      <c r="F190" s="61"/>
      <c r="G190" s="59"/>
      <c r="H190" s="58"/>
      <c r="I190" s="52"/>
    </row>
    <row r="191" spans="2:9">
      <c r="B191" s="50"/>
      <c r="C191" s="51"/>
      <c r="D191" s="44"/>
      <c r="E191" s="44"/>
      <c r="F191" s="61"/>
      <c r="G191" s="59"/>
      <c r="H191" s="58"/>
      <c r="I191" s="52"/>
    </row>
    <row r="192" spans="2:9">
      <c r="B192" s="50"/>
      <c r="C192" s="51"/>
      <c r="D192" s="44"/>
      <c r="E192" s="44"/>
      <c r="F192" s="61"/>
      <c r="G192" s="59"/>
      <c r="H192" s="58"/>
      <c r="I192" s="52"/>
    </row>
    <row r="193" spans="2:9">
      <c r="B193" s="50"/>
      <c r="C193" s="51"/>
      <c r="D193" s="44"/>
      <c r="E193" s="44"/>
      <c r="F193" s="61"/>
      <c r="G193" s="59"/>
      <c r="H193" s="58"/>
      <c r="I193" s="52"/>
    </row>
    <row r="194" spans="2:9">
      <c r="B194" s="50"/>
      <c r="C194" s="51"/>
      <c r="D194" s="44"/>
      <c r="E194" s="44"/>
      <c r="F194" s="61"/>
      <c r="G194" s="59"/>
      <c r="H194" s="58"/>
      <c r="I194" s="52"/>
    </row>
    <row r="195" spans="2:9">
      <c r="B195" s="50"/>
      <c r="C195" s="51"/>
      <c r="D195" s="44"/>
      <c r="E195" s="44"/>
      <c r="F195" s="61"/>
      <c r="G195" s="59"/>
      <c r="H195" s="58"/>
      <c r="I195" s="52"/>
    </row>
    <row r="196" spans="2:9">
      <c r="B196" s="50"/>
      <c r="C196" s="51"/>
      <c r="D196" s="44"/>
      <c r="E196" s="44"/>
      <c r="F196" s="61"/>
      <c r="G196" s="59"/>
      <c r="H196" s="58"/>
      <c r="I196" s="52"/>
    </row>
    <row r="197" spans="2:9">
      <c r="B197" s="50"/>
      <c r="C197" s="51"/>
      <c r="D197" s="44"/>
      <c r="E197" s="44"/>
      <c r="F197" s="61"/>
      <c r="G197" s="59"/>
      <c r="H197" s="58"/>
      <c r="I197" s="52"/>
    </row>
    <row r="198" spans="2:9">
      <c r="B198" s="50"/>
      <c r="C198" s="51"/>
      <c r="D198" s="44"/>
      <c r="E198" s="44"/>
      <c r="F198" s="61"/>
      <c r="G198" s="59"/>
      <c r="H198" s="58"/>
      <c r="I198" s="52"/>
    </row>
    <row r="199" spans="2:9">
      <c r="B199" s="50"/>
      <c r="C199" s="51"/>
      <c r="D199" s="44"/>
      <c r="E199" s="44"/>
      <c r="F199" s="61"/>
      <c r="G199" s="59"/>
      <c r="H199" s="58"/>
      <c r="I199" s="52"/>
    </row>
    <row r="200" spans="2:9">
      <c r="B200" s="50"/>
      <c r="C200" s="51"/>
      <c r="D200" s="44"/>
      <c r="E200" s="44"/>
      <c r="F200" s="61"/>
      <c r="G200" s="59"/>
      <c r="H200" s="58"/>
      <c r="I200" s="52"/>
    </row>
    <row r="201" spans="2:9">
      <c r="B201" s="50"/>
      <c r="C201" s="51"/>
      <c r="D201" s="44"/>
      <c r="E201" s="44"/>
      <c r="F201" s="61"/>
      <c r="G201" s="59"/>
      <c r="H201" s="58"/>
      <c r="I201" s="52"/>
    </row>
    <row r="202" spans="2:9">
      <c r="B202" s="50"/>
      <c r="C202" s="51"/>
      <c r="D202" s="44"/>
      <c r="E202" s="44"/>
      <c r="F202" s="61"/>
      <c r="G202" s="59"/>
      <c r="H202" s="58"/>
      <c r="I202" s="52"/>
    </row>
    <row r="203" spans="2:9">
      <c r="B203" s="50"/>
      <c r="C203" s="51"/>
      <c r="D203" s="44"/>
      <c r="E203" s="44"/>
      <c r="F203" s="61"/>
      <c r="G203" s="59"/>
      <c r="H203" s="58"/>
      <c r="I203" s="52"/>
    </row>
    <row r="204" spans="2:9">
      <c r="B204" s="50"/>
      <c r="C204" s="51"/>
      <c r="D204" s="44"/>
      <c r="E204" s="44"/>
      <c r="F204" s="61"/>
      <c r="G204" s="59"/>
      <c r="H204" s="58"/>
      <c r="I204" s="52"/>
    </row>
    <row r="205" spans="2:9">
      <c r="B205" s="50"/>
      <c r="C205" s="51"/>
      <c r="D205" s="44"/>
      <c r="E205" s="44"/>
      <c r="F205" s="61"/>
      <c r="G205" s="59"/>
      <c r="H205" s="58"/>
      <c r="I205" s="52"/>
    </row>
    <row r="206" spans="2:9">
      <c r="B206" s="50"/>
      <c r="C206" s="51"/>
      <c r="D206" s="44"/>
      <c r="E206" s="44"/>
      <c r="F206" s="61"/>
      <c r="G206" s="59"/>
      <c r="H206" s="58"/>
      <c r="I206" s="52"/>
    </row>
    <row r="207" spans="2:9">
      <c r="B207" s="50"/>
      <c r="C207" s="51"/>
      <c r="D207" s="44"/>
      <c r="E207" s="44"/>
      <c r="F207" s="61"/>
      <c r="G207" s="59"/>
      <c r="H207" s="58"/>
      <c r="I207" s="52"/>
    </row>
    <row r="208" spans="2:9">
      <c r="B208" s="50"/>
      <c r="C208" s="51"/>
      <c r="D208" s="44"/>
      <c r="E208" s="44"/>
      <c r="F208" s="61"/>
      <c r="G208" s="59"/>
      <c r="H208" s="58"/>
      <c r="I208" s="52"/>
    </row>
    <row r="209" spans="2:9">
      <c r="B209" s="50"/>
      <c r="C209" s="51"/>
      <c r="D209" s="44"/>
      <c r="E209" s="44"/>
      <c r="F209" s="61"/>
      <c r="G209" s="59"/>
      <c r="H209" s="58"/>
      <c r="I209" s="52"/>
    </row>
    <row r="210" spans="2:9">
      <c r="B210" s="50"/>
      <c r="C210" s="51"/>
      <c r="D210" s="44"/>
      <c r="E210" s="44"/>
      <c r="F210" s="61"/>
      <c r="G210" s="59"/>
      <c r="H210" s="58"/>
      <c r="I210" s="52"/>
    </row>
    <row r="211" spans="2:9">
      <c r="B211" s="50"/>
      <c r="C211" s="51"/>
      <c r="D211" s="44"/>
      <c r="E211" s="44"/>
      <c r="F211" s="61"/>
      <c r="G211" s="59"/>
      <c r="H211" s="58"/>
      <c r="I211" s="52"/>
    </row>
    <row r="212" spans="2:9">
      <c r="B212" s="50"/>
      <c r="C212" s="51"/>
      <c r="D212" s="44"/>
      <c r="E212" s="44"/>
      <c r="F212" s="61"/>
      <c r="G212" s="59"/>
      <c r="H212" s="58"/>
      <c r="I212" s="52"/>
    </row>
    <row r="213" spans="2:9">
      <c r="B213" s="50"/>
      <c r="C213" s="51"/>
      <c r="D213" s="44"/>
      <c r="E213" s="44"/>
      <c r="F213" s="61"/>
      <c r="G213" s="59"/>
      <c r="H213" s="58"/>
      <c r="I213" s="52"/>
    </row>
    <row r="214" spans="2:9">
      <c r="B214" s="50"/>
      <c r="C214" s="51"/>
      <c r="D214" s="44"/>
      <c r="E214" s="44"/>
      <c r="F214" s="61"/>
      <c r="G214" s="59"/>
      <c r="H214" s="58"/>
      <c r="I214" s="52"/>
    </row>
    <row r="215" spans="2:9">
      <c r="B215" s="50"/>
      <c r="C215" s="51"/>
      <c r="D215" s="44"/>
      <c r="E215" s="44"/>
      <c r="F215" s="61"/>
      <c r="G215" s="59"/>
      <c r="H215" s="58"/>
      <c r="I215" s="52"/>
    </row>
    <row r="216" spans="2:9">
      <c r="B216" s="50"/>
      <c r="C216" s="51"/>
      <c r="D216" s="44"/>
      <c r="E216" s="44"/>
      <c r="F216" s="61"/>
      <c r="G216" s="59"/>
      <c r="H216" s="58"/>
      <c r="I216" s="52"/>
    </row>
    <row r="217" spans="2:9">
      <c r="B217" s="50"/>
      <c r="C217" s="51"/>
      <c r="D217" s="44"/>
      <c r="E217" s="44"/>
      <c r="F217" s="61"/>
      <c r="G217" s="59"/>
      <c r="H217" s="58"/>
      <c r="I217" s="52"/>
    </row>
    <row r="218" spans="2:9">
      <c r="B218" s="50"/>
      <c r="C218" s="51"/>
      <c r="D218" s="44"/>
      <c r="E218" s="44"/>
      <c r="F218" s="61"/>
      <c r="G218" s="59"/>
      <c r="H218" s="58"/>
      <c r="I218" s="52"/>
    </row>
    <row r="219" spans="2:9">
      <c r="B219" s="50"/>
      <c r="C219" s="51"/>
      <c r="D219" s="44"/>
      <c r="E219" s="44"/>
      <c r="F219" s="61"/>
      <c r="G219" s="59"/>
      <c r="H219" s="58"/>
      <c r="I219" s="52"/>
    </row>
    <row r="220" spans="2:9">
      <c r="B220" s="50"/>
      <c r="C220" s="51"/>
      <c r="D220" s="44"/>
      <c r="E220" s="44"/>
      <c r="F220" s="61"/>
      <c r="G220" s="59"/>
      <c r="H220" s="58"/>
      <c r="I220" s="52"/>
    </row>
    <row r="221" spans="2:9">
      <c r="B221" s="50"/>
      <c r="C221" s="51"/>
      <c r="D221" s="44"/>
      <c r="E221" s="44"/>
      <c r="F221" s="61"/>
      <c r="G221" s="59"/>
      <c r="H221" s="58"/>
      <c r="I221" s="52"/>
    </row>
    <row r="222" spans="2:9">
      <c r="B222" s="50"/>
      <c r="C222" s="51"/>
      <c r="D222" s="44"/>
      <c r="E222" s="44"/>
      <c r="F222" s="61"/>
      <c r="G222" s="59"/>
      <c r="H222" s="58"/>
      <c r="I222" s="52"/>
    </row>
    <row r="223" spans="2:9">
      <c r="B223" s="50"/>
      <c r="C223" s="51"/>
      <c r="D223" s="44"/>
      <c r="E223" s="44"/>
      <c r="F223" s="61"/>
      <c r="G223" s="59"/>
      <c r="H223" s="58"/>
      <c r="I223" s="52"/>
    </row>
    <row r="224" spans="2:9">
      <c r="B224" s="50"/>
      <c r="C224" s="51"/>
      <c r="D224" s="44"/>
      <c r="E224" s="44"/>
      <c r="F224" s="61"/>
      <c r="G224" s="59"/>
      <c r="H224" s="58"/>
      <c r="I224" s="52"/>
    </row>
    <row r="225" spans="2:9">
      <c r="B225" s="50"/>
      <c r="C225" s="51"/>
      <c r="D225" s="44"/>
      <c r="E225" s="44"/>
      <c r="F225" s="61"/>
      <c r="G225" s="59"/>
      <c r="H225" s="58"/>
      <c r="I225" s="52"/>
    </row>
    <row r="226" spans="2:9">
      <c r="B226" s="50"/>
      <c r="C226" s="51"/>
      <c r="D226" s="44"/>
      <c r="E226" s="44"/>
      <c r="F226" s="61"/>
      <c r="G226" s="59"/>
      <c r="H226" s="58"/>
      <c r="I226" s="52"/>
    </row>
    <row r="227" spans="2:9">
      <c r="B227" s="50"/>
      <c r="C227" s="51"/>
      <c r="D227" s="44"/>
      <c r="E227" s="44"/>
      <c r="F227" s="61"/>
      <c r="G227" s="59"/>
      <c r="H227" s="58"/>
      <c r="I227" s="52"/>
    </row>
    <row r="228" spans="2:9">
      <c r="B228" s="50"/>
      <c r="C228" s="51"/>
      <c r="D228" s="44"/>
      <c r="E228" s="44"/>
      <c r="F228" s="61"/>
      <c r="G228" s="59"/>
      <c r="H228" s="58"/>
      <c r="I228" s="52"/>
    </row>
    <row r="229" spans="2:9">
      <c r="B229" s="50"/>
      <c r="C229" s="51"/>
      <c r="D229" s="44"/>
      <c r="E229" s="44"/>
      <c r="F229" s="61"/>
      <c r="G229" s="59"/>
      <c r="H229" s="58"/>
      <c r="I229" s="52"/>
    </row>
    <row r="230" spans="2:9">
      <c r="B230" s="50"/>
      <c r="C230" s="51"/>
      <c r="D230" s="44"/>
      <c r="E230" s="44"/>
      <c r="F230" s="61"/>
      <c r="G230" s="59"/>
      <c r="H230" s="58"/>
      <c r="I230" s="52"/>
    </row>
    <row r="231" spans="2:9">
      <c r="B231" s="50"/>
      <c r="C231" s="51"/>
      <c r="D231" s="44"/>
      <c r="E231" s="44"/>
      <c r="F231" s="61"/>
      <c r="G231" s="59"/>
      <c r="H231" s="58"/>
      <c r="I231" s="52"/>
    </row>
    <row r="232" spans="2:9">
      <c r="B232" s="50"/>
      <c r="C232" s="51"/>
      <c r="D232" s="44"/>
      <c r="E232" s="44"/>
      <c r="F232" s="61"/>
      <c r="G232" s="59"/>
      <c r="H232" s="58"/>
      <c r="I232" s="52"/>
    </row>
    <row r="233" spans="2:9">
      <c r="B233" s="50"/>
      <c r="C233" s="51"/>
      <c r="D233" s="44"/>
      <c r="E233" s="44"/>
      <c r="F233" s="61"/>
      <c r="G233" s="59"/>
      <c r="H233" s="58"/>
      <c r="I233" s="52"/>
    </row>
    <row r="234" spans="2:9">
      <c r="B234" s="50"/>
      <c r="C234" s="51"/>
      <c r="D234" s="44"/>
      <c r="E234" s="44"/>
      <c r="F234" s="61"/>
      <c r="G234" s="59"/>
      <c r="H234" s="58"/>
      <c r="I234" s="52"/>
    </row>
    <row r="235" spans="2:9">
      <c r="B235" s="50"/>
      <c r="C235" s="51"/>
      <c r="D235" s="44"/>
      <c r="E235" s="44"/>
      <c r="F235" s="61"/>
      <c r="G235" s="59"/>
      <c r="H235" s="58"/>
      <c r="I235" s="52"/>
    </row>
    <row r="236" spans="2:9">
      <c r="B236" s="50"/>
      <c r="C236" s="51"/>
      <c r="D236" s="44"/>
      <c r="E236" s="44"/>
      <c r="F236" s="61"/>
      <c r="G236" s="59"/>
      <c r="H236" s="58"/>
      <c r="I236" s="52"/>
    </row>
    <row r="237" spans="2:9">
      <c r="B237" s="50"/>
      <c r="C237" s="51"/>
      <c r="D237" s="44"/>
      <c r="E237" s="44"/>
      <c r="F237" s="61"/>
      <c r="G237" s="59"/>
      <c r="H237" s="58"/>
      <c r="I237" s="52"/>
    </row>
    <row r="238" spans="2:9">
      <c r="B238" s="50"/>
      <c r="C238" s="51"/>
      <c r="D238" s="44"/>
      <c r="E238" s="44"/>
      <c r="F238" s="61"/>
      <c r="G238" s="59"/>
      <c r="H238" s="58"/>
      <c r="I238" s="52"/>
    </row>
    <row r="239" spans="2:9">
      <c r="B239" s="50"/>
      <c r="C239" s="51"/>
      <c r="D239" s="44"/>
      <c r="E239" s="44"/>
      <c r="F239" s="61"/>
      <c r="G239" s="59"/>
      <c r="H239" s="58"/>
      <c r="I239" s="52"/>
    </row>
    <row r="240" spans="2:9">
      <c r="B240" s="50"/>
      <c r="C240" s="51"/>
      <c r="D240" s="44"/>
      <c r="E240" s="44"/>
      <c r="F240" s="61"/>
      <c r="G240" s="59"/>
      <c r="H240" s="58"/>
      <c r="I240" s="52"/>
    </row>
    <row r="241" spans="2:9">
      <c r="B241" s="50"/>
      <c r="C241" s="51"/>
      <c r="D241" s="44"/>
      <c r="E241" s="44"/>
      <c r="F241" s="61"/>
      <c r="G241" s="59"/>
      <c r="H241" s="58"/>
      <c r="I241" s="52"/>
    </row>
    <row r="242" spans="2:9">
      <c r="B242" s="50"/>
      <c r="C242" s="51"/>
      <c r="D242" s="44"/>
      <c r="E242" s="44"/>
      <c r="F242" s="61"/>
      <c r="G242" s="59"/>
      <c r="H242" s="58"/>
      <c r="I242" s="52"/>
    </row>
    <row r="243" spans="2:9">
      <c r="B243" s="50"/>
      <c r="C243" s="51"/>
      <c r="D243" s="44"/>
      <c r="E243" s="44"/>
      <c r="F243" s="61"/>
      <c r="G243" s="59"/>
      <c r="H243" s="58"/>
      <c r="I243" s="52"/>
    </row>
    <row r="244" spans="2:9">
      <c r="B244" s="50"/>
      <c r="C244" s="51"/>
      <c r="D244" s="44"/>
      <c r="E244" s="44"/>
      <c r="F244" s="61"/>
      <c r="G244" s="59"/>
      <c r="H244" s="58"/>
      <c r="I244" s="52"/>
    </row>
    <row r="245" spans="2:9">
      <c r="B245" s="50"/>
      <c r="C245" s="51"/>
      <c r="D245" s="44"/>
      <c r="E245" s="44"/>
      <c r="F245" s="61"/>
      <c r="G245" s="59"/>
      <c r="H245" s="58"/>
      <c r="I245" s="52"/>
    </row>
    <row r="246" spans="2:9">
      <c r="B246" s="50"/>
      <c r="C246" s="51"/>
      <c r="D246" s="44"/>
      <c r="E246" s="44"/>
      <c r="F246" s="61"/>
      <c r="G246" s="59"/>
      <c r="H246" s="58"/>
      <c r="I246" s="52"/>
    </row>
    <row r="247" spans="2:9">
      <c r="B247" s="50"/>
      <c r="C247" s="51"/>
      <c r="D247" s="44"/>
      <c r="E247" s="44"/>
      <c r="F247" s="61"/>
      <c r="G247" s="59"/>
      <c r="H247" s="58"/>
      <c r="I247" s="52"/>
    </row>
    <row r="248" spans="2:9">
      <c r="B248" s="50"/>
      <c r="C248" s="51"/>
      <c r="D248" s="44"/>
      <c r="E248" s="44"/>
      <c r="F248" s="61"/>
      <c r="G248" s="59"/>
      <c r="H248" s="58"/>
      <c r="I248" s="52"/>
    </row>
    <row r="249" spans="2:9">
      <c r="B249" s="50"/>
      <c r="C249" s="51"/>
      <c r="D249" s="44"/>
      <c r="E249" s="44"/>
      <c r="F249" s="61"/>
      <c r="G249" s="59"/>
      <c r="H249" s="58"/>
      <c r="I249" s="52"/>
    </row>
    <row r="250" spans="2:9">
      <c r="B250" s="50"/>
      <c r="C250" s="51"/>
      <c r="D250" s="44"/>
      <c r="E250" s="44"/>
      <c r="F250" s="61"/>
      <c r="G250" s="59"/>
      <c r="H250" s="58"/>
      <c r="I250" s="52"/>
    </row>
    <row r="251" spans="2:9">
      <c r="B251" s="50"/>
      <c r="C251" s="51"/>
      <c r="D251" s="44"/>
      <c r="E251" s="44"/>
      <c r="F251" s="61"/>
      <c r="G251" s="59"/>
      <c r="H251" s="58"/>
      <c r="I251" s="52"/>
    </row>
    <row r="252" spans="2:9">
      <c r="B252" s="50"/>
      <c r="C252" s="51"/>
      <c r="D252" s="44"/>
      <c r="E252" s="44"/>
      <c r="F252" s="61"/>
      <c r="G252" s="59"/>
      <c r="H252" s="58"/>
      <c r="I252" s="52"/>
    </row>
    <row r="253" spans="2:9">
      <c r="B253" s="50"/>
      <c r="C253" s="51"/>
      <c r="D253" s="44"/>
      <c r="E253" s="44"/>
      <c r="F253" s="61"/>
      <c r="G253" s="59"/>
      <c r="H253" s="58"/>
      <c r="I253" s="52"/>
    </row>
    <row r="254" spans="2:9">
      <c r="B254" s="50"/>
      <c r="C254" s="51"/>
      <c r="D254" s="44"/>
      <c r="E254" s="44"/>
      <c r="F254" s="61"/>
      <c r="G254" s="59"/>
      <c r="H254" s="58"/>
      <c r="I254" s="52"/>
    </row>
    <row r="255" spans="2:9">
      <c r="B255" s="50"/>
      <c r="C255" s="51"/>
      <c r="D255" s="44"/>
      <c r="E255" s="44"/>
      <c r="F255" s="61"/>
      <c r="G255" s="59"/>
      <c r="H255" s="58"/>
      <c r="I255" s="52"/>
    </row>
    <row r="256" spans="2:9">
      <c r="B256" s="50"/>
      <c r="C256" s="51"/>
      <c r="D256" s="44"/>
      <c r="E256" s="44"/>
      <c r="F256" s="61"/>
      <c r="G256" s="59"/>
      <c r="H256" s="58"/>
      <c r="I256" s="52"/>
    </row>
    <row r="257" spans="2:9">
      <c r="B257" s="50"/>
      <c r="C257" s="51"/>
      <c r="D257" s="44"/>
      <c r="E257" s="44"/>
      <c r="F257" s="61"/>
      <c r="G257" s="59"/>
      <c r="H257" s="58"/>
      <c r="I257" s="52"/>
    </row>
    <row r="258" spans="2:9">
      <c r="B258" s="50"/>
      <c r="C258" s="51"/>
      <c r="D258" s="44"/>
      <c r="E258" s="44"/>
      <c r="F258" s="61"/>
      <c r="G258" s="59"/>
      <c r="H258" s="58"/>
      <c r="I258" s="52"/>
    </row>
    <row r="259" spans="2:9">
      <c r="B259" s="50"/>
      <c r="C259" s="51"/>
      <c r="D259" s="44"/>
      <c r="E259" s="44"/>
      <c r="F259" s="61"/>
      <c r="G259" s="59"/>
      <c r="H259" s="58"/>
      <c r="I259" s="52"/>
    </row>
    <row r="260" spans="2:9">
      <c r="B260" s="50"/>
      <c r="C260" s="51"/>
      <c r="D260" s="44"/>
      <c r="E260" s="44"/>
      <c r="F260" s="61"/>
      <c r="G260" s="59"/>
      <c r="H260" s="58"/>
      <c r="I260" s="52"/>
    </row>
    <row r="261" spans="2:9">
      <c r="B261" s="50"/>
      <c r="C261" s="51"/>
      <c r="D261" s="44"/>
      <c r="E261" s="44"/>
      <c r="F261" s="61"/>
      <c r="G261" s="59"/>
      <c r="H261" s="58"/>
      <c r="I261" s="52"/>
    </row>
    <row r="262" spans="2:9">
      <c r="B262" s="50"/>
      <c r="C262" s="51"/>
      <c r="D262" s="44"/>
      <c r="E262" s="44"/>
      <c r="F262" s="61"/>
      <c r="G262" s="59"/>
      <c r="H262" s="58"/>
      <c r="I262" s="52"/>
    </row>
    <row r="263" spans="2:9">
      <c r="B263" s="50"/>
      <c r="C263" s="51"/>
      <c r="D263" s="44"/>
      <c r="E263" s="44"/>
      <c r="F263" s="61"/>
      <c r="G263" s="59"/>
      <c r="H263" s="58"/>
      <c r="I263" s="52"/>
    </row>
    <row r="264" spans="2:9">
      <c r="B264" s="50"/>
      <c r="C264" s="51"/>
      <c r="D264" s="44"/>
      <c r="E264" s="44"/>
      <c r="F264" s="61"/>
      <c r="G264" s="59"/>
      <c r="H264" s="58"/>
      <c r="I264" s="52"/>
    </row>
    <row r="265" spans="2:9">
      <c r="B265" s="50"/>
      <c r="C265" s="51"/>
      <c r="D265" s="44"/>
      <c r="E265" s="44"/>
      <c r="F265" s="61"/>
      <c r="G265" s="59"/>
      <c r="H265" s="58"/>
      <c r="I265" s="52"/>
    </row>
    <row r="266" spans="2:9">
      <c r="B266" s="50"/>
      <c r="C266" s="51"/>
      <c r="D266" s="44"/>
      <c r="E266" s="44"/>
      <c r="F266" s="61"/>
      <c r="G266" s="59"/>
      <c r="H266" s="58"/>
      <c r="I266" s="52"/>
    </row>
    <row r="267" spans="2:9">
      <c r="B267" s="50"/>
      <c r="C267" s="51"/>
      <c r="D267" s="44"/>
      <c r="E267" s="44"/>
      <c r="F267" s="61"/>
      <c r="G267" s="59"/>
      <c r="H267" s="58"/>
      <c r="I267" s="52"/>
    </row>
    <row r="268" spans="2:9">
      <c r="B268" s="50"/>
      <c r="C268" s="51"/>
      <c r="D268" s="44"/>
      <c r="E268" s="44"/>
      <c r="F268" s="61"/>
      <c r="G268" s="59"/>
      <c r="H268" s="58"/>
      <c r="I268" s="52"/>
    </row>
    <row r="269" spans="2:9">
      <c r="B269" s="50"/>
      <c r="C269" s="51"/>
      <c r="D269" s="44"/>
      <c r="E269" s="44"/>
      <c r="F269" s="61"/>
      <c r="G269" s="59"/>
      <c r="H269" s="58"/>
      <c r="I269" s="52"/>
    </row>
    <row r="270" spans="2:9">
      <c r="B270" s="50"/>
      <c r="C270" s="51"/>
      <c r="D270" s="44"/>
      <c r="E270" s="44"/>
      <c r="F270" s="61"/>
      <c r="G270" s="59"/>
      <c r="H270" s="58"/>
      <c r="I270" s="52"/>
    </row>
    <row r="271" spans="2:9">
      <c r="B271" s="50"/>
      <c r="C271" s="51"/>
      <c r="D271" s="44"/>
      <c r="E271" s="44"/>
      <c r="F271" s="61"/>
      <c r="G271" s="59"/>
      <c r="H271" s="58"/>
      <c r="I271" s="52"/>
    </row>
    <row r="272" spans="2:9">
      <c r="B272" s="50"/>
      <c r="C272" s="51"/>
      <c r="D272" s="44"/>
      <c r="E272" s="44"/>
      <c r="F272" s="61"/>
      <c r="G272" s="59"/>
      <c r="H272" s="58"/>
      <c r="I272" s="52"/>
    </row>
    <row r="273" spans="2:9">
      <c r="B273" s="50"/>
      <c r="C273" s="51"/>
      <c r="D273" s="44"/>
      <c r="E273" s="44"/>
      <c r="F273" s="61"/>
      <c r="G273" s="59"/>
      <c r="H273" s="58"/>
      <c r="I273" s="52"/>
    </row>
    <row r="274" spans="2:9">
      <c r="B274" s="50"/>
      <c r="C274" s="51"/>
      <c r="D274" s="44"/>
      <c r="E274" s="44"/>
      <c r="F274" s="61"/>
      <c r="G274" s="59"/>
      <c r="H274" s="58"/>
      <c r="I274" s="52"/>
    </row>
    <row r="275" spans="2:9">
      <c r="B275" s="50"/>
      <c r="C275" s="51"/>
      <c r="D275" s="44"/>
      <c r="E275" s="44"/>
      <c r="F275" s="61"/>
      <c r="G275" s="59"/>
      <c r="H275" s="58"/>
      <c r="I275" s="52"/>
    </row>
    <row r="276" spans="2:9">
      <c r="B276" s="50"/>
      <c r="C276" s="51"/>
      <c r="D276" s="44"/>
      <c r="E276" s="44"/>
      <c r="F276" s="61"/>
      <c r="G276" s="59"/>
      <c r="H276" s="58"/>
      <c r="I276" s="52"/>
    </row>
    <row r="277" spans="2:9">
      <c r="B277" s="50"/>
      <c r="C277" s="51"/>
      <c r="D277" s="44"/>
      <c r="E277" s="44"/>
      <c r="F277" s="61"/>
      <c r="G277" s="59"/>
      <c r="H277" s="58"/>
      <c r="I277" s="52"/>
    </row>
    <row r="278" spans="2:9">
      <c r="B278" s="50"/>
      <c r="C278" s="51"/>
      <c r="D278" s="44"/>
      <c r="E278" s="44"/>
      <c r="F278" s="61"/>
      <c r="G278" s="59"/>
      <c r="H278" s="58"/>
      <c r="I278" s="52"/>
    </row>
    <row r="279" spans="2:9">
      <c r="B279" s="50"/>
      <c r="C279" s="51"/>
      <c r="D279" s="44"/>
      <c r="E279" s="44"/>
      <c r="F279" s="61"/>
      <c r="G279" s="59"/>
      <c r="H279" s="58"/>
      <c r="I279" s="52"/>
    </row>
    <row r="280" spans="2:9">
      <c r="B280" s="50"/>
      <c r="C280" s="51"/>
      <c r="D280" s="44"/>
      <c r="E280" s="44"/>
      <c r="F280" s="61"/>
      <c r="G280" s="59"/>
      <c r="H280" s="58"/>
      <c r="I280" s="52"/>
    </row>
    <row r="281" spans="2:9">
      <c r="B281" s="50"/>
      <c r="C281" s="51"/>
      <c r="D281" s="44"/>
      <c r="E281" s="44"/>
      <c r="F281" s="61"/>
      <c r="G281" s="59"/>
      <c r="H281" s="58"/>
      <c r="I281" s="52"/>
    </row>
    <row r="282" spans="2:9">
      <c r="B282" s="50"/>
      <c r="C282" s="51"/>
      <c r="D282" s="44"/>
      <c r="E282" s="44"/>
      <c r="F282" s="61"/>
      <c r="G282" s="59"/>
      <c r="H282" s="58"/>
      <c r="I282" s="52"/>
    </row>
    <row r="283" spans="2:9">
      <c r="B283" s="50"/>
      <c r="C283" s="51"/>
      <c r="D283" s="44"/>
      <c r="E283" s="44"/>
      <c r="F283" s="61"/>
      <c r="G283" s="59"/>
      <c r="H283" s="58"/>
      <c r="I283" s="52"/>
    </row>
    <row r="284" spans="2:9">
      <c r="B284" s="50"/>
      <c r="C284" s="51"/>
      <c r="D284" s="44"/>
      <c r="E284" s="44"/>
      <c r="F284" s="61"/>
      <c r="G284" s="59"/>
      <c r="H284" s="58"/>
      <c r="I284" s="52"/>
    </row>
    <row r="285" spans="2:9">
      <c r="B285" s="50"/>
      <c r="C285" s="51"/>
      <c r="D285" s="44"/>
      <c r="E285" s="44"/>
      <c r="F285" s="61"/>
      <c r="G285" s="59"/>
      <c r="H285" s="58"/>
      <c r="I285" s="52"/>
    </row>
    <row r="286" spans="2:9">
      <c r="B286" s="50"/>
      <c r="C286" s="51"/>
      <c r="D286" s="44"/>
      <c r="E286" s="44"/>
      <c r="F286" s="61"/>
      <c r="G286" s="59"/>
      <c r="H286" s="58"/>
      <c r="I286" s="52"/>
    </row>
    <row r="287" spans="2:9">
      <c r="B287" s="50"/>
      <c r="C287" s="51"/>
      <c r="D287" s="44"/>
      <c r="E287" s="44"/>
      <c r="F287" s="61"/>
      <c r="G287" s="59"/>
      <c r="H287" s="58"/>
      <c r="I287" s="52"/>
    </row>
    <row r="288" spans="2:9">
      <c r="B288" s="50"/>
      <c r="C288" s="51"/>
      <c r="D288" s="44"/>
      <c r="E288" s="44"/>
      <c r="F288" s="61"/>
      <c r="G288" s="59"/>
      <c r="H288" s="58"/>
      <c r="I288" s="52"/>
    </row>
    <row r="289" spans="2:9">
      <c r="B289" s="50"/>
      <c r="C289" s="51"/>
      <c r="D289" s="44"/>
      <c r="E289" s="44"/>
      <c r="F289" s="61"/>
      <c r="G289" s="59"/>
      <c r="H289" s="58"/>
      <c r="I289" s="52"/>
    </row>
    <row r="290" spans="2:9">
      <c r="B290" s="50"/>
      <c r="C290" s="51"/>
      <c r="D290" s="44"/>
      <c r="E290" s="44"/>
      <c r="F290" s="61"/>
      <c r="G290" s="59"/>
      <c r="H290" s="58"/>
      <c r="I290" s="52"/>
    </row>
    <row r="291" spans="2:9">
      <c r="B291" s="50"/>
      <c r="C291" s="51"/>
      <c r="D291" s="44"/>
      <c r="E291" s="44"/>
      <c r="F291" s="61"/>
      <c r="G291" s="59"/>
      <c r="H291" s="58"/>
      <c r="I291" s="52"/>
    </row>
    <row r="292" spans="2:9">
      <c r="B292" s="50"/>
      <c r="C292" s="51"/>
      <c r="D292" s="44"/>
      <c r="E292" s="44"/>
      <c r="F292" s="61"/>
      <c r="G292" s="59"/>
      <c r="H292" s="58"/>
      <c r="I292" s="52"/>
    </row>
    <row r="293" spans="2:9">
      <c r="B293" s="50"/>
      <c r="C293" s="51"/>
      <c r="D293" s="44"/>
      <c r="E293" s="44"/>
      <c r="F293" s="61"/>
      <c r="G293" s="59"/>
      <c r="H293" s="58"/>
      <c r="I293" s="52"/>
    </row>
    <row r="294" spans="2:9">
      <c r="B294" s="50"/>
      <c r="C294" s="51"/>
      <c r="D294" s="44"/>
      <c r="E294" s="44"/>
      <c r="F294" s="61"/>
      <c r="G294" s="59"/>
      <c r="H294" s="58"/>
      <c r="I294" s="52"/>
    </row>
    <row r="295" spans="2:9">
      <c r="B295" s="50"/>
      <c r="C295" s="51"/>
      <c r="D295" s="44"/>
      <c r="E295" s="44"/>
      <c r="F295" s="61"/>
      <c r="G295" s="59"/>
      <c r="H295" s="58"/>
      <c r="I295" s="52"/>
    </row>
    <row r="296" spans="2:9">
      <c r="B296" s="50"/>
      <c r="C296" s="51"/>
      <c r="D296" s="44"/>
      <c r="E296" s="44"/>
      <c r="F296" s="61"/>
      <c r="G296" s="59"/>
      <c r="H296" s="58"/>
      <c r="I296" s="52"/>
    </row>
    <row r="297" spans="2:9">
      <c r="B297" s="50"/>
      <c r="C297" s="51"/>
      <c r="D297" s="44"/>
      <c r="E297" s="44"/>
      <c r="F297" s="61"/>
      <c r="G297" s="59"/>
      <c r="H297" s="58"/>
      <c r="I297" s="52"/>
    </row>
    <row r="298" spans="2:9">
      <c r="B298" s="50"/>
      <c r="C298" s="51"/>
      <c r="D298" s="44"/>
      <c r="E298" s="44"/>
      <c r="F298" s="61"/>
      <c r="G298" s="59"/>
      <c r="H298" s="58"/>
      <c r="I298" s="52"/>
    </row>
    <row r="299" spans="2:9">
      <c r="B299" s="50"/>
      <c r="C299" s="51"/>
      <c r="D299" s="44"/>
      <c r="E299" s="44"/>
      <c r="F299" s="61"/>
      <c r="G299" s="59"/>
      <c r="H299" s="58"/>
      <c r="I299" s="52"/>
    </row>
    <row r="300" spans="2:9">
      <c r="B300" s="50"/>
      <c r="C300" s="51"/>
      <c r="D300" s="44"/>
      <c r="E300" s="44"/>
      <c r="F300" s="61"/>
      <c r="G300" s="59"/>
      <c r="H300" s="58"/>
      <c r="I300" s="52"/>
    </row>
    <row r="301" spans="2:9">
      <c r="B301" s="50"/>
      <c r="C301" s="51"/>
      <c r="D301" s="44"/>
      <c r="E301" s="44"/>
      <c r="F301" s="61"/>
      <c r="G301" s="59"/>
      <c r="H301" s="58"/>
      <c r="I301" s="52"/>
    </row>
    <row r="302" spans="2:9">
      <c r="B302" s="50"/>
      <c r="C302" s="51"/>
      <c r="D302" s="44"/>
      <c r="E302" s="44"/>
      <c r="F302" s="61"/>
      <c r="G302" s="59"/>
      <c r="H302" s="58"/>
      <c r="I302" s="52"/>
    </row>
    <row r="303" spans="2:9">
      <c r="B303" s="50"/>
      <c r="C303" s="51"/>
      <c r="D303" s="44"/>
      <c r="E303" s="44"/>
      <c r="F303" s="61"/>
      <c r="G303" s="59"/>
      <c r="H303" s="58"/>
      <c r="I303" s="52"/>
    </row>
    <row r="304" spans="2:9">
      <c r="B304" s="50"/>
      <c r="C304" s="51"/>
      <c r="D304" s="44"/>
      <c r="E304" s="44"/>
      <c r="F304" s="61"/>
      <c r="G304" s="59"/>
      <c r="H304" s="58"/>
      <c r="I304" s="52"/>
    </row>
    <row r="305" spans="2:9">
      <c r="B305" s="50"/>
      <c r="C305" s="51"/>
      <c r="D305" s="44"/>
      <c r="E305" s="44"/>
      <c r="F305" s="61"/>
      <c r="G305" s="59"/>
      <c r="H305" s="58"/>
      <c r="I305" s="52"/>
    </row>
    <row r="306" spans="2:9">
      <c r="B306" s="50"/>
      <c r="C306" s="51"/>
      <c r="D306" s="44"/>
      <c r="E306" s="44"/>
      <c r="F306" s="61"/>
      <c r="G306" s="59"/>
      <c r="H306" s="58"/>
      <c r="I306" s="52"/>
    </row>
    <row r="307" spans="2:9">
      <c r="B307" s="50"/>
      <c r="C307" s="51"/>
      <c r="D307" s="44"/>
      <c r="E307" s="44"/>
      <c r="F307" s="61"/>
      <c r="G307" s="59"/>
      <c r="H307" s="58"/>
      <c r="I307" s="52"/>
    </row>
    <row r="308" spans="2:9">
      <c r="B308" s="50"/>
      <c r="C308" s="51"/>
      <c r="D308" s="44"/>
      <c r="E308" s="44"/>
      <c r="F308" s="61"/>
      <c r="G308" s="59"/>
      <c r="H308" s="58"/>
      <c r="I308" s="52"/>
    </row>
    <row r="309" spans="2:9">
      <c r="B309" s="50"/>
      <c r="C309" s="51"/>
      <c r="D309" s="44"/>
      <c r="E309" s="44"/>
      <c r="F309" s="61"/>
      <c r="G309" s="59"/>
      <c r="H309" s="58"/>
      <c r="I309" s="52"/>
    </row>
    <row r="310" spans="2:9">
      <c r="B310" s="50"/>
      <c r="C310" s="51"/>
      <c r="D310" s="44"/>
      <c r="E310" s="44"/>
      <c r="F310" s="61"/>
      <c r="G310" s="59"/>
      <c r="H310" s="58"/>
      <c r="I310" s="52"/>
    </row>
    <row r="311" spans="2:9">
      <c r="B311" s="50"/>
      <c r="C311" s="51"/>
      <c r="D311" s="44"/>
      <c r="E311" s="44"/>
      <c r="F311" s="61"/>
      <c r="G311" s="59"/>
      <c r="H311" s="58"/>
      <c r="I311" s="52"/>
    </row>
    <row r="312" spans="2:9">
      <c r="B312" s="50"/>
      <c r="C312" s="51"/>
      <c r="D312" s="44"/>
      <c r="E312" s="44"/>
      <c r="F312" s="61"/>
      <c r="G312" s="59"/>
      <c r="H312" s="58"/>
      <c r="I312" s="52"/>
    </row>
    <row r="313" spans="2:9">
      <c r="B313" s="50"/>
      <c r="C313" s="51"/>
      <c r="D313" s="44"/>
      <c r="E313" s="44"/>
      <c r="F313" s="61"/>
      <c r="G313" s="59"/>
      <c r="H313" s="58"/>
      <c r="I313" s="52"/>
    </row>
    <row r="314" spans="2:9">
      <c r="B314" s="50"/>
      <c r="C314" s="51"/>
      <c r="D314" s="44"/>
      <c r="E314" s="44"/>
      <c r="F314" s="61"/>
      <c r="G314" s="59"/>
      <c r="H314" s="58"/>
      <c r="I314" s="52"/>
    </row>
    <row r="315" spans="2:9">
      <c r="B315" s="50"/>
      <c r="C315" s="51"/>
      <c r="D315" s="44"/>
      <c r="E315" s="44"/>
      <c r="F315" s="61"/>
      <c r="G315" s="59"/>
      <c r="H315" s="58"/>
      <c r="I315" s="52"/>
    </row>
    <row r="316" spans="2:9">
      <c r="B316" s="50"/>
      <c r="C316" s="51"/>
      <c r="D316" s="44"/>
      <c r="E316" s="44"/>
      <c r="F316" s="61"/>
      <c r="G316" s="59"/>
      <c r="H316" s="58"/>
      <c r="I316" s="52"/>
    </row>
    <row r="317" spans="2:9">
      <c r="B317" s="50"/>
      <c r="C317" s="51"/>
      <c r="D317" s="44"/>
      <c r="E317" s="44"/>
      <c r="F317" s="61"/>
      <c r="G317" s="59"/>
      <c r="H317" s="58"/>
      <c r="I317" s="52"/>
    </row>
    <row r="318" spans="2:9">
      <c r="B318" s="50"/>
      <c r="C318" s="51"/>
      <c r="D318" s="44"/>
      <c r="E318" s="44"/>
      <c r="F318" s="61"/>
      <c r="G318" s="59"/>
      <c r="H318" s="58"/>
      <c r="I318" s="52"/>
    </row>
    <row r="319" spans="2:9">
      <c r="B319" s="50"/>
      <c r="C319" s="51"/>
      <c r="D319" s="44"/>
      <c r="E319" s="44"/>
      <c r="F319" s="61"/>
      <c r="G319" s="59"/>
      <c r="H319" s="58"/>
      <c r="I319" s="52"/>
    </row>
    <row r="320" spans="2:9">
      <c r="B320" s="50"/>
      <c r="C320" s="51"/>
      <c r="D320" s="44"/>
      <c r="E320" s="44"/>
      <c r="F320" s="61"/>
      <c r="G320" s="59"/>
      <c r="H320" s="58"/>
      <c r="I320" s="52"/>
    </row>
    <row r="321" spans="2:9">
      <c r="B321" s="50"/>
      <c r="C321" s="51"/>
      <c r="D321" s="44"/>
      <c r="E321" s="44"/>
      <c r="F321" s="61"/>
      <c r="G321" s="59"/>
      <c r="H321" s="58"/>
      <c r="I321" s="52"/>
    </row>
    <row r="322" spans="2:9">
      <c r="B322" s="50"/>
      <c r="C322" s="51"/>
      <c r="D322" s="44"/>
      <c r="E322" s="44"/>
      <c r="F322" s="61"/>
      <c r="G322" s="59"/>
      <c r="H322" s="58"/>
      <c r="I322" s="52"/>
    </row>
    <row r="323" spans="2:9">
      <c r="B323" s="50"/>
      <c r="C323" s="51"/>
      <c r="D323" s="44"/>
      <c r="E323" s="44"/>
      <c r="F323" s="61"/>
      <c r="G323" s="59"/>
      <c r="H323" s="58"/>
      <c r="I323" s="52"/>
    </row>
    <row r="324" spans="2:9">
      <c r="B324" s="50"/>
      <c r="C324" s="51"/>
      <c r="D324" s="44"/>
      <c r="E324" s="44"/>
      <c r="F324" s="61"/>
      <c r="G324" s="59"/>
      <c r="H324" s="58"/>
      <c r="I324" s="52"/>
    </row>
    <row r="325" spans="2:9">
      <c r="B325" s="50"/>
      <c r="C325" s="51"/>
      <c r="D325" s="44"/>
      <c r="E325" s="44"/>
      <c r="F325" s="61"/>
      <c r="G325" s="59"/>
      <c r="H325" s="58"/>
      <c r="I325" s="52"/>
    </row>
    <row r="326" spans="2:9">
      <c r="B326" s="50"/>
      <c r="C326" s="51"/>
      <c r="D326" s="44"/>
      <c r="E326" s="44"/>
      <c r="F326" s="61"/>
      <c r="G326" s="59"/>
      <c r="H326" s="58"/>
      <c r="I326" s="52"/>
    </row>
    <row r="327" spans="2:9">
      <c r="B327" s="50"/>
      <c r="C327" s="51"/>
      <c r="D327" s="44"/>
      <c r="E327" s="44"/>
      <c r="F327" s="61"/>
      <c r="G327" s="59"/>
      <c r="H327" s="58"/>
      <c r="I327" s="52"/>
    </row>
    <row r="328" spans="2:9">
      <c r="B328" s="50"/>
      <c r="C328" s="51"/>
      <c r="D328" s="44"/>
      <c r="E328" s="44"/>
      <c r="F328" s="61"/>
      <c r="G328" s="59"/>
      <c r="H328" s="58"/>
      <c r="I328" s="52"/>
    </row>
    <row r="329" spans="2:9">
      <c r="B329" s="50"/>
      <c r="C329" s="51"/>
      <c r="D329" s="44"/>
      <c r="E329" s="44"/>
      <c r="F329" s="61"/>
      <c r="G329" s="59"/>
      <c r="H329" s="58"/>
      <c r="I329" s="52"/>
    </row>
    <row r="330" spans="2:9">
      <c r="B330" s="50"/>
      <c r="C330" s="51"/>
      <c r="D330" s="44"/>
      <c r="E330" s="44"/>
      <c r="F330" s="61"/>
      <c r="G330" s="59"/>
      <c r="H330" s="58"/>
      <c r="I330" s="52"/>
    </row>
    <row r="331" spans="2:9">
      <c r="B331" s="50"/>
      <c r="C331" s="51"/>
      <c r="D331" s="44"/>
      <c r="E331" s="44"/>
      <c r="F331" s="61"/>
      <c r="G331" s="59"/>
      <c r="H331" s="58"/>
      <c r="I331" s="52"/>
    </row>
    <row r="332" spans="2:9">
      <c r="B332" s="50"/>
      <c r="C332" s="51"/>
      <c r="D332" s="44"/>
      <c r="E332" s="44"/>
      <c r="F332" s="61"/>
      <c r="G332" s="59"/>
      <c r="H332" s="58"/>
      <c r="I332" s="52"/>
    </row>
    <row r="333" spans="2:9">
      <c r="B333" s="50"/>
      <c r="C333" s="51"/>
      <c r="D333" s="44"/>
      <c r="F333" s="61"/>
      <c r="G333" s="59"/>
      <c r="H333" s="58"/>
      <c r="I333" s="52"/>
    </row>
    <row r="334" spans="2:9">
      <c r="B334" s="50"/>
      <c r="C334" s="51"/>
      <c r="D334" s="44"/>
      <c r="F334" s="61"/>
      <c r="G334" s="59"/>
      <c r="H334" s="58"/>
      <c r="I334" s="52"/>
    </row>
    <row r="335" spans="2:9">
      <c r="B335" s="50"/>
      <c r="C335" s="51"/>
      <c r="D335" s="44"/>
      <c r="F335" s="61"/>
      <c r="G335" s="59"/>
      <c r="H335" s="58"/>
      <c r="I335" s="52"/>
    </row>
    <row r="336" spans="2:9">
      <c r="B336" s="50"/>
      <c r="C336" s="51"/>
      <c r="D336" s="44"/>
      <c r="F336" s="61"/>
      <c r="G336" s="59"/>
      <c r="H336" s="58"/>
      <c r="I336" s="52"/>
    </row>
    <row r="337" spans="2:9">
      <c r="B337" s="50"/>
      <c r="C337" s="51"/>
      <c r="D337" s="44"/>
      <c r="F337" s="61"/>
      <c r="G337" s="59"/>
      <c r="H337" s="58"/>
      <c r="I337" s="52"/>
    </row>
    <row r="338" spans="2:9">
      <c r="B338" s="50"/>
      <c r="C338" s="51"/>
      <c r="D338" s="44"/>
      <c r="F338" s="61"/>
      <c r="G338" s="59"/>
      <c r="H338" s="58"/>
      <c r="I338" s="52"/>
    </row>
    <row r="339" spans="2:9">
      <c r="B339" s="50"/>
      <c r="C339" s="51"/>
      <c r="D339" s="44"/>
      <c r="F339" s="61"/>
      <c r="G339" s="59"/>
      <c r="H339" s="58"/>
      <c r="I339" s="52"/>
    </row>
    <row r="340" spans="2:9">
      <c r="B340" s="50"/>
      <c r="C340" s="51"/>
      <c r="D340" s="44"/>
      <c r="F340" s="61"/>
      <c r="G340" s="59"/>
      <c r="H340" s="58"/>
      <c r="I340" s="52"/>
    </row>
    <row r="341" spans="2:9">
      <c r="B341" s="50"/>
      <c r="C341" s="51"/>
      <c r="D341" s="44"/>
      <c r="F341" s="61"/>
      <c r="G341" s="59"/>
      <c r="H341" s="58"/>
      <c r="I341" s="52"/>
    </row>
    <row r="342" spans="2:9">
      <c r="B342" s="50"/>
      <c r="C342" s="51"/>
      <c r="D342" s="44"/>
      <c r="F342" s="61"/>
      <c r="G342" s="59"/>
      <c r="H342" s="58"/>
      <c r="I342" s="52"/>
    </row>
    <row r="343" spans="2:9">
      <c r="B343" s="50"/>
      <c r="C343" s="51"/>
      <c r="D343" s="44"/>
      <c r="F343" s="61"/>
      <c r="G343" s="59"/>
      <c r="H343" s="58"/>
      <c r="I343" s="52"/>
    </row>
    <row r="344" spans="2:9">
      <c r="B344" s="50"/>
      <c r="C344" s="51"/>
      <c r="D344" s="44"/>
      <c r="F344" s="61"/>
      <c r="G344" s="59"/>
      <c r="H344" s="58"/>
      <c r="I344" s="52"/>
    </row>
    <row r="345" spans="2:9">
      <c r="B345" s="50"/>
      <c r="C345" s="51"/>
      <c r="D345" s="44"/>
      <c r="F345" s="61"/>
      <c r="G345" s="59"/>
      <c r="H345" s="58"/>
      <c r="I345" s="52"/>
    </row>
    <row r="346" spans="2:9">
      <c r="B346" s="50"/>
      <c r="C346" s="51"/>
      <c r="D346" s="44"/>
      <c r="F346" s="61"/>
      <c r="G346" s="59"/>
      <c r="H346" s="58"/>
      <c r="I346" s="52"/>
    </row>
    <row r="347" spans="2:9">
      <c r="B347" s="50"/>
      <c r="C347" s="51"/>
      <c r="D347" s="44"/>
      <c r="F347" s="61"/>
      <c r="G347" s="59"/>
      <c r="H347" s="58"/>
      <c r="I347" s="52"/>
    </row>
    <row r="348" spans="2:9">
      <c r="B348" s="50"/>
      <c r="C348" s="51"/>
      <c r="D348" s="44"/>
      <c r="F348" s="61"/>
      <c r="G348" s="59"/>
      <c r="H348" s="58"/>
      <c r="I348" s="52"/>
    </row>
    <row r="349" spans="2:9">
      <c r="B349" s="50"/>
      <c r="C349" s="51"/>
      <c r="D349" s="44"/>
      <c r="F349" s="61"/>
      <c r="G349" s="59"/>
      <c r="H349" s="58"/>
      <c r="I349" s="52"/>
    </row>
    <row r="350" spans="2:9">
      <c r="B350" s="50"/>
      <c r="C350" s="51"/>
      <c r="D350" s="44"/>
      <c r="F350" s="61"/>
      <c r="G350" s="59"/>
      <c r="H350" s="58"/>
      <c r="I350" s="52"/>
    </row>
    <row r="351" spans="2:9">
      <c r="B351" s="50"/>
      <c r="C351" s="51"/>
      <c r="D351" s="44"/>
      <c r="F351" s="61"/>
      <c r="G351" s="59"/>
      <c r="H351" s="58"/>
      <c r="I351" s="52"/>
    </row>
    <row r="352" spans="2:9">
      <c r="B352" s="50"/>
      <c r="C352" s="51"/>
      <c r="D352" s="44"/>
      <c r="F352" s="61"/>
      <c r="G352" s="59"/>
      <c r="H352" s="58"/>
      <c r="I352" s="52"/>
    </row>
    <row r="353" spans="2:9">
      <c r="B353" s="50"/>
      <c r="C353" s="51"/>
      <c r="D353" s="44"/>
      <c r="F353" s="61"/>
      <c r="G353" s="59"/>
      <c r="H353" s="58"/>
      <c r="I353" s="52"/>
    </row>
    <row r="354" spans="2:9">
      <c r="B354" s="50"/>
      <c r="C354" s="51"/>
      <c r="D354" s="44"/>
      <c r="F354" s="61"/>
      <c r="G354" s="59"/>
      <c r="H354" s="58"/>
      <c r="I354" s="52"/>
    </row>
    <row r="355" spans="2:9">
      <c r="B355" s="50"/>
      <c r="C355" s="51"/>
      <c r="D355" s="44"/>
      <c r="F355" s="61"/>
      <c r="G355" s="59"/>
      <c r="H355" s="58"/>
      <c r="I355" s="52"/>
    </row>
    <row r="356" spans="2:9">
      <c r="B356" s="50"/>
      <c r="C356" s="51"/>
      <c r="D356" s="44"/>
      <c r="F356" s="61"/>
      <c r="G356" s="59"/>
      <c r="H356" s="58"/>
      <c r="I356" s="52"/>
    </row>
    <row r="357" spans="2:9">
      <c r="B357" s="50"/>
      <c r="C357" s="51"/>
      <c r="D357" s="44"/>
      <c r="F357" s="61"/>
      <c r="G357" s="59"/>
      <c r="H357" s="58"/>
      <c r="I357" s="52"/>
    </row>
    <row r="358" spans="2:9">
      <c r="B358" s="50"/>
      <c r="C358" s="51"/>
      <c r="D358" s="44"/>
      <c r="F358" s="61"/>
      <c r="G358" s="59"/>
      <c r="H358" s="58"/>
      <c r="I358" s="52"/>
    </row>
    <row r="359" spans="2:9">
      <c r="B359" s="50"/>
      <c r="C359" s="51"/>
      <c r="D359" s="44"/>
      <c r="F359" s="61"/>
      <c r="G359" s="59"/>
      <c r="H359" s="58"/>
      <c r="I359" s="52"/>
    </row>
    <row r="360" spans="2:9">
      <c r="B360" s="50"/>
      <c r="C360" s="51"/>
      <c r="D360" s="44"/>
      <c r="F360" s="61"/>
      <c r="G360" s="59"/>
      <c r="H360" s="58"/>
      <c r="I360" s="52"/>
    </row>
    <row r="361" spans="2:9">
      <c r="B361" s="50"/>
      <c r="C361" s="51"/>
      <c r="D361" s="44"/>
      <c r="F361" s="61"/>
      <c r="G361" s="59"/>
      <c r="H361" s="58"/>
      <c r="I361" s="52"/>
    </row>
    <row r="362" spans="2:9">
      <c r="B362" s="50"/>
      <c r="C362" s="51"/>
      <c r="D362" s="44"/>
      <c r="F362" s="61"/>
      <c r="G362" s="59"/>
      <c r="H362" s="58"/>
      <c r="I362" s="52"/>
    </row>
    <row r="363" spans="2:9">
      <c r="B363" s="50"/>
      <c r="C363" s="51"/>
      <c r="D363" s="44"/>
      <c r="F363" s="61"/>
      <c r="G363" s="59"/>
      <c r="H363" s="58"/>
      <c r="I363" s="52"/>
    </row>
    <row r="364" spans="2:9">
      <c r="B364" s="50"/>
      <c r="C364" s="51"/>
      <c r="D364" s="44"/>
      <c r="F364" s="61"/>
      <c r="G364" s="59"/>
      <c r="H364" s="58"/>
      <c r="I364" s="52"/>
    </row>
    <row r="365" spans="2:9">
      <c r="B365" s="50"/>
      <c r="C365" s="51"/>
      <c r="D365" s="44"/>
      <c r="F365" s="61"/>
      <c r="G365" s="59"/>
      <c r="H365" s="58"/>
      <c r="I365" s="52"/>
    </row>
    <row r="366" spans="2:9">
      <c r="B366" s="50"/>
      <c r="C366" s="51"/>
      <c r="D366" s="44"/>
      <c r="F366" s="61"/>
      <c r="G366" s="59"/>
      <c r="H366" s="58"/>
      <c r="I366" s="52"/>
    </row>
    <row r="367" spans="2:9">
      <c r="B367" s="50"/>
      <c r="C367" s="51"/>
      <c r="D367" s="44"/>
      <c r="F367" s="61"/>
      <c r="G367" s="59"/>
      <c r="H367" s="58"/>
      <c r="I367" s="52"/>
    </row>
    <row r="368" spans="2:9">
      <c r="B368" s="50"/>
      <c r="C368" s="51"/>
      <c r="D368" s="44"/>
      <c r="F368" s="61"/>
      <c r="G368" s="59"/>
      <c r="H368" s="58"/>
      <c r="I368" s="52"/>
    </row>
    <row r="369" spans="2:9">
      <c r="B369" s="50"/>
      <c r="C369" s="51"/>
      <c r="D369" s="44"/>
      <c r="F369" s="61"/>
      <c r="G369" s="59"/>
      <c r="H369" s="58"/>
      <c r="I369" s="52"/>
    </row>
    <row r="370" spans="2:9">
      <c r="B370" s="50"/>
      <c r="C370" s="51"/>
      <c r="D370" s="44"/>
      <c r="F370" s="61"/>
      <c r="G370" s="59"/>
      <c r="H370" s="58"/>
      <c r="I370" s="52"/>
    </row>
    <row r="371" spans="2:9">
      <c r="B371" s="50"/>
      <c r="C371" s="51"/>
      <c r="D371" s="44"/>
      <c r="E371" s="44"/>
      <c r="F371" s="61"/>
      <c r="G371" s="59"/>
      <c r="H371" s="58"/>
      <c r="I371" s="52"/>
    </row>
    <row r="372" spans="2:9">
      <c r="B372" s="50"/>
      <c r="C372" s="51"/>
      <c r="D372" s="44"/>
      <c r="E372" s="44"/>
      <c r="F372" s="61"/>
      <c r="G372" s="59"/>
      <c r="H372" s="58"/>
      <c r="I372" s="52"/>
    </row>
    <row r="373" spans="2:9">
      <c r="B373" s="50"/>
      <c r="C373" s="51"/>
      <c r="D373" s="44"/>
      <c r="E373" s="44"/>
      <c r="F373" s="61"/>
      <c r="G373" s="59"/>
      <c r="H373" s="58"/>
      <c r="I373" s="52"/>
    </row>
    <row r="374" spans="2:9">
      <c r="B374" s="50"/>
      <c r="C374" s="51"/>
      <c r="D374" s="44"/>
      <c r="E374" s="44"/>
      <c r="F374" s="61"/>
      <c r="G374" s="59"/>
      <c r="H374" s="58"/>
      <c r="I374" s="52"/>
    </row>
    <row r="375" spans="2:9">
      <c r="B375" s="50"/>
      <c r="C375" s="51"/>
      <c r="D375" s="44"/>
      <c r="E375" s="44"/>
      <c r="F375" s="61"/>
      <c r="G375" s="59"/>
      <c r="H375" s="58"/>
      <c r="I375" s="52"/>
    </row>
    <row r="376" spans="2:9">
      <c r="B376" s="50"/>
      <c r="C376" s="51"/>
      <c r="D376" s="44"/>
      <c r="E376" s="44"/>
      <c r="F376" s="61"/>
      <c r="G376" s="59"/>
      <c r="H376" s="58"/>
      <c r="I376" s="52"/>
    </row>
    <row r="377" spans="2:9">
      <c r="B377" s="50"/>
      <c r="C377" s="51"/>
      <c r="D377" s="44"/>
      <c r="E377" s="44"/>
      <c r="F377" s="61"/>
      <c r="G377" s="59"/>
      <c r="H377" s="58"/>
      <c r="I377" s="52"/>
    </row>
    <row r="378" spans="2:9">
      <c r="B378" s="50"/>
      <c r="C378" s="51"/>
      <c r="D378" s="44"/>
      <c r="E378" s="44"/>
      <c r="F378" s="61"/>
      <c r="G378" s="59"/>
      <c r="H378" s="58"/>
      <c r="I378" s="52"/>
    </row>
    <row r="379" spans="2:9">
      <c r="B379" s="50"/>
      <c r="C379" s="51"/>
      <c r="D379" s="44"/>
      <c r="F379" s="61"/>
      <c r="G379" s="59"/>
    </row>
    <row r="380" spans="2:9">
      <c r="B380" s="50"/>
      <c r="C380" s="51"/>
      <c r="D380" s="44"/>
      <c r="F380" s="61"/>
      <c r="G380" s="59"/>
    </row>
    <row r="381" spans="2:9">
      <c r="B381" s="50"/>
      <c r="C381" s="51"/>
      <c r="D381" s="44"/>
      <c r="F381" s="61"/>
      <c r="G381" s="59"/>
    </row>
    <row r="382" spans="2:9">
      <c r="B382" s="50"/>
      <c r="C382" s="51"/>
      <c r="D382" s="44"/>
      <c r="F382" s="61"/>
      <c r="G382" s="59"/>
    </row>
    <row r="383" spans="2:9">
      <c r="B383" s="50"/>
      <c r="C383" s="51"/>
      <c r="D383" s="44"/>
      <c r="F383" s="61"/>
      <c r="G383" s="59"/>
    </row>
    <row r="384" spans="2:9">
      <c r="B384" s="50"/>
      <c r="C384" s="51"/>
      <c r="D384" s="44"/>
      <c r="F384" s="61"/>
      <c r="G384" s="59"/>
    </row>
    <row r="385" spans="2:7">
      <c r="B385" s="50"/>
      <c r="C385" s="51"/>
      <c r="D385" s="44"/>
      <c r="F385" s="61"/>
      <c r="G385" s="59"/>
    </row>
    <row r="386" spans="2:7">
      <c r="B386" s="50"/>
      <c r="C386" s="51"/>
      <c r="D386" s="44"/>
      <c r="F386" s="61"/>
      <c r="G386" s="59"/>
    </row>
    <row r="387" spans="2:7">
      <c r="B387" s="50"/>
      <c r="C387" s="51"/>
      <c r="D387" s="44"/>
      <c r="F387" s="61"/>
      <c r="G387" s="59"/>
    </row>
    <row r="388" spans="2:7">
      <c r="B388" s="50"/>
      <c r="C388" s="51"/>
      <c r="D388" s="44"/>
      <c r="F388" s="61"/>
      <c r="G388" s="59"/>
    </row>
    <row r="389" spans="2:7">
      <c r="B389" s="50"/>
      <c r="C389" s="51"/>
      <c r="D389" s="44"/>
      <c r="F389" s="61"/>
      <c r="G389" s="59"/>
    </row>
    <row r="390" spans="2:7">
      <c r="B390" s="50"/>
      <c r="C390" s="51"/>
      <c r="D390" s="44"/>
      <c r="F390" s="61"/>
      <c r="G390" s="59"/>
    </row>
    <row r="391" spans="2:7">
      <c r="B391" s="50"/>
      <c r="C391" s="51"/>
      <c r="D391" s="44"/>
      <c r="F391" s="61"/>
      <c r="G391" s="59"/>
    </row>
    <row r="392" spans="2:7">
      <c r="B392" s="50"/>
      <c r="C392" s="51"/>
      <c r="D392" s="44"/>
      <c r="F392" s="61"/>
      <c r="G392" s="59"/>
    </row>
    <row r="393" spans="2:7">
      <c r="B393" s="50"/>
      <c r="C393" s="51"/>
      <c r="D393" s="44"/>
      <c r="F393" s="61"/>
      <c r="G393" s="59"/>
    </row>
    <row r="394" spans="2:7">
      <c r="B394" s="50"/>
      <c r="C394" s="51"/>
      <c r="D394" s="44"/>
      <c r="F394" s="61"/>
      <c r="G394" s="59"/>
    </row>
    <row r="395" spans="2:7">
      <c r="B395" s="50"/>
      <c r="C395" s="51"/>
      <c r="D395" s="44"/>
      <c r="F395" s="61"/>
      <c r="G395" s="59"/>
    </row>
    <row r="396" spans="2:7">
      <c r="B396" s="50"/>
      <c r="C396" s="51"/>
      <c r="D396" s="44"/>
      <c r="F396" s="61"/>
      <c r="G396" s="59"/>
    </row>
    <row r="397" spans="2:7">
      <c r="B397" s="50"/>
      <c r="C397" s="51"/>
      <c r="D397" s="44"/>
      <c r="F397" s="61"/>
      <c r="G397" s="59"/>
    </row>
    <row r="398" spans="2:7">
      <c r="B398" s="50"/>
      <c r="C398" s="51"/>
      <c r="D398" s="44"/>
      <c r="F398" s="61"/>
      <c r="G398" s="59"/>
    </row>
    <row r="399" spans="2:7">
      <c r="B399" s="50"/>
      <c r="C399" s="51"/>
      <c r="D399" s="44"/>
      <c r="F399" s="61"/>
      <c r="G399" s="59"/>
    </row>
    <row r="400" spans="2:7">
      <c r="B400" s="50"/>
      <c r="C400" s="51"/>
      <c r="D400" s="44"/>
      <c r="F400" s="61"/>
      <c r="G400" s="59"/>
    </row>
    <row r="401" spans="2:7">
      <c r="B401" s="50"/>
      <c r="C401" s="51"/>
      <c r="D401" s="44"/>
      <c r="F401" s="61"/>
      <c r="G401" s="59"/>
    </row>
    <row r="402" spans="2:7">
      <c r="B402" s="50"/>
      <c r="C402" s="51"/>
      <c r="D402" s="44"/>
      <c r="F402" s="61"/>
      <c r="G402" s="59"/>
    </row>
    <row r="403" spans="2:7">
      <c r="B403" s="50"/>
      <c r="C403" s="51"/>
      <c r="D403" s="44"/>
      <c r="F403" s="61"/>
      <c r="G403" s="59"/>
    </row>
    <row r="404" spans="2:7">
      <c r="B404" s="50"/>
      <c r="C404" s="51"/>
      <c r="D404" s="44"/>
      <c r="F404" s="61"/>
      <c r="G404" s="59"/>
    </row>
    <row r="405" spans="2:7">
      <c r="B405" s="50"/>
      <c r="D405" s="44"/>
      <c r="F405" s="61"/>
      <c r="G405" s="59"/>
    </row>
    <row r="406" spans="2:7">
      <c r="B406" s="50"/>
      <c r="D406" s="44"/>
      <c r="F406" s="61"/>
      <c r="G406" s="59"/>
    </row>
    <row r="407" spans="2:7">
      <c r="B407" s="50"/>
      <c r="D407" s="44"/>
      <c r="F407" s="61"/>
      <c r="G407" s="59"/>
    </row>
    <row r="408" spans="2:7">
      <c r="B408" s="50"/>
      <c r="D408" s="44"/>
      <c r="F408" s="61"/>
      <c r="G408" s="59"/>
    </row>
    <row r="409" spans="2:7">
      <c r="B409" s="50"/>
      <c r="D409" s="44"/>
      <c r="F409" s="61"/>
      <c r="G409" s="59"/>
    </row>
    <row r="410" spans="2:7">
      <c r="B410" s="50"/>
      <c r="D410" s="44"/>
      <c r="F410" s="61"/>
      <c r="G410" s="59"/>
    </row>
    <row r="411" spans="2:7">
      <c r="B411" s="50"/>
      <c r="D411" s="44"/>
      <c r="F411" s="61"/>
      <c r="G411" s="59"/>
    </row>
    <row r="412" spans="2:7">
      <c r="B412" s="50"/>
      <c r="D412" s="44"/>
      <c r="F412" s="61"/>
      <c r="G412" s="59"/>
    </row>
    <row r="413" spans="2:7">
      <c r="B413" s="50"/>
      <c r="D413" s="44"/>
      <c r="F413" s="61"/>
      <c r="G413" s="59"/>
    </row>
    <row r="414" spans="2:7">
      <c r="B414" s="50"/>
      <c r="D414" s="44"/>
      <c r="F414" s="61"/>
      <c r="G414" s="59"/>
    </row>
    <row r="415" spans="2:7">
      <c r="B415" s="50"/>
      <c r="D415" s="44"/>
      <c r="F415" s="61"/>
      <c r="G415" s="59"/>
    </row>
    <row r="416" spans="2:7">
      <c r="B416" s="50"/>
      <c r="D416" s="44"/>
      <c r="F416" s="61"/>
      <c r="G416" s="59"/>
    </row>
    <row r="417" spans="2:7">
      <c r="B417" s="50"/>
      <c r="D417" s="44"/>
      <c r="F417" s="61"/>
      <c r="G417" s="59"/>
    </row>
    <row r="418" spans="2:7">
      <c r="B418" s="50"/>
      <c r="D418" s="44"/>
      <c r="F418" s="61"/>
      <c r="G418" s="59"/>
    </row>
    <row r="419" spans="2:7">
      <c r="B419" s="50"/>
      <c r="D419" s="44"/>
      <c r="F419" s="61"/>
      <c r="G419" s="59"/>
    </row>
    <row r="420" spans="2:7">
      <c r="B420" s="50"/>
      <c r="D420" s="44"/>
      <c r="F420" s="61"/>
      <c r="G420" s="59"/>
    </row>
    <row r="421" spans="2:7">
      <c r="B421" s="50"/>
      <c r="D421" s="44"/>
      <c r="F421" s="61"/>
      <c r="G421" s="59"/>
    </row>
    <row r="422" spans="2:7">
      <c r="B422" s="50"/>
      <c r="D422" s="44"/>
      <c r="F422" s="61"/>
      <c r="G422" s="59"/>
    </row>
    <row r="423" spans="2:7">
      <c r="B423" s="50"/>
      <c r="D423" s="44"/>
      <c r="F423" s="61"/>
      <c r="G423" s="59"/>
    </row>
    <row r="424" spans="2:7">
      <c r="B424" s="50"/>
      <c r="D424" s="44"/>
      <c r="F424" s="61"/>
      <c r="G424" s="59"/>
    </row>
    <row r="425" spans="2:7">
      <c r="B425" s="50"/>
      <c r="D425" s="44"/>
      <c r="F425" s="61"/>
      <c r="G425" s="59"/>
    </row>
    <row r="426" spans="2:7">
      <c r="B426" s="50"/>
      <c r="D426" s="44"/>
      <c r="F426" s="61"/>
      <c r="G426" s="59"/>
    </row>
    <row r="427" spans="2:7">
      <c r="B427" s="50"/>
      <c r="D427" s="44"/>
      <c r="F427" s="61"/>
      <c r="G427" s="59"/>
    </row>
    <row r="428" spans="2:7">
      <c r="B428" s="50"/>
      <c r="D428" s="44"/>
      <c r="F428" s="61"/>
      <c r="G428" s="59"/>
    </row>
    <row r="429" spans="2:7">
      <c r="B429" s="50"/>
      <c r="D429" s="44"/>
      <c r="F429" s="61"/>
      <c r="G429" s="59"/>
    </row>
    <row r="430" spans="2:7">
      <c r="B430" s="50"/>
      <c r="D430" s="44"/>
      <c r="F430" s="61"/>
      <c r="G430" s="59"/>
    </row>
    <row r="431" spans="2:7">
      <c r="B431" s="50"/>
      <c r="D431" s="44"/>
      <c r="F431" s="61"/>
      <c r="G431" s="59"/>
    </row>
    <row r="432" spans="2:7">
      <c r="B432" s="50"/>
      <c r="D432" s="44"/>
      <c r="F432" s="61"/>
      <c r="G432" s="59"/>
    </row>
    <row r="433" spans="2:7">
      <c r="B433" s="50"/>
      <c r="D433" s="44"/>
      <c r="F433" s="61"/>
      <c r="G433" s="59"/>
    </row>
    <row r="434" spans="2:7">
      <c r="B434" s="50"/>
      <c r="D434" s="44"/>
      <c r="F434" s="61"/>
      <c r="G434" s="59"/>
    </row>
    <row r="435" spans="2:7">
      <c r="B435" s="50"/>
      <c r="D435" s="44"/>
      <c r="F435" s="61"/>
      <c r="G435" s="59"/>
    </row>
    <row r="436" spans="2:7">
      <c r="B436" s="50"/>
      <c r="D436" s="44"/>
      <c r="F436" s="61"/>
      <c r="G436" s="59"/>
    </row>
    <row r="437" spans="2:7">
      <c r="B437" s="50"/>
      <c r="D437" s="44"/>
      <c r="F437" s="61"/>
      <c r="G437" s="59"/>
    </row>
    <row r="438" spans="2:7">
      <c r="D438" s="44"/>
      <c r="F438" s="61"/>
      <c r="G438" s="59"/>
    </row>
    <row r="439" spans="2:7">
      <c r="D439" s="44"/>
      <c r="F439" s="61"/>
      <c r="G439" s="59"/>
    </row>
    <row r="440" spans="2:7">
      <c r="D440" s="44"/>
      <c r="F440" s="61"/>
      <c r="G440" s="59"/>
    </row>
    <row r="441" spans="2:7">
      <c r="D441" s="44"/>
      <c r="F441" s="61"/>
      <c r="G441" s="59"/>
    </row>
    <row r="442" spans="2:7">
      <c r="D442" s="44"/>
      <c r="F442" s="61"/>
      <c r="G442" s="59"/>
    </row>
    <row r="443" spans="2:7">
      <c r="D443" s="44"/>
      <c r="F443" s="61"/>
      <c r="G443" s="59"/>
    </row>
    <row r="444" spans="2:7">
      <c r="D444" s="44"/>
      <c r="F444" s="61"/>
      <c r="G444" s="59"/>
    </row>
    <row r="445" spans="2:7">
      <c r="D445" s="44"/>
      <c r="F445" s="61"/>
      <c r="G445" s="59"/>
    </row>
    <row r="446" spans="2:7">
      <c r="D446" s="44"/>
      <c r="F446" s="61"/>
      <c r="G446" s="59"/>
    </row>
    <row r="447" spans="2:7">
      <c r="D447" s="44"/>
      <c r="F447" s="61"/>
      <c r="G447" s="59"/>
    </row>
    <row r="448" spans="2:7">
      <c r="D448" s="44"/>
      <c r="F448" s="61"/>
      <c r="G448" s="59"/>
    </row>
    <row r="449" spans="4:7">
      <c r="D449" s="44"/>
      <c r="F449" s="61"/>
      <c r="G449" s="59"/>
    </row>
    <row r="450" spans="4:7">
      <c r="D450" s="44"/>
      <c r="F450" s="61"/>
      <c r="G450" s="59"/>
    </row>
    <row r="451" spans="4:7">
      <c r="D451" s="44"/>
      <c r="F451" s="61"/>
      <c r="G451" s="59"/>
    </row>
    <row r="452" spans="4:7">
      <c r="D452" s="44"/>
      <c r="F452" s="61"/>
      <c r="G452" s="59"/>
    </row>
    <row r="453" spans="4:7">
      <c r="D453" s="44"/>
      <c r="F453" s="61"/>
      <c r="G453" s="59"/>
    </row>
    <row r="454" spans="4:7">
      <c r="D454" s="44"/>
      <c r="F454" s="61"/>
      <c r="G454" s="59"/>
    </row>
    <row r="455" spans="4:7">
      <c r="D455" s="44"/>
      <c r="F455" s="61"/>
      <c r="G455" s="59"/>
    </row>
    <row r="456" spans="4:7">
      <c r="D456" s="44"/>
      <c r="F456" s="61"/>
      <c r="G456" s="59"/>
    </row>
    <row r="457" spans="4:7">
      <c r="D457" s="44"/>
      <c r="F457" s="61"/>
      <c r="G457" s="59"/>
    </row>
    <row r="458" spans="4:7">
      <c r="D458" s="44"/>
      <c r="F458" s="61"/>
      <c r="G458" s="59"/>
    </row>
    <row r="459" spans="4:7">
      <c r="D459" s="44"/>
      <c r="F459" s="61"/>
      <c r="G459" s="59"/>
    </row>
    <row r="460" spans="4:7">
      <c r="D460" s="44"/>
      <c r="F460" s="61"/>
      <c r="G460" s="59"/>
    </row>
    <row r="461" spans="4:7">
      <c r="D461" s="44"/>
      <c r="F461" s="61"/>
      <c r="G461" s="59"/>
    </row>
    <row r="462" spans="4:7">
      <c r="D462" s="44"/>
      <c r="F462" s="61"/>
      <c r="G462" s="59"/>
    </row>
    <row r="463" spans="4:7">
      <c r="D463" s="44"/>
      <c r="F463" s="61"/>
      <c r="G463" s="59"/>
    </row>
    <row r="464" spans="4:7">
      <c r="D464" s="44"/>
      <c r="F464" s="61"/>
      <c r="G464" s="59"/>
    </row>
    <row r="465" spans="4:7">
      <c r="D465" s="44"/>
      <c r="F465" s="61"/>
      <c r="G465" s="59"/>
    </row>
    <row r="466" spans="4:7">
      <c r="D466" s="44"/>
      <c r="F466" s="61"/>
      <c r="G466" s="59"/>
    </row>
    <row r="467" spans="4:7">
      <c r="D467" s="44"/>
      <c r="F467" s="61"/>
      <c r="G467" s="59"/>
    </row>
    <row r="468" spans="4:7">
      <c r="D468" s="44"/>
      <c r="F468" s="61"/>
      <c r="G468" s="59"/>
    </row>
    <row r="469" spans="4:7">
      <c r="D469" s="44"/>
      <c r="F469" s="61"/>
      <c r="G469" s="59"/>
    </row>
    <row r="470" spans="4:7">
      <c r="D470" s="44"/>
      <c r="F470" s="61"/>
      <c r="G470" s="59"/>
    </row>
    <row r="471" spans="4:7">
      <c r="D471" s="44"/>
      <c r="F471" s="61"/>
      <c r="G471" s="59"/>
    </row>
    <row r="472" spans="4:7">
      <c r="D472" s="44"/>
      <c r="F472" s="61"/>
      <c r="G472" s="59"/>
    </row>
    <row r="473" spans="4:7">
      <c r="D473" s="44"/>
      <c r="F473" s="61"/>
      <c r="G473" s="59"/>
    </row>
    <row r="474" spans="4:7">
      <c r="D474" s="44"/>
      <c r="F474" s="61"/>
      <c r="G474" s="59"/>
    </row>
    <row r="475" spans="4:7">
      <c r="D475" s="44"/>
      <c r="F475" s="61"/>
      <c r="G475" s="59"/>
    </row>
    <row r="476" spans="4:7">
      <c r="D476" s="44"/>
      <c r="F476" s="61"/>
      <c r="G476" s="59"/>
    </row>
    <row r="477" spans="4:7">
      <c r="D477" s="44"/>
      <c r="F477" s="61"/>
      <c r="G477" s="59"/>
    </row>
    <row r="478" spans="4:7">
      <c r="D478" s="44"/>
      <c r="F478" s="61"/>
      <c r="G478" s="59"/>
    </row>
    <row r="479" spans="4:7">
      <c r="D479" s="44"/>
      <c r="F479" s="61"/>
      <c r="G479" s="59"/>
    </row>
    <row r="480" spans="4:7">
      <c r="D480" s="44"/>
      <c r="F480" s="61"/>
      <c r="G480" s="59"/>
    </row>
    <row r="481" spans="4:7">
      <c r="D481" s="44"/>
      <c r="F481" s="61"/>
      <c r="G481" s="59"/>
    </row>
    <row r="482" spans="4:7">
      <c r="D482" s="44"/>
      <c r="F482" s="61"/>
      <c r="G482" s="59"/>
    </row>
    <row r="483" spans="4:7">
      <c r="D483" s="44"/>
      <c r="F483" s="61"/>
      <c r="G483" s="59"/>
    </row>
    <row r="484" spans="4:7">
      <c r="D484" s="44"/>
      <c r="F484" s="61"/>
      <c r="G484" s="59"/>
    </row>
    <row r="485" spans="4:7">
      <c r="D485" s="44"/>
      <c r="F485" s="61"/>
      <c r="G485" s="59"/>
    </row>
    <row r="486" spans="4:7">
      <c r="D486" s="44"/>
      <c r="F486" s="61"/>
      <c r="G486" s="59"/>
    </row>
    <row r="487" spans="4:7">
      <c r="D487" s="44"/>
      <c r="F487" s="61"/>
      <c r="G487" s="59"/>
    </row>
    <row r="488" spans="4:7">
      <c r="D488" s="44"/>
      <c r="F488" s="61"/>
      <c r="G488" s="59"/>
    </row>
    <row r="489" spans="4:7">
      <c r="D489" s="44"/>
      <c r="F489" s="61"/>
      <c r="G489" s="59"/>
    </row>
    <row r="490" spans="4:7">
      <c r="D490" s="44"/>
      <c r="F490" s="61"/>
      <c r="G490" s="59"/>
    </row>
    <row r="491" spans="4:7">
      <c r="D491" s="44"/>
      <c r="F491" s="61"/>
      <c r="G491" s="59"/>
    </row>
    <row r="492" spans="4:7">
      <c r="D492" s="44"/>
      <c r="F492" s="61"/>
      <c r="G492" s="59"/>
    </row>
    <row r="493" spans="4:7">
      <c r="D493" s="44"/>
      <c r="F493" s="61"/>
      <c r="G493" s="59"/>
    </row>
    <row r="494" spans="4:7">
      <c r="D494" s="44"/>
      <c r="F494" s="61"/>
      <c r="G494" s="59"/>
    </row>
    <row r="495" spans="4:7">
      <c r="D495" s="44"/>
      <c r="F495" s="61"/>
      <c r="G495" s="59"/>
    </row>
    <row r="496" spans="4:7">
      <c r="D496" s="44"/>
      <c r="F496" s="61"/>
      <c r="G496" s="59"/>
    </row>
    <row r="497" spans="4:7">
      <c r="D497" s="44"/>
      <c r="F497" s="61"/>
      <c r="G497" s="59"/>
    </row>
    <row r="498" spans="4:7">
      <c r="D498" s="44"/>
      <c r="F498" s="61"/>
      <c r="G498" s="59"/>
    </row>
    <row r="499" spans="4:7">
      <c r="D499" s="44"/>
      <c r="F499" s="61"/>
      <c r="G499" s="59"/>
    </row>
    <row r="500" spans="4:7">
      <c r="D500" s="44"/>
      <c r="F500" s="61"/>
      <c r="G500" s="59"/>
    </row>
    <row r="501" spans="4:7">
      <c r="D501" s="44"/>
      <c r="F501" s="61"/>
      <c r="G501" s="59"/>
    </row>
    <row r="502" spans="4:7">
      <c r="D502" s="44"/>
      <c r="F502" s="61"/>
      <c r="G502" s="59"/>
    </row>
    <row r="503" spans="4:7">
      <c r="D503" s="44"/>
      <c r="F503" s="61"/>
      <c r="G503" s="59"/>
    </row>
    <row r="504" spans="4:7">
      <c r="D504" s="44"/>
      <c r="F504" s="61"/>
      <c r="G504" s="59"/>
    </row>
    <row r="505" spans="4:7">
      <c r="D505" s="44"/>
      <c r="F505" s="61"/>
      <c r="G505" s="59"/>
    </row>
    <row r="506" spans="4:7">
      <c r="D506" s="44"/>
      <c r="F506" s="61"/>
      <c r="G506" s="59"/>
    </row>
    <row r="507" spans="4:7">
      <c r="D507" s="44"/>
      <c r="F507" s="61"/>
      <c r="G507" s="59"/>
    </row>
    <row r="508" spans="4:7">
      <c r="D508" s="44"/>
      <c r="F508" s="61"/>
      <c r="G508" s="59"/>
    </row>
    <row r="509" spans="4:7">
      <c r="D509" s="44"/>
      <c r="F509" s="61"/>
      <c r="G509" s="59"/>
    </row>
    <row r="510" spans="4:7">
      <c r="D510" s="44"/>
      <c r="F510" s="61"/>
      <c r="G510" s="59"/>
    </row>
    <row r="511" spans="4:7">
      <c r="D511" s="44"/>
      <c r="F511" s="61"/>
      <c r="G511" s="59"/>
    </row>
    <row r="512" spans="4:7">
      <c r="D512" s="44"/>
      <c r="F512" s="61"/>
      <c r="G512" s="59"/>
    </row>
    <row r="513" spans="4:7">
      <c r="D513" s="44"/>
      <c r="F513" s="61"/>
      <c r="G513" s="59"/>
    </row>
    <row r="514" spans="4:7">
      <c r="D514" s="44"/>
      <c r="F514" s="61"/>
      <c r="G514" s="59"/>
    </row>
    <row r="515" spans="4:7">
      <c r="D515" s="44"/>
      <c r="F515" s="61"/>
      <c r="G515" s="59"/>
    </row>
    <row r="516" spans="4:7">
      <c r="D516" s="44"/>
      <c r="F516" s="61"/>
      <c r="G516" s="59"/>
    </row>
    <row r="517" spans="4:7">
      <c r="D517" s="44"/>
      <c r="F517" s="61"/>
      <c r="G517" s="59"/>
    </row>
    <row r="518" spans="4:7">
      <c r="D518" s="44"/>
      <c r="F518" s="61"/>
      <c r="G518" s="59"/>
    </row>
    <row r="519" spans="4:7">
      <c r="D519" s="44"/>
      <c r="F519" s="61"/>
      <c r="G519" s="59"/>
    </row>
    <row r="520" spans="4:7">
      <c r="D520" s="44"/>
      <c r="F520" s="61"/>
      <c r="G520" s="59"/>
    </row>
    <row r="521" spans="4:7">
      <c r="D521" s="44"/>
      <c r="F521" s="61"/>
      <c r="G521" s="59"/>
    </row>
    <row r="522" spans="4:7">
      <c r="D522" s="44"/>
      <c r="F522" s="61"/>
      <c r="G522" s="59"/>
    </row>
    <row r="523" spans="4:7">
      <c r="D523" s="44"/>
      <c r="F523" s="61"/>
      <c r="G523" s="59"/>
    </row>
    <row r="524" spans="4:7">
      <c r="D524" s="44"/>
      <c r="F524" s="61"/>
      <c r="G524" s="59"/>
    </row>
    <row r="525" spans="4:7">
      <c r="D525" s="44"/>
      <c r="F525" s="61"/>
      <c r="G525" s="59"/>
    </row>
    <row r="526" spans="4:7">
      <c r="D526" s="44"/>
      <c r="F526" s="61"/>
      <c r="G526" s="59"/>
    </row>
    <row r="527" spans="4:7">
      <c r="D527" s="44"/>
      <c r="F527" s="61"/>
      <c r="G527" s="59"/>
    </row>
    <row r="528" spans="4:7">
      <c r="D528" s="44"/>
      <c r="F528" s="61"/>
      <c r="G528" s="59"/>
    </row>
    <row r="529" spans="4:7">
      <c r="D529" s="44"/>
      <c r="F529" s="61"/>
      <c r="G529" s="59"/>
    </row>
    <row r="530" spans="4:7">
      <c r="D530" s="44"/>
      <c r="F530" s="61"/>
      <c r="G530" s="59"/>
    </row>
    <row r="531" spans="4:7">
      <c r="D531" s="44"/>
      <c r="F531" s="61"/>
      <c r="G531" s="59"/>
    </row>
    <row r="532" spans="4:7">
      <c r="D532" s="44"/>
      <c r="F532" s="61"/>
      <c r="G532" s="59"/>
    </row>
    <row r="533" spans="4:7">
      <c r="D533" s="44"/>
      <c r="F533" s="61"/>
      <c r="G533" s="59"/>
    </row>
    <row r="534" spans="4:7">
      <c r="D534" s="44"/>
      <c r="F534" s="61"/>
      <c r="G534" s="59"/>
    </row>
    <row r="535" spans="4:7">
      <c r="D535" s="44"/>
      <c r="F535" s="61"/>
      <c r="G535" s="59"/>
    </row>
    <row r="536" spans="4:7">
      <c r="D536" s="44"/>
      <c r="F536" s="61"/>
      <c r="G536" s="59"/>
    </row>
    <row r="537" spans="4:7">
      <c r="D537" s="44"/>
      <c r="F537" s="61"/>
      <c r="G537" s="59"/>
    </row>
    <row r="538" spans="4:7">
      <c r="D538" s="44"/>
      <c r="F538" s="61"/>
      <c r="G538" s="59"/>
    </row>
    <row r="539" spans="4:7">
      <c r="D539" s="44"/>
      <c r="F539" s="61"/>
      <c r="G539" s="59"/>
    </row>
    <row r="540" spans="4:7">
      <c r="D540" s="44"/>
      <c r="F540" s="61"/>
      <c r="G540" s="59"/>
    </row>
    <row r="541" spans="4:7">
      <c r="D541" s="44"/>
      <c r="F541" s="61"/>
      <c r="G541" s="59"/>
    </row>
    <row r="542" spans="4:7">
      <c r="D542" s="44">
        <f t="shared" ref="D542:D595" si="24">C542-E542</f>
        <v>0</v>
      </c>
      <c r="F542" s="61">
        <f t="shared" ref="F542:F598" si="25">E542*10%</f>
        <v>0</v>
      </c>
      <c r="G542" s="59">
        <f t="shared" ref="G542:G598" si="26">E542*90%</f>
        <v>0</v>
      </c>
    </row>
    <row r="543" spans="4:7">
      <c r="D543" s="44">
        <f t="shared" si="24"/>
        <v>0</v>
      </c>
      <c r="F543" s="61">
        <f t="shared" si="25"/>
        <v>0</v>
      </c>
      <c r="G543" s="59">
        <f t="shared" si="26"/>
        <v>0</v>
      </c>
    </row>
    <row r="544" spans="4:7">
      <c r="D544" s="44">
        <f t="shared" si="24"/>
        <v>0</v>
      </c>
      <c r="F544" s="61">
        <f t="shared" si="25"/>
        <v>0</v>
      </c>
      <c r="G544" s="59">
        <f t="shared" si="26"/>
        <v>0</v>
      </c>
    </row>
    <row r="545" spans="4:7">
      <c r="D545" s="44">
        <f t="shared" si="24"/>
        <v>0</v>
      </c>
      <c r="F545" s="61">
        <f t="shared" si="25"/>
        <v>0</v>
      </c>
      <c r="G545" s="59">
        <f t="shared" si="26"/>
        <v>0</v>
      </c>
    </row>
    <row r="546" spans="4:7">
      <c r="D546" s="44">
        <f t="shared" si="24"/>
        <v>0</v>
      </c>
      <c r="F546" s="61">
        <f t="shared" si="25"/>
        <v>0</v>
      </c>
      <c r="G546" s="59">
        <f t="shared" si="26"/>
        <v>0</v>
      </c>
    </row>
    <row r="547" spans="4:7">
      <c r="D547" s="44">
        <f t="shared" si="24"/>
        <v>0</v>
      </c>
      <c r="F547" s="61">
        <f t="shared" si="25"/>
        <v>0</v>
      </c>
      <c r="G547" s="59">
        <f t="shared" si="26"/>
        <v>0</v>
      </c>
    </row>
    <row r="548" spans="4:7">
      <c r="D548" s="44">
        <f t="shared" si="24"/>
        <v>0</v>
      </c>
      <c r="F548" s="61">
        <f t="shared" si="25"/>
        <v>0</v>
      </c>
      <c r="G548" s="59">
        <f t="shared" si="26"/>
        <v>0</v>
      </c>
    </row>
    <row r="549" spans="4:7">
      <c r="D549" s="44">
        <f t="shared" si="24"/>
        <v>0</v>
      </c>
      <c r="F549" s="61">
        <f t="shared" si="25"/>
        <v>0</v>
      </c>
      <c r="G549" s="59">
        <f t="shared" si="26"/>
        <v>0</v>
      </c>
    </row>
    <row r="550" spans="4:7">
      <c r="D550" s="44">
        <f t="shared" si="24"/>
        <v>0</v>
      </c>
      <c r="F550" s="61">
        <f t="shared" si="25"/>
        <v>0</v>
      </c>
      <c r="G550" s="59">
        <f t="shared" si="26"/>
        <v>0</v>
      </c>
    </row>
    <row r="551" spans="4:7">
      <c r="D551" s="44">
        <f t="shared" si="24"/>
        <v>0</v>
      </c>
      <c r="F551" s="61">
        <f t="shared" si="25"/>
        <v>0</v>
      </c>
      <c r="G551" s="59">
        <f t="shared" si="26"/>
        <v>0</v>
      </c>
    </row>
    <row r="552" spans="4:7">
      <c r="D552" s="44">
        <f t="shared" si="24"/>
        <v>0</v>
      </c>
      <c r="F552" s="61">
        <f t="shared" si="25"/>
        <v>0</v>
      </c>
      <c r="G552" s="59">
        <f t="shared" si="26"/>
        <v>0</v>
      </c>
    </row>
    <row r="553" spans="4:7">
      <c r="D553" s="44">
        <f t="shared" si="24"/>
        <v>0</v>
      </c>
      <c r="F553" s="61">
        <f t="shared" si="25"/>
        <v>0</v>
      </c>
      <c r="G553" s="59">
        <f t="shared" si="26"/>
        <v>0</v>
      </c>
    </row>
    <row r="554" spans="4:7">
      <c r="D554" s="44">
        <f t="shared" si="24"/>
        <v>0</v>
      </c>
      <c r="F554" s="61">
        <f t="shared" si="25"/>
        <v>0</v>
      </c>
      <c r="G554" s="59">
        <f t="shared" si="26"/>
        <v>0</v>
      </c>
    </row>
    <row r="555" spans="4:7">
      <c r="D555" s="44">
        <f t="shared" si="24"/>
        <v>0</v>
      </c>
      <c r="F555" s="61">
        <f t="shared" si="25"/>
        <v>0</v>
      </c>
      <c r="G555" s="59">
        <f t="shared" si="26"/>
        <v>0</v>
      </c>
    </row>
    <row r="556" spans="4:7">
      <c r="D556" s="44">
        <f t="shared" si="24"/>
        <v>0</v>
      </c>
      <c r="F556" s="61">
        <f t="shared" si="25"/>
        <v>0</v>
      </c>
      <c r="G556" s="59">
        <f t="shared" si="26"/>
        <v>0</v>
      </c>
    </row>
    <row r="557" spans="4:7">
      <c r="D557" s="44">
        <f t="shared" si="24"/>
        <v>0</v>
      </c>
      <c r="F557" s="61">
        <f t="shared" si="25"/>
        <v>0</v>
      </c>
      <c r="G557" s="59">
        <f t="shared" si="26"/>
        <v>0</v>
      </c>
    </row>
    <row r="558" spans="4:7">
      <c r="D558" s="44">
        <f t="shared" si="24"/>
        <v>0</v>
      </c>
      <c r="F558" s="61">
        <f t="shared" si="25"/>
        <v>0</v>
      </c>
      <c r="G558" s="59">
        <f t="shared" si="26"/>
        <v>0</v>
      </c>
    </row>
    <row r="559" spans="4:7">
      <c r="D559" s="44">
        <f t="shared" si="24"/>
        <v>0</v>
      </c>
      <c r="F559" s="61">
        <f t="shared" si="25"/>
        <v>0</v>
      </c>
      <c r="G559" s="59">
        <f t="shared" si="26"/>
        <v>0</v>
      </c>
    </row>
    <row r="560" spans="4:7">
      <c r="D560" s="44">
        <f t="shared" si="24"/>
        <v>0</v>
      </c>
      <c r="F560" s="61">
        <f t="shared" si="25"/>
        <v>0</v>
      </c>
      <c r="G560" s="59">
        <f t="shared" si="26"/>
        <v>0</v>
      </c>
    </row>
    <row r="561" spans="4:7">
      <c r="D561" s="44">
        <f t="shared" si="24"/>
        <v>0</v>
      </c>
      <c r="F561" s="61">
        <f t="shared" si="25"/>
        <v>0</v>
      </c>
      <c r="G561" s="59">
        <f t="shared" si="26"/>
        <v>0</v>
      </c>
    </row>
    <row r="562" spans="4:7">
      <c r="D562" s="44">
        <f t="shared" si="24"/>
        <v>0</v>
      </c>
      <c r="F562" s="61">
        <f t="shared" si="25"/>
        <v>0</v>
      </c>
      <c r="G562" s="59">
        <f t="shared" si="26"/>
        <v>0</v>
      </c>
    </row>
    <row r="563" spans="4:7">
      <c r="D563" s="44">
        <f t="shared" si="24"/>
        <v>0</v>
      </c>
      <c r="F563" s="61">
        <f t="shared" si="25"/>
        <v>0</v>
      </c>
      <c r="G563" s="59">
        <f t="shared" si="26"/>
        <v>0</v>
      </c>
    </row>
    <row r="564" spans="4:7">
      <c r="D564" s="44">
        <f t="shared" si="24"/>
        <v>0</v>
      </c>
      <c r="F564" s="61">
        <f t="shared" si="25"/>
        <v>0</v>
      </c>
      <c r="G564" s="59">
        <f t="shared" si="26"/>
        <v>0</v>
      </c>
    </row>
    <row r="565" spans="4:7">
      <c r="D565" s="44">
        <f t="shared" si="24"/>
        <v>0</v>
      </c>
      <c r="F565" s="61">
        <f t="shared" si="25"/>
        <v>0</v>
      </c>
      <c r="G565" s="59">
        <f t="shared" si="26"/>
        <v>0</v>
      </c>
    </row>
    <row r="566" spans="4:7">
      <c r="D566" s="44">
        <f t="shared" si="24"/>
        <v>0</v>
      </c>
      <c r="F566" s="61">
        <f t="shared" si="25"/>
        <v>0</v>
      </c>
      <c r="G566" s="59">
        <f t="shared" si="26"/>
        <v>0</v>
      </c>
    </row>
    <row r="567" spans="4:7">
      <c r="D567" s="44">
        <f t="shared" si="24"/>
        <v>0</v>
      </c>
      <c r="F567" s="61">
        <f t="shared" si="25"/>
        <v>0</v>
      </c>
      <c r="G567" s="59">
        <f t="shared" si="26"/>
        <v>0</v>
      </c>
    </row>
    <row r="568" spans="4:7">
      <c r="D568" s="44">
        <f t="shared" si="24"/>
        <v>0</v>
      </c>
      <c r="F568" s="61">
        <f t="shared" si="25"/>
        <v>0</v>
      </c>
      <c r="G568" s="59">
        <f t="shared" si="26"/>
        <v>0</v>
      </c>
    </row>
    <row r="569" spans="4:7">
      <c r="D569" s="44">
        <f t="shared" si="24"/>
        <v>0</v>
      </c>
      <c r="F569" s="61">
        <f t="shared" si="25"/>
        <v>0</v>
      </c>
      <c r="G569" s="59">
        <f t="shared" si="26"/>
        <v>0</v>
      </c>
    </row>
    <row r="570" spans="4:7">
      <c r="D570" s="44">
        <f t="shared" si="24"/>
        <v>0</v>
      </c>
      <c r="F570" s="61">
        <f t="shared" si="25"/>
        <v>0</v>
      </c>
      <c r="G570" s="59">
        <f t="shared" si="26"/>
        <v>0</v>
      </c>
    </row>
    <row r="571" spans="4:7">
      <c r="D571" s="44">
        <f t="shared" si="24"/>
        <v>0</v>
      </c>
      <c r="F571" s="61">
        <f t="shared" si="25"/>
        <v>0</v>
      </c>
      <c r="G571" s="59">
        <f t="shared" si="26"/>
        <v>0</v>
      </c>
    </row>
    <row r="572" spans="4:7">
      <c r="D572" s="44">
        <f t="shared" si="24"/>
        <v>0</v>
      </c>
      <c r="F572" s="61">
        <f t="shared" si="25"/>
        <v>0</v>
      </c>
      <c r="G572" s="59">
        <f t="shared" si="26"/>
        <v>0</v>
      </c>
    </row>
    <row r="573" spans="4:7">
      <c r="D573" s="44">
        <f t="shared" si="24"/>
        <v>0</v>
      </c>
      <c r="F573" s="61">
        <f t="shared" si="25"/>
        <v>0</v>
      </c>
      <c r="G573" s="59">
        <f t="shared" si="26"/>
        <v>0</v>
      </c>
    </row>
    <row r="574" spans="4:7">
      <c r="D574" s="44">
        <f t="shared" si="24"/>
        <v>0</v>
      </c>
      <c r="F574" s="61">
        <f t="shared" si="25"/>
        <v>0</v>
      </c>
      <c r="G574" s="59">
        <f t="shared" si="26"/>
        <v>0</v>
      </c>
    </row>
    <row r="575" spans="4:7">
      <c r="D575" s="44">
        <f t="shared" si="24"/>
        <v>0</v>
      </c>
      <c r="F575" s="61">
        <f t="shared" si="25"/>
        <v>0</v>
      </c>
      <c r="G575" s="59">
        <f t="shared" si="26"/>
        <v>0</v>
      </c>
    </row>
    <row r="576" spans="4:7">
      <c r="D576" s="44">
        <f t="shared" si="24"/>
        <v>0</v>
      </c>
      <c r="F576" s="61">
        <f t="shared" si="25"/>
        <v>0</v>
      </c>
      <c r="G576" s="59">
        <f t="shared" si="26"/>
        <v>0</v>
      </c>
    </row>
    <row r="577" spans="4:7">
      <c r="D577" s="44">
        <f t="shared" si="24"/>
        <v>0</v>
      </c>
      <c r="F577" s="61">
        <f t="shared" si="25"/>
        <v>0</v>
      </c>
      <c r="G577" s="59">
        <f t="shared" si="26"/>
        <v>0</v>
      </c>
    </row>
    <row r="578" spans="4:7">
      <c r="D578" s="44">
        <f t="shared" si="24"/>
        <v>0</v>
      </c>
      <c r="F578" s="61">
        <f t="shared" si="25"/>
        <v>0</v>
      </c>
      <c r="G578" s="59">
        <f t="shared" si="26"/>
        <v>0</v>
      </c>
    </row>
    <row r="579" spans="4:7">
      <c r="D579" s="44">
        <f t="shared" si="24"/>
        <v>0</v>
      </c>
      <c r="F579" s="61">
        <f t="shared" si="25"/>
        <v>0</v>
      </c>
      <c r="G579" s="59">
        <f t="shared" si="26"/>
        <v>0</v>
      </c>
    </row>
    <row r="580" spans="4:7">
      <c r="D580" s="44">
        <f t="shared" si="24"/>
        <v>0</v>
      </c>
      <c r="F580" s="61">
        <f t="shared" si="25"/>
        <v>0</v>
      </c>
      <c r="G580" s="59">
        <f t="shared" si="26"/>
        <v>0</v>
      </c>
    </row>
    <row r="581" spans="4:7">
      <c r="D581" s="44">
        <f t="shared" si="24"/>
        <v>0</v>
      </c>
      <c r="F581" s="61">
        <f t="shared" si="25"/>
        <v>0</v>
      </c>
      <c r="G581" s="59">
        <f t="shared" si="26"/>
        <v>0</v>
      </c>
    </row>
    <row r="582" spans="4:7">
      <c r="D582" s="44">
        <f t="shared" si="24"/>
        <v>0</v>
      </c>
      <c r="F582" s="61">
        <f t="shared" si="25"/>
        <v>0</v>
      </c>
      <c r="G582" s="59">
        <f t="shared" si="26"/>
        <v>0</v>
      </c>
    </row>
    <row r="583" spans="4:7">
      <c r="D583" s="44">
        <f t="shared" si="24"/>
        <v>0</v>
      </c>
      <c r="F583" s="61">
        <f t="shared" si="25"/>
        <v>0</v>
      </c>
      <c r="G583" s="59">
        <f t="shared" si="26"/>
        <v>0</v>
      </c>
    </row>
    <row r="584" spans="4:7">
      <c r="D584" s="44">
        <f t="shared" si="24"/>
        <v>0</v>
      </c>
      <c r="F584" s="61">
        <f t="shared" si="25"/>
        <v>0</v>
      </c>
      <c r="G584" s="59">
        <f t="shared" si="26"/>
        <v>0</v>
      </c>
    </row>
    <row r="585" spans="4:7">
      <c r="D585" s="44">
        <f t="shared" si="24"/>
        <v>0</v>
      </c>
      <c r="F585" s="61">
        <f t="shared" si="25"/>
        <v>0</v>
      </c>
      <c r="G585" s="59">
        <f t="shared" si="26"/>
        <v>0</v>
      </c>
    </row>
    <row r="586" spans="4:7">
      <c r="D586" s="44">
        <f t="shared" si="24"/>
        <v>0</v>
      </c>
      <c r="F586" s="61">
        <f t="shared" si="25"/>
        <v>0</v>
      </c>
      <c r="G586" s="59">
        <f t="shared" si="26"/>
        <v>0</v>
      </c>
    </row>
    <row r="587" spans="4:7">
      <c r="D587" s="44">
        <f t="shared" si="24"/>
        <v>0</v>
      </c>
      <c r="F587" s="61">
        <f t="shared" si="25"/>
        <v>0</v>
      </c>
      <c r="G587" s="59">
        <f t="shared" si="26"/>
        <v>0</v>
      </c>
    </row>
    <row r="588" spans="4:7">
      <c r="D588" s="44">
        <f t="shared" si="24"/>
        <v>0</v>
      </c>
      <c r="F588" s="61">
        <f t="shared" si="25"/>
        <v>0</v>
      </c>
      <c r="G588" s="59">
        <f t="shared" si="26"/>
        <v>0</v>
      </c>
    </row>
    <row r="589" spans="4:7">
      <c r="D589" s="44">
        <f t="shared" si="24"/>
        <v>0</v>
      </c>
      <c r="F589" s="61">
        <f t="shared" si="25"/>
        <v>0</v>
      </c>
      <c r="G589" s="59">
        <f t="shared" si="26"/>
        <v>0</v>
      </c>
    </row>
    <row r="590" spans="4:7">
      <c r="D590" s="44">
        <f t="shared" si="24"/>
        <v>0</v>
      </c>
      <c r="F590" s="61">
        <f t="shared" si="25"/>
        <v>0</v>
      </c>
      <c r="G590" s="59">
        <f t="shared" si="26"/>
        <v>0</v>
      </c>
    </row>
    <row r="591" spans="4:7">
      <c r="D591" s="44">
        <f t="shared" si="24"/>
        <v>0</v>
      </c>
      <c r="F591" s="61">
        <f t="shared" si="25"/>
        <v>0</v>
      </c>
      <c r="G591" s="59">
        <f t="shared" si="26"/>
        <v>0</v>
      </c>
    </row>
    <row r="592" spans="4:7">
      <c r="D592" s="44">
        <f t="shared" si="24"/>
        <v>0</v>
      </c>
      <c r="F592" s="61">
        <f t="shared" si="25"/>
        <v>0</v>
      </c>
      <c r="G592" s="59">
        <f t="shared" si="26"/>
        <v>0</v>
      </c>
    </row>
    <row r="593" spans="4:7">
      <c r="D593" s="44">
        <f t="shared" si="24"/>
        <v>0</v>
      </c>
      <c r="F593" s="61">
        <f t="shared" si="25"/>
        <v>0</v>
      </c>
      <c r="G593" s="59">
        <f t="shared" si="26"/>
        <v>0</v>
      </c>
    </row>
    <row r="594" spans="4:7">
      <c r="D594" s="44">
        <f t="shared" si="24"/>
        <v>0</v>
      </c>
      <c r="F594" s="61">
        <f t="shared" si="25"/>
        <v>0</v>
      </c>
      <c r="G594" s="59">
        <f t="shared" si="26"/>
        <v>0</v>
      </c>
    </row>
    <row r="595" spans="4:7">
      <c r="D595" s="44">
        <f t="shared" si="24"/>
        <v>0</v>
      </c>
      <c r="F595" s="61">
        <f t="shared" si="25"/>
        <v>0</v>
      </c>
      <c r="G595" s="59">
        <f t="shared" si="26"/>
        <v>0</v>
      </c>
    </row>
    <row r="596" spans="4:7">
      <c r="D596" s="44">
        <f t="shared" ref="D596:D659" si="27">C596-E596</f>
        <v>0</v>
      </c>
      <c r="F596" s="61">
        <f t="shared" si="25"/>
        <v>0</v>
      </c>
      <c r="G596" s="59">
        <f t="shared" si="26"/>
        <v>0</v>
      </c>
    </row>
    <row r="597" spans="4:7">
      <c r="D597" s="44">
        <f t="shared" si="27"/>
        <v>0</v>
      </c>
      <c r="F597" s="61">
        <f t="shared" si="25"/>
        <v>0</v>
      </c>
      <c r="G597" s="59">
        <f t="shared" si="26"/>
        <v>0</v>
      </c>
    </row>
    <row r="598" spans="4:7">
      <c r="D598" s="44">
        <f t="shared" si="27"/>
        <v>0</v>
      </c>
      <c r="F598" s="61">
        <f t="shared" si="25"/>
        <v>0</v>
      </c>
      <c r="G598" s="59">
        <f t="shared" si="26"/>
        <v>0</v>
      </c>
    </row>
    <row r="599" spans="4:7">
      <c r="D599" s="44">
        <f t="shared" si="27"/>
        <v>0</v>
      </c>
      <c r="F599" s="61">
        <f t="shared" ref="F599:F662" si="28">E599*10%</f>
        <v>0</v>
      </c>
      <c r="G599" s="59">
        <f t="shared" ref="G599:G662" si="29">E599*90%</f>
        <v>0</v>
      </c>
    </row>
    <row r="600" spans="4:7">
      <c r="D600" s="44">
        <f t="shared" si="27"/>
        <v>0</v>
      </c>
      <c r="F600" s="61">
        <f t="shared" si="28"/>
        <v>0</v>
      </c>
      <c r="G600" s="59">
        <f t="shared" si="29"/>
        <v>0</v>
      </c>
    </row>
    <row r="601" spans="4:7">
      <c r="D601" s="44">
        <f t="shared" si="27"/>
        <v>0</v>
      </c>
      <c r="F601" s="61">
        <f t="shared" si="28"/>
        <v>0</v>
      </c>
      <c r="G601" s="59">
        <f t="shared" si="29"/>
        <v>0</v>
      </c>
    </row>
    <row r="602" spans="4:7">
      <c r="D602" s="44">
        <f t="shared" si="27"/>
        <v>0</v>
      </c>
      <c r="F602" s="61">
        <f t="shared" si="28"/>
        <v>0</v>
      </c>
      <c r="G602" s="59">
        <f t="shared" si="29"/>
        <v>0</v>
      </c>
    </row>
    <row r="603" spans="4:7">
      <c r="D603" s="44">
        <f t="shared" si="27"/>
        <v>0</v>
      </c>
      <c r="F603" s="61">
        <f t="shared" si="28"/>
        <v>0</v>
      </c>
      <c r="G603" s="59">
        <f t="shared" si="29"/>
        <v>0</v>
      </c>
    </row>
    <row r="604" spans="4:7">
      <c r="D604" s="44">
        <f t="shared" si="27"/>
        <v>0</v>
      </c>
      <c r="F604" s="61">
        <f t="shared" si="28"/>
        <v>0</v>
      </c>
      <c r="G604" s="59">
        <f t="shared" si="29"/>
        <v>0</v>
      </c>
    </row>
    <row r="605" spans="4:7">
      <c r="D605" s="44">
        <f t="shared" si="27"/>
        <v>0</v>
      </c>
      <c r="F605" s="61">
        <f t="shared" si="28"/>
        <v>0</v>
      </c>
      <c r="G605" s="59">
        <f t="shared" si="29"/>
        <v>0</v>
      </c>
    </row>
    <row r="606" spans="4:7">
      <c r="D606" s="44">
        <f t="shared" si="27"/>
        <v>0</v>
      </c>
      <c r="F606" s="61">
        <f t="shared" si="28"/>
        <v>0</v>
      </c>
      <c r="G606" s="59">
        <f t="shared" si="29"/>
        <v>0</v>
      </c>
    </row>
    <row r="607" spans="4:7">
      <c r="D607" s="44">
        <f t="shared" si="27"/>
        <v>0</v>
      </c>
      <c r="F607" s="61">
        <f t="shared" si="28"/>
        <v>0</v>
      </c>
      <c r="G607" s="59">
        <f t="shared" si="29"/>
        <v>0</v>
      </c>
    </row>
    <row r="608" spans="4:7">
      <c r="D608" s="44">
        <f t="shared" si="27"/>
        <v>0</v>
      </c>
      <c r="F608" s="61">
        <f t="shared" si="28"/>
        <v>0</v>
      </c>
      <c r="G608" s="59">
        <f t="shared" si="29"/>
        <v>0</v>
      </c>
    </row>
    <row r="609" spans="4:7">
      <c r="D609" s="44">
        <f t="shared" si="27"/>
        <v>0</v>
      </c>
      <c r="F609" s="61">
        <f t="shared" si="28"/>
        <v>0</v>
      </c>
      <c r="G609" s="59">
        <f t="shared" si="29"/>
        <v>0</v>
      </c>
    </row>
    <row r="610" spans="4:7">
      <c r="D610" s="44">
        <f t="shared" si="27"/>
        <v>0</v>
      </c>
      <c r="F610" s="61">
        <f t="shared" si="28"/>
        <v>0</v>
      </c>
      <c r="G610" s="59">
        <f t="shared" si="29"/>
        <v>0</v>
      </c>
    </row>
    <row r="611" spans="4:7">
      <c r="D611" s="44">
        <f t="shared" si="27"/>
        <v>0</v>
      </c>
      <c r="F611" s="61">
        <f t="shared" si="28"/>
        <v>0</v>
      </c>
      <c r="G611" s="59">
        <f t="shared" si="29"/>
        <v>0</v>
      </c>
    </row>
    <row r="612" spans="4:7">
      <c r="D612" s="44">
        <f t="shared" si="27"/>
        <v>0</v>
      </c>
      <c r="F612" s="61">
        <f t="shared" si="28"/>
        <v>0</v>
      </c>
      <c r="G612" s="59">
        <f t="shared" si="29"/>
        <v>0</v>
      </c>
    </row>
    <row r="613" spans="4:7">
      <c r="D613" s="44">
        <f t="shared" si="27"/>
        <v>0</v>
      </c>
      <c r="F613" s="61">
        <f t="shared" si="28"/>
        <v>0</v>
      </c>
      <c r="G613" s="59">
        <f t="shared" si="29"/>
        <v>0</v>
      </c>
    </row>
    <row r="614" spans="4:7">
      <c r="D614" s="44">
        <f t="shared" si="27"/>
        <v>0</v>
      </c>
      <c r="F614" s="61">
        <f t="shared" si="28"/>
        <v>0</v>
      </c>
      <c r="G614" s="59">
        <f t="shared" si="29"/>
        <v>0</v>
      </c>
    </row>
    <row r="615" spans="4:7">
      <c r="D615" s="44">
        <f t="shared" si="27"/>
        <v>0</v>
      </c>
      <c r="F615" s="61">
        <f t="shared" si="28"/>
        <v>0</v>
      </c>
      <c r="G615" s="59">
        <f t="shared" si="29"/>
        <v>0</v>
      </c>
    </row>
    <row r="616" spans="4:7">
      <c r="D616" s="44">
        <f t="shared" si="27"/>
        <v>0</v>
      </c>
      <c r="F616" s="61">
        <f t="shared" si="28"/>
        <v>0</v>
      </c>
      <c r="G616" s="59">
        <f t="shared" si="29"/>
        <v>0</v>
      </c>
    </row>
    <row r="617" spans="4:7">
      <c r="D617" s="44">
        <f t="shared" si="27"/>
        <v>0</v>
      </c>
      <c r="F617" s="61">
        <f t="shared" si="28"/>
        <v>0</v>
      </c>
      <c r="G617" s="59">
        <f t="shared" si="29"/>
        <v>0</v>
      </c>
    </row>
    <row r="618" spans="4:7">
      <c r="D618" s="44">
        <f t="shared" si="27"/>
        <v>0</v>
      </c>
      <c r="F618" s="61">
        <f t="shared" si="28"/>
        <v>0</v>
      </c>
      <c r="G618" s="59">
        <f t="shared" si="29"/>
        <v>0</v>
      </c>
    </row>
    <row r="619" spans="4:7">
      <c r="D619" s="44">
        <f t="shared" si="27"/>
        <v>0</v>
      </c>
      <c r="F619" s="61">
        <f t="shared" si="28"/>
        <v>0</v>
      </c>
      <c r="G619" s="59">
        <f t="shared" si="29"/>
        <v>0</v>
      </c>
    </row>
    <row r="620" spans="4:7">
      <c r="D620" s="44">
        <f t="shared" si="27"/>
        <v>0</v>
      </c>
      <c r="F620" s="61">
        <f t="shared" si="28"/>
        <v>0</v>
      </c>
      <c r="G620" s="59">
        <f t="shared" si="29"/>
        <v>0</v>
      </c>
    </row>
    <row r="621" spans="4:7">
      <c r="D621" s="44">
        <f t="shared" si="27"/>
        <v>0</v>
      </c>
      <c r="F621" s="61">
        <f t="shared" si="28"/>
        <v>0</v>
      </c>
      <c r="G621" s="59">
        <f t="shared" si="29"/>
        <v>0</v>
      </c>
    </row>
    <row r="622" spans="4:7">
      <c r="D622" s="44">
        <f t="shared" si="27"/>
        <v>0</v>
      </c>
      <c r="F622" s="61">
        <f t="shared" si="28"/>
        <v>0</v>
      </c>
      <c r="G622" s="59">
        <f t="shared" si="29"/>
        <v>0</v>
      </c>
    </row>
    <row r="623" spans="4:7">
      <c r="D623" s="44">
        <f t="shared" si="27"/>
        <v>0</v>
      </c>
      <c r="F623" s="61">
        <f t="shared" si="28"/>
        <v>0</v>
      </c>
      <c r="G623" s="59">
        <f t="shared" si="29"/>
        <v>0</v>
      </c>
    </row>
    <row r="624" spans="4:7">
      <c r="D624" s="44">
        <f t="shared" si="27"/>
        <v>0</v>
      </c>
      <c r="F624" s="61">
        <f t="shared" si="28"/>
        <v>0</v>
      </c>
      <c r="G624" s="59">
        <f t="shared" si="29"/>
        <v>0</v>
      </c>
    </row>
    <row r="625" spans="4:7">
      <c r="D625" s="44">
        <f t="shared" si="27"/>
        <v>0</v>
      </c>
      <c r="F625" s="61">
        <f t="shared" si="28"/>
        <v>0</v>
      </c>
      <c r="G625" s="59">
        <f t="shared" si="29"/>
        <v>0</v>
      </c>
    </row>
    <row r="626" spans="4:7">
      <c r="D626" s="44">
        <f t="shared" si="27"/>
        <v>0</v>
      </c>
      <c r="F626" s="61">
        <f t="shared" si="28"/>
        <v>0</v>
      </c>
      <c r="G626" s="59">
        <f t="shared" si="29"/>
        <v>0</v>
      </c>
    </row>
    <row r="627" spans="4:7">
      <c r="D627" s="44">
        <f t="shared" si="27"/>
        <v>0</v>
      </c>
      <c r="F627" s="61">
        <f t="shared" si="28"/>
        <v>0</v>
      </c>
      <c r="G627" s="59">
        <f t="shared" si="29"/>
        <v>0</v>
      </c>
    </row>
    <row r="628" spans="4:7">
      <c r="D628" s="44">
        <f t="shared" si="27"/>
        <v>0</v>
      </c>
      <c r="F628" s="61">
        <f t="shared" si="28"/>
        <v>0</v>
      </c>
      <c r="G628" s="59">
        <f t="shared" si="29"/>
        <v>0</v>
      </c>
    </row>
    <row r="629" spans="4:7">
      <c r="D629" s="44">
        <f t="shared" si="27"/>
        <v>0</v>
      </c>
      <c r="F629" s="61">
        <f t="shared" si="28"/>
        <v>0</v>
      </c>
      <c r="G629" s="59">
        <f t="shared" si="29"/>
        <v>0</v>
      </c>
    </row>
    <row r="630" spans="4:7">
      <c r="D630" s="44">
        <f t="shared" si="27"/>
        <v>0</v>
      </c>
      <c r="F630" s="61">
        <f t="shared" si="28"/>
        <v>0</v>
      </c>
      <c r="G630" s="59">
        <f t="shared" si="29"/>
        <v>0</v>
      </c>
    </row>
    <row r="631" spans="4:7">
      <c r="D631" s="44">
        <f t="shared" si="27"/>
        <v>0</v>
      </c>
      <c r="F631" s="61">
        <f t="shared" si="28"/>
        <v>0</v>
      </c>
      <c r="G631" s="59">
        <f t="shared" si="29"/>
        <v>0</v>
      </c>
    </row>
    <row r="632" spans="4:7">
      <c r="D632" s="44">
        <f t="shared" si="27"/>
        <v>0</v>
      </c>
      <c r="F632" s="61">
        <f t="shared" si="28"/>
        <v>0</v>
      </c>
      <c r="G632" s="59">
        <f t="shared" si="29"/>
        <v>0</v>
      </c>
    </row>
    <row r="633" spans="4:7">
      <c r="D633" s="44">
        <f t="shared" si="27"/>
        <v>0</v>
      </c>
      <c r="F633" s="61">
        <f t="shared" si="28"/>
        <v>0</v>
      </c>
      <c r="G633" s="59">
        <f t="shared" si="29"/>
        <v>0</v>
      </c>
    </row>
    <row r="634" spans="4:7">
      <c r="D634" s="44">
        <f t="shared" si="27"/>
        <v>0</v>
      </c>
      <c r="F634" s="61">
        <f t="shared" si="28"/>
        <v>0</v>
      </c>
      <c r="G634" s="59">
        <f t="shared" si="29"/>
        <v>0</v>
      </c>
    </row>
    <row r="635" spans="4:7">
      <c r="D635" s="44">
        <f t="shared" si="27"/>
        <v>0</v>
      </c>
      <c r="F635" s="61">
        <f t="shared" si="28"/>
        <v>0</v>
      </c>
      <c r="G635" s="59">
        <f t="shared" si="29"/>
        <v>0</v>
      </c>
    </row>
    <row r="636" spans="4:7">
      <c r="D636" s="44">
        <f t="shared" si="27"/>
        <v>0</v>
      </c>
      <c r="F636" s="61">
        <f t="shared" si="28"/>
        <v>0</v>
      </c>
      <c r="G636" s="59">
        <f t="shared" si="29"/>
        <v>0</v>
      </c>
    </row>
    <row r="637" spans="4:7">
      <c r="D637" s="44">
        <f t="shared" si="27"/>
        <v>0</v>
      </c>
      <c r="F637" s="61">
        <f t="shared" si="28"/>
        <v>0</v>
      </c>
      <c r="G637" s="59">
        <f t="shared" si="29"/>
        <v>0</v>
      </c>
    </row>
    <row r="638" spans="4:7">
      <c r="D638" s="44">
        <f t="shared" si="27"/>
        <v>0</v>
      </c>
      <c r="F638" s="61">
        <f t="shared" si="28"/>
        <v>0</v>
      </c>
      <c r="G638" s="59">
        <f t="shared" si="29"/>
        <v>0</v>
      </c>
    </row>
    <row r="639" spans="4:7">
      <c r="D639" s="44">
        <f t="shared" si="27"/>
        <v>0</v>
      </c>
      <c r="F639" s="61">
        <f t="shared" si="28"/>
        <v>0</v>
      </c>
      <c r="G639" s="59">
        <f t="shared" si="29"/>
        <v>0</v>
      </c>
    </row>
    <row r="640" spans="4:7">
      <c r="D640" s="44">
        <f t="shared" si="27"/>
        <v>0</v>
      </c>
      <c r="F640" s="61">
        <f t="shared" si="28"/>
        <v>0</v>
      </c>
      <c r="G640" s="59">
        <f t="shared" si="29"/>
        <v>0</v>
      </c>
    </row>
    <row r="641" spans="4:7">
      <c r="D641" s="44">
        <f t="shared" si="27"/>
        <v>0</v>
      </c>
      <c r="F641" s="61">
        <f t="shared" si="28"/>
        <v>0</v>
      </c>
      <c r="G641" s="59">
        <f t="shared" si="29"/>
        <v>0</v>
      </c>
    </row>
    <row r="642" spans="4:7">
      <c r="D642" s="44">
        <f t="shared" si="27"/>
        <v>0</v>
      </c>
      <c r="F642" s="61">
        <f t="shared" si="28"/>
        <v>0</v>
      </c>
      <c r="G642" s="59">
        <f t="shared" si="29"/>
        <v>0</v>
      </c>
    </row>
    <row r="643" spans="4:7">
      <c r="D643" s="44">
        <f t="shared" si="27"/>
        <v>0</v>
      </c>
      <c r="F643" s="61">
        <f t="shared" si="28"/>
        <v>0</v>
      </c>
      <c r="G643" s="59">
        <f t="shared" si="29"/>
        <v>0</v>
      </c>
    </row>
    <row r="644" spans="4:7">
      <c r="D644" s="44">
        <f t="shared" si="27"/>
        <v>0</v>
      </c>
      <c r="F644" s="61">
        <f t="shared" si="28"/>
        <v>0</v>
      </c>
      <c r="G644" s="59">
        <f t="shared" si="29"/>
        <v>0</v>
      </c>
    </row>
    <row r="645" spans="4:7">
      <c r="D645" s="44">
        <f t="shared" si="27"/>
        <v>0</v>
      </c>
      <c r="F645" s="61">
        <f t="shared" si="28"/>
        <v>0</v>
      </c>
      <c r="G645" s="59">
        <f t="shared" si="29"/>
        <v>0</v>
      </c>
    </row>
    <row r="646" spans="4:7">
      <c r="D646" s="44">
        <f t="shared" si="27"/>
        <v>0</v>
      </c>
      <c r="F646" s="61">
        <f t="shared" si="28"/>
        <v>0</v>
      </c>
      <c r="G646" s="59">
        <f t="shared" si="29"/>
        <v>0</v>
      </c>
    </row>
    <row r="647" spans="4:7">
      <c r="D647" s="44">
        <f t="shared" si="27"/>
        <v>0</v>
      </c>
      <c r="F647" s="61">
        <f t="shared" si="28"/>
        <v>0</v>
      </c>
      <c r="G647" s="59">
        <f t="shared" si="29"/>
        <v>0</v>
      </c>
    </row>
    <row r="648" spans="4:7">
      <c r="D648" s="44">
        <f t="shared" si="27"/>
        <v>0</v>
      </c>
      <c r="F648" s="61">
        <f t="shared" si="28"/>
        <v>0</v>
      </c>
      <c r="G648" s="59">
        <f t="shared" si="29"/>
        <v>0</v>
      </c>
    </row>
    <row r="649" spans="4:7">
      <c r="D649" s="44">
        <f t="shared" si="27"/>
        <v>0</v>
      </c>
      <c r="F649" s="61">
        <f t="shared" si="28"/>
        <v>0</v>
      </c>
      <c r="G649" s="59">
        <f t="shared" si="29"/>
        <v>0</v>
      </c>
    </row>
    <row r="650" spans="4:7">
      <c r="D650" s="44">
        <f t="shared" si="27"/>
        <v>0</v>
      </c>
      <c r="F650" s="61">
        <f t="shared" si="28"/>
        <v>0</v>
      </c>
      <c r="G650" s="59">
        <f t="shared" si="29"/>
        <v>0</v>
      </c>
    </row>
    <row r="651" spans="4:7">
      <c r="D651" s="44">
        <f t="shared" si="27"/>
        <v>0</v>
      </c>
      <c r="F651" s="61">
        <f t="shared" si="28"/>
        <v>0</v>
      </c>
      <c r="G651" s="59">
        <f t="shared" si="29"/>
        <v>0</v>
      </c>
    </row>
    <row r="652" spans="4:7">
      <c r="D652" s="44">
        <f t="shared" si="27"/>
        <v>0</v>
      </c>
      <c r="F652" s="61">
        <f t="shared" si="28"/>
        <v>0</v>
      </c>
      <c r="G652" s="59">
        <f t="shared" si="29"/>
        <v>0</v>
      </c>
    </row>
    <row r="653" spans="4:7">
      <c r="D653" s="44">
        <f t="shared" si="27"/>
        <v>0</v>
      </c>
      <c r="F653" s="61">
        <f t="shared" si="28"/>
        <v>0</v>
      </c>
      <c r="G653" s="59">
        <f t="shared" si="29"/>
        <v>0</v>
      </c>
    </row>
    <row r="654" spans="4:7">
      <c r="D654" s="44">
        <f t="shared" si="27"/>
        <v>0</v>
      </c>
      <c r="F654" s="61">
        <f t="shared" si="28"/>
        <v>0</v>
      </c>
      <c r="G654" s="59">
        <f t="shared" si="29"/>
        <v>0</v>
      </c>
    </row>
    <row r="655" spans="4:7">
      <c r="D655" s="44">
        <f t="shared" si="27"/>
        <v>0</v>
      </c>
      <c r="F655" s="61">
        <f t="shared" si="28"/>
        <v>0</v>
      </c>
      <c r="G655" s="59">
        <f t="shared" si="29"/>
        <v>0</v>
      </c>
    </row>
    <row r="656" spans="4:7">
      <c r="D656" s="44">
        <f t="shared" si="27"/>
        <v>0</v>
      </c>
      <c r="F656" s="61">
        <f t="shared" si="28"/>
        <v>0</v>
      </c>
      <c r="G656" s="59">
        <f t="shared" si="29"/>
        <v>0</v>
      </c>
    </row>
    <row r="657" spans="4:7">
      <c r="D657" s="44">
        <f t="shared" si="27"/>
        <v>0</v>
      </c>
      <c r="F657" s="61">
        <f t="shared" si="28"/>
        <v>0</v>
      </c>
      <c r="G657" s="59">
        <f t="shared" si="29"/>
        <v>0</v>
      </c>
    </row>
    <row r="658" spans="4:7">
      <c r="D658" s="44">
        <f t="shared" si="27"/>
        <v>0</v>
      </c>
      <c r="F658" s="61">
        <f t="shared" si="28"/>
        <v>0</v>
      </c>
      <c r="G658" s="59">
        <f t="shared" si="29"/>
        <v>0</v>
      </c>
    </row>
    <row r="659" spans="4:7">
      <c r="D659" s="44">
        <f t="shared" si="27"/>
        <v>0</v>
      </c>
      <c r="F659" s="61">
        <f t="shared" si="28"/>
        <v>0</v>
      </c>
      <c r="G659" s="59">
        <f t="shared" si="29"/>
        <v>0</v>
      </c>
    </row>
    <row r="660" spans="4:7">
      <c r="D660" s="44">
        <f t="shared" ref="D660:D723" si="30">C660-E660</f>
        <v>0</v>
      </c>
      <c r="F660" s="61">
        <f t="shared" si="28"/>
        <v>0</v>
      </c>
      <c r="G660" s="59">
        <f t="shared" si="29"/>
        <v>0</v>
      </c>
    </row>
    <row r="661" spans="4:7">
      <c r="D661" s="44">
        <f t="shared" si="30"/>
        <v>0</v>
      </c>
      <c r="F661" s="61">
        <f t="shared" si="28"/>
        <v>0</v>
      </c>
      <c r="G661" s="59">
        <f t="shared" si="29"/>
        <v>0</v>
      </c>
    </row>
    <row r="662" spans="4:7">
      <c r="D662" s="44">
        <f t="shared" si="30"/>
        <v>0</v>
      </c>
      <c r="F662" s="61">
        <f t="shared" si="28"/>
        <v>0</v>
      </c>
      <c r="G662" s="59">
        <f t="shared" si="29"/>
        <v>0</v>
      </c>
    </row>
    <row r="663" spans="4:7">
      <c r="D663" s="44">
        <f t="shared" si="30"/>
        <v>0</v>
      </c>
      <c r="F663" s="61">
        <f t="shared" ref="F663:F726" si="31">E663*10%</f>
        <v>0</v>
      </c>
      <c r="G663" s="59">
        <f t="shared" ref="G663:G726" si="32">E663*90%</f>
        <v>0</v>
      </c>
    </row>
    <row r="664" spans="4:7">
      <c r="D664" s="44">
        <f t="shared" si="30"/>
        <v>0</v>
      </c>
      <c r="F664" s="61">
        <f t="shared" si="31"/>
        <v>0</v>
      </c>
      <c r="G664" s="59">
        <f t="shared" si="32"/>
        <v>0</v>
      </c>
    </row>
    <row r="665" spans="4:7">
      <c r="D665" s="44">
        <f t="shared" si="30"/>
        <v>0</v>
      </c>
      <c r="F665" s="61">
        <f t="shared" si="31"/>
        <v>0</v>
      </c>
      <c r="G665" s="59">
        <f t="shared" si="32"/>
        <v>0</v>
      </c>
    </row>
    <row r="666" spans="4:7">
      <c r="D666" s="44">
        <f t="shared" si="30"/>
        <v>0</v>
      </c>
      <c r="F666" s="61">
        <f t="shared" si="31"/>
        <v>0</v>
      </c>
      <c r="G666" s="59">
        <f t="shared" si="32"/>
        <v>0</v>
      </c>
    </row>
    <row r="667" spans="4:7">
      <c r="D667" s="44">
        <f t="shared" si="30"/>
        <v>0</v>
      </c>
      <c r="F667" s="61">
        <f t="shared" si="31"/>
        <v>0</v>
      </c>
      <c r="G667" s="59">
        <f t="shared" si="32"/>
        <v>0</v>
      </c>
    </row>
    <row r="668" spans="4:7">
      <c r="D668" s="44">
        <f t="shared" si="30"/>
        <v>0</v>
      </c>
      <c r="F668" s="61">
        <f t="shared" si="31"/>
        <v>0</v>
      </c>
      <c r="G668" s="59">
        <f t="shared" si="32"/>
        <v>0</v>
      </c>
    </row>
    <row r="669" spans="4:7">
      <c r="D669" s="44">
        <f t="shared" si="30"/>
        <v>0</v>
      </c>
      <c r="F669" s="61">
        <f t="shared" si="31"/>
        <v>0</v>
      </c>
      <c r="G669" s="59">
        <f t="shared" si="32"/>
        <v>0</v>
      </c>
    </row>
    <row r="670" spans="4:7">
      <c r="D670" s="44">
        <f t="shared" si="30"/>
        <v>0</v>
      </c>
      <c r="F670" s="61">
        <f t="shared" si="31"/>
        <v>0</v>
      </c>
      <c r="G670" s="59">
        <f t="shared" si="32"/>
        <v>0</v>
      </c>
    </row>
    <row r="671" spans="4:7">
      <c r="D671" s="44">
        <f t="shared" si="30"/>
        <v>0</v>
      </c>
      <c r="F671" s="61">
        <f t="shared" si="31"/>
        <v>0</v>
      </c>
      <c r="G671" s="59">
        <f t="shared" si="32"/>
        <v>0</v>
      </c>
    </row>
    <row r="672" spans="4:7">
      <c r="D672" s="44">
        <f t="shared" si="30"/>
        <v>0</v>
      </c>
      <c r="F672" s="61">
        <f t="shared" si="31"/>
        <v>0</v>
      </c>
      <c r="G672" s="59">
        <f t="shared" si="32"/>
        <v>0</v>
      </c>
    </row>
    <row r="673" spans="4:7">
      <c r="D673" s="44">
        <f t="shared" si="30"/>
        <v>0</v>
      </c>
      <c r="F673" s="61">
        <f t="shared" si="31"/>
        <v>0</v>
      </c>
      <c r="G673" s="59">
        <f t="shared" si="32"/>
        <v>0</v>
      </c>
    </row>
    <row r="674" spans="4:7">
      <c r="D674" s="44">
        <f t="shared" si="30"/>
        <v>0</v>
      </c>
      <c r="F674" s="61">
        <f t="shared" si="31"/>
        <v>0</v>
      </c>
      <c r="G674" s="59">
        <f t="shared" si="32"/>
        <v>0</v>
      </c>
    </row>
    <row r="675" spans="4:7">
      <c r="D675" s="44">
        <f t="shared" si="30"/>
        <v>0</v>
      </c>
      <c r="F675" s="61">
        <f t="shared" si="31"/>
        <v>0</v>
      </c>
      <c r="G675" s="59">
        <f t="shared" si="32"/>
        <v>0</v>
      </c>
    </row>
    <row r="676" spans="4:7">
      <c r="D676" s="44">
        <f t="shared" si="30"/>
        <v>0</v>
      </c>
      <c r="F676" s="61">
        <f t="shared" si="31"/>
        <v>0</v>
      </c>
      <c r="G676" s="59">
        <f t="shared" si="32"/>
        <v>0</v>
      </c>
    </row>
    <row r="677" spans="4:7">
      <c r="D677" s="44">
        <f t="shared" si="30"/>
        <v>0</v>
      </c>
      <c r="F677" s="61">
        <f t="shared" si="31"/>
        <v>0</v>
      </c>
      <c r="G677" s="59">
        <f t="shared" si="32"/>
        <v>0</v>
      </c>
    </row>
    <row r="678" spans="4:7">
      <c r="D678" s="44">
        <f t="shared" si="30"/>
        <v>0</v>
      </c>
      <c r="F678" s="61">
        <f t="shared" si="31"/>
        <v>0</v>
      </c>
      <c r="G678" s="59">
        <f t="shared" si="32"/>
        <v>0</v>
      </c>
    </row>
    <row r="679" spans="4:7">
      <c r="D679" s="44">
        <f t="shared" si="30"/>
        <v>0</v>
      </c>
      <c r="F679" s="61">
        <f t="shared" si="31"/>
        <v>0</v>
      </c>
      <c r="G679" s="59">
        <f t="shared" si="32"/>
        <v>0</v>
      </c>
    </row>
    <row r="680" spans="4:7">
      <c r="D680" s="44">
        <f t="shared" si="30"/>
        <v>0</v>
      </c>
      <c r="F680" s="61">
        <f t="shared" si="31"/>
        <v>0</v>
      </c>
      <c r="G680" s="59">
        <f t="shared" si="32"/>
        <v>0</v>
      </c>
    </row>
    <row r="681" spans="4:7">
      <c r="D681" s="44">
        <f t="shared" si="30"/>
        <v>0</v>
      </c>
      <c r="F681" s="61">
        <f t="shared" si="31"/>
        <v>0</v>
      </c>
      <c r="G681" s="59">
        <f t="shared" si="32"/>
        <v>0</v>
      </c>
    </row>
    <row r="682" spans="4:7">
      <c r="D682" s="44">
        <f t="shared" si="30"/>
        <v>0</v>
      </c>
      <c r="F682" s="61">
        <f t="shared" si="31"/>
        <v>0</v>
      </c>
      <c r="G682" s="59">
        <f t="shared" si="32"/>
        <v>0</v>
      </c>
    </row>
    <row r="683" spans="4:7">
      <c r="D683" s="44">
        <f t="shared" si="30"/>
        <v>0</v>
      </c>
      <c r="F683" s="61">
        <f t="shared" si="31"/>
        <v>0</v>
      </c>
      <c r="G683" s="59">
        <f t="shared" si="32"/>
        <v>0</v>
      </c>
    </row>
    <row r="684" spans="4:7">
      <c r="D684" s="44">
        <f t="shared" si="30"/>
        <v>0</v>
      </c>
      <c r="F684" s="61">
        <f t="shared" si="31"/>
        <v>0</v>
      </c>
      <c r="G684" s="59">
        <f t="shared" si="32"/>
        <v>0</v>
      </c>
    </row>
    <row r="685" spans="4:7">
      <c r="D685" s="44">
        <f t="shared" si="30"/>
        <v>0</v>
      </c>
      <c r="F685" s="61">
        <f t="shared" si="31"/>
        <v>0</v>
      </c>
      <c r="G685" s="59">
        <f t="shared" si="32"/>
        <v>0</v>
      </c>
    </row>
    <row r="686" spans="4:7">
      <c r="D686" s="44">
        <f t="shared" si="30"/>
        <v>0</v>
      </c>
      <c r="F686" s="61">
        <f t="shared" si="31"/>
        <v>0</v>
      </c>
      <c r="G686" s="59">
        <f t="shared" si="32"/>
        <v>0</v>
      </c>
    </row>
    <row r="687" spans="4:7">
      <c r="D687" s="44">
        <f t="shared" si="30"/>
        <v>0</v>
      </c>
      <c r="F687" s="61">
        <f t="shared" si="31"/>
        <v>0</v>
      </c>
      <c r="G687" s="59">
        <f t="shared" si="32"/>
        <v>0</v>
      </c>
    </row>
    <row r="688" spans="4:7">
      <c r="D688" s="44">
        <f t="shared" si="30"/>
        <v>0</v>
      </c>
      <c r="F688" s="61">
        <f t="shared" si="31"/>
        <v>0</v>
      </c>
      <c r="G688" s="59">
        <f t="shared" si="32"/>
        <v>0</v>
      </c>
    </row>
    <row r="689" spans="4:7">
      <c r="D689" s="44">
        <f t="shared" si="30"/>
        <v>0</v>
      </c>
      <c r="F689" s="61">
        <f t="shared" si="31"/>
        <v>0</v>
      </c>
      <c r="G689" s="59">
        <f t="shared" si="32"/>
        <v>0</v>
      </c>
    </row>
    <row r="690" spans="4:7">
      <c r="D690" s="44">
        <f t="shared" si="30"/>
        <v>0</v>
      </c>
      <c r="F690" s="61">
        <f t="shared" si="31"/>
        <v>0</v>
      </c>
      <c r="G690" s="59">
        <f t="shared" si="32"/>
        <v>0</v>
      </c>
    </row>
    <row r="691" spans="4:7">
      <c r="D691" s="44">
        <f t="shared" si="30"/>
        <v>0</v>
      </c>
      <c r="F691" s="61">
        <f t="shared" si="31"/>
        <v>0</v>
      </c>
      <c r="G691" s="59">
        <f t="shared" si="32"/>
        <v>0</v>
      </c>
    </row>
    <row r="692" spans="4:7">
      <c r="D692" s="44">
        <f t="shared" si="30"/>
        <v>0</v>
      </c>
      <c r="F692" s="61">
        <f t="shared" si="31"/>
        <v>0</v>
      </c>
      <c r="G692" s="59">
        <f t="shared" si="32"/>
        <v>0</v>
      </c>
    </row>
    <row r="693" spans="4:7">
      <c r="D693" s="44">
        <f t="shared" si="30"/>
        <v>0</v>
      </c>
      <c r="F693" s="61">
        <f t="shared" si="31"/>
        <v>0</v>
      </c>
      <c r="G693" s="59">
        <f t="shared" si="32"/>
        <v>0</v>
      </c>
    </row>
    <row r="694" spans="4:7">
      <c r="D694" s="44">
        <f t="shared" si="30"/>
        <v>0</v>
      </c>
      <c r="F694" s="61">
        <f t="shared" si="31"/>
        <v>0</v>
      </c>
      <c r="G694" s="59">
        <f t="shared" si="32"/>
        <v>0</v>
      </c>
    </row>
    <row r="695" spans="4:7">
      <c r="D695" s="44">
        <f t="shared" si="30"/>
        <v>0</v>
      </c>
      <c r="F695" s="61">
        <f t="shared" si="31"/>
        <v>0</v>
      </c>
      <c r="G695" s="59">
        <f t="shared" si="32"/>
        <v>0</v>
      </c>
    </row>
    <row r="696" spans="4:7">
      <c r="D696" s="44">
        <f t="shared" si="30"/>
        <v>0</v>
      </c>
      <c r="F696" s="61">
        <f t="shared" si="31"/>
        <v>0</v>
      </c>
      <c r="G696" s="59">
        <f t="shared" si="32"/>
        <v>0</v>
      </c>
    </row>
    <row r="697" spans="4:7">
      <c r="D697" s="44">
        <f t="shared" si="30"/>
        <v>0</v>
      </c>
      <c r="F697" s="61">
        <f t="shared" si="31"/>
        <v>0</v>
      </c>
      <c r="G697" s="59">
        <f t="shared" si="32"/>
        <v>0</v>
      </c>
    </row>
    <row r="698" spans="4:7">
      <c r="D698" s="44">
        <f t="shared" si="30"/>
        <v>0</v>
      </c>
      <c r="F698" s="61">
        <f t="shared" si="31"/>
        <v>0</v>
      </c>
      <c r="G698" s="59">
        <f t="shared" si="32"/>
        <v>0</v>
      </c>
    </row>
    <row r="699" spans="4:7">
      <c r="D699" s="44">
        <f t="shared" si="30"/>
        <v>0</v>
      </c>
      <c r="F699" s="61">
        <f t="shared" si="31"/>
        <v>0</v>
      </c>
      <c r="G699" s="59">
        <f t="shared" si="32"/>
        <v>0</v>
      </c>
    </row>
    <row r="700" spans="4:7">
      <c r="D700" s="44">
        <f t="shared" si="30"/>
        <v>0</v>
      </c>
      <c r="F700" s="61">
        <f t="shared" si="31"/>
        <v>0</v>
      </c>
      <c r="G700" s="59">
        <f t="shared" si="32"/>
        <v>0</v>
      </c>
    </row>
    <row r="701" spans="4:7">
      <c r="D701" s="44">
        <f t="shared" si="30"/>
        <v>0</v>
      </c>
      <c r="F701" s="61">
        <f t="shared" si="31"/>
        <v>0</v>
      </c>
      <c r="G701" s="59">
        <f t="shared" si="32"/>
        <v>0</v>
      </c>
    </row>
    <row r="702" spans="4:7">
      <c r="D702" s="44">
        <f t="shared" si="30"/>
        <v>0</v>
      </c>
      <c r="F702" s="61">
        <f t="shared" si="31"/>
        <v>0</v>
      </c>
      <c r="G702" s="59">
        <f t="shared" si="32"/>
        <v>0</v>
      </c>
    </row>
    <row r="703" spans="4:7">
      <c r="D703" s="44">
        <f t="shared" si="30"/>
        <v>0</v>
      </c>
      <c r="F703" s="61">
        <f t="shared" si="31"/>
        <v>0</v>
      </c>
      <c r="G703" s="59">
        <f t="shared" si="32"/>
        <v>0</v>
      </c>
    </row>
    <row r="704" spans="4:7">
      <c r="D704" s="44">
        <f t="shared" si="30"/>
        <v>0</v>
      </c>
      <c r="F704" s="61">
        <f t="shared" si="31"/>
        <v>0</v>
      </c>
      <c r="G704" s="59">
        <f t="shared" si="32"/>
        <v>0</v>
      </c>
    </row>
    <row r="705" spans="4:7">
      <c r="D705" s="44">
        <f t="shared" si="30"/>
        <v>0</v>
      </c>
      <c r="F705" s="61">
        <f t="shared" si="31"/>
        <v>0</v>
      </c>
      <c r="G705" s="59">
        <f t="shared" si="32"/>
        <v>0</v>
      </c>
    </row>
    <row r="706" spans="4:7">
      <c r="D706" s="44">
        <f t="shared" si="30"/>
        <v>0</v>
      </c>
      <c r="F706" s="61">
        <f t="shared" si="31"/>
        <v>0</v>
      </c>
      <c r="G706" s="59">
        <f t="shared" si="32"/>
        <v>0</v>
      </c>
    </row>
    <row r="707" spans="4:7">
      <c r="D707" s="44">
        <f t="shared" si="30"/>
        <v>0</v>
      </c>
      <c r="F707" s="61">
        <f t="shared" si="31"/>
        <v>0</v>
      </c>
      <c r="G707" s="59">
        <f t="shared" si="32"/>
        <v>0</v>
      </c>
    </row>
    <row r="708" spans="4:7">
      <c r="D708" s="44">
        <f t="shared" si="30"/>
        <v>0</v>
      </c>
      <c r="F708" s="61">
        <f t="shared" si="31"/>
        <v>0</v>
      </c>
      <c r="G708" s="59">
        <f t="shared" si="32"/>
        <v>0</v>
      </c>
    </row>
    <row r="709" spans="4:7">
      <c r="D709" s="44">
        <f t="shared" si="30"/>
        <v>0</v>
      </c>
      <c r="F709" s="61">
        <f t="shared" si="31"/>
        <v>0</v>
      </c>
      <c r="G709" s="59">
        <f t="shared" si="32"/>
        <v>0</v>
      </c>
    </row>
    <row r="710" spans="4:7">
      <c r="D710" s="44">
        <f t="shared" si="30"/>
        <v>0</v>
      </c>
      <c r="F710" s="61">
        <f t="shared" si="31"/>
        <v>0</v>
      </c>
      <c r="G710" s="59">
        <f t="shared" si="32"/>
        <v>0</v>
      </c>
    </row>
    <row r="711" spans="4:7">
      <c r="D711" s="44">
        <f t="shared" si="30"/>
        <v>0</v>
      </c>
      <c r="F711" s="61">
        <f t="shared" si="31"/>
        <v>0</v>
      </c>
      <c r="G711" s="59">
        <f t="shared" si="32"/>
        <v>0</v>
      </c>
    </row>
    <row r="712" spans="4:7">
      <c r="D712" s="44">
        <f t="shared" si="30"/>
        <v>0</v>
      </c>
      <c r="F712" s="61">
        <f t="shared" si="31"/>
        <v>0</v>
      </c>
      <c r="G712" s="59">
        <f t="shared" si="32"/>
        <v>0</v>
      </c>
    </row>
    <row r="713" spans="4:7">
      <c r="D713" s="44">
        <f t="shared" si="30"/>
        <v>0</v>
      </c>
      <c r="F713" s="61">
        <f t="shared" si="31"/>
        <v>0</v>
      </c>
      <c r="G713" s="59">
        <f t="shared" si="32"/>
        <v>0</v>
      </c>
    </row>
    <row r="714" spans="4:7">
      <c r="D714" s="44">
        <f t="shared" si="30"/>
        <v>0</v>
      </c>
      <c r="F714" s="61">
        <f t="shared" si="31"/>
        <v>0</v>
      </c>
      <c r="G714" s="59">
        <f t="shared" si="32"/>
        <v>0</v>
      </c>
    </row>
    <row r="715" spans="4:7">
      <c r="D715" s="44">
        <f t="shared" si="30"/>
        <v>0</v>
      </c>
      <c r="F715" s="61">
        <f t="shared" si="31"/>
        <v>0</v>
      </c>
      <c r="G715" s="59">
        <f t="shared" si="32"/>
        <v>0</v>
      </c>
    </row>
    <row r="716" spans="4:7">
      <c r="D716" s="44">
        <f t="shared" si="30"/>
        <v>0</v>
      </c>
      <c r="F716" s="61">
        <f t="shared" si="31"/>
        <v>0</v>
      </c>
      <c r="G716" s="59">
        <f t="shared" si="32"/>
        <v>0</v>
      </c>
    </row>
    <row r="717" spans="4:7">
      <c r="D717" s="44">
        <f t="shared" si="30"/>
        <v>0</v>
      </c>
      <c r="F717" s="61">
        <f t="shared" si="31"/>
        <v>0</v>
      </c>
      <c r="G717" s="59">
        <f t="shared" si="32"/>
        <v>0</v>
      </c>
    </row>
    <row r="718" spans="4:7">
      <c r="D718" s="44">
        <f t="shared" si="30"/>
        <v>0</v>
      </c>
      <c r="F718" s="61">
        <f t="shared" si="31"/>
        <v>0</v>
      </c>
      <c r="G718" s="59">
        <f t="shared" si="32"/>
        <v>0</v>
      </c>
    </row>
    <row r="719" spans="4:7">
      <c r="D719" s="44">
        <f t="shared" si="30"/>
        <v>0</v>
      </c>
      <c r="F719" s="61">
        <f t="shared" si="31"/>
        <v>0</v>
      </c>
      <c r="G719" s="59">
        <f t="shared" si="32"/>
        <v>0</v>
      </c>
    </row>
    <row r="720" spans="4:7">
      <c r="D720" s="44">
        <f t="shared" si="30"/>
        <v>0</v>
      </c>
      <c r="F720" s="61">
        <f t="shared" si="31"/>
        <v>0</v>
      </c>
      <c r="G720" s="59">
        <f t="shared" si="32"/>
        <v>0</v>
      </c>
    </row>
    <row r="721" spans="4:7">
      <c r="D721" s="44">
        <f t="shared" si="30"/>
        <v>0</v>
      </c>
      <c r="F721" s="61">
        <f t="shared" si="31"/>
        <v>0</v>
      </c>
      <c r="G721" s="59">
        <f t="shared" si="32"/>
        <v>0</v>
      </c>
    </row>
    <row r="722" spans="4:7">
      <c r="D722" s="44">
        <f t="shared" si="30"/>
        <v>0</v>
      </c>
      <c r="F722" s="61">
        <f t="shared" si="31"/>
        <v>0</v>
      </c>
      <c r="G722" s="59">
        <f t="shared" si="32"/>
        <v>0</v>
      </c>
    </row>
    <row r="723" spans="4:7">
      <c r="D723" s="44">
        <f t="shared" si="30"/>
        <v>0</v>
      </c>
      <c r="F723" s="61">
        <f t="shared" si="31"/>
        <v>0</v>
      </c>
      <c r="G723" s="59">
        <f t="shared" si="32"/>
        <v>0</v>
      </c>
    </row>
    <row r="724" spans="4:7">
      <c r="D724" s="44">
        <f t="shared" ref="D724:D787" si="33">C724-E724</f>
        <v>0</v>
      </c>
      <c r="F724" s="61">
        <f t="shared" si="31"/>
        <v>0</v>
      </c>
      <c r="G724" s="59">
        <f t="shared" si="32"/>
        <v>0</v>
      </c>
    </row>
    <row r="725" spans="4:7">
      <c r="D725" s="44">
        <f t="shared" si="33"/>
        <v>0</v>
      </c>
      <c r="F725" s="61">
        <f t="shared" si="31"/>
        <v>0</v>
      </c>
      <c r="G725" s="59">
        <f t="shared" si="32"/>
        <v>0</v>
      </c>
    </row>
    <row r="726" spans="4:7">
      <c r="D726" s="44">
        <f t="shared" si="33"/>
        <v>0</v>
      </c>
      <c r="F726" s="61">
        <f t="shared" si="31"/>
        <v>0</v>
      </c>
      <c r="G726" s="59">
        <f t="shared" si="32"/>
        <v>0</v>
      </c>
    </row>
    <row r="727" spans="4:7">
      <c r="D727" s="44">
        <f t="shared" si="33"/>
        <v>0</v>
      </c>
      <c r="F727" s="61">
        <f t="shared" ref="F727:F790" si="34">E727*10%</f>
        <v>0</v>
      </c>
      <c r="G727" s="59">
        <f t="shared" ref="G727:G790" si="35">E727*90%</f>
        <v>0</v>
      </c>
    </row>
    <row r="728" spans="4:7">
      <c r="D728" s="44">
        <f t="shared" si="33"/>
        <v>0</v>
      </c>
      <c r="F728" s="61">
        <f t="shared" si="34"/>
        <v>0</v>
      </c>
      <c r="G728" s="59">
        <f t="shared" si="35"/>
        <v>0</v>
      </c>
    </row>
    <row r="729" spans="4:7">
      <c r="D729" s="44">
        <f t="shared" si="33"/>
        <v>0</v>
      </c>
      <c r="F729" s="61">
        <f t="shared" si="34"/>
        <v>0</v>
      </c>
      <c r="G729" s="59">
        <f t="shared" si="35"/>
        <v>0</v>
      </c>
    </row>
    <row r="730" spans="4:7">
      <c r="D730" s="44">
        <f t="shared" si="33"/>
        <v>0</v>
      </c>
      <c r="F730" s="61">
        <f t="shared" si="34"/>
        <v>0</v>
      </c>
      <c r="G730" s="59">
        <f t="shared" si="35"/>
        <v>0</v>
      </c>
    </row>
    <row r="731" spans="4:7">
      <c r="D731" s="44">
        <f t="shared" si="33"/>
        <v>0</v>
      </c>
      <c r="F731" s="61">
        <f t="shared" si="34"/>
        <v>0</v>
      </c>
      <c r="G731" s="59">
        <f t="shared" si="35"/>
        <v>0</v>
      </c>
    </row>
    <row r="732" spans="4:7">
      <c r="D732" s="44">
        <f t="shared" si="33"/>
        <v>0</v>
      </c>
      <c r="F732" s="61">
        <f t="shared" si="34"/>
        <v>0</v>
      </c>
      <c r="G732" s="59">
        <f t="shared" si="35"/>
        <v>0</v>
      </c>
    </row>
    <row r="733" spans="4:7">
      <c r="D733" s="44">
        <f t="shared" si="33"/>
        <v>0</v>
      </c>
      <c r="F733" s="61">
        <f t="shared" si="34"/>
        <v>0</v>
      </c>
      <c r="G733" s="59">
        <f t="shared" si="35"/>
        <v>0</v>
      </c>
    </row>
    <row r="734" spans="4:7">
      <c r="D734" s="44">
        <f t="shared" si="33"/>
        <v>0</v>
      </c>
      <c r="F734" s="61">
        <f t="shared" si="34"/>
        <v>0</v>
      </c>
      <c r="G734" s="59">
        <f t="shared" si="35"/>
        <v>0</v>
      </c>
    </row>
    <row r="735" spans="4:7">
      <c r="D735" s="44">
        <f t="shared" si="33"/>
        <v>0</v>
      </c>
      <c r="F735" s="61">
        <f t="shared" si="34"/>
        <v>0</v>
      </c>
      <c r="G735" s="59">
        <f t="shared" si="35"/>
        <v>0</v>
      </c>
    </row>
    <row r="736" spans="4:7">
      <c r="D736" s="44">
        <f t="shared" si="33"/>
        <v>0</v>
      </c>
      <c r="F736" s="61">
        <f t="shared" si="34"/>
        <v>0</v>
      </c>
      <c r="G736" s="59">
        <f t="shared" si="35"/>
        <v>0</v>
      </c>
    </row>
    <row r="737" spans="4:7">
      <c r="D737" s="44">
        <f t="shared" si="33"/>
        <v>0</v>
      </c>
      <c r="F737" s="61">
        <f t="shared" si="34"/>
        <v>0</v>
      </c>
      <c r="G737" s="59">
        <f t="shared" si="35"/>
        <v>0</v>
      </c>
    </row>
    <row r="738" spans="4:7">
      <c r="D738" s="44">
        <f t="shared" si="33"/>
        <v>0</v>
      </c>
      <c r="F738" s="61">
        <f t="shared" si="34"/>
        <v>0</v>
      </c>
      <c r="G738" s="59">
        <f t="shared" si="35"/>
        <v>0</v>
      </c>
    </row>
    <row r="739" spans="4:7">
      <c r="D739" s="44">
        <f t="shared" si="33"/>
        <v>0</v>
      </c>
      <c r="F739" s="61">
        <f t="shared" si="34"/>
        <v>0</v>
      </c>
      <c r="G739" s="59">
        <f t="shared" si="35"/>
        <v>0</v>
      </c>
    </row>
    <row r="740" spans="4:7">
      <c r="D740" s="44">
        <f t="shared" si="33"/>
        <v>0</v>
      </c>
      <c r="F740" s="61">
        <f t="shared" si="34"/>
        <v>0</v>
      </c>
      <c r="G740" s="59">
        <f t="shared" si="35"/>
        <v>0</v>
      </c>
    </row>
    <row r="741" spans="4:7">
      <c r="D741" s="44">
        <f t="shared" si="33"/>
        <v>0</v>
      </c>
      <c r="F741" s="61">
        <f t="shared" si="34"/>
        <v>0</v>
      </c>
      <c r="G741" s="59">
        <f t="shared" si="35"/>
        <v>0</v>
      </c>
    </row>
    <row r="742" spans="4:7">
      <c r="D742" s="44">
        <f t="shared" si="33"/>
        <v>0</v>
      </c>
      <c r="F742" s="61">
        <f t="shared" si="34"/>
        <v>0</v>
      </c>
      <c r="G742" s="59">
        <f t="shared" si="35"/>
        <v>0</v>
      </c>
    </row>
    <row r="743" spans="4:7">
      <c r="D743" s="44">
        <f t="shared" si="33"/>
        <v>0</v>
      </c>
      <c r="F743" s="61">
        <f t="shared" si="34"/>
        <v>0</v>
      </c>
      <c r="G743" s="59">
        <f t="shared" si="35"/>
        <v>0</v>
      </c>
    </row>
    <row r="744" spans="4:7">
      <c r="D744" s="44">
        <f t="shared" si="33"/>
        <v>0</v>
      </c>
      <c r="F744" s="61">
        <f t="shared" si="34"/>
        <v>0</v>
      </c>
      <c r="G744" s="59">
        <f t="shared" si="35"/>
        <v>0</v>
      </c>
    </row>
    <row r="745" spans="4:7">
      <c r="D745" s="44">
        <f t="shared" si="33"/>
        <v>0</v>
      </c>
      <c r="F745" s="61">
        <f t="shared" si="34"/>
        <v>0</v>
      </c>
      <c r="G745" s="59">
        <f t="shared" si="35"/>
        <v>0</v>
      </c>
    </row>
    <row r="746" spans="4:7">
      <c r="D746" s="44">
        <f t="shared" si="33"/>
        <v>0</v>
      </c>
      <c r="F746" s="61">
        <f t="shared" si="34"/>
        <v>0</v>
      </c>
      <c r="G746" s="59">
        <f t="shared" si="35"/>
        <v>0</v>
      </c>
    </row>
    <row r="747" spans="4:7">
      <c r="D747" s="44">
        <f t="shared" si="33"/>
        <v>0</v>
      </c>
      <c r="F747" s="61">
        <f t="shared" si="34"/>
        <v>0</v>
      </c>
      <c r="G747" s="59">
        <f t="shared" si="35"/>
        <v>0</v>
      </c>
    </row>
    <row r="748" spans="4:7">
      <c r="D748" s="44">
        <f t="shared" si="33"/>
        <v>0</v>
      </c>
      <c r="F748" s="61">
        <f t="shared" si="34"/>
        <v>0</v>
      </c>
      <c r="G748" s="59">
        <f t="shared" si="35"/>
        <v>0</v>
      </c>
    </row>
    <row r="749" spans="4:7">
      <c r="D749" s="44">
        <f t="shared" si="33"/>
        <v>0</v>
      </c>
      <c r="F749" s="61">
        <f t="shared" si="34"/>
        <v>0</v>
      </c>
      <c r="G749" s="59">
        <f t="shared" si="35"/>
        <v>0</v>
      </c>
    </row>
    <row r="750" spans="4:7">
      <c r="D750" s="44">
        <f t="shared" si="33"/>
        <v>0</v>
      </c>
      <c r="F750" s="61">
        <f t="shared" si="34"/>
        <v>0</v>
      </c>
      <c r="G750" s="59">
        <f t="shared" si="35"/>
        <v>0</v>
      </c>
    </row>
    <row r="751" spans="4:7">
      <c r="D751" s="44">
        <f t="shared" si="33"/>
        <v>0</v>
      </c>
      <c r="F751" s="61">
        <f t="shared" si="34"/>
        <v>0</v>
      </c>
      <c r="G751" s="59">
        <f t="shared" si="35"/>
        <v>0</v>
      </c>
    </row>
    <row r="752" spans="4:7">
      <c r="D752" s="44">
        <f t="shared" si="33"/>
        <v>0</v>
      </c>
      <c r="F752" s="61">
        <f t="shared" si="34"/>
        <v>0</v>
      </c>
      <c r="G752" s="59">
        <f t="shared" si="35"/>
        <v>0</v>
      </c>
    </row>
    <row r="753" spans="4:7">
      <c r="D753" s="44">
        <f t="shared" si="33"/>
        <v>0</v>
      </c>
      <c r="F753" s="61">
        <f t="shared" si="34"/>
        <v>0</v>
      </c>
      <c r="G753" s="59">
        <f t="shared" si="35"/>
        <v>0</v>
      </c>
    </row>
    <row r="754" spans="4:7">
      <c r="D754" s="44">
        <f t="shared" si="33"/>
        <v>0</v>
      </c>
      <c r="F754" s="61">
        <f t="shared" si="34"/>
        <v>0</v>
      </c>
      <c r="G754" s="59">
        <f t="shared" si="35"/>
        <v>0</v>
      </c>
    </row>
    <row r="755" spans="4:7">
      <c r="D755" s="44">
        <f t="shared" si="33"/>
        <v>0</v>
      </c>
      <c r="F755" s="61">
        <f t="shared" si="34"/>
        <v>0</v>
      </c>
      <c r="G755" s="59">
        <f t="shared" si="35"/>
        <v>0</v>
      </c>
    </row>
    <row r="756" spans="4:7">
      <c r="D756" s="44">
        <f t="shared" si="33"/>
        <v>0</v>
      </c>
      <c r="F756" s="61">
        <f t="shared" si="34"/>
        <v>0</v>
      </c>
      <c r="G756" s="59">
        <f t="shared" si="35"/>
        <v>0</v>
      </c>
    </row>
    <row r="757" spans="4:7">
      <c r="D757" s="44">
        <f t="shared" si="33"/>
        <v>0</v>
      </c>
      <c r="F757" s="61">
        <f t="shared" si="34"/>
        <v>0</v>
      </c>
      <c r="G757" s="59">
        <f t="shared" si="35"/>
        <v>0</v>
      </c>
    </row>
    <row r="758" spans="4:7">
      <c r="D758" s="44">
        <f t="shared" si="33"/>
        <v>0</v>
      </c>
      <c r="F758" s="61">
        <f t="shared" si="34"/>
        <v>0</v>
      </c>
      <c r="G758" s="59">
        <f t="shared" si="35"/>
        <v>0</v>
      </c>
    </row>
    <row r="759" spans="4:7">
      <c r="D759" s="44">
        <f t="shared" si="33"/>
        <v>0</v>
      </c>
      <c r="F759" s="61">
        <f t="shared" si="34"/>
        <v>0</v>
      </c>
      <c r="G759" s="59">
        <f t="shared" si="35"/>
        <v>0</v>
      </c>
    </row>
    <row r="760" spans="4:7">
      <c r="D760" s="44">
        <f t="shared" si="33"/>
        <v>0</v>
      </c>
      <c r="F760" s="61">
        <f t="shared" si="34"/>
        <v>0</v>
      </c>
      <c r="G760" s="59">
        <f t="shared" si="35"/>
        <v>0</v>
      </c>
    </row>
    <row r="761" spans="4:7">
      <c r="D761" s="44">
        <f t="shared" si="33"/>
        <v>0</v>
      </c>
      <c r="F761" s="61">
        <f t="shared" si="34"/>
        <v>0</v>
      </c>
      <c r="G761" s="59">
        <f t="shared" si="35"/>
        <v>0</v>
      </c>
    </row>
    <row r="762" spans="4:7">
      <c r="D762" s="44">
        <f t="shared" si="33"/>
        <v>0</v>
      </c>
      <c r="F762" s="61">
        <f t="shared" si="34"/>
        <v>0</v>
      </c>
      <c r="G762" s="59">
        <f t="shared" si="35"/>
        <v>0</v>
      </c>
    </row>
    <row r="763" spans="4:7">
      <c r="D763" s="44">
        <f t="shared" si="33"/>
        <v>0</v>
      </c>
      <c r="F763" s="61">
        <f t="shared" si="34"/>
        <v>0</v>
      </c>
      <c r="G763" s="59">
        <f t="shared" si="35"/>
        <v>0</v>
      </c>
    </row>
    <row r="764" spans="4:7">
      <c r="D764" s="44">
        <f t="shared" si="33"/>
        <v>0</v>
      </c>
      <c r="F764" s="61">
        <f t="shared" si="34"/>
        <v>0</v>
      </c>
      <c r="G764" s="59">
        <f t="shared" si="35"/>
        <v>0</v>
      </c>
    </row>
    <row r="765" spans="4:7">
      <c r="D765" s="44">
        <f t="shared" si="33"/>
        <v>0</v>
      </c>
      <c r="F765" s="61">
        <f t="shared" si="34"/>
        <v>0</v>
      </c>
      <c r="G765" s="59">
        <f t="shared" si="35"/>
        <v>0</v>
      </c>
    </row>
    <row r="766" spans="4:7">
      <c r="D766" s="44">
        <f t="shared" si="33"/>
        <v>0</v>
      </c>
      <c r="F766" s="61">
        <f t="shared" si="34"/>
        <v>0</v>
      </c>
      <c r="G766" s="59">
        <f t="shared" si="35"/>
        <v>0</v>
      </c>
    </row>
    <row r="767" spans="4:7">
      <c r="D767" s="44">
        <f t="shared" si="33"/>
        <v>0</v>
      </c>
      <c r="F767" s="61">
        <f t="shared" si="34"/>
        <v>0</v>
      </c>
      <c r="G767" s="59">
        <f t="shared" si="35"/>
        <v>0</v>
      </c>
    </row>
    <row r="768" spans="4:7">
      <c r="D768" s="44">
        <f t="shared" si="33"/>
        <v>0</v>
      </c>
      <c r="F768" s="61">
        <f t="shared" si="34"/>
        <v>0</v>
      </c>
      <c r="G768" s="59">
        <f t="shared" si="35"/>
        <v>0</v>
      </c>
    </row>
    <row r="769" spans="4:7">
      <c r="D769" s="44">
        <f t="shared" si="33"/>
        <v>0</v>
      </c>
      <c r="F769" s="61">
        <f t="shared" si="34"/>
        <v>0</v>
      </c>
      <c r="G769" s="59">
        <f t="shared" si="35"/>
        <v>0</v>
      </c>
    </row>
    <row r="770" spans="4:7">
      <c r="D770" s="44">
        <f t="shared" si="33"/>
        <v>0</v>
      </c>
      <c r="F770" s="61">
        <f t="shared" si="34"/>
        <v>0</v>
      </c>
      <c r="G770" s="59">
        <f t="shared" si="35"/>
        <v>0</v>
      </c>
    </row>
    <row r="771" spans="4:7">
      <c r="D771" s="44">
        <f t="shared" si="33"/>
        <v>0</v>
      </c>
      <c r="F771" s="61">
        <f t="shared" si="34"/>
        <v>0</v>
      </c>
      <c r="G771" s="59">
        <f t="shared" si="35"/>
        <v>0</v>
      </c>
    </row>
    <row r="772" spans="4:7">
      <c r="D772" s="44">
        <f t="shared" si="33"/>
        <v>0</v>
      </c>
      <c r="F772" s="61">
        <f t="shared" si="34"/>
        <v>0</v>
      </c>
      <c r="G772" s="59">
        <f t="shared" si="35"/>
        <v>0</v>
      </c>
    </row>
    <row r="773" spans="4:7">
      <c r="D773" s="44">
        <f t="shared" si="33"/>
        <v>0</v>
      </c>
      <c r="F773" s="61">
        <f t="shared" si="34"/>
        <v>0</v>
      </c>
      <c r="G773" s="59">
        <f t="shared" si="35"/>
        <v>0</v>
      </c>
    </row>
    <row r="774" spans="4:7">
      <c r="D774" s="44">
        <f t="shared" si="33"/>
        <v>0</v>
      </c>
      <c r="F774" s="61">
        <f t="shared" si="34"/>
        <v>0</v>
      </c>
      <c r="G774" s="59">
        <f t="shared" si="35"/>
        <v>0</v>
      </c>
    </row>
    <row r="775" spans="4:7">
      <c r="D775" s="44">
        <f t="shared" si="33"/>
        <v>0</v>
      </c>
      <c r="F775" s="61">
        <f t="shared" si="34"/>
        <v>0</v>
      </c>
      <c r="G775" s="59">
        <f t="shared" si="35"/>
        <v>0</v>
      </c>
    </row>
    <row r="776" spans="4:7">
      <c r="D776" s="44">
        <f t="shared" si="33"/>
        <v>0</v>
      </c>
      <c r="F776" s="61">
        <f t="shared" si="34"/>
        <v>0</v>
      </c>
      <c r="G776" s="59">
        <f t="shared" si="35"/>
        <v>0</v>
      </c>
    </row>
    <row r="777" spans="4:7">
      <c r="D777" s="44">
        <f t="shared" si="33"/>
        <v>0</v>
      </c>
      <c r="F777" s="61">
        <f t="shared" si="34"/>
        <v>0</v>
      </c>
      <c r="G777" s="59">
        <f t="shared" si="35"/>
        <v>0</v>
      </c>
    </row>
    <row r="778" spans="4:7">
      <c r="D778" s="44">
        <f t="shared" si="33"/>
        <v>0</v>
      </c>
      <c r="F778" s="61">
        <f t="shared" si="34"/>
        <v>0</v>
      </c>
      <c r="G778" s="59">
        <f t="shared" si="35"/>
        <v>0</v>
      </c>
    </row>
    <row r="779" spans="4:7">
      <c r="D779" s="44">
        <f t="shared" si="33"/>
        <v>0</v>
      </c>
      <c r="F779" s="61">
        <f t="shared" si="34"/>
        <v>0</v>
      </c>
      <c r="G779" s="59">
        <f t="shared" si="35"/>
        <v>0</v>
      </c>
    </row>
    <row r="780" spans="4:7">
      <c r="D780" s="44">
        <f t="shared" si="33"/>
        <v>0</v>
      </c>
      <c r="F780" s="61">
        <f t="shared" si="34"/>
        <v>0</v>
      </c>
      <c r="G780" s="59">
        <f t="shared" si="35"/>
        <v>0</v>
      </c>
    </row>
    <row r="781" spans="4:7">
      <c r="D781" s="44">
        <f t="shared" si="33"/>
        <v>0</v>
      </c>
      <c r="F781" s="61">
        <f t="shared" si="34"/>
        <v>0</v>
      </c>
      <c r="G781" s="59">
        <f t="shared" si="35"/>
        <v>0</v>
      </c>
    </row>
    <row r="782" spans="4:7">
      <c r="D782" s="44">
        <f t="shared" si="33"/>
        <v>0</v>
      </c>
      <c r="F782" s="61">
        <f t="shared" si="34"/>
        <v>0</v>
      </c>
      <c r="G782" s="59">
        <f t="shared" si="35"/>
        <v>0</v>
      </c>
    </row>
    <row r="783" spans="4:7">
      <c r="D783" s="44">
        <f t="shared" si="33"/>
        <v>0</v>
      </c>
      <c r="F783" s="61">
        <f t="shared" si="34"/>
        <v>0</v>
      </c>
      <c r="G783" s="59">
        <f t="shared" si="35"/>
        <v>0</v>
      </c>
    </row>
    <row r="784" spans="4:7">
      <c r="D784" s="44">
        <f t="shared" si="33"/>
        <v>0</v>
      </c>
      <c r="F784" s="61">
        <f t="shared" si="34"/>
        <v>0</v>
      </c>
      <c r="G784" s="59">
        <f t="shared" si="35"/>
        <v>0</v>
      </c>
    </row>
    <row r="785" spans="4:7">
      <c r="D785" s="44">
        <f t="shared" si="33"/>
        <v>0</v>
      </c>
      <c r="F785" s="61">
        <f t="shared" si="34"/>
        <v>0</v>
      </c>
      <c r="G785" s="59">
        <f t="shared" si="35"/>
        <v>0</v>
      </c>
    </row>
    <row r="786" spans="4:7">
      <c r="D786" s="44">
        <f t="shared" si="33"/>
        <v>0</v>
      </c>
      <c r="F786" s="61">
        <f t="shared" si="34"/>
        <v>0</v>
      </c>
      <c r="G786" s="59">
        <f t="shared" si="35"/>
        <v>0</v>
      </c>
    </row>
    <row r="787" spans="4:7">
      <c r="D787" s="44">
        <f t="shared" si="33"/>
        <v>0</v>
      </c>
      <c r="F787" s="61">
        <f t="shared" si="34"/>
        <v>0</v>
      </c>
      <c r="G787" s="59">
        <f t="shared" si="35"/>
        <v>0</v>
      </c>
    </row>
    <row r="788" spans="4:7">
      <c r="D788" s="44">
        <f t="shared" ref="D788:D851" si="36">C788-E788</f>
        <v>0</v>
      </c>
      <c r="F788" s="61">
        <f t="shared" si="34"/>
        <v>0</v>
      </c>
      <c r="G788" s="59">
        <f t="shared" si="35"/>
        <v>0</v>
      </c>
    </row>
    <row r="789" spans="4:7">
      <c r="D789" s="44">
        <f t="shared" si="36"/>
        <v>0</v>
      </c>
      <c r="F789" s="61">
        <f t="shared" si="34"/>
        <v>0</v>
      </c>
      <c r="G789" s="59">
        <f t="shared" si="35"/>
        <v>0</v>
      </c>
    </row>
    <row r="790" spans="4:7">
      <c r="D790" s="44">
        <f t="shared" si="36"/>
        <v>0</v>
      </c>
      <c r="F790" s="61">
        <f t="shared" si="34"/>
        <v>0</v>
      </c>
      <c r="G790" s="59">
        <f t="shared" si="35"/>
        <v>0</v>
      </c>
    </row>
    <row r="791" spans="4:7">
      <c r="D791" s="44">
        <f t="shared" si="36"/>
        <v>0</v>
      </c>
      <c r="F791" s="61">
        <f t="shared" ref="F791:F854" si="37">E791*10%</f>
        <v>0</v>
      </c>
      <c r="G791" s="59">
        <f t="shared" ref="G791:G854" si="38">E791*90%</f>
        <v>0</v>
      </c>
    </row>
    <row r="792" spans="4:7">
      <c r="D792" s="44">
        <f t="shared" si="36"/>
        <v>0</v>
      </c>
      <c r="F792" s="61">
        <f t="shared" si="37"/>
        <v>0</v>
      </c>
      <c r="G792" s="59">
        <f t="shared" si="38"/>
        <v>0</v>
      </c>
    </row>
    <row r="793" spans="4:7">
      <c r="D793" s="44">
        <f t="shared" si="36"/>
        <v>0</v>
      </c>
      <c r="F793" s="61">
        <f t="shared" si="37"/>
        <v>0</v>
      </c>
      <c r="G793" s="59">
        <f t="shared" si="38"/>
        <v>0</v>
      </c>
    </row>
    <row r="794" spans="4:7">
      <c r="D794" s="44">
        <f t="shared" si="36"/>
        <v>0</v>
      </c>
      <c r="F794" s="61">
        <f t="shared" si="37"/>
        <v>0</v>
      </c>
      <c r="G794" s="59">
        <f t="shared" si="38"/>
        <v>0</v>
      </c>
    </row>
    <row r="795" spans="4:7">
      <c r="D795" s="44">
        <f t="shared" si="36"/>
        <v>0</v>
      </c>
      <c r="F795" s="61">
        <f t="shared" si="37"/>
        <v>0</v>
      </c>
      <c r="G795" s="59">
        <f t="shared" si="38"/>
        <v>0</v>
      </c>
    </row>
    <row r="796" spans="4:7">
      <c r="D796" s="44">
        <f t="shared" si="36"/>
        <v>0</v>
      </c>
      <c r="F796" s="61">
        <f t="shared" si="37"/>
        <v>0</v>
      </c>
      <c r="G796" s="59">
        <f t="shared" si="38"/>
        <v>0</v>
      </c>
    </row>
    <row r="797" spans="4:7">
      <c r="D797" s="44">
        <f t="shared" si="36"/>
        <v>0</v>
      </c>
      <c r="F797" s="61">
        <f t="shared" si="37"/>
        <v>0</v>
      </c>
      <c r="G797" s="59">
        <f t="shared" si="38"/>
        <v>0</v>
      </c>
    </row>
    <row r="798" spans="4:7">
      <c r="D798" s="44">
        <f t="shared" si="36"/>
        <v>0</v>
      </c>
      <c r="F798" s="61">
        <f t="shared" si="37"/>
        <v>0</v>
      </c>
      <c r="G798" s="59">
        <f t="shared" si="38"/>
        <v>0</v>
      </c>
    </row>
    <row r="799" spans="4:7">
      <c r="D799" s="44">
        <f t="shared" si="36"/>
        <v>0</v>
      </c>
      <c r="F799" s="61">
        <f t="shared" si="37"/>
        <v>0</v>
      </c>
      <c r="G799" s="59">
        <f t="shared" si="38"/>
        <v>0</v>
      </c>
    </row>
    <row r="800" spans="4:7">
      <c r="D800" s="44">
        <f t="shared" si="36"/>
        <v>0</v>
      </c>
      <c r="F800" s="61">
        <f t="shared" si="37"/>
        <v>0</v>
      </c>
      <c r="G800" s="59">
        <f t="shared" si="38"/>
        <v>0</v>
      </c>
    </row>
    <row r="801" spans="4:7">
      <c r="D801" s="44">
        <f t="shared" si="36"/>
        <v>0</v>
      </c>
      <c r="F801" s="61">
        <f t="shared" si="37"/>
        <v>0</v>
      </c>
      <c r="G801" s="59">
        <f t="shared" si="38"/>
        <v>0</v>
      </c>
    </row>
    <row r="802" spans="4:7">
      <c r="D802" s="44">
        <f t="shared" si="36"/>
        <v>0</v>
      </c>
      <c r="F802" s="61">
        <f t="shared" si="37"/>
        <v>0</v>
      </c>
      <c r="G802" s="59">
        <f t="shared" si="38"/>
        <v>0</v>
      </c>
    </row>
    <row r="803" spans="4:7">
      <c r="D803" s="44">
        <f t="shared" si="36"/>
        <v>0</v>
      </c>
      <c r="F803" s="61">
        <f t="shared" si="37"/>
        <v>0</v>
      </c>
      <c r="G803" s="59">
        <f t="shared" si="38"/>
        <v>0</v>
      </c>
    </row>
    <row r="804" spans="4:7">
      <c r="D804" s="44">
        <f t="shared" si="36"/>
        <v>0</v>
      </c>
      <c r="F804" s="61">
        <f t="shared" si="37"/>
        <v>0</v>
      </c>
      <c r="G804" s="59">
        <f t="shared" si="38"/>
        <v>0</v>
      </c>
    </row>
    <row r="805" spans="4:7">
      <c r="D805" s="44">
        <f t="shared" si="36"/>
        <v>0</v>
      </c>
      <c r="F805" s="61">
        <f t="shared" si="37"/>
        <v>0</v>
      </c>
      <c r="G805" s="59">
        <f t="shared" si="38"/>
        <v>0</v>
      </c>
    </row>
    <row r="806" spans="4:7">
      <c r="D806" s="44">
        <f t="shared" si="36"/>
        <v>0</v>
      </c>
      <c r="F806" s="61">
        <f t="shared" si="37"/>
        <v>0</v>
      </c>
      <c r="G806" s="59">
        <f t="shared" si="38"/>
        <v>0</v>
      </c>
    </row>
    <row r="807" spans="4:7">
      <c r="D807" s="44">
        <f t="shared" si="36"/>
        <v>0</v>
      </c>
      <c r="F807" s="61">
        <f t="shared" si="37"/>
        <v>0</v>
      </c>
      <c r="G807" s="59">
        <f t="shared" si="38"/>
        <v>0</v>
      </c>
    </row>
    <row r="808" spans="4:7">
      <c r="D808" s="44">
        <f t="shared" si="36"/>
        <v>0</v>
      </c>
      <c r="F808" s="61">
        <f t="shared" si="37"/>
        <v>0</v>
      </c>
      <c r="G808" s="59">
        <f t="shared" si="38"/>
        <v>0</v>
      </c>
    </row>
    <row r="809" spans="4:7">
      <c r="D809" s="44">
        <f t="shared" si="36"/>
        <v>0</v>
      </c>
      <c r="F809" s="61">
        <f t="shared" si="37"/>
        <v>0</v>
      </c>
      <c r="G809" s="59">
        <f t="shared" si="38"/>
        <v>0</v>
      </c>
    </row>
    <row r="810" spans="4:7">
      <c r="D810" s="44">
        <f t="shared" si="36"/>
        <v>0</v>
      </c>
      <c r="F810" s="61">
        <f t="shared" si="37"/>
        <v>0</v>
      </c>
      <c r="G810" s="59">
        <f t="shared" si="38"/>
        <v>0</v>
      </c>
    </row>
    <row r="811" spans="4:7">
      <c r="D811" s="44">
        <f t="shared" si="36"/>
        <v>0</v>
      </c>
      <c r="F811" s="61">
        <f t="shared" si="37"/>
        <v>0</v>
      </c>
      <c r="G811" s="59">
        <f t="shared" si="38"/>
        <v>0</v>
      </c>
    </row>
    <row r="812" spans="4:7">
      <c r="D812" s="44">
        <f t="shared" si="36"/>
        <v>0</v>
      </c>
      <c r="F812" s="61">
        <f t="shared" si="37"/>
        <v>0</v>
      </c>
      <c r="G812" s="59">
        <f t="shared" si="38"/>
        <v>0</v>
      </c>
    </row>
    <row r="813" spans="4:7">
      <c r="D813" s="44">
        <f t="shared" si="36"/>
        <v>0</v>
      </c>
      <c r="F813" s="61">
        <f t="shared" si="37"/>
        <v>0</v>
      </c>
      <c r="G813" s="59">
        <f t="shared" si="38"/>
        <v>0</v>
      </c>
    </row>
    <row r="814" spans="4:7">
      <c r="D814" s="44">
        <f t="shared" si="36"/>
        <v>0</v>
      </c>
      <c r="F814" s="61">
        <f t="shared" si="37"/>
        <v>0</v>
      </c>
      <c r="G814" s="59">
        <f t="shared" si="38"/>
        <v>0</v>
      </c>
    </row>
    <row r="815" spans="4:7">
      <c r="D815" s="44">
        <f t="shared" si="36"/>
        <v>0</v>
      </c>
      <c r="F815" s="61">
        <f t="shared" si="37"/>
        <v>0</v>
      </c>
      <c r="G815" s="59">
        <f t="shared" si="38"/>
        <v>0</v>
      </c>
    </row>
    <row r="816" spans="4:7">
      <c r="D816" s="44">
        <f t="shared" si="36"/>
        <v>0</v>
      </c>
      <c r="F816" s="61">
        <f t="shared" si="37"/>
        <v>0</v>
      </c>
      <c r="G816" s="59">
        <f t="shared" si="38"/>
        <v>0</v>
      </c>
    </row>
    <row r="817" spans="4:7">
      <c r="D817" s="44">
        <f t="shared" si="36"/>
        <v>0</v>
      </c>
      <c r="F817" s="61">
        <f t="shared" si="37"/>
        <v>0</v>
      </c>
      <c r="G817" s="59">
        <f t="shared" si="38"/>
        <v>0</v>
      </c>
    </row>
    <row r="818" spans="4:7">
      <c r="D818" s="44">
        <f t="shared" si="36"/>
        <v>0</v>
      </c>
      <c r="F818" s="61">
        <f t="shared" si="37"/>
        <v>0</v>
      </c>
      <c r="G818" s="59">
        <f t="shared" si="38"/>
        <v>0</v>
      </c>
    </row>
    <row r="819" spans="4:7">
      <c r="D819" s="44">
        <f t="shared" si="36"/>
        <v>0</v>
      </c>
      <c r="F819" s="61">
        <f t="shared" si="37"/>
        <v>0</v>
      </c>
      <c r="G819" s="59">
        <f t="shared" si="38"/>
        <v>0</v>
      </c>
    </row>
    <row r="820" spans="4:7">
      <c r="D820" s="44">
        <f t="shared" si="36"/>
        <v>0</v>
      </c>
      <c r="F820" s="61">
        <f t="shared" si="37"/>
        <v>0</v>
      </c>
      <c r="G820" s="59">
        <f t="shared" si="38"/>
        <v>0</v>
      </c>
    </row>
    <row r="821" spans="4:7">
      <c r="D821" s="44">
        <f t="shared" si="36"/>
        <v>0</v>
      </c>
      <c r="F821" s="61">
        <f t="shared" si="37"/>
        <v>0</v>
      </c>
      <c r="G821" s="59">
        <f t="shared" si="38"/>
        <v>0</v>
      </c>
    </row>
    <row r="822" spans="4:7">
      <c r="D822" s="44">
        <f t="shared" si="36"/>
        <v>0</v>
      </c>
      <c r="F822" s="61">
        <f t="shared" si="37"/>
        <v>0</v>
      </c>
      <c r="G822" s="59">
        <f t="shared" si="38"/>
        <v>0</v>
      </c>
    </row>
    <row r="823" spans="4:7">
      <c r="D823" s="44">
        <f t="shared" si="36"/>
        <v>0</v>
      </c>
      <c r="F823" s="61">
        <f t="shared" si="37"/>
        <v>0</v>
      </c>
      <c r="G823" s="59">
        <f t="shared" si="38"/>
        <v>0</v>
      </c>
    </row>
    <row r="824" spans="4:7">
      <c r="D824" s="44">
        <f t="shared" si="36"/>
        <v>0</v>
      </c>
      <c r="F824" s="61">
        <f t="shared" si="37"/>
        <v>0</v>
      </c>
      <c r="G824" s="59">
        <f t="shared" si="38"/>
        <v>0</v>
      </c>
    </row>
    <row r="825" spans="4:7">
      <c r="D825" s="44">
        <f t="shared" si="36"/>
        <v>0</v>
      </c>
      <c r="F825" s="61">
        <f t="shared" si="37"/>
        <v>0</v>
      </c>
      <c r="G825" s="59">
        <f t="shared" si="38"/>
        <v>0</v>
      </c>
    </row>
    <row r="826" spans="4:7">
      <c r="D826" s="44">
        <f t="shared" si="36"/>
        <v>0</v>
      </c>
      <c r="F826" s="61">
        <f t="shared" si="37"/>
        <v>0</v>
      </c>
      <c r="G826" s="59">
        <f t="shared" si="38"/>
        <v>0</v>
      </c>
    </row>
    <row r="827" spans="4:7">
      <c r="D827" s="44">
        <f t="shared" si="36"/>
        <v>0</v>
      </c>
      <c r="F827" s="61">
        <f t="shared" si="37"/>
        <v>0</v>
      </c>
      <c r="G827" s="59">
        <f t="shared" si="38"/>
        <v>0</v>
      </c>
    </row>
    <row r="828" spans="4:7">
      <c r="D828" s="44">
        <f t="shared" si="36"/>
        <v>0</v>
      </c>
      <c r="F828" s="61">
        <f t="shared" si="37"/>
        <v>0</v>
      </c>
      <c r="G828" s="59">
        <f t="shared" si="38"/>
        <v>0</v>
      </c>
    </row>
    <row r="829" spans="4:7">
      <c r="D829" s="44">
        <f t="shared" si="36"/>
        <v>0</v>
      </c>
      <c r="F829" s="61">
        <f t="shared" si="37"/>
        <v>0</v>
      </c>
      <c r="G829" s="59">
        <f t="shared" si="38"/>
        <v>0</v>
      </c>
    </row>
    <row r="830" spans="4:7">
      <c r="D830" s="44">
        <f t="shared" si="36"/>
        <v>0</v>
      </c>
      <c r="F830" s="61">
        <f t="shared" si="37"/>
        <v>0</v>
      </c>
      <c r="G830" s="59">
        <f t="shared" si="38"/>
        <v>0</v>
      </c>
    </row>
    <row r="831" spans="4:7">
      <c r="D831" s="44">
        <f t="shared" si="36"/>
        <v>0</v>
      </c>
      <c r="F831" s="61">
        <f t="shared" si="37"/>
        <v>0</v>
      </c>
      <c r="G831" s="59">
        <f t="shared" si="38"/>
        <v>0</v>
      </c>
    </row>
    <row r="832" spans="4:7">
      <c r="D832" s="44">
        <f t="shared" si="36"/>
        <v>0</v>
      </c>
      <c r="F832" s="61">
        <f t="shared" si="37"/>
        <v>0</v>
      </c>
      <c r="G832" s="59">
        <f t="shared" si="38"/>
        <v>0</v>
      </c>
    </row>
    <row r="833" spans="4:7">
      <c r="D833" s="44">
        <f t="shared" si="36"/>
        <v>0</v>
      </c>
      <c r="F833" s="61">
        <f t="shared" si="37"/>
        <v>0</v>
      </c>
      <c r="G833" s="59">
        <f t="shared" si="38"/>
        <v>0</v>
      </c>
    </row>
    <row r="834" spans="4:7">
      <c r="D834" s="44">
        <f t="shared" si="36"/>
        <v>0</v>
      </c>
      <c r="F834" s="61">
        <f t="shared" si="37"/>
        <v>0</v>
      </c>
      <c r="G834" s="59">
        <f t="shared" si="38"/>
        <v>0</v>
      </c>
    </row>
    <row r="835" spans="4:7">
      <c r="D835" s="44">
        <f t="shared" si="36"/>
        <v>0</v>
      </c>
      <c r="F835" s="61">
        <f t="shared" si="37"/>
        <v>0</v>
      </c>
      <c r="G835" s="59">
        <f t="shared" si="38"/>
        <v>0</v>
      </c>
    </row>
    <row r="836" spans="4:7">
      <c r="D836" s="44">
        <f t="shared" si="36"/>
        <v>0</v>
      </c>
      <c r="F836" s="61">
        <f t="shared" si="37"/>
        <v>0</v>
      </c>
      <c r="G836" s="59">
        <f t="shared" si="38"/>
        <v>0</v>
      </c>
    </row>
    <row r="837" spans="4:7">
      <c r="D837" s="44">
        <f t="shared" si="36"/>
        <v>0</v>
      </c>
      <c r="F837" s="61">
        <f t="shared" si="37"/>
        <v>0</v>
      </c>
      <c r="G837" s="59">
        <f t="shared" si="38"/>
        <v>0</v>
      </c>
    </row>
    <row r="838" spans="4:7">
      <c r="D838" s="44">
        <f t="shared" si="36"/>
        <v>0</v>
      </c>
      <c r="F838" s="61">
        <f t="shared" si="37"/>
        <v>0</v>
      </c>
      <c r="G838" s="59">
        <f t="shared" si="38"/>
        <v>0</v>
      </c>
    </row>
    <row r="839" spans="4:7">
      <c r="D839" s="44">
        <f t="shared" si="36"/>
        <v>0</v>
      </c>
      <c r="F839" s="61">
        <f t="shared" si="37"/>
        <v>0</v>
      </c>
      <c r="G839" s="59">
        <f t="shared" si="38"/>
        <v>0</v>
      </c>
    </row>
    <row r="840" spans="4:7">
      <c r="D840" s="44">
        <f t="shared" si="36"/>
        <v>0</v>
      </c>
      <c r="F840" s="61">
        <f t="shared" si="37"/>
        <v>0</v>
      </c>
      <c r="G840" s="59">
        <f t="shared" si="38"/>
        <v>0</v>
      </c>
    </row>
    <row r="841" spans="4:7">
      <c r="D841" s="44">
        <f t="shared" si="36"/>
        <v>0</v>
      </c>
      <c r="F841" s="61">
        <f t="shared" si="37"/>
        <v>0</v>
      </c>
      <c r="G841" s="59">
        <f t="shared" si="38"/>
        <v>0</v>
      </c>
    </row>
    <row r="842" spans="4:7">
      <c r="D842" s="44">
        <f t="shared" si="36"/>
        <v>0</v>
      </c>
      <c r="F842" s="61">
        <f t="shared" si="37"/>
        <v>0</v>
      </c>
      <c r="G842" s="59">
        <f t="shared" si="38"/>
        <v>0</v>
      </c>
    </row>
    <row r="843" spans="4:7">
      <c r="D843" s="44">
        <f t="shared" si="36"/>
        <v>0</v>
      </c>
      <c r="F843" s="61">
        <f t="shared" si="37"/>
        <v>0</v>
      </c>
      <c r="G843" s="59">
        <f t="shared" si="38"/>
        <v>0</v>
      </c>
    </row>
    <row r="844" spans="4:7">
      <c r="D844" s="44">
        <f t="shared" si="36"/>
        <v>0</v>
      </c>
      <c r="F844" s="61">
        <f t="shared" si="37"/>
        <v>0</v>
      </c>
      <c r="G844" s="59">
        <f t="shared" si="38"/>
        <v>0</v>
      </c>
    </row>
    <row r="845" spans="4:7">
      <c r="D845" s="44">
        <f t="shared" si="36"/>
        <v>0</v>
      </c>
      <c r="F845" s="61">
        <f t="shared" si="37"/>
        <v>0</v>
      </c>
      <c r="G845" s="59">
        <f t="shared" si="38"/>
        <v>0</v>
      </c>
    </row>
    <row r="846" spans="4:7">
      <c r="D846" s="44">
        <f t="shared" si="36"/>
        <v>0</v>
      </c>
      <c r="F846" s="61">
        <f t="shared" si="37"/>
        <v>0</v>
      </c>
      <c r="G846" s="59">
        <f t="shared" si="38"/>
        <v>0</v>
      </c>
    </row>
    <row r="847" spans="4:7">
      <c r="D847" s="44">
        <f t="shared" si="36"/>
        <v>0</v>
      </c>
      <c r="F847" s="61">
        <f t="shared" si="37"/>
        <v>0</v>
      </c>
      <c r="G847" s="59">
        <f t="shared" si="38"/>
        <v>0</v>
      </c>
    </row>
    <row r="848" spans="4:7">
      <c r="D848" s="44">
        <f t="shared" si="36"/>
        <v>0</v>
      </c>
      <c r="F848" s="61">
        <f t="shared" si="37"/>
        <v>0</v>
      </c>
      <c r="G848" s="59">
        <f t="shared" si="38"/>
        <v>0</v>
      </c>
    </row>
    <row r="849" spans="4:7">
      <c r="D849" s="44">
        <f t="shared" si="36"/>
        <v>0</v>
      </c>
      <c r="F849" s="61">
        <f t="shared" si="37"/>
        <v>0</v>
      </c>
      <c r="G849" s="59">
        <f t="shared" si="38"/>
        <v>0</v>
      </c>
    </row>
    <row r="850" spans="4:7">
      <c r="D850" s="44">
        <f t="shared" si="36"/>
        <v>0</v>
      </c>
      <c r="F850" s="61">
        <f t="shared" si="37"/>
        <v>0</v>
      </c>
      <c r="G850" s="59">
        <f t="shared" si="38"/>
        <v>0</v>
      </c>
    </row>
    <row r="851" spans="4:7">
      <c r="D851" s="44">
        <f t="shared" si="36"/>
        <v>0</v>
      </c>
      <c r="F851" s="61">
        <f t="shared" si="37"/>
        <v>0</v>
      </c>
      <c r="G851" s="59">
        <f t="shared" si="38"/>
        <v>0</v>
      </c>
    </row>
    <row r="852" spans="4:7">
      <c r="D852" s="44">
        <f t="shared" ref="D852:D915" si="39">C852-E852</f>
        <v>0</v>
      </c>
      <c r="F852" s="61">
        <f t="shared" si="37"/>
        <v>0</v>
      </c>
      <c r="G852" s="59">
        <f t="shared" si="38"/>
        <v>0</v>
      </c>
    </row>
    <row r="853" spans="4:7">
      <c r="D853" s="44">
        <f t="shared" si="39"/>
        <v>0</v>
      </c>
      <c r="F853" s="61">
        <f t="shared" si="37"/>
        <v>0</v>
      </c>
      <c r="G853" s="59">
        <f t="shared" si="38"/>
        <v>0</v>
      </c>
    </row>
    <row r="854" spans="4:7">
      <c r="D854" s="44">
        <f t="shared" si="39"/>
        <v>0</v>
      </c>
      <c r="F854" s="61">
        <f t="shared" si="37"/>
        <v>0</v>
      </c>
      <c r="G854" s="59">
        <f t="shared" si="38"/>
        <v>0</v>
      </c>
    </row>
    <row r="855" spans="4:7">
      <c r="D855" s="44">
        <f t="shared" si="39"/>
        <v>0</v>
      </c>
      <c r="F855" s="61">
        <f t="shared" ref="F855:F918" si="40">E855*10%</f>
        <v>0</v>
      </c>
      <c r="G855" s="59">
        <f t="shared" ref="G855:G918" si="41">E855*90%</f>
        <v>0</v>
      </c>
    </row>
    <row r="856" spans="4:7">
      <c r="D856" s="44">
        <f t="shared" si="39"/>
        <v>0</v>
      </c>
      <c r="F856" s="61">
        <f t="shared" si="40"/>
        <v>0</v>
      </c>
      <c r="G856" s="59">
        <f t="shared" si="41"/>
        <v>0</v>
      </c>
    </row>
    <row r="857" spans="4:7">
      <c r="D857" s="44">
        <f t="shared" si="39"/>
        <v>0</v>
      </c>
      <c r="F857" s="61">
        <f t="shared" si="40"/>
        <v>0</v>
      </c>
      <c r="G857" s="59">
        <f t="shared" si="41"/>
        <v>0</v>
      </c>
    </row>
    <row r="858" spans="4:7">
      <c r="D858" s="44">
        <f t="shared" si="39"/>
        <v>0</v>
      </c>
      <c r="F858" s="61">
        <f t="shared" si="40"/>
        <v>0</v>
      </c>
      <c r="G858" s="59">
        <f t="shared" si="41"/>
        <v>0</v>
      </c>
    </row>
    <row r="859" spans="4:7">
      <c r="D859" s="44">
        <f t="shared" si="39"/>
        <v>0</v>
      </c>
      <c r="F859" s="61">
        <f t="shared" si="40"/>
        <v>0</v>
      </c>
      <c r="G859" s="59">
        <f t="shared" si="41"/>
        <v>0</v>
      </c>
    </row>
    <row r="860" spans="4:7">
      <c r="D860" s="44">
        <f t="shared" si="39"/>
        <v>0</v>
      </c>
      <c r="F860" s="61">
        <f t="shared" si="40"/>
        <v>0</v>
      </c>
      <c r="G860" s="59">
        <f t="shared" si="41"/>
        <v>0</v>
      </c>
    </row>
    <row r="861" spans="4:7">
      <c r="D861" s="44">
        <f t="shared" si="39"/>
        <v>0</v>
      </c>
      <c r="F861" s="61">
        <f t="shared" si="40"/>
        <v>0</v>
      </c>
      <c r="G861" s="59">
        <f t="shared" si="41"/>
        <v>0</v>
      </c>
    </row>
    <row r="862" spans="4:7">
      <c r="D862" s="44">
        <f t="shared" si="39"/>
        <v>0</v>
      </c>
      <c r="F862" s="61">
        <f t="shared" si="40"/>
        <v>0</v>
      </c>
      <c r="G862" s="59">
        <f t="shared" si="41"/>
        <v>0</v>
      </c>
    </row>
    <row r="863" spans="4:7">
      <c r="D863" s="44">
        <f t="shared" si="39"/>
        <v>0</v>
      </c>
      <c r="F863" s="61">
        <f t="shared" si="40"/>
        <v>0</v>
      </c>
      <c r="G863" s="59">
        <f t="shared" si="41"/>
        <v>0</v>
      </c>
    </row>
    <row r="864" spans="4:7">
      <c r="D864" s="44">
        <f t="shared" si="39"/>
        <v>0</v>
      </c>
      <c r="F864" s="61">
        <f t="shared" si="40"/>
        <v>0</v>
      </c>
      <c r="G864" s="59">
        <f t="shared" si="41"/>
        <v>0</v>
      </c>
    </row>
    <row r="865" spans="4:7">
      <c r="D865" s="44">
        <f t="shared" si="39"/>
        <v>0</v>
      </c>
      <c r="F865" s="61">
        <f t="shared" si="40"/>
        <v>0</v>
      </c>
      <c r="G865" s="59">
        <f t="shared" si="41"/>
        <v>0</v>
      </c>
    </row>
    <row r="866" spans="4:7">
      <c r="D866" s="44">
        <f t="shared" si="39"/>
        <v>0</v>
      </c>
      <c r="F866" s="61">
        <f t="shared" si="40"/>
        <v>0</v>
      </c>
      <c r="G866" s="59">
        <f t="shared" si="41"/>
        <v>0</v>
      </c>
    </row>
    <row r="867" spans="4:7">
      <c r="D867" s="44">
        <f t="shared" si="39"/>
        <v>0</v>
      </c>
      <c r="F867" s="61">
        <f t="shared" si="40"/>
        <v>0</v>
      </c>
      <c r="G867" s="59">
        <f t="shared" si="41"/>
        <v>0</v>
      </c>
    </row>
    <row r="868" spans="4:7">
      <c r="D868" s="44">
        <f t="shared" si="39"/>
        <v>0</v>
      </c>
      <c r="F868" s="61">
        <f t="shared" si="40"/>
        <v>0</v>
      </c>
      <c r="G868" s="59">
        <f t="shared" si="41"/>
        <v>0</v>
      </c>
    </row>
    <row r="869" spans="4:7">
      <c r="D869" s="44">
        <f t="shared" si="39"/>
        <v>0</v>
      </c>
      <c r="F869" s="61">
        <f t="shared" si="40"/>
        <v>0</v>
      </c>
      <c r="G869" s="59">
        <f t="shared" si="41"/>
        <v>0</v>
      </c>
    </row>
    <row r="870" spans="4:7">
      <c r="D870" s="44">
        <f t="shared" si="39"/>
        <v>0</v>
      </c>
      <c r="F870" s="61">
        <f t="shared" si="40"/>
        <v>0</v>
      </c>
      <c r="G870" s="59">
        <f t="shared" si="41"/>
        <v>0</v>
      </c>
    </row>
    <row r="871" spans="4:7">
      <c r="D871" s="44">
        <f t="shared" si="39"/>
        <v>0</v>
      </c>
      <c r="F871" s="61">
        <f t="shared" si="40"/>
        <v>0</v>
      </c>
      <c r="G871" s="59">
        <f t="shared" si="41"/>
        <v>0</v>
      </c>
    </row>
    <row r="872" spans="4:7">
      <c r="D872" s="44">
        <f t="shared" si="39"/>
        <v>0</v>
      </c>
      <c r="F872" s="61">
        <f t="shared" si="40"/>
        <v>0</v>
      </c>
      <c r="G872" s="59">
        <f t="shared" si="41"/>
        <v>0</v>
      </c>
    </row>
    <row r="873" spans="4:7">
      <c r="D873" s="44">
        <f t="shared" si="39"/>
        <v>0</v>
      </c>
      <c r="F873" s="61">
        <f t="shared" si="40"/>
        <v>0</v>
      </c>
      <c r="G873" s="59">
        <f t="shared" si="41"/>
        <v>0</v>
      </c>
    </row>
    <row r="874" spans="4:7">
      <c r="D874" s="44">
        <f t="shared" si="39"/>
        <v>0</v>
      </c>
      <c r="F874" s="61">
        <f t="shared" si="40"/>
        <v>0</v>
      </c>
      <c r="G874" s="59">
        <f t="shared" si="41"/>
        <v>0</v>
      </c>
    </row>
    <row r="875" spans="4:7">
      <c r="D875" s="44">
        <f t="shared" si="39"/>
        <v>0</v>
      </c>
      <c r="F875" s="61">
        <f t="shared" si="40"/>
        <v>0</v>
      </c>
      <c r="G875" s="59">
        <f t="shared" si="41"/>
        <v>0</v>
      </c>
    </row>
    <row r="876" spans="4:7">
      <c r="D876" s="44">
        <f t="shared" si="39"/>
        <v>0</v>
      </c>
      <c r="F876" s="61">
        <f t="shared" si="40"/>
        <v>0</v>
      </c>
      <c r="G876" s="59">
        <f t="shared" si="41"/>
        <v>0</v>
      </c>
    </row>
    <row r="877" spans="4:7">
      <c r="D877" s="44">
        <f t="shared" si="39"/>
        <v>0</v>
      </c>
      <c r="F877" s="61">
        <f t="shared" si="40"/>
        <v>0</v>
      </c>
      <c r="G877" s="59">
        <f t="shared" si="41"/>
        <v>0</v>
      </c>
    </row>
    <row r="878" spans="4:7">
      <c r="D878" s="44">
        <f t="shared" si="39"/>
        <v>0</v>
      </c>
      <c r="F878" s="61">
        <f t="shared" si="40"/>
        <v>0</v>
      </c>
      <c r="G878" s="59">
        <f t="shared" si="41"/>
        <v>0</v>
      </c>
    </row>
    <row r="879" spans="4:7">
      <c r="D879" s="44">
        <f t="shared" si="39"/>
        <v>0</v>
      </c>
      <c r="F879" s="61">
        <f t="shared" si="40"/>
        <v>0</v>
      </c>
      <c r="G879" s="59">
        <f t="shared" si="41"/>
        <v>0</v>
      </c>
    </row>
    <row r="880" spans="4:7">
      <c r="D880" s="44">
        <f t="shared" si="39"/>
        <v>0</v>
      </c>
      <c r="F880" s="61">
        <f t="shared" si="40"/>
        <v>0</v>
      </c>
      <c r="G880" s="59">
        <f t="shared" si="41"/>
        <v>0</v>
      </c>
    </row>
    <row r="881" spans="4:7">
      <c r="D881" s="44">
        <f t="shared" si="39"/>
        <v>0</v>
      </c>
      <c r="F881" s="61">
        <f t="shared" si="40"/>
        <v>0</v>
      </c>
      <c r="G881" s="59">
        <f t="shared" si="41"/>
        <v>0</v>
      </c>
    </row>
    <row r="882" spans="4:7">
      <c r="D882" s="44">
        <f t="shared" si="39"/>
        <v>0</v>
      </c>
      <c r="F882" s="61">
        <f t="shared" si="40"/>
        <v>0</v>
      </c>
      <c r="G882" s="59">
        <f t="shared" si="41"/>
        <v>0</v>
      </c>
    </row>
    <row r="883" spans="4:7">
      <c r="D883" s="44">
        <f t="shared" si="39"/>
        <v>0</v>
      </c>
      <c r="F883" s="61">
        <f t="shared" si="40"/>
        <v>0</v>
      </c>
      <c r="G883" s="59">
        <f t="shared" si="41"/>
        <v>0</v>
      </c>
    </row>
    <row r="884" spans="4:7">
      <c r="D884" s="44">
        <f t="shared" si="39"/>
        <v>0</v>
      </c>
      <c r="F884" s="61">
        <f t="shared" si="40"/>
        <v>0</v>
      </c>
      <c r="G884" s="59">
        <f t="shared" si="41"/>
        <v>0</v>
      </c>
    </row>
    <row r="885" spans="4:7">
      <c r="D885" s="44">
        <f t="shared" si="39"/>
        <v>0</v>
      </c>
      <c r="F885" s="61">
        <f t="shared" si="40"/>
        <v>0</v>
      </c>
      <c r="G885" s="59">
        <f t="shared" si="41"/>
        <v>0</v>
      </c>
    </row>
    <row r="886" spans="4:7">
      <c r="D886" s="44">
        <f t="shared" si="39"/>
        <v>0</v>
      </c>
      <c r="F886" s="61">
        <f t="shared" si="40"/>
        <v>0</v>
      </c>
      <c r="G886" s="59">
        <f t="shared" si="41"/>
        <v>0</v>
      </c>
    </row>
    <row r="887" spans="4:7">
      <c r="D887" s="44">
        <f t="shared" si="39"/>
        <v>0</v>
      </c>
      <c r="F887" s="61">
        <f t="shared" si="40"/>
        <v>0</v>
      </c>
      <c r="G887" s="59">
        <f t="shared" si="41"/>
        <v>0</v>
      </c>
    </row>
    <row r="888" spans="4:7">
      <c r="D888" s="44">
        <f t="shared" si="39"/>
        <v>0</v>
      </c>
      <c r="F888" s="61">
        <f t="shared" si="40"/>
        <v>0</v>
      </c>
      <c r="G888" s="59">
        <f t="shared" si="41"/>
        <v>0</v>
      </c>
    </row>
    <row r="889" spans="4:7">
      <c r="D889" s="44">
        <f t="shared" si="39"/>
        <v>0</v>
      </c>
      <c r="F889" s="61">
        <f t="shared" si="40"/>
        <v>0</v>
      </c>
      <c r="G889" s="59">
        <f t="shared" si="41"/>
        <v>0</v>
      </c>
    </row>
    <row r="890" spans="4:7">
      <c r="D890" s="44">
        <f t="shared" si="39"/>
        <v>0</v>
      </c>
      <c r="F890" s="61">
        <f t="shared" si="40"/>
        <v>0</v>
      </c>
      <c r="G890" s="59">
        <f t="shared" si="41"/>
        <v>0</v>
      </c>
    </row>
    <row r="891" spans="4:7">
      <c r="D891" s="44">
        <f t="shared" si="39"/>
        <v>0</v>
      </c>
      <c r="F891" s="61">
        <f t="shared" si="40"/>
        <v>0</v>
      </c>
      <c r="G891" s="59">
        <f t="shared" si="41"/>
        <v>0</v>
      </c>
    </row>
    <row r="892" spans="4:7">
      <c r="D892" s="44">
        <f t="shared" si="39"/>
        <v>0</v>
      </c>
      <c r="F892" s="61">
        <f t="shared" si="40"/>
        <v>0</v>
      </c>
      <c r="G892" s="59">
        <f t="shared" si="41"/>
        <v>0</v>
      </c>
    </row>
    <row r="893" spans="4:7">
      <c r="D893" s="44">
        <f t="shared" si="39"/>
        <v>0</v>
      </c>
      <c r="F893" s="61">
        <f t="shared" si="40"/>
        <v>0</v>
      </c>
      <c r="G893" s="59">
        <f t="shared" si="41"/>
        <v>0</v>
      </c>
    </row>
    <row r="894" spans="4:7">
      <c r="D894" s="44">
        <f t="shared" si="39"/>
        <v>0</v>
      </c>
      <c r="F894" s="61">
        <f t="shared" si="40"/>
        <v>0</v>
      </c>
      <c r="G894" s="59">
        <f t="shared" si="41"/>
        <v>0</v>
      </c>
    </row>
    <row r="895" spans="4:7">
      <c r="D895" s="44">
        <f t="shared" si="39"/>
        <v>0</v>
      </c>
      <c r="F895" s="61">
        <f t="shared" si="40"/>
        <v>0</v>
      </c>
      <c r="G895" s="59">
        <f t="shared" si="41"/>
        <v>0</v>
      </c>
    </row>
    <row r="896" spans="4:7">
      <c r="D896" s="44">
        <f t="shared" si="39"/>
        <v>0</v>
      </c>
      <c r="F896" s="61">
        <f t="shared" si="40"/>
        <v>0</v>
      </c>
      <c r="G896" s="59">
        <f t="shared" si="41"/>
        <v>0</v>
      </c>
    </row>
    <row r="897" spans="4:7">
      <c r="D897" s="44">
        <f t="shared" si="39"/>
        <v>0</v>
      </c>
      <c r="F897" s="61">
        <f t="shared" si="40"/>
        <v>0</v>
      </c>
      <c r="G897" s="59">
        <f t="shared" si="41"/>
        <v>0</v>
      </c>
    </row>
    <row r="898" spans="4:7">
      <c r="D898" s="44">
        <f t="shared" si="39"/>
        <v>0</v>
      </c>
      <c r="F898" s="61">
        <f t="shared" si="40"/>
        <v>0</v>
      </c>
      <c r="G898" s="59">
        <f t="shared" si="41"/>
        <v>0</v>
      </c>
    </row>
    <row r="899" spans="4:7">
      <c r="D899" s="44">
        <f t="shared" si="39"/>
        <v>0</v>
      </c>
      <c r="F899" s="61">
        <f t="shared" si="40"/>
        <v>0</v>
      </c>
      <c r="G899" s="59">
        <f t="shared" si="41"/>
        <v>0</v>
      </c>
    </row>
    <row r="900" spans="4:7">
      <c r="D900" s="44">
        <f t="shared" si="39"/>
        <v>0</v>
      </c>
      <c r="F900" s="61">
        <f t="shared" si="40"/>
        <v>0</v>
      </c>
      <c r="G900" s="59">
        <f t="shared" si="41"/>
        <v>0</v>
      </c>
    </row>
    <row r="901" spans="4:7">
      <c r="D901" s="44">
        <f t="shared" si="39"/>
        <v>0</v>
      </c>
      <c r="F901" s="61">
        <f t="shared" si="40"/>
        <v>0</v>
      </c>
      <c r="G901" s="59">
        <f t="shared" si="41"/>
        <v>0</v>
      </c>
    </row>
    <row r="902" spans="4:7">
      <c r="D902" s="44">
        <f t="shared" si="39"/>
        <v>0</v>
      </c>
      <c r="F902" s="61">
        <f t="shared" si="40"/>
        <v>0</v>
      </c>
      <c r="G902" s="59">
        <f t="shared" si="41"/>
        <v>0</v>
      </c>
    </row>
    <row r="903" spans="4:7">
      <c r="D903" s="44">
        <f t="shared" si="39"/>
        <v>0</v>
      </c>
      <c r="F903" s="61">
        <f t="shared" si="40"/>
        <v>0</v>
      </c>
      <c r="G903" s="59">
        <f t="shared" si="41"/>
        <v>0</v>
      </c>
    </row>
    <row r="904" spans="4:7">
      <c r="D904" s="44">
        <f t="shared" si="39"/>
        <v>0</v>
      </c>
      <c r="F904" s="61">
        <f t="shared" si="40"/>
        <v>0</v>
      </c>
      <c r="G904" s="59">
        <f t="shared" si="41"/>
        <v>0</v>
      </c>
    </row>
    <row r="905" spans="4:7">
      <c r="D905" s="44">
        <f t="shared" si="39"/>
        <v>0</v>
      </c>
      <c r="F905" s="61">
        <f t="shared" si="40"/>
        <v>0</v>
      </c>
      <c r="G905" s="59">
        <f t="shared" si="41"/>
        <v>0</v>
      </c>
    </row>
    <row r="906" spans="4:7">
      <c r="D906" s="44">
        <f t="shared" si="39"/>
        <v>0</v>
      </c>
      <c r="F906" s="61">
        <f t="shared" si="40"/>
        <v>0</v>
      </c>
      <c r="G906" s="59">
        <f t="shared" si="41"/>
        <v>0</v>
      </c>
    </row>
    <row r="907" spans="4:7">
      <c r="D907" s="44">
        <f t="shared" si="39"/>
        <v>0</v>
      </c>
      <c r="F907" s="61">
        <f t="shared" si="40"/>
        <v>0</v>
      </c>
      <c r="G907" s="59">
        <f t="shared" si="41"/>
        <v>0</v>
      </c>
    </row>
    <row r="908" spans="4:7">
      <c r="D908" s="44">
        <f t="shared" si="39"/>
        <v>0</v>
      </c>
      <c r="F908" s="61">
        <f t="shared" si="40"/>
        <v>0</v>
      </c>
      <c r="G908" s="59">
        <f t="shared" si="41"/>
        <v>0</v>
      </c>
    </row>
    <row r="909" spans="4:7">
      <c r="D909" s="44">
        <f t="shared" si="39"/>
        <v>0</v>
      </c>
      <c r="F909" s="61">
        <f t="shared" si="40"/>
        <v>0</v>
      </c>
      <c r="G909" s="59">
        <f t="shared" si="41"/>
        <v>0</v>
      </c>
    </row>
    <row r="910" spans="4:7">
      <c r="D910" s="44">
        <f t="shared" si="39"/>
        <v>0</v>
      </c>
      <c r="F910" s="61">
        <f t="shared" si="40"/>
        <v>0</v>
      </c>
      <c r="G910" s="59">
        <f t="shared" si="41"/>
        <v>0</v>
      </c>
    </row>
    <row r="911" spans="4:7">
      <c r="D911" s="44">
        <f t="shared" si="39"/>
        <v>0</v>
      </c>
      <c r="F911" s="61">
        <f t="shared" si="40"/>
        <v>0</v>
      </c>
      <c r="G911" s="59">
        <f t="shared" si="41"/>
        <v>0</v>
      </c>
    </row>
    <row r="912" spans="4:7">
      <c r="D912" s="44">
        <f t="shared" si="39"/>
        <v>0</v>
      </c>
      <c r="F912" s="61">
        <f t="shared" si="40"/>
        <v>0</v>
      </c>
      <c r="G912" s="59">
        <f t="shared" si="41"/>
        <v>0</v>
      </c>
    </row>
    <row r="913" spans="4:7">
      <c r="D913" s="44">
        <f t="shared" si="39"/>
        <v>0</v>
      </c>
      <c r="F913" s="61">
        <f t="shared" si="40"/>
        <v>0</v>
      </c>
      <c r="G913" s="59">
        <f t="shared" si="41"/>
        <v>0</v>
      </c>
    </row>
    <row r="914" spans="4:7">
      <c r="D914" s="44">
        <f t="shared" si="39"/>
        <v>0</v>
      </c>
      <c r="F914" s="61">
        <f t="shared" si="40"/>
        <v>0</v>
      </c>
      <c r="G914" s="59">
        <f t="shared" si="41"/>
        <v>0</v>
      </c>
    </row>
    <row r="915" spans="4:7">
      <c r="D915" s="44">
        <f t="shared" si="39"/>
        <v>0</v>
      </c>
      <c r="F915" s="61">
        <f t="shared" si="40"/>
        <v>0</v>
      </c>
      <c r="G915" s="59">
        <f t="shared" si="41"/>
        <v>0</v>
      </c>
    </row>
    <row r="916" spans="4:7">
      <c r="D916" s="44">
        <f t="shared" ref="D916:D960" si="42">C916-E916</f>
        <v>0</v>
      </c>
      <c r="F916" s="61">
        <f t="shared" si="40"/>
        <v>0</v>
      </c>
      <c r="G916" s="59">
        <f t="shared" si="41"/>
        <v>0</v>
      </c>
    </row>
    <row r="917" spans="4:7">
      <c r="D917" s="44">
        <f t="shared" si="42"/>
        <v>0</v>
      </c>
      <c r="F917" s="61">
        <f t="shared" si="40"/>
        <v>0</v>
      </c>
      <c r="G917" s="59">
        <f t="shared" si="41"/>
        <v>0</v>
      </c>
    </row>
    <row r="918" spans="4:7">
      <c r="D918" s="44">
        <f t="shared" si="42"/>
        <v>0</v>
      </c>
      <c r="F918" s="61">
        <f t="shared" si="40"/>
        <v>0</v>
      </c>
      <c r="G918" s="59">
        <f t="shared" si="41"/>
        <v>0</v>
      </c>
    </row>
    <row r="919" spans="4:7">
      <c r="D919" s="44">
        <f t="shared" si="42"/>
        <v>0</v>
      </c>
      <c r="F919" s="61">
        <f t="shared" ref="F919:F961" si="43">E919*10%</f>
        <v>0</v>
      </c>
      <c r="G919" s="59">
        <f t="shared" ref="G919:G961" si="44">E919*90%</f>
        <v>0</v>
      </c>
    </row>
    <row r="920" spans="4:7">
      <c r="D920" s="44">
        <f t="shared" si="42"/>
        <v>0</v>
      </c>
      <c r="F920" s="61">
        <f t="shared" si="43"/>
        <v>0</v>
      </c>
      <c r="G920" s="59">
        <f t="shared" si="44"/>
        <v>0</v>
      </c>
    </row>
    <row r="921" spans="4:7">
      <c r="D921" s="44">
        <f t="shared" si="42"/>
        <v>0</v>
      </c>
      <c r="F921" s="61">
        <f t="shared" si="43"/>
        <v>0</v>
      </c>
      <c r="G921" s="59">
        <f t="shared" si="44"/>
        <v>0</v>
      </c>
    </row>
    <row r="922" spans="4:7">
      <c r="D922" s="44">
        <f t="shared" si="42"/>
        <v>0</v>
      </c>
      <c r="F922" s="61">
        <f t="shared" si="43"/>
        <v>0</v>
      </c>
      <c r="G922" s="59">
        <f t="shared" si="44"/>
        <v>0</v>
      </c>
    </row>
    <row r="923" spans="4:7">
      <c r="D923" s="44">
        <f t="shared" si="42"/>
        <v>0</v>
      </c>
      <c r="F923" s="61">
        <f t="shared" si="43"/>
        <v>0</v>
      </c>
      <c r="G923" s="59">
        <f t="shared" si="44"/>
        <v>0</v>
      </c>
    </row>
    <row r="924" spans="4:7">
      <c r="D924" s="44">
        <f t="shared" si="42"/>
        <v>0</v>
      </c>
      <c r="F924" s="61">
        <f t="shared" si="43"/>
        <v>0</v>
      </c>
      <c r="G924" s="59">
        <f t="shared" si="44"/>
        <v>0</v>
      </c>
    </row>
    <row r="925" spans="4:7">
      <c r="D925" s="44">
        <f t="shared" si="42"/>
        <v>0</v>
      </c>
      <c r="F925" s="61">
        <f t="shared" si="43"/>
        <v>0</v>
      </c>
      <c r="G925" s="59">
        <f t="shared" si="44"/>
        <v>0</v>
      </c>
    </row>
    <row r="926" spans="4:7">
      <c r="D926" s="44">
        <f t="shared" si="42"/>
        <v>0</v>
      </c>
      <c r="F926" s="61">
        <f t="shared" si="43"/>
        <v>0</v>
      </c>
      <c r="G926" s="59">
        <f t="shared" si="44"/>
        <v>0</v>
      </c>
    </row>
    <row r="927" spans="4:7">
      <c r="D927" s="44">
        <f t="shared" si="42"/>
        <v>0</v>
      </c>
      <c r="F927" s="61">
        <f t="shared" si="43"/>
        <v>0</v>
      </c>
      <c r="G927" s="59">
        <f t="shared" si="44"/>
        <v>0</v>
      </c>
    </row>
    <row r="928" spans="4:7">
      <c r="D928" s="44">
        <f t="shared" si="42"/>
        <v>0</v>
      </c>
      <c r="F928" s="61">
        <f t="shared" si="43"/>
        <v>0</v>
      </c>
      <c r="G928" s="59">
        <f t="shared" si="44"/>
        <v>0</v>
      </c>
    </row>
    <row r="929" spans="4:7">
      <c r="D929" s="44">
        <f t="shared" si="42"/>
        <v>0</v>
      </c>
      <c r="F929" s="61">
        <f t="shared" si="43"/>
        <v>0</v>
      </c>
      <c r="G929" s="59">
        <f t="shared" si="44"/>
        <v>0</v>
      </c>
    </row>
    <row r="930" spans="4:7">
      <c r="D930" s="44">
        <f t="shared" si="42"/>
        <v>0</v>
      </c>
      <c r="F930" s="61">
        <f t="shared" si="43"/>
        <v>0</v>
      </c>
      <c r="G930" s="59">
        <f t="shared" si="44"/>
        <v>0</v>
      </c>
    </row>
    <row r="931" spans="4:7">
      <c r="D931" s="44">
        <f t="shared" si="42"/>
        <v>0</v>
      </c>
      <c r="F931" s="61">
        <f t="shared" si="43"/>
        <v>0</v>
      </c>
      <c r="G931" s="59">
        <f t="shared" si="44"/>
        <v>0</v>
      </c>
    </row>
    <row r="932" spans="4:7">
      <c r="D932" s="44">
        <f t="shared" si="42"/>
        <v>0</v>
      </c>
      <c r="F932" s="61">
        <f t="shared" si="43"/>
        <v>0</v>
      </c>
      <c r="G932" s="59">
        <f t="shared" si="44"/>
        <v>0</v>
      </c>
    </row>
    <row r="933" spans="4:7">
      <c r="D933" s="44">
        <f t="shared" si="42"/>
        <v>0</v>
      </c>
      <c r="F933" s="61">
        <f t="shared" si="43"/>
        <v>0</v>
      </c>
      <c r="G933" s="59">
        <f t="shared" si="44"/>
        <v>0</v>
      </c>
    </row>
    <row r="934" spans="4:7">
      <c r="D934" s="44">
        <f t="shared" si="42"/>
        <v>0</v>
      </c>
      <c r="F934" s="61">
        <f t="shared" si="43"/>
        <v>0</v>
      </c>
      <c r="G934" s="59">
        <f t="shared" si="44"/>
        <v>0</v>
      </c>
    </row>
    <row r="935" spans="4:7">
      <c r="D935" s="44">
        <f t="shared" si="42"/>
        <v>0</v>
      </c>
      <c r="F935" s="61">
        <f t="shared" si="43"/>
        <v>0</v>
      </c>
      <c r="G935" s="59">
        <f t="shared" si="44"/>
        <v>0</v>
      </c>
    </row>
    <row r="936" spans="4:7">
      <c r="D936" s="44">
        <f t="shared" si="42"/>
        <v>0</v>
      </c>
      <c r="F936" s="61">
        <f t="shared" si="43"/>
        <v>0</v>
      </c>
      <c r="G936" s="59">
        <f t="shared" si="44"/>
        <v>0</v>
      </c>
    </row>
    <row r="937" spans="4:7">
      <c r="D937" s="44">
        <f t="shared" si="42"/>
        <v>0</v>
      </c>
      <c r="F937" s="61">
        <f t="shared" si="43"/>
        <v>0</v>
      </c>
      <c r="G937" s="59">
        <f t="shared" si="44"/>
        <v>0</v>
      </c>
    </row>
    <row r="938" spans="4:7">
      <c r="D938" s="44">
        <f t="shared" si="42"/>
        <v>0</v>
      </c>
      <c r="F938" s="61">
        <f t="shared" si="43"/>
        <v>0</v>
      </c>
      <c r="G938" s="59">
        <f t="shared" si="44"/>
        <v>0</v>
      </c>
    </row>
    <row r="939" spans="4:7">
      <c r="D939" s="44">
        <f t="shared" si="42"/>
        <v>0</v>
      </c>
      <c r="F939" s="61">
        <f t="shared" si="43"/>
        <v>0</v>
      </c>
      <c r="G939" s="59">
        <f t="shared" si="44"/>
        <v>0</v>
      </c>
    </row>
    <row r="940" spans="4:7">
      <c r="D940" s="44">
        <f t="shared" si="42"/>
        <v>0</v>
      </c>
      <c r="F940" s="61">
        <f t="shared" si="43"/>
        <v>0</v>
      </c>
      <c r="G940" s="59">
        <f t="shared" si="44"/>
        <v>0</v>
      </c>
    </row>
    <row r="941" spans="4:7">
      <c r="D941" s="44">
        <f t="shared" si="42"/>
        <v>0</v>
      </c>
      <c r="F941" s="61">
        <f t="shared" si="43"/>
        <v>0</v>
      </c>
      <c r="G941" s="59">
        <f t="shared" si="44"/>
        <v>0</v>
      </c>
    </row>
    <row r="942" spans="4:7">
      <c r="D942" s="44">
        <f t="shared" si="42"/>
        <v>0</v>
      </c>
      <c r="F942" s="61">
        <f t="shared" si="43"/>
        <v>0</v>
      </c>
      <c r="G942" s="59">
        <f t="shared" si="44"/>
        <v>0</v>
      </c>
    </row>
    <row r="943" spans="4:7">
      <c r="D943" s="44">
        <f t="shared" si="42"/>
        <v>0</v>
      </c>
      <c r="F943" s="61">
        <f t="shared" si="43"/>
        <v>0</v>
      </c>
      <c r="G943" s="59">
        <f t="shared" si="44"/>
        <v>0</v>
      </c>
    </row>
    <row r="944" spans="4:7">
      <c r="D944" s="44">
        <f t="shared" si="42"/>
        <v>0</v>
      </c>
      <c r="F944" s="61">
        <f t="shared" si="43"/>
        <v>0</v>
      </c>
      <c r="G944" s="59">
        <f t="shared" si="44"/>
        <v>0</v>
      </c>
    </row>
    <row r="945" spans="4:7">
      <c r="D945" s="44">
        <f t="shared" si="42"/>
        <v>0</v>
      </c>
      <c r="F945" s="61">
        <f t="shared" si="43"/>
        <v>0</v>
      </c>
      <c r="G945" s="59">
        <f t="shared" si="44"/>
        <v>0</v>
      </c>
    </row>
    <row r="946" spans="4:7">
      <c r="D946" s="44">
        <f t="shared" si="42"/>
        <v>0</v>
      </c>
      <c r="F946" s="61">
        <f t="shared" si="43"/>
        <v>0</v>
      </c>
      <c r="G946" s="59">
        <f t="shared" si="44"/>
        <v>0</v>
      </c>
    </row>
    <row r="947" spans="4:7">
      <c r="D947" s="44">
        <f t="shared" si="42"/>
        <v>0</v>
      </c>
      <c r="F947" s="61">
        <f t="shared" si="43"/>
        <v>0</v>
      </c>
      <c r="G947" s="59">
        <f t="shared" si="44"/>
        <v>0</v>
      </c>
    </row>
    <row r="948" spans="4:7">
      <c r="D948" s="44">
        <f t="shared" si="42"/>
        <v>0</v>
      </c>
      <c r="F948" s="61">
        <f t="shared" si="43"/>
        <v>0</v>
      </c>
      <c r="G948" s="59">
        <f t="shared" si="44"/>
        <v>0</v>
      </c>
    </row>
    <row r="949" spans="4:7">
      <c r="D949" s="44">
        <f t="shared" si="42"/>
        <v>0</v>
      </c>
      <c r="F949" s="61">
        <f t="shared" si="43"/>
        <v>0</v>
      </c>
      <c r="G949" s="59">
        <f t="shared" si="44"/>
        <v>0</v>
      </c>
    </row>
    <row r="950" spans="4:7">
      <c r="D950" s="44">
        <f t="shared" si="42"/>
        <v>0</v>
      </c>
      <c r="F950" s="61">
        <f t="shared" si="43"/>
        <v>0</v>
      </c>
      <c r="G950" s="59">
        <f t="shared" si="44"/>
        <v>0</v>
      </c>
    </row>
    <row r="951" spans="4:7">
      <c r="D951" s="44">
        <f t="shared" si="42"/>
        <v>0</v>
      </c>
      <c r="F951" s="61">
        <f t="shared" si="43"/>
        <v>0</v>
      </c>
      <c r="G951" s="59">
        <f t="shared" si="44"/>
        <v>0</v>
      </c>
    </row>
    <row r="952" spans="4:7">
      <c r="D952" s="44">
        <f t="shared" si="42"/>
        <v>0</v>
      </c>
      <c r="F952" s="61">
        <f t="shared" si="43"/>
        <v>0</v>
      </c>
      <c r="G952" s="59">
        <f t="shared" si="44"/>
        <v>0</v>
      </c>
    </row>
    <row r="953" spans="4:7">
      <c r="D953" s="44">
        <f t="shared" si="42"/>
        <v>0</v>
      </c>
      <c r="F953" s="61">
        <f t="shared" si="43"/>
        <v>0</v>
      </c>
      <c r="G953" s="59">
        <f t="shared" si="44"/>
        <v>0</v>
      </c>
    </row>
    <row r="954" spans="4:7">
      <c r="D954" s="44">
        <f t="shared" si="42"/>
        <v>0</v>
      </c>
      <c r="F954" s="61">
        <f t="shared" si="43"/>
        <v>0</v>
      </c>
      <c r="G954" s="59">
        <f t="shared" si="44"/>
        <v>0</v>
      </c>
    </row>
    <row r="955" spans="4:7">
      <c r="D955" s="44">
        <f t="shared" si="42"/>
        <v>0</v>
      </c>
      <c r="F955" s="61">
        <f t="shared" si="43"/>
        <v>0</v>
      </c>
      <c r="G955" s="59">
        <f t="shared" si="44"/>
        <v>0</v>
      </c>
    </row>
    <row r="956" spans="4:7">
      <c r="D956" s="44">
        <f t="shared" si="42"/>
        <v>0</v>
      </c>
      <c r="F956" s="61">
        <f t="shared" si="43"/>
        <v>0</v>
      </c>
      <c r="G956" s="59">
        <f t="shared" si="44"/>
        <v>0</v>
      </c>
    </row>
    <row r="957" spans="4:7">
      <c r="D957" s="44">
        <f t="shared" si="42"/>
        <v>0</v>
      </c>
      <c r="F957" s="61">
        <f t="shared" si="43"/>
        <v>0</v>
      </c>
      <c r="G957" s="59">
        <f t="shared" si="44"/>
        <v>0</v>
      </c>
    </row>
    <row r="958" spans="4:7">
      <c r="D958" s="44">
        <f t="shared" si="42"/>
        <v>0</v>
      </c>
      <c r="F958" s="61">
        <f t="shared" si="43"/>
        <v>0</v>
      </c>
      <c r="G958" s="59">
        <f t="shared" si="44"/>
        <v>0</v>
      </c>
    </row>
    <row r="959" spans="4:7">
      <c r="D959" s="44">
        <f t="shared" si="42"/>
        <v>0</v>
      </c>
      <c r="F959" s="61">
        <f t="shared" si="43"/>
        <v>0</v>
      </c>
      <c r="G959" s="59">
        <f t="shared" si="44"/>
        <v>0</v>
      </c>
    </row>
    <row r="960" spans="4:7">
      <c r="D960" s="44">
        <f t="shared" si="42"/>
        <v>0</v>
      </c>
      <c r="F960" s="61">
        <f t="shared" si="43"/>
        <v>0</v>
      </c>
      <c r="G960" s="59">
        <f t="shared" si="44"/>
        <v>0</v>
      </c>
    </row>
    <row r="961" spans="4:7">
      <c r="D961" s="44"/>
      <c r="F961" s="61">
        <f t="shared" si="43"/>
        <v>0</v>
      </c>
      <c r="G961" s="59">
        <f t="shared" si="44"/>
        <v>0</v>
      </c>
    </row>
  </sheetData>
  <phoneticPr fontId="4" type="noConversion"/>
  <pageMargins left="0.7" right="0.7" top="0.75" bottom="0.75" header="0.3" footer="0.3"/>
  <pageSetup paperSize="9" scale="98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theme="0"/>
    <pageSetUpPr fitToPage="1"/>
  </sheetPr>
  <dimension ref="A2:J959"/>
  <sheetViews>
    <sheetView zoomScaleNormal="100" workbookViewId="0">
      <selection activeCell="D9" sqref="D9"/>
    </sheetView>
  </sheetViews>
  <sheetFormatPr defaultColWidth="8.69921875" defaultRowHeight="17.399999999999999"/>
  <cols>
    <col min="1" max="1" width="8.69921875" style="23"/>
    <col min="2" max="2" width="35.69921875" style="15" customWidth="1"/>
    <col min="3" max="3" width="15.3984375" style="40" bestFit="1" customWidth="1"/>
    <col min="4" max="4" width="12.69921875" style="40" bestFit="1" customWidth="1"/>
    <col min="5" max="5" width="17.09765625" style="40" customWidth="1"/>
    <col min="6" max="6" width="16" style="40" customWidth="1"/>
    <col min="7" max="7" width="14.59765625" style="40" customWidth="1"/>
    <col min="8" max="8" width="11.59765625" style="23" customWidth="1"/>
    <col min="9" max="16384" width="8.69921875" style="23"/>
  </cols>
  <sheetData>
    <row r="2" spans="1:10">
      <c r="A2" s="43"/>
      <c r="B2" s="48" t="s">
        <v>53</v>
      </c>
      <c r="C2" s="44"/>
      <c r="D2" s="44"/>
      <c r="E2" s="44"/>
      <c r="F2" s="44"/>
      <c r="G2" s="44"/>
      <c r="H2" s="43"/>
      <c r="I2" s="43"/>
      <c r="J2" s="43"/>
    </row>
    <row r="3" spans="1:10">
      <c r="A3" s="43"/>
      <c r="B3" s="49"/>
      <c r="C3" s="44"/>
      <c r="D3" s="44"/>
      <c r="E3" s="59"/>
      <c r="F3" s="71">
        <v>0.15</v>
      </c>
      <c r="G3" s="71">
        <v>0.85</v>
      </c>
      <c r="H3" s="43"/>
      <c r="I3" s="43"/>
      <c r="J3" s="43"/>
    </row>
    <row r="4" spans="1:10" ht="16.5" customHeight="1">
      <c r="A4" s="43"/>
      <c r="B4" s="45" t="s">
        <v>11</v>
      </c>
      <c r="C4" s="46" t="s">
        <v>3</v>
      </c>
      <c r="D4" s="46" t="s">
        <v>4</v>
      </c>
      <c r="E4" s="46" t="s">
        <v>28</v>
      </c>
      <c r="F4" s="46" t="s">
        <v>27</v>
      </c>
      <c r="G4" s="46" t="s">
        <v>26</v>
      </c>
      <c r="H4" s="45" t="s">
        <v>8</v>
      </c>
      <c r="I4" s="43"/>
      <c r="J4" s="43"/>
    </row>
    <row r="5" spans="1:10">
      <c r="B5" s="56" t="s">
        <v>15</v>
      </c>
      <c r="C5" s="47">
        <f>ROUND(SUM(C6:C1979),0)</f>
        <v>29418183</v>
      </c>
      <c r="D5" s="47">
        <f>ROUND(SUM(D6:D1979),0)</f>
        <v>9400000</v>
      </c>
      <c r="E5" s="47">
        <f>ROUND(SUM(E6:E1979),0)</f>
        <v>20018183</v>
      </c>
      <c r="F5" s="47">
        <f>ROUND(SUM(F6:F1979),0)</f>
        <v>3002727</v>
      </c>
      <c r="G5" s="47">
        <f>ROUND(SUM(G6:G1979),0)</f>
        <v>17015456</v>
      </c>
      <c r="H5" s="41"/>
    </row>
    <row r="6" spans="1:10">
      <c r="B6" s="90" t="s">
        <v>59</v>
      </c>
      <c r="C6" s="94">
        <v>1600000</v>
      </c>
      <c r="D6" s="95">
        <v>0</v>
      </c>
      <c r="E6" s="95">
        <f>C6-D6</f>
        <v>1600000</v>
      </c>
      <c r="F6" s="96">
        <f>E6*15%</f>
        <v>240000</v>
      </c>
      <c r="G6" s="95">
        <f>E6*85%</f>
        <v>1360000</v>
      </c>
      <c r="H6" s="102"/>
      <c r="I6" s="103"/>
    </row>
    <row r="7" spans="1:10">
      <c r="B7" s="90" t="s">
        <v>134</v>
      </c>
      <c r="C7" s="144">
        <v>909092</v>
      </c>
      <c r="D7" s="145">
        <v>900000</v>
      </c>
      <c r="E7" s="95">
        <f>C7-D7</f>
        <v>9092</v>
      </c>
      <c r="F7" s="96">
        <f>E7*15%</f>
        <v>1363.8</v>
      </c>
      <c r="G7" s="95">
        <f>E7*85%</f>
        <v>7728.2</v>
      </c>
      <c r="H7" s="102"/>
      <c r="I7" s="103"/>
    </row>
    <row r="8" spans="1:10">
      <c r="B8" s="143" t="s">
        <v>179</v>
      </c>
      <c r="C8" s="147">
        <v>16000000</v>
      </c>
      <c r="D8" s="95">
        <v>0</v>
      </c>
      <c r="E8" s="141">
        <f t="shared" ref="E8" si="0">C8-D8</f>
        <v>16000000</v>
      </c>
      <c r="F8" s="93">
        <f t="shared" ref="F8" si="1">E8*15%</f>
        <v>2400000</v>
      </c>
      <c r="G8" s="101">
        <f t="shared" ref="G8" si="2">E8*85%</f>
        <v>13600000</v>
      </c>
      <c r="H8" s="102"/>
      <c r="I8" s="103"/>
    </row>
    <row r="9" spans="1:10">
      <c r="B9" s="90" t="s">
        <v>162</v>
      </c>
      <c r="C9" s="122">
        <v>10909091</v>
      </c>
      <c r="D9" s="95">
        <v>8500000</v>
      </c>
      <c r="E9" s="95">
        <f>C9-D9</f>
        <v>2409091</v>
      </c>
      <c r="F9" s="96">
        <f>E9*15%</f>
        <v>361363.64999999997</v>
      </c>
      <c r="G9" s="95">
        <f>E9*85%</f>
        <v>2047727.3499999999</v>
      </c>
      <c r="H9" s="102"/>
      <c r="I9" s="103"/>
    </row>
    <row r="10" spans="1:10">
      <c r="B10" s="90"/>
      <c r="C10" s="94"/>
      <c r="D10" s="95"/>
      <c r="E10" s="95">
        <f>C10-D10</f>
        <v>0</v>
      </c>
      <c r="F10" s="96">
        <f>E10*15%</f>
        <v>0</v>
      </c>
      <c r="G10" s="95">
        <f>E10*85%</f>
        <v>0</v>
      </c>
      <c r="H10" s="102"/>
      <c r="I10" s="103"/>
    </row>
    <row r="11" spans="1:10">
      <c r="B11" s="90"/>
      <c r="C11" s="94"/>
      <c r="D11" s="95"/>
      <c r="E11" s="95">
        <f>C11-D11</f>
        <v>0</v>
      </c>
      <c r="F11" s="96">
        <f>E11*15%</f>
        <v>0</v>
      </c>
      <c r="G11" s="95">
        <f>E11*85%</f>
        <v>0</v>
      </c>
      <c r="H11" s="102"/>
      <c r="I11" s="103"/>
    </row>
    <row r="12" spans="1:10">
      <c r="B12" s="104"/>
      <c r="C12" s="94"/>
      <c r="D12" s="95">
        <v>0</v>
      </c>
      <c r="E12" s="95">
        <f t="shared" ref="E12:E19" si="3">C12-D12</f>
        <v>0</v>
      </c>
      <c r="F12" s="96">
        <f t="shared" ref="F12:F19" si="4">E12*15%</f>
        <v>0</v>
      </c>
      <c r="G12" s="95">
        <f t="shared" ref="G12:G19" si="5">E12*85%</f>
        <v>0</v>
      </c>
      <c r="H12" s="102"/>
      <c r="I12" s="103"/>
    </row>
    <row r="13" spans="1:10">
      <c r="B13" s="104"/>
      <c r="C13" s="94"/>
      <c r="D13" s="95">
        <v>0</v>
      </c>
      <c r="E13" s="95">
        <f t="shared" si="3"/>
        <v>0</v>
      </c>
      <c r="F13" s="96">
        <f t="shared" si="4"/>
        <v>0</v>
      </c>
      <c r="G13" s="95">
        <f t="shared" si="5"/>
        <v>0</v>
      </c>
      <c r="H13" s="102"/>
      <c r="I13" s="103"/>
    </row>
    <row r="14" spans="1:10">
      <c r="B14" s="104"/>
      <c r="C14" s="94"/>
      <c r="D14" s="95">
        <v>0</v>
      </c>
      <c r="E14" s="95">
        <f t="shared" si="3"/>
        <v>0</v>
      </c>
      <c r="F14" s="96">
        <f t="shared" si="4"/>
        <v>0</v>
      </c>
      <c r="G14" s="95">
        <f t="shared" si="5"/>
        <v>0</v>
      </c>
      <c r="H14" s="102"/>
      <c r="I14" s="103"/>
    </row>
    <row r="15" spans="1:10">
      <c r="B15" s="104"/>
      <c r="C15" s="94"/>
      <c r="D15" s="95">
        <v>0</v>
      </c>
      <c r="E15" s="95">
        <f t="shared" si="3"/>
        <v>0</v>
      </c>
      <c r="F15" s="96">
        <f t="shared" si="4"/>
        <v>0</v>
      </c>
      <c r="G15" s="95">
        <f t="shared" si="5"/>
        <v>0</v>
      </c>
      <c r="H15" s="102"/>
      <c r="I15" s="103"/>
    </row>
    <row r="16" spans="1:10">
      <c r="B16" s="104"/>
      <c r="C16" s="94"/>
      <c r="D16" s="95">
        <v>0</v>
      </c>
      <c r="E16" s="95">
        <f t="shared" si="3"/>
        <v>0</v>
      </c>
      <c r="F16" s="96">
        <f t="shared" si="4"/>
        <v>0</v>
      </c>
      <c r="G16" s="95">
        <f t="shared" si="5"/>
        <v>0</v>
      </c>
      <c r="H16" s="102"/>
      <c r="I16" s="103"/>
    </row>
    <row r="17" spans="2:9">
      <c r="B17" s="104"/>
      <c r="C17" s="94"/>
      <c r="D17" s="95">
        <v>0</v>
      </c>
      <c r="E17" s="95">
        <f t="shared" si="3"/>
        <v>0</v>
      </c>
      <c r="F17" s="96">
        <f t="shared" si="4"/>
        <v>0</v>
      </c>
      <c r="G17" s="95">
        <f t="shared" si="5"/>
        <v>0</v>
      </c>
      <c r="H17" s="102"/>
      <c r="I17" s="103"/>
    </row>
    <row r="18" spans="2:9">
      <c r="B18" s="50"/>
      <c r="C18" s="94"/>
      <c r="D18" s="95">
        <v>0</v>
      </c>
      <c r="E18" s="95">
        <f t="shared" si="3"/>
        <v>0</v>
      </c>
      <c r="F18" s="96">
        <f t="shared" si="4"/>
        <v>0</v>
      </c>
      <c r="G18" s="95">
        <f t="shared" si="5"/>
        <v>0</v>
      </c>
      <c r="H18" s="102"/>
      <c r="I18" s="52"/>
    </row>
    <row r="19" spans="2:9">
      <c r="B19" s="50"/>
      <c r="C19" s="94"/>
      <c r="D19" s="95">
        <v>0</v>
      </c>
      <c r="E19" s="95">
        <f t="shared" si="3"/>
        <v>0</v>
      </c>
      <c r="F19" s="96">
        <f t="shared" si="4"/>
        <v>0</v>
      </c>
      <c r="G19" s="95">
        <f t="shared" si="5"/>
        <v>0</v>
      </c>
      <c r="H19" s="102"/>
      <c r="I19" s="52"/>
    </row>
    <row r="20" spans="2:9">
      <c r="B20" s="50"/>
      <c r="C20" s="51"/>
      <c r="D20" s="44"/>
      <c r="E20" s="44"/>
      <c r="F20" s="61"/>
      <c r="G20" s="59"/>
      <c r="H20" s="58"/>
      <c r="I20" s="52"/>
    </row>
    <row r="21" spans="2:9">
      <c r="B21" s="50"/>
      <c r="C21" s="51"/>
      <c r="D21" s="44"/>
      <c r="E21" s="44"/>
      <c r="F21" s="61"/>
      <c r="G21" s="59"/>
      <c r="H21" s="58"/>
      <c r="I21" s="52"/>
    </row>
    <row r="22" spans="2:9">
      <c r="B22" s="50"/>
      <c r="C22" s="51"/>
      <c r="D22" s="44"/>
      <c r="E22" s="44"/>
      <c r="F22" s="61"/>
      <c r="G22" s="59"/>
      <c r="H22" s="58"/>
      <c r="I22" s="52"/>
    </row>
    <row r="23" spans="2:9">
      <c r="B23" s="50"/>
      <c r="C23" s="51"/>
      <c r="D23" s="44"/>
      <c r="E23" s="44"/>
      <c r="F23" s="61"/>
      <c r="G23" s="59"/>
      <c r="H23" s="58"/>
      <c r="I23" s="52"/>
    </row>
    <row r="24" spans="2:9">
      <c r="B24" s="50"/>
      <c r="C24" s="51"/>
      <c r="D24" s="44"/>
      <c r="E24" s="44"/>
      <c r="F24" s="61"/>
      <c r="G24" s="59"/>
      <c r="H24" s="58"/>
      <c r="I24" s="52"/>
    </row>
    <row r="25" spans="2:9">
      <c r="B25" s="50"/>
      <c r="C25" s="51"/>
      <c r="D25" s="44"/>
      <c r="E25" s="44"/>
      <c r="F25" s="61"/>
      <c r="G25" s="59"/>
      <c r="H25" s="58"/>
      <c r="I25" s="52"/>
    </row>
    <row r="26" spans="2:9">
      <c r="B26" s="50"/>
      <c r="C26" s="51"/>
      <c r="D26" s="44"/>
      <c r="E26" s="44"/>
      <c r="F26" s="61"/>
      <c r="G26" s="59"/>
      <c r="H26" s="58"/>
      <c r="I26" s="52"/>
    </row>
    <row r="27" spans="2:9">
      <c r="B27" s="50"/>
      <c r="C27" s="51"/>
      <c r="D27" s="44"/>
      <c r="E27" s="44"/>
      <c r="F27" s="61"/>
      <c r="G27" s="59"/>
      <c r="H27" s="58"/>
      <c r="I27" s="52"/>
    </row>
    <row r="28" spans="2:9">
      <c r="B28" s="50"/>
      <c r="C28" s="51"/>
      <c r="D28" s="44"/>
      <c r="E28" s="44"/>
      <c r="F28" s="61"/>
      <c r="G28" s="59"/>
      <c r="H28" s="58"/>
      <c r="I28" s="52"/>
    </row>
    <row r="29" spans="2:9">
      <c r="B29" s="50"/>
      <c r="C29" s="51"/>
      <c r="D29" s="44"/>
      <c r="E29" s="44"/>
      <c r="F29" s="61"/>
      <c r="G29" s="59"/>
      <c r="H29" s="58"/>
      <c r="I29" s="52"/>
    </row>
    <row r="30" spans="2:9">
      <c r="B30" s="50"/>
      <c r="C30" s="51"/>
      <c r="D30" s="44"/>
      <c r="E30" s="44"/>
      <c r="F30" s="61"/>
      <c r="G30" s="59"/>
      <c r="H30" s="58"/>
      <c r="I30" s="52"/>
    </row>
    <row r="31" spans="2:9">
      <c r="B31" s="50"/>
      <c r="C31" s="51"/>
      <c r="D31" s="44"/>
      <c r="E31" s="44"/>
      <c r="F31" s="61"/>
      <c r="G31" s="59"/>
      <c r="H31" s="58"/>
      <c r="I31" s="52"/>
    </row>
    <row r="32" spans="2:9">
      <c r="B32" s="50"/>
      <c r="C32" s="51"/>
      <c r="D32" s="44"/>
      <c r="E32" s="44"/>
      <c r="F32" s="61"/>
      <c r="G32" s="59"/>
      <c r="H32" s="58"/>
      <c r="I32" s="52"/>
    </row>
    <row r="33" spans="2:9">
      <c r="B33" s="50"/>
      <c r="C33" s="51"/>
      <c r="D33" s="44"/>
      <c r="E33" s="44"/>
      <c r="F33" s="61"/>
      <c r="G33" s="59"/>
      <c r="H33" s="58"/>
      <c r="I33" s="52"/>
    </row>
    <row r="34" spans="2:9">
      <c r="B34" s="50"/>
      <c r="C34" s="51"/>
      <c r="D34" s="44"/>
      <c r="E34" s="44"/>
      <c r="F34" s="61"/>
      <c r="G34" s="59"/>
      <c r="H34" s="58"/>
      <c r="I34" s="52"/>
    </row>
    <row r="35" spans="2:9">
      <c r="B35" s="50"/>
      <c r="C35" s="51"/>
      <c r="D35" s="44"/>
      <c r="E35" s="44"/>
      <c r="F35" s="61"/>
      <c r="G35" s="59"/>
      <c r="H35" s="58"/>
      <c r="I35" s="52"/>
    </row>
    <row r="36" spans="2:9">
      <c r="B36" s="50"/>
      <c r="C36" s="51"/>
      <c r="D36" s="44"/>
      <c r="E36" s="44"/>
      <c r="F36" s="61"/>
      <c r="G36" s="59"/>
      <c r="H36" s="58"/>
      <c r="I36" s="52"/>
    </row>
    <row r="37" spans="2:9">
      <c r="B37" s="50"/>
      <c r="C37" s="51"/>
      <c r="D37" s="44"/>
      <c r="E37" s="44"/>
      <c r="F37" s="61"/>
      <c r="G37" s="59"/>
      <c r="H37" s="58"/>
      <c r="I37" s="52"/>
    </row>
    <row r="38" spans="2:9">
      <c r="B38" s="50"/>
      <c r="C38" s="51"/>
      <c r="D38" s="44"/>
      <c r="E38" s="44"/>
      <c r="F38" s="61"/>
      <c r="G38" s="59"/>
      <c r="H38" s="58"/>
      <c r="I38" s="52"/>
    </row>
    <row r="39" spans="2:9">
      <c r="B39" s="50"/>
      <c r="C39" s="51"/>
      <c r="D39" s="44"/>
      <c r="E39" s="44"/>
      <c r="F39" s="61"/>
      <c r="G39" s="59"/>
      <c r="H39" s="58"/>
      <c r="I39" s="52"/>
    </row>
    <row r="40" spans="2:9">
      <c r="B40" s="50"/>
      <c r="C40" s="51"/>
      <c r="D40" s="44"/>
      <c r="E40" s="44"/>
      <c r="F40" s="61"/>
      <c r="G40" s="59"/>
      <c r="H40" s="58"/>
      <c r="I40" s="52"/>
    </row>
    <row r="41" spans="2:9">
      <c r="B41" s="50"/>
      <c r="C41" s="51"/>
      <c r="D41" s="44"/>
      <c r="E41" s="44"/>
      <c r="F41" s="61"/>
      <c r="G41" s="59"/>
      <c r="H41" s="58"/>
      <c r="I41" s="52"/>
    </row>
    <row r="42" spans="2:9">
      <c r="B42" s="50"/>
      <c r="C42" s="51"/>
      <c r="D42" s="44"/>
      <c r="E42" s="44"/>
      <c r="F42" s="61"/>
      <c r="G42" s="59"/>
      <c r="H42" s="58"/>
      <c r="I42" s="52"/>
    </row>
    <row r="43" spans="2:9">
      <c r="B43" s="50"/>
      <c r="C43" s="51"/>
      <c r="D43" s="44"/>
      <c r="E43" s="44"/>
      <c r="F43" s="61"/>
      <c r="G43" s="59"/>
      <c r="H43" s="58"/>
      <c r="I43" s="52"/>
    </row>
    <row r="44" spans="2:9">
      <c r="B44" s="50"/>
      <c r="C44" s="51"/>
      <c r="D44" s="44"/>
      <c r="E44" s="44"/>
      <c r="F44" s="61"/>
      <c r="G44" s="59"/>
      <c r="H44" s="58"/>
      <c r="I44" s="52"/>
    </row>
    <row r="45" spans="2:9">
      <c r="B45" s="50"/>
      <c r="C45" s="51"/>
      <c r="D45" s="44"/>
      <c r="E45" s="44"/>
      <c r="F45" s="61"/>
      <c r="G45" s="59"/>
      <c r="H45" s="58"/>
      <c r="I45" s="52"/>
    </row>
    <row r="46" spans="2:9">
      <c r="B46" s="50"/>
      <c r="C46" s="51"/>
      <c r="D46" s="44"/>
      <c r="E46" s="44"/>
      <c r="F46" s="61"/>
      <c r="G46" s="59"/>
      <c r="H46" s="58"/>
      <c r="I46" s="52"/>
    </row>
    <row r="47" spans="2:9">
      <c r="B47" s="50"/>
      <c r="C47" s="51"/>
      <c r="D47" s="44"/>
      <c r="E47" s="44"/>
      <c r="F47" s="61"/>
      <c r="G47" s="59"/>
      <c r="H47" s="58"/>
      <c r="I47" s="52"/>
    </row>
    <row r="48" spans="2:9">
      <c r="B48" s="50"/>
      <c r="C48" s="51"/>
      <c r="D48" s="44"/>
      <c r="E48" s="44"/>
      <c r="F48" s="61"/>
      <c r="G48" s="59"/>
      <c r="H48" s="58"/>
      <c r="I48" s="52"/>
    </row>
    <row r="49" spans="2:9">
      <c r="B49" s="50"/>
      <c r="C49" s="51"/>
      <c r="D49" s="44"/>
      <c r="E49" s="44"/>
      <c r="F49" s="61"/>
      <c r="G49" s="59"/>
      <c r="H49" s="58"/>
      <c r="I49" s="52"/>
    </row>
    <row r="50" spans="2:9">
      <c r="B50" s="50"/>
      <c r="C50" s="51"/>
      <c r="D50" s="44"/>
      <c r="E50" s="44"/>
      <c r="F50" s="61"/>
      <c r="G50" s="59"/>
      <c r="H50" s="58"/>
      <c r="I50" s="52"/>
    </row>
    <row r="51" spans="2:9">
      <c r="B51" s="50"/>
      <c r="C51" s="51"/>
      <c r="D51" s="44"/>
      <c r="E51" s="44"/>
      <c r="F51" s="61"/>
      <c r="G51" s="59"/>
      <c r="H51" s="58"/>
      <c r="I51" s="52"/>
    </row>
    <row r="52" spans="2:9">
      <c r="B52" s="50"/>
      <c r="C52" s="51"/>
      <c r="D52" s="44"/>
      <c r="E52" s="44"/>
      <c r="F52" s="61"/>
      <c r="G52" s="59"/>
      <c r="H52" s="58"/>
      <c r="I52" s="52"/>
    </row>
    <row r="53" spans="2:9">
      <c r="B53" s="50"/>
      <c r="C53" s="51"/>
      <c r="D53" s="44"/>
      <c r="E53" s="44"/>
      <c r="F53" s="61"/>
      <c r="G53" s="59"/>
      <c r="H53" s="58"/>
      <c r="I53" s="52"/>
    </row>
    <row r="54" spans="2:9">
      <c r="B54" s="50"/>
      <c r="C54" s="51"/>
      <c r="D54" s="44"/>
      <c r="E54" s="44"/>
      <c r="F54" s="61"/>
      <c r="G54" s="59"/>
      <c r="H54" s="58"/>
      <c r="I54" s="52"/>
    </row>
    <row r="55" spans="2:9">
      <c r="B55" s="50"/>
      <c r="C55" s="51"/>
      <c r="D55" s="44"/>
      <c r="E55" s="44"/>
      <c r="F55" s="61"/>
      <c r="G55" s="59"/>
      <c r="H55" s="58"/>
      <c r="I55" s="52"/>
    </row>
    <row r="56" spans="2:9">
      <c r="B56" s="50"/>
      <c r="C56" s="51"/>
      <c r="D56" s="44"/>
      <c r="E56" s="44"/>
      <c r="F56" s="61"/>
      <c r="G56" s="59"/>
      <c r="H56" s="58"/>
      <c r="I56" s="52"/>
    </row>
    <row r="57" spans="2:9">
      <c r="B57" s="50"/>
      <c r="C57" s="51"/>
      <c r="D57" s="44"/>
      <c r="E57" s="44"/>
      <c r="F57" s="61"/>
      <c r="G57" s="59"/>
      <c r="H57" s="58"/>
      <c r="I57" s="52"/>
    </row>
    <row r="58" spans="2:9">
      <c r="B58" s="50"/>
      <c r="C58" s="51"/>
      <c r="D58" s="44"/>
      <c r="E58" s="44"/>
      <c r="F58" s="61"/>
      <c r="G58" s="59"/>
      <c r="H58" s="58"/>
      <c r="I58" s="52"/>
    </row>
    <row r="59" spans="2:9">
      <c r="B59" s="50"/>
      <c r="C59" s="51"/>
      <c r="D59" s="44"/>
      <c r="E59" s="44"/>
      <c r="F59" s="61"/>
      <c r="G59" s="59"/>
      <c r="H59" s="58"/>
      <c r="I59" s="52"/>
    </row>
    <row r="60" spans="2:9">
      <c r="B60" s="50"/>
      <c r="C60" s="51"/>
      <c r="D60" s="44"/>
      <c r="E60" s="44"/>
      <c r="F60" s="61"/>
      <c r="G60" s="59"/>
      <c r="H60" s="58"/>
      <c r="I60" s="52"/>
    </row>
    <row r="61" spans="2:9">
      <c r="B61" s="50"/>
      <c r="C61" s="51"/>
      <c r="D61" s="44"/>
      <c r="E61" s="44"/>
      <c r="F61" s="61"/>
      <c r="G61" s="59"/>
      <c r="H61" s="58"/>
      <c r="I61" s="52"/>
    </row>
    <row r="62" spans="2:9">
      <c r="B62" s="50"/>
      <c r="C62" s="51"/>
      <c r="D62" s="44"/>
      <c r="E62" s="44"/>
      <c r="F62" s="61"/>
      <c r="G62" s="59"/>
      <c r="H62" s="58"/>
      <c r="I62" s="52"/>
    </row>
    <row r="63" spans="2:9">
      <c r="B63" s="50"/>
      <c r="C63" s="51"/>
      <c r="D63" s="44"/>
      <c r="E63" s="44"/>
      <c r="F63" s="61"/>
      <c r="G63" s="59"/>
      <c r="H63" s="58"/>
      <c r="I63" s="52"/>
    </row>
    <row r="64" spans="2:9">
      <c r="B64" s="50"/>
      <c r="C64" s="51"/>
      <c r="D64" s="44"/>
      <c r="E64" s="44"/>
      <c r="F64" s="61"/>
      <c r="G64" s="59"/>
      <c r="H64" s="58"/>
      <c r="I64" s="52"/>
    </row>
    <row r="65" spans="2:9">
      <c r="B65" s="50"/>
      <c r="C65" s="51"/>
      <c r="D65" s="44"/>
      <c r="E65" s="44"/>
      <c r="F65" s="61"/>
      <c r="G65" s="59"/>
      <c r="H65" s="58"/>
      <c r="I65" s="52"/>
    </row>
    <row r="66" spans="2:9">
      <c r="B66" s="50"/>
      <c r="C66" s="51"/>
      <c r="D66" s="44"/>
      <c r="E66" s="44"/>
      <c r="F66" s="61"/>
      <c r="G66" s="59"/>
      <c r="H66" s="58"/>
      <c r="I66" s="52"/>
    </row>
    <row r="67" spans="2:9">
      <c r="B67" s="50"/>
      <c r="C67" s="51"/>
      <c r="D67" s="44"/>
      <c r="E67" s="44"/>
      <c r="F67" s="61"/>
      <c r="G67" s="59"/>
      <c r="H67" s="58"/>
      <c r="I67" s="52"/>
    </row>
    <row r="68" spans="2:9">
      <c r="B68" s="50"/>
      <c r="C68" s="51"/>
      <c r="D68" s="44"/>
      <c r="E68" s="44"/>
      <c r="F68" s="61"/>
      <c r="G68" s="59"/>
      <c r="H68" s="58"/>
      <c r="I68" s="52"/>
    </row>
    <row r="69" spans="2:9">
      <c r="B69" s="50"/>
      <c r="C69" s="51"/>
      <c r="D69" s="44"/>
      <c r="E69" s="44"/>
      <c r="F69" s="61"/>
      <c r="G69" s="59"/>
      <c r="H69" s="58"/>
      <c r="I69" s="52"/>
    </row>
    <row r="70" spans="2:9">
      <c r="B70" s="50"/>
      <c r="C70" s="51"/>
      <c r="D70" s="44"/>
      <c r="E70" s="44"/>
      <c r="F70" s="61"/>
      <c r="G70" s="59"/>
      <c r="H70" s="58"/>
      <c r="I70" s="52"/>
    </row>
    <row r="71" spans="2:9">
      <c r="B71" s="50"/>
      <c r="C71" s="51"/>
      <c r="D71" s="44"/>
      <c r="E71" s="44"/>
      <c r="F71" s="61"/>
      <c r="G71" s="59"/>
      <c r="H71" s="58"/>
      <c r="I71" s="52"/>
    </row>
    <row r="72" spans="2:9">
      <c r="B72" s="50"/>
      <c r="C72" s="51"/>
      <c r="D72" s="44"/>
      <c r="E72" s="44"/>
      <c r="F72" s="61"/>
      <c r="G72" s="59"/>
      <c r="H72" s="58"/>
      <c r="I72" s="52"/>
    </row>
    <row r="73" spans="2:9">
      <c r="B73" s="50"/>
      <c r="C73" s="51"/>
      <c r="D73" s="44"/>
      <c r="E73" s="44"/>
      <c r="F73" s="61"/>
      <c r="G73" s="59"/>
      <c r="H73" s="58"/>
      <c r="I73" s="52"/>
    </row>
    <row r="74" spans="2:9">
      <c r="B74" s="50"/>
      <c r="C74" s="51"/>
      <c r="D74" s="44"/>
      <c r="E74" s="44"/>
      <c r="F74" s="61"/>
      <c r="G74" s="59"/>
      <c r="H74" s="58"/>
      <c r="I74" s="52"/>
    </row>
    <row r="75" spans="2:9">
      <c r="B75" s="50"/>
      <c r="C75" s="51"/>
      <c r="D75" s="44"/>
      <c r="E75" s="44"/>
      <c r="F75" s="61"/>
      <c r="G75" s="59"/>
      <c r="H75" s="58"/>
      <c r="I75" s="52"/>
    </row>
    <row r="76" spans="2:9">
      <c r="B76" s="50"/>
      <c r="C76" s="51"/>
      <c r="D76" s="44"/>
      <c r="E76" s="44"/>
      <c r="F76" s="61"/>
      <c r="G76" s="59"/>
      <c r="H76" s="58"/>
      <c r="I76" s="52"/>
    </row>
    <row r="77" spans="2:9">
      <c r="B77" s="50"/>
      <c r="C77" s="51"/>
      <c r="D77" s="44"/>
      <c r="E77" s="44"/>
      <c r="F77" s="61"/>
      <c r="G77" s="59"/>
      <c r="H77" s="58"/>
      <c r="I77" s="52"/>
    </row>
    <row r="78" spans="2:9">
      <c r="B78" s="50"/>
      <c r="C78" s="51"/>
      <c r="D78" s="44"/>
      <c r="E78" s="44"/>
      <c r="F78" s="61"/>
      <c r="G78" s="59"/>
      <c r="H78" s="58"/>
      <c r="I78" s="52"/>
    </row>
    <row r="79" spans="2:9">
      <c r="B79" s="50"/>
      <c r="C79" s="51"/>
      <c r="D79" s="44"/>
      <c r="E79" s="44"/>
      <c r="F79" s="61"/>
      <c r="G79" s="59"/>
      <c r="H79" s="58"/>
      <c r="I79" s="52"/>
    </row>
    <row r="80" spans="2:9">
      <c r="B80" s="50"/>
      <c r="C80" s="51"/>
      <c r="D80" s="44"/>
      <c r="E80" s="44"/>
      <c r="F80" s="61"/>
      <c r="G80" s="59"/>
      <c r="H80" s="58"/>
      <c r="I80" s="52"/>
    </row>
    <row r="81" spans="2:9">
      <c r="B81" s="50"/>
      <c r="C81" s="51"/>
      <c r="D81" s="44"/>
      <c r="E81" s="44"/>
      <c r="F81" s="61"/>
      <c r="G81" s="59"/>
      <c r="H81" s="58"/>
      <c r="I81" s="52"/>
    </row>
    <row r="82" spans="2:9">
      <c r="B82" s="50"/>
      <c r="C82" s="51"/>
      <c r="D82" s="44"/>
      <c r="E82" s="44"/>
      <c r="F82" s="61"/>
      <c r="G82" s="59"/>
      <c r="H82" s="58"/>
      <c r="I82" s="52"/>
    </row>
    <row r="83" spans="2:9">
      <c r="B83" s="50"/>
      <c r="C83" s="51"/>
      <c r="D83" s="44"/>
      <c r="E83" s="44"/>
      <c r="F83" s="61"/>
      <c r="G83" s="59"/>
      <c r="H83" s="58"/>
      <c r="I83" s="52"/>
    </row>
    <row r="84" spans="2:9">
      <c r="B84" s="50"/>
      <c r="C84" s="51"/>
      <c r="D84" s="44"/>
      <c r="E84" s="44"/>
      <c r="F84" s="61"/>
      <c r="G84" s="59"/>
      <c r="H84" s="58"/>
      <c r="I84" s="52"/>
    </row>
    <row r="85" spans="2:9">
      <c r="B85" s="50"/>
      <c r="C85" s="51"/>
      <c r="D85" s="44"/>
      <c r="E85" s="44"/>
      <c r="F85" s="61"/>
      <c r="G85" s="59"/>
      <c r="H85" s="58"/>
      <c r="I85" s="52"/>
    </row>
    <row r="86" spans="2:9">
      <c r="B86" s="50"/>
      <c r="C86" s="51"/>
      <c r="D86" s="44"/>
      <c r="E86" s="44"/>
      <c r="F86" s="61"/>
      <c r="G86" s="59"/>
      <c r="H86" s="58"/>
      <c r="I86" s="52"/>
    </row>
    <row r="87" spans="2:9">
      <c r="B87" s="50"/>
      <c r="C87" s="51"/>
      <c r="D87" s="44"/>
      <c r="E87" s="44"/>
      <c r="F87" s="61"/>
      <c r="G87" s="59"/>
      <c r="H87" s="58"/>
      <c r="I87" s="52"/>
    </row>
    <row r="88" spans="2:9">
      <c r="B88" s="50"/>
      <c r="C88" s="51"/>
      <c r="D88" s="44"/>
      <c r="E88" s="44"/>
      <c r="F88" s="61"/>
      <c r="G88" s="59"/>
      <c r="H88" s="58"/>
      <c r="I88" s="52"/>
    </row>
    <row r="89" spans="2:9">
      <c r="B89" s="50"/>
      <c r="C89" s="51"/>
      <c r="D89" s="44"/>
      <c r="E89" s="44"/>
      <c r="F89" s="61"/>
      <c r="G89" s="59"/>
      <c r="H89" s="58"/>
      <c r="I89" s="52"/>
    </row>
    <row r="90" spans="2:9">
      <c r="B90" s="50"/>
      <c r="C90" s="51"/>
      <c r="D90" s="44"/>
      <c r="E90" s="44"/>
      <c r="F90" s="61"/>
      <c r="G90" s="59"/>
      <c r="H90" s="58"/>
      <c r="I90" s="52"/>
    </row>
    <row r="91" spans="2:9">
      <c r="B91" s="50"/>
      <c r="C91" s="51"/>
      <c r="D91" s="44"/>
      <c r="E91" s="44"/>
      <c r="F91" s="61"/>
      <c r="G91" s="59"/>
      <c r="H91" s="58"/>
      <c r="I91" s="52"/>
    </row>
    <row r="92" spans="2:9">
      <c r="B92" s="50"/>
      <c r="C92" s="51"/>
      <c r="D92" s="44"/>
      <c r="E92" s="44"/>
      <c r="F92" s="61"/>
      <c r="G92" s="59"/>
      <c r="H92" s="58"/>
      <c r="I92" s="52"/>
    </row>
    <row r="93" spans="2:9">
      <c r="B93" s="50"/>
      <c r="C93" s="51"/>
      <c r="D93" s="44"/>
      <c r="E93" s="44"/>
      <c r="F93" s="61"/>
      <c r="G93" s="59"/>
      <c r="H93" s="58"/>
      <c r="I93" s="52"/>
    </row>
    <row r="94" spans="2:9">
      <c r="B94" s="50"/>
      <c r="C94" s="51"/>
      <c r="D94" s="44"/>
      <c r="E94" s="44"/>
      <c r="F94" s="61"/>
      <c r="G94" s="59"/>
      <c r="H94" s="58"/>
      <c r="I94" s="52"/>
    </row>
    <row r="95" spans="2:9">
      <c r="B95" s="50"/>
      <c r="C95" s="51"/>
      <c r="D95" s="44"/>
      <c r="E95" s="44"/>
      <c r="F95" s="61"/>
      <c r="G95" s="59"/>
      <c r="H95" s="58"/>
      <c r="I95" s="52"/>
    </row>
    <row r="96" spans="2:9">
      <c r="B96" s="50"/>
      <c r="C96" s="51"/>
      <c r="D96" s="44"/>
      <c r="E96" s="44"/>
      <c r="F96" s="61"/>
      <c r="G96" s="59"/>
      <c r="H96" s="58"/>
      <c r="I96" s="52"/>
    </row>
    <row r="97" spans="2:9">
      <c r="B97" s="50"/>
      <c r="C97" s="51"/>
      <c r="D97" s="44"/>
      <c r="E97" s="44"/>
      <c r="F97" s="61"/>
      <c r="G97" s="59"/>
      <c r="H97" s="58"/>
      <c r="I97" s="52"/>
    </row>
    <row r="98" spans="2:9">
      <c r="B98" s="50"/>
      <c r="C98" s="51"/>
      <c r="D98" s="44"/>
      <c r="E98" s="44"/>
      <c r="F98" s="61"/>
      <c r="G98" s="59"/>
      <c r="H98" s="58"/>
      <c r="I98" s="52"/>
    </row>
    <row r="99" spans="2:9">
      <c r="B99" s="50"/>
      <c r="C99" s="51"/>
      <c r="D99" s="44"/>
      <c r="E99" s="44"/>
      <c r="F99" s="61"/>
      <c r="G99" s="59"/>
      <c r="H99" s="58"/>
      <c r="I99" s="52"/>
    </row>
    <row r="100" spans="2:9">
      <c r="B100" s="50"/>
      <c r="C100" s="51"/>
      <c r="D100" s="44"/>
      <c r="E100" s="44"/>
      <c r="F100" s="61"/>
      <c r="G100" s="59"/>
      <c r="H100" s="58"/>
      <c r="I100" s="52"/>
    </row>
    <row r="101" spans="2:9">
      <c r="B101" s="50"/>
      <c r="C101" s="51"/>
      <c r="D101" s="44"/>
      <c r="E101" s="44"/>
      <c r="F101" s="61"/>
      <c r="G101" s="59"/>
      <c r="H101" s="58"/>
      <c r="I101" s="52"/>
    </row>
    <row r="102" spans="2:9">
      <c r="B102" s="50"/>
      <c r="C102" s="51"/>
      <c r="D102" s="44"/>
      <c r="E102" s="44"/>
      <c r="F102" s="61"/>
      <c r="G102" s="59"/>
      <c r="H102" s="58"/>
      <c r="I102" s="52"/>
    </row>
    <row r="103" spans="2:9">
      <c r="B103" s="50"/>
      <c r="C103" s="51"/>
      <c r="D103" s="44"/>
      <c r="E103" s="44"/>
      <c r="F103" s="61"/>
      <c r="G103" s="59"/>
      <c r="H103" s="58"/>
      <c r="I103" s="52"/>
    </row>
    <row r="104" spans="2:9">
      <c r="B104" s="50"/>
      <c r="C104" s="51"/>
      <c r="D104" s="44"/>
      <c r="E104" s="44"/>
      <c r="F104" s="61"/>
      <c r="G104" s="59"/>
      <c r="H104" s="58"/>
      <c r="I104" s="52"/>
    </row>
    <row r="105" spans="2:9">
      <c r="B105" s="50"/>
      <c r="C105" s="51"/>
      <c r="D105" s="44"/>
      <c r="E105" s="44"/>
      <c r="F105" s="61"/>
      <c r="G105" s="59"/>
      <c r="H105" s="58"/>
      <c r="I105" s="52"/>
    </row>
    <row r="106" spans="2:9">
      <c r="B106" s="50"/>
      <c r="C106" s="51"/>
      <c r="D106" s="44"/>
      <c r="E106" s="44"/>
      <c r="F106" s="61"/>
      <c r="G106" s="59"/>
      <c r="H106" s="58"/>
      <c r="I106" s="52"/>
    </row>
    <row r="107" spans="2:9">
      <c r="B107" s="50"/>
      <c r="C107" s="51"/>
      <c r="D107" s="44"/>
      <c r="E107" s="44"/>
      <c r="F107" s="61"/>
      <c r="G107" s="59"/>
      <c r="H107" s="58"/>
      <c r="I107" s="52"/>
    </row>
    <row r="108" spans="2:9">
      <c r="B108" s="50"/>
      <c r="C108" s="51"/>
      <c r="D108" s="44"/>
      <c r="E108" s="44"/>
      <c r="F108" s="61"/>
      <c r="G108" s="59"/>
      <c r="H108" s="58"/>
      <c r="I108" s="52"/>
    </row>
    <row r="109" spans="2:9">
      <c r="B109" s="50"/>
      <c r="C109" s="51"/>
      <c r="D109" s="44"/>
      <c r="E109" s="44"/>
      <c r="F109" s="61"/>
      <c r="G109" s="59"/>
      <c r="H109" s="58"/>
      <c r="I109" s="52"/>
    </row>
    <row r="110" spans="2:9">
      <c r="B110" s="50"/>
      <c r="C110" s="51"/>
      <c r="D110" s="44"/>
      <c r="E110" s="44"/>
      <c r="F110" s="61"/>
      <c r="G110" s="59"/>
      <c r="H110" s="58"/>
      <c r="I110" s="52"/>
    </row>
    <row r="111" spans="2:9">
      <c r="B111" s="50"/>
      <c r="C111" s="51"/>
      <c r="D111" s="44"/>
      <c r="E111" s="44"/>
      <c r="F111" s="61"/>
      <c r="G111" s="59"/>
      <c r="H111" s="58"/>
      <c r="I111" s="52"/>
    </row>
    <row r="112" spans="2:9">
      <c r="B112" s="50"/>
      <c r="C112" s="51"/>
      <c r="D112" s="44"/>
      <c r="E112" s="44"/>
      <c r="F112" s="61"/>
      <c r="G112" s="59"/>
      <c r="H112" s="58"/>
      <c r="I112" s="52"/>
    </row>
    <row r="113" spans="2:9">
      <c r="B113" s="50"/>
      <c r="C113" s="51"/>
      <c r="D113" s="44"/>
      <c r="E113" s="44"/>
      <c r="F113" s="61"/>
      <c r="G113" s="59"/>
      <c r="H113" s="58"/>
      <c r="I113" s="52"/>
    </row>
    <row r="114" spans="2:9">
      <c r="B114" s="50"/>
      <c r="C114" s="51"/>
      <c r="D114" s="44"/>
      <c r="E114" s="44"/>
      <c r="F114" s="61"/>
      <c r="G114" s="59"/>
      <c r="H114" s="58"/>
      <c r="I114" s="52"/>
    </row>
    <row r="115" spans="2:9">
      <c r="B115" s="50"/>
      <c r="C115" s="51"/>
      <c r="D115" s="44"/>
      <c r="E115" s="44"/>
      <c r="F115" s="61"/>
      <c r="G115" s="59"/>
      <c r="H115" s="58"/>
      <c r="I115" s="52"/>
    </row>
    <row r="116" spans="2:9">
      <c r="B116" s="50"/>
      <c r="C116" s="51"/>
      <c r="D116" s="44"/>
      <c r="E116" s="44"/>
      <c r="F116" s="61"/>
      <c r="G116" s="59"/>
      <c r="H116" s="58"/>
      <c r="I116" s="52"/>
    </row>
    <row r="117" spans="2:9">
      <c r="B117" s="50"/>
      <c r="C117" s="51"/>
      <c r="D117" s="44"/>
      <c r="E117" s="44"/>
      <c r="F117" s="61"/>
      <c r="G117" s="59"/>
      <c r="H117" s="58"/>
      <c r="I117" s="52"/>
    </row>
    <row r="118" spans="2:9">
      <c r="B118" s="50"/>
      <c r="C118" s="51"/>
      <c r="D118" s="44"/>
      <c r="E118" s="44"/>
      <c r="F118" s="61"/>
      <c r="G118" s="59"/>
      <c r="H118" s="58"/>
      <c r="I118" s="52"/>
    </row>
    <row r="119" spans="2:9">
      <c r="B119" s="50"/>
      <c r="C119" s="51"/>
      <c r="D119" s="44"/>
      <c r="E119" s="44"/>
      <c r="F119" s="61"/>
      <c r="G119" s="59"/>
      <c r="H119" s="58"/>
      <c r="I119" s="52"/>
    </row>
    <row r="120" spans="2:9">
      <c r="B120" s="50"/>
      <c r="C120" s="51"/>
      <c r="D120" s="44"/>
      <c r="E120" s="44"/>
      <c r="F120" s="61"/>
      <c r="G120" s="59"/>
      <c r="H120" s="58"/>
      <c r="I120" s="52"/>
    </row>
    <row r="121" spans="2:9">
      <c r="B121" s="50"/>
      <c r="C121" s="51"/>
      <c r="D121" s="44"/>
      <c r="E121" s="44"/>
      <c r="F121" s="61"/>
      <c r="G121" s="59"/>
      <c r="H121" s="58"/>
      <c r="I121" s="52"/>
    </row>
    <row r="122" spans="2:9">
      <c r="B122" s="50"/>
      <c r="C122" s="51"/>
      <c r="D122" s="44"/>
      <c r="E122" s="44"/>
      <c r="F122" s="61"/>
      <c r="G122" s="59"/>
      <c r="H122" s="58"/>
      <c r="I122" s="52"/>
    </row>
    <row r="123" spans="2:9">
      <c r="B123" s="50"/>
      <c r="C123" s="51"/>
      <c r="D123" s="44"/>
      <c r="E123" s="44"/>
      <c r="F123" s="61"/>
      <c r="G123" s="59"/>
      <c r="H123" s="58"/>
      <c r="I123" s="52"/>
    </row>
    <row r="124" spans="2:9">
      <c r="B124" s="50"/>
      <c r="C124" s="51"/>
      <c r="D124" s="44"/>
      <c r="E124" s="44"/>
      <c r="F124" s="61"/>
      <c r="G124" s="59"/>
      <c r="H124" s="58"/>
      <c r="I124" s="52"/>
    </row>
    <row r="125" spans="2:9">
      <c r="B125" s="50"/>
      <c r="C125" s="51"/>
      <c r="D125" s="44"/>
      <c r="E125" s="44"/>
      <c r="F125" s="61"/>
      <c r="G125" s="59"/>
      <c r="H125" s="58"/>
      <c r="I125" s="52"/>
    </row>
    <row r="126" spans="2:9">
      <c r="B126" s="50"/>
      <c r="C126" s="51"/>
      <c r="D126" s="44"/>
      <c r="E126" s="44"/>
      <c r="F126" s="61"/>
      <c r="G126" s="59"/>
      <c r="H126" s="58"/>
      <c r="I126" s="52"/>
    </row>
    <row r="127" spans="2:9">
      <c r="B127" s="50"/>
      <c r="C127" s="51"/>
      <c r="D127" s="44"/>
      <c r="E127" s="44"/>
      <c r="F127" s="61"/>
      <c r="G127" s="59"/>
      <c r="H127" s="58"/>
      <c r="I127" s="52"/>
    </row>
    <row r="128" spans="2:9">
      <c r="B128" s="50"/>
      <c r="C128" s="51"/>
      <c r="D128" s="44"/>
      <c r="E128" s="44"/>
      <c r="F128" s="61"/>
      <c r="G128" s="59"/>
      <c r="H128" s="58"/>
      <c r="I128" s="52"/>
    </row>
    <row r="129" spans="2:9">
      <c r="B129" s="50"/>
      <c r="C129" s="51"/>
      <c r="D129" s="44"/>
      <c r="E129" s="44"/>
      <c r="F129" s="61"/>
      <c r="G129" s="59"/>
      <c r="H129" s="58"/>
      <c r="I129" s="52"/>
    </row>
    <row r="130" spans="2:9">
      <c r="B130" s="50"/>
      <c r="C130" s="51"/>
      <c r="D130" s="44"/>
      <c r="E130" s="44"/>
      <c r="F130" s="61"/>
      <c r="G130" s="59"/>
      <c r="H130" s="58"/>
      <c r="I130" s="52"/>
    </row>
    <row r="131" spans="2:9">
      <c r="B131" s="50"/>
      <c r="C131" s="51"/>
      <c r="D131" s="44"/>
      <c r="E131" s="44"/>
      <c r="F131" s="61"/>
      <c r="G131" s="59"/>
      <c r="H131" s="58"/>
      <c r="I131" s="52"/>
    </row>
    <row r="132" spans="2:9">
      <c r="B132" s="50"/>
      <c r="C132" s="51"/>
      <c r="D132" s="44"/>
      <c r="E132" s="44"/>
      <c r="F132" s="61"/>
      <c r="G132" s="59"/>
      <c r="H132" s="58"/>
      <c r="I132" s="52"/>
    </row>
    <row r="133" spans="2:9">
      <c r="B133" s="50"/>
      <c r="C133" s="51"/>
      <c r="D133" s="44"/>
      <c r="E133" s="44"/>
      <c r="F133" s="61"/>
      <c r="G133" s="59"/>
      <c r="H133" s="58"/>
      <c r="I133" s="52"/>
    </row>
    <row r="134" spans="2:9">
      <c r="B134" s="50"/>
      <c r="C134" s="51"/>
      <c r="D134" s="44"/>
      <c r="E134" s="44"/>
      <c r="F134" s="61"/>
      <c r="G134" s="59"/>
      <c r="H134" s="58"/>
      <c r="I134" s="52"/>
    </row>
    <row r="135" spans="2:9">
      <c r="B135" s="50"/>
      <c r="C135" s="51"/>
      <c r="D135" s="44"/>
      <c r="E135" s="44"/>
      <c r="F135" s="61"/>
      <c r="G135" s="59"/>
      <c r="H135" s="58"/>
      <c r="I135" s="52"/>
    </row>
    <row r="136" spans="2:9">
      <c r="B136" s="50"/>
      <c r="C136" s="51"/>
      <c r="D136" s="44"/>
      <c r="E136" s="44"/>
      <c r="F136" s="61"/>
      <c r="G136" s="59"/>
      <c r="H136" s="58"/>
      <c r="I136" s="52"/>
    </row>
    <row r="137" spans="2:9">
      <c r="B137" s="50"/>
      <c r="C137" s="51"/>
      <c r="D137" s="44"/>
      <c r="E137" s="44"/>
      <c r="F137" s="61"/>
      <c r="G137" s="59"/>
      <c r="H137" s="58"/>
      <c r="I137" s="52"/>
    </row>
    <row r="138" spans="2:9">
      <c r="B138" s="50"/>
      <c r="C138" s="51"/>
      <c r="D138" s="44"/>
      <c r="E138" s="44"/>
      <c r="F138" s="61"/>
      <c r="G138" s="59"/>
      <c r="H138" s="58"/>
      <c r="I138" s="52"/>
    </row>
    <row r="139" spans="2:9">
      <c r="B139" s="50"/>
      <c r="C139" s="51"/>
      <c r="D139" s="44"/>
      <c r="E139" s="44"/>
      <c r="F139" s="61"/>
      <c r="G139" s="59"/>
      <c r="H139" s="58"/>
      <c r="I139" s="52"/>
    </row>
    <row r="140" spans="2:9">
      <c r="B140" s="50"/>
      <c r="C140" s="51"/>
      <c r="D140" s="44"/>
      <c r="E140" s="44"/>
      <c r="F140" s="61"/>
      <c r="G140" s="59"/>
      <c r="H140" s="58"/>
      <c r="I140" s="52"/>
    </row>
    <row r="141" spans="2:9">
      <c r="B141" s="50"/>
      <c r="C141" s="51"/>
      <c r="D141" s="44"/>
      <c r="E141" s="44"/>
      <c r="F141" s="61"/>
      <c r="G141" s="59"/>
      <c r="H141" s="58"/>
      <c r="I141" s="52"/>
    </row>
    <row r="142" spans="2:9">
      <c r="B142" s="50"/>
      <c r="C142" s="51"/>
      <c r="D142" s="44"/>
      <c r="E142" s="44"/>
      <c r="F142" s="61"/>
      <c r="G142" s="59"/>
      <c r="H142" s="58"/>
      <c r="I142" s="52"/>
    </row>
    <row r="143" spans="2:9">
      <c r="B143" s="50"/>
      <c r="C143" s="51"/>
      <c r="D143" s="44"/>
      <c r="E143" s="44"/>
      <c r="F143" s="61"/>
      <c r="G143" s="59"/>
      <c r="H143" s="58"/>
      <c r="I143" s="52"/>
    </row>
    <row r="144" spans="2:9">
      <c r="B144" s="50"/>
      <c r="C144" s="51"/>
      <c r="D144" s="44"/>
      <c r="E144" s="44"/>
      <c r="F144" s="61"/>
      <c r="G144" s="59"/>
      <c r="H144" s="58"/>
      <c r="I144" s="52"/>
    </row>
    <row r="145" spans="2:9">
      <c r="B145" s="50"/>
      <c r="C145" s="51"/>
      <c r="D145" s="44"/>
      <c r="E145" s="44"/>
      <c r="F145" s="61"/>
      <c r="G145" s="59"/>
      <c r="H145" s="58"/>
      <c r="I145" s="52"/>
    </row>
    <row r="146" spans="2:9">
      <c r="B146" s="50"/>
      <c r="C146" s="51"/>
      <c r="D146" s="44"/>
      <c r="E146" s="44"/>
      <c r="F146" s="61"/>
      <c r="G146" s="59"/>
      <c r="H146" s="58"/>
      <c r="I146" s="52"/>
    </row>
    <row r="147" spans="2:9">
      <c r="B147" s="50"/>
      <c r="C147" s="51"/>
      <c r="D147" s="44"/>
      <c r="E147" s="44"/>
      <c r="F147" s="61"/>
      <c r="G147" s="59"/>
      <c r="H147" s="58"/>
      <c r="I147" s="52"/>
    </row>
    <row r="148" spans="2:9">
      <c r="B148" s="50"/>
      <c r="C148" s="51"/>
      <c r="D148" s="44"/>
      <c r="E148" s="44"/>
      <c r="F148" s="61"/>
      <c r="G148" s="59"/>
      <c r="H148" s="58"/>
      <c r="I148" s="52"/>
    </row>
    <row r="149" spans="2:9">
      <c r="B149" s="50"/>
      <c r="C149" s="51"/>
      <c r="D149" s="44"/>
      <c r="E149" s="44"/>
      <c r="F149" s="61"/>
      <c r="G149" s="59"/>
      <c r="H149" s="58"/>
      <c r="I149" s="52"/>
    </row>
    <row r="150" spans="2:9">
      <c r="B150" s="50"/>
      <c r="C150" s="51"/>
      <c r="D150" s="44"/>
      <c r="E150" s="44"/>
      <c r="F150" s="61"/>
      <c r="G150" s="59"/>
      <c r="H150" s="58"/>
      <c r="I150" s="52"/>
    </row>
    <row r="151" spans="2:9">
      <c r="B151" s="50"/>
      <c r="C151" s="51"/>
      <c r="D151" s="44"/>
      <c r="E151" s="44"/>
      <c r="F151" s="61"/>
      <c r="G151" s="59"/>
      <c r="H151" s="58"/>
      <c r="I151" s="52"/>
    </row>
    <row r="152" spans="2:9">
      <c r="B152" s="50"/>
      <c r="C152" s="51"/>
      <c r="D152" s="44"/>
      <c r="E152" s="44"/>
      <c r="F152" s="61"/>
      <c r="G152" s="59"/>
      <c r="H152" s="58"/>
      <c r="I152" s="52"/>
    </row>
    <row r="153" spans="2:9">
      <c r="B153" s="50"/>
      <c r="C153" s="51"/>
      <c r="D153" s="44"/>
      <c r="E153" s="44"/>
      <c r="F153" s="61"/>
      <c r="G153" s="59"/>
      <c r="H153" s="58"/>
      <c r="I153" s="52"/>
    </row>
    <row r="154" spans="2:9">
      <c r="B154" s="50"/>
      <c r="C154" s="51"/>
      <c r="D154" s="44"/>
      <c r="E154" s="44"/>
      <c r="F154" s="61"/>
      <c r="G154" s="59"/>
      <c r="H154" s="58"/>
      <c r="I154" s="52"/>
    </row>
    <row r="155" spans="2:9">
      <c r="B155" s="50"/>
      <c r="C155" s="51"/>
      <c r="D155" s="44"/>
      <c r="E155" s="44"/>
      <c r="F155" s="61"/>
      <c r="G155" s="59"/>
      <c r="H155" s="58"/>
      <c r="I155" s="52"/>
    </row>
    <row r="156" spans="2:9">
      <c r="B156" s="50"/>
      <c r="C156" s="51"/>
      <c r="D156" s="44"/>
      <c r="E156" s="44"/>
      <c r="F156" s="61"/>
      <c r="G156" s="59"/>
      <c r="H156" s="58"/>
      <c r="I156" s="52"/>
    </row>
    <row r="157" spans="2:9">
      <c r="B157" s="50"/>
      <c r="C157" s="51"/>
      <c r="D157" s="44"/>
      <c r="E157" s="44"/>
      <c r="F157" s="61"/>
      <c r="G157" s="59"/>
      <c r="H157" s="58"/>
      <c r="I157" s="52"/>
    </row>
    <row r="158" spans="2:9">
      <c r="B158" s="50"/>
      <c r="C158" s="51"/>
      <c r="D158" s="44"/>
      <c r="E158" s="44"/>
      <c r="F158" s="61"/>
      <c r="G158" s="59"/>
      <c r="H158" s="58"/>
      <c r="I158" s="52"/>
    </row>
    <row r="159" spans="2:9">
      <c r="B159" s="50"/>
      <c r="C159" s="51"/>
      <c r="D159" s="44"/>
      <c r="E159" s="44"/>
      <c r="F159" s="61"/>
      <c r="G159" s="59"/>
      <c r="H159" s="58"/>
      <c r="I159" s="52"/>
    </row>
    <row r="160" spans="2:9">
      <c r="B160" s="50"/>
      <c r="C160" s="51"/>
      <c r="D160" s="44"/>
      <c r="E160" s="44"/>
      <c r="F160" s="61"/>
      <c r="G160" s="59"/>
      <c r="H160" s="58"/>
      <c r="I160" s="52"/>
    </row>
    <row r="161" spans="2:9">
      <c r="B161" s="50"/>
      <c r="C161" s="51"/>
      <c r="D161" s="44"/>
      <c r="E161" s="44"/>
      <c r="F161" s="61"/>
      <c r="G161" s="59"/>
      <c r="H161" s="58"/>
      <c r="I161" s="52"/>
    </row>
    <row r="162" spans="2:9">
      <c r="B162" s="50"/>
      <c r="C162" s="51"/>
      <c r="D162" s="44"/>
      <c r="E162" s="44"/>
      <c r="F162" s="61"/>
      <c r="G162" s="59"/>
      <c r="H162" s="58"/>
      <c r="I162" s="52"/>
    </row>
    <row r="163" spans="2:9">
      <c r="B163" s="50"/>
      <c r="C163" s="51"/>
      <c r="D163" s="44"/>
      <c r="E163" s="44"/>
      <c r="F163" s="61"/>
      <c r="G163" s="59"/>
      <c r="H163" s="58"/>
      <c r="I163" s="52"/>
    </row>
    <row r="164" spans="2:9">
      <c r="B164" s="50"/>
      <c r="C164" s="51"/>
      <c r="D164" s="44"/>
      <c r="E164" s="44"/>
      <c r="F164" s="61"/>
      <c r="G164" s="59"/>
      <c r="H164" s="58"/>
      <c r="I164" s="52"/>
    </row>
    <row r="165" spans="2:9">
      <c r="B165" s="50"/>
      <c r="C165" s="51"/>
      <c r="D165" s="44"/>
      <c r="E165" s="44"/>
      <c r="F165" s="61"/>
      <c r="G165" s="59"/>
      <c r="H165" s="58"/>
      <c r="I165" s="52"/>
    </row>
    <row r="166" spans="2:9">
      <c r="B166" s="50"/>
      <c r="C166" s="51"/>
      <c r="D166" s="44"/>
      <c r="E166" s="44"/>
      <c r="F166" s="61"/>
      <c r="G166" s="59"/>
      <c r="H166" s="58"/>
      <c r="I166" s="52"/>
    </row>
    <row r="167" spans="2:9">
      <c r="B167" s="50"/>
      <c r="C167" s="51"/>
      <c r="D167" s="44"/>
      <c r="E167" s="44"/>
      <c r="F167" s="61"/>
      <c r="G167" s="59"/>
      <c r="H167" s="58"/>
      <c r="I167" s="52"/>
    </row>
    <row r="168" spans="2:9">
      <c r="B168" s="50"/>
      <c r="C168" s="51"/>
      <c r="D168" s="44"/>
      <c r="E168" s="44"/>
      <c r="F168" s="61"/>
      <c r="G168" s="59"/>
      <c r="H168" s="58"/>
      <c r="I168" s="52"/>
    </row>
    <row r="169" spans="2:9">
      <c r="B169" s="50"/>
      <c r="C169" s="51"/>
      <c r="D169" s="44"/>
      <c r="E169" s="44"/>
      <c r="F169" s="61"/>
      <c r="G169" s="59"/>
      <c r="H169" s="58"/>
      <c r="I169" s="52"/>
    </row>
    <row r="170" spans="2:9">
      <c r="B170" s="50"/>
      <c r="C170" s="51"/>
      <c r="D170" s="44"/>
      <c r="E170" s="44"/>
      <c r="F170" s="61"/>
      <c r="G170" s="59"/>
      <c r="H170" s="58"/>
      <c r="I170" s="52"/>
    </row>
    <row r="171" spans="2:9">
      <c r="B171" s="50"/>
      <c r="C171" s="51"/>
      <c r="D171" s="44"/>
      <c r="E171" s="44"/>
      <c r="F171" s="61"/>
      <c r="G171" s="59"/>
      <c r="H171" s="58"/>
      <c r="I171" s="52"/>
    </row>
    <row r="172" spans="2:9">
      <c r="B172" s="50"/>
      <c r="C172" s="51"/>
      <c r="D172" s="44"/>
      <c r="E172" s="44"/>
      <c r="F172" s="61"/>
      <c r="G172" s="59"/>
      <c r="H172" s="58"/>
      <c r="I172" s="52"/>
    </row>
    <row r="173" spans="2:9">
      <c r="B173" s="50"/>
      <c r="C173" s="51"/>
      <c r="D173" s="44"/>
      <c r="E173" s="44"/>
      <c r="F173" s="61"/>
      <c r="G173" s="59"/>
      <c r="H173" s="58"/>
      <c r="I173" s="52"/>
    </row>
    <row r="174" spans="2:9">
      <c r="B174" s="50"/>
      <c r="C174" s="51"/>
      <c r="D174" s="44"/>
      <c r="E174" s="44"/>
      <c r="F174" s="61"/>
      <c r="G174" s="59"/>
      <c r="H174" s="58"/>
      <c r="I174" s="52"/>
    </row>
    <row r="175" spans="2:9">
      <c r="B175" s="50"/>
      <c r="C175" s="51"/>
      <c r="D175" s="44"/>
      <c r="E175" s="44"/>
      <c r="F175" s="61"/>
      <c r="G175" s="59"/>
      <c r="H175" s="58"/>
      <c r="I175" s="52"/>
    </row>
    <row r="176" spans="2:9">
      <c r="B176" s="50"/>
      <c r="C176" s="51"/>
      <c r="D176" s="44"/>
      <c r="E176" s="44"/>
      <c r="F176" s="61"/>
      <c r="G176" s="59"/>
      <c r="H176" s="58"/>
      <c r="I176" s="52"/>
    </row>
    <row r="177" spans="2:9">
      <c r="B177" s="50"/>
      <c r="C177" s="51"/>
      <c r="D177" s="44"/>
      <c r="E177" s="44"/>
      <c r="F177" s="61"/>
      <c r="G177" s="59"/>
      <c r="H177" s="58"/>
      <c r="I177" s="52"/>
    </row>
    <row r="178" spans="2:9">
      <c r="B178" s="50"/>
      <c r="C178" s="51"/>
      <c r="D178" s="44"/>
      <c r="E178" s="44"/>
      <c r="F178" s="61"/>
      <c r="G178" s="59"/>
      <c r="H178" s="58"/>
      <c r="I178" s="52"/>
    </row>
    <row r="179" spans="2:9">
      <c r="B179" s="50"/>
      <c r="C179" s="51"/>
      <c r="D179" s="44"/>
      <c r="E179" s="44"/>
      <c r="F179" s="61"/>
      <c r="G179" s="59"/>
      <c r="H179" s="58"/>
      <c r="I179" s="52"/>
    </row>
    <row r="180" spans="2:9">
      <c r="B180" s="50"/>
      <c r="C180" s="51"/>
      <c r="D180" s="44"/>
      <c r="E180" s="44"/>
      <c r="F180" s="61"/>
      <c r="G180" s="59"/>
      <c r="H180" s="58"/>
      <c r="I180" s="52"/>
    </row>
    <row r="181" spans="2:9">
      <c r="B181" s="50"/>
      <c r="C181" s="51"/>
      <c r="D181" s="44"/>
      <c r="E181" s="44"/>
      <c r="F181" s="61"/>
      <c r="G181" s="59"/>
      <c r="H181" s="58"/>
      <c r="I181" s="52"/>
    </row>
    <row r="182" spans="2:9">
      <c r="B182" s="50"/>
      <c r="C182" s="51"/>
      <c r="D182" s="44"/>
      <c r="E182" s="44"/>
      <c r="F182" s="61"/>
      <c r="G182" s="59"/>
      <c r="H182" s="58"/>
      <c r="I182" s="52"/>
    </row>
    <row r="183" spans="2:9">
      <c r="B183" s="50"/>
      <c r="C183" s="51"/>
      <c r="D183" s="44"/>
      <c r="E183" s="44"/>
      <c r="F183" s="61"/>
      <c r="G183" s="59"/>
      <c r="H183" s="58"/>
      <c r="I183" s="52"/>
    </row>
    <row r="184" spans="2:9">
      <c r="B184" s="50"/>
      <c r="C184" s="51"/>
      <c r="D184" s="44"/>
      <c r="E184" s="44"/>
      <c r="F184" s="61"/>
      <c r="G184" s="59"/>
      <c r="H184" s="58"/>
      <c r="I184" s="52"/>
    </row>
    <row r="185" spans="2:9">
      <c r="B185" s="50"/>
      <c r="C185" s="51"/>
      <c r="D185" s="44"/>
      <c r="E185" s="44"/>
      <c r="F185" s="61"/>
      <c r="G185" s="59"/>
      <c r="H185" s="58"/>
      <c r="I185" s="52"/>
    </row>
    <row r="186" spans="2:9">
      <c r="B186" s="50"/>
      <c r="C186" s="51"/>
      <c r="D186" s="44"/>
      <c r="E186" s="44"/>
      <c r="F186" s="61"/>
      <c r="G186" s="59"/>
      <c r="H186" s="58"/>
      <c r="I186" s="52"/>
    </row>
    <row r="187" spans="2:9">
      <c r="B187" s="50"/>
      <c r="C187" s="51"/>
      <c r="D187" s="44"/>
      <c r="E187" s="44"/>
      <c r="F187" s="61"/>
      <c r="G187" s="59"/>
      <c r="H187" s="58"/>
      <c r="I187" s="52"/>
    </row>
    <row r="188" spans="2:9">
      <c r="B188" s="50"/>
      <c r="C188" s="51"/>
      <c r="D188" s="44"/>
      <c r="E188" s="44"/>
      <c r="F188" s="61"/>
      <c r="G188" s="59"/>
      <c r="H188" s="58"/>
      <c r="I188" s="52"/>
    </row>
    <row r="189" spans="2:9">
      <c r="B189" s="50"/>
      <c r="C189" s="51"/>
      <c r="D189" s="44"/>
      <c r="E189" s="44"/>
      <c r="F189" s="61"/>
      <c r="G189" s="59"/>
      <c r="H189" s="58"/>
      <c r="I189" s="52"/>
    </row>
    <row r="190" spans="2:9">
      <c r="B190" s="50"/>
      <c r="C190" s="51"/>
      <c r="D190" s="44"/>
      <c r="E190" s="44"/>
      <c r="F190" s="61"/>
      <c r="G190" s="59"/>
      <c r="H190" s="58"/>
      <c r="I190" s="52"/>
    </row>
    <row r="191" spans="2:9">
      <c r="B191" s="50"/>
      <c r="C191" s="51"/>
      <c r="D191" s="44"/>
      <c r="E191" s="44"/>
      <c r="F191" s="61"/>
      <c r="G191" s="59"/>
      <c r="H191" s="58"/>
      <c r="I191" s="52"/>
    </row>
    <row r="192" spans="2:9">
      <c r="B192" s="50"/>
      <c r="C192" s="51"/>
      <c r="D192" s="44"/>
      <c r="E192" s="44"/>
      <c r="F192" s="61"/>
      <c r="G192" s="59"/>
      <c r="H192" s="58"/>
      <c r="I192" s="52"/>
    </row>
    <row r="193" spans="2:9">
      <c r="B193" s="50"/>
      <c r="C193" s="51"/>
      <c r="D193" s="44"/>
      <c r="E193" s="44"/>
      <c r="F193" s="61"/>
      <c r="G193" s="59"/>
      <c r="H193" s="58"/>
      <c r="I193" s="52"/>
    </row>
    <row r="194" spans="2:9">
      <c r="B194" s="50"/>
      <c r="C194" s="51"/>
      <c r="D194" s="44"/>
      <c r="E194" s="44"/>
      <c r="F194" s="61"/>
      <c r="G194" s="59"/>
      <c r="H194" s="58"/>
      <c r="I194" s="52"/>
    </row>
    <row r="195" spans="2:9">
      <c r="B195" s="50"/>
      <c r="C195" s="51"/>
      <c r="D195" s="44"/>
      <c r="E195" s="44"/>
      <c r="F195" s="61"/>
      <c r="G195" s="59"/>
      <c r="H195" s="58"/>
      <c r="I195" s="52"/>
    </row>
    <row r="196" spans="2:9">
      <c r="B196" s="50"/>
      <c r="C196" s="51"/>
      <c r="D196" s="44"/>
      <c r="E196" s="44"/>
      <c r="F196" s="61"/>
      <c r="G196" s="59"/>
      <c r="H196" s="58"/>
      <c r="I196" s="52"/>
    </row>
    <row r="197" spans="2:9">
      <c r="B197" s="50"/>
      <c r="C197" s="51"/>
      <c r="D197" s="44"/>
      <c r="E197" s="44"/>
      <c r="F197" s="61"/>
      <c r="G197" s="59"/>
      <c r="H197" s="58"/>
      <c r="I197" s="52"/>
    </row>
    <row r="198" spans="2:9">
      <c r="B198" s="50"/>
      <c r="C198" s="51"/>
      <c r="D198" s="44"/>
      <c r="E198" s="44"/>
      <c r="F198" s="61"/>
      <c r="G198" s="59"/>
      <c r="H198" s="58"/>
      <c r="I198" s="52"/>
    </row>
    <row r="199" spans="2:9">
      <c r="B199" s="50"/>
      <c r="C199" s="51"/>
      <c r="D199" s="44"/>
      <c r="E199" s="44"/>
      <c r="F199" s="61"/>
      <c r="G199" s="59"/>
      <c r="H199" s="58"/>
      <c r="I199" s="52"/>
    </row>
    <row r="200" spans="2:9">
      <c r="B200" s="50"/>
      <c r="C200" s="51"/>
      <c r="D200" s="44"/>
      <c r="E200" s="44"/>
      <c r="F200" s="61"/>
      <c r="G200" s="59"/>
      <c r="H200" s="58"/>
      <c r="I200" s="52"/>
    </row>
    <row r="201" spans="2:9">
      <c r="B201" s="50"/>
      <c r="C201" s="51"/>
      <c r="D201" s="44"/>
      <c r="E201" s="44"/>
      <c r="F201" s="61"/>
      <c r="G201" s="59"/>
      <c r="H201" s="58"/>
      <c r="I201" s="52"/>
    </row>
    <row r="202" spans="2:9">
      <c r="B202" s="50"/>
      <c r="C202" s="51"/>
      <c r="D202" s="44"/>
      <c r="E202" s="44"/>
      <c r="F202" s="61"/>
      <c r="G202" s="59"/>
      <c r="H202" s="58"/>
      <c r="I202" s="52"/>
    </row>
    <row r="203" spans="2:9">
      <c r="B203" s="50"/>
      <c r="C203" s="51"/>
      <c r="D203" s="44"/>
      <c r="E203" s="44"/>
      <c r="F203" s="61"/>
      <c r="G203" s="59"/>
      <c r="H203" s="58"/>
      <c r="I203" s="52"/>
    </row>
    <row r="204" spans="2:9">
      <c r="B204" s="50"/>
      <c r="C204" s="51"/>
      <c r="D204" s="44"/>
      <c r="E204" s="44"/>
      <c r="F204" s="61"/>
      <c r="G204" s="59"/>
      <c r="H204" s="58"/>
      <c r="I204" s="52"/>
    </row>
    <row r="205" spans="2:9">
      <c r="B205" s="50"/>
      <c r="C205" s="51"/>
      <c r="D205" s="44"/>
      <c r="E205" s="44"/>
      <c r="F205" s="61"/>
      <c r="G205" s="59"/>
      <c r="H205" s="58"/>
      <c r="I205" s="52"/>
    </row>
    <row r="206" spans="2:9">
      <c r="B206" s="50"/>
      <c r="C206" s="51"/>
      <c r="D206" s="44"/>
      <c r="E206" s="44"/>
      <c r="F206" s="61"/>
      <c r="G206" s="59"/>
      <c r="H206" s="58"/>
      <c r="I206" s="52"/>
    </row>
    <row r="207" spans="2:9">
      <c r="B207" s="50"/>
      <c r="C207" s="51"/>
      <c r="D207" s="44"/>
      <c r="E207" s="44"/>
      <c r="F207" s="61"/>
      <c r="G207" s="59"/>
      <c r="H207" s="58"/>
      <c r="I207" s="52"/>
    </row>
    <row r="208" spans="2:9">
      <c r="B208" s="50"/>
      <c r="C208" s="51"/>
      <c r="D208" s="44"/>
      <c r="E208" s="44"/>
      <c r="F208" s="61"/>
      <c r="G208" s="59"/>
      <c r="H208" s="58"/>
      <c r="I208" s="52"/>
    </row>
    <row r="209" spans="2:9">
      <c r="B209" s="50"/>
      <c r="C209" s="51"/>
      <c r="D209" s="44"/>
      <c r="E209" s="44"/>
      <c r="F209" s="61"/>
      <c r="G209" s="59"/>
      <c r="H209" s="58"/>
      <c r="I209" s="52"/>
    </row>
    <row r="210" spans="2:9">
      <c r="B210" s="50"/>
      <c r="C210" s="51"/>
      <c r="D210" s="44"/>
      <c r="E210" s="44"/>
      <c r="F210" s="61"/>
      <c r="G210" s="59"/>
      <c r="H210" s="58"/>
      <c r="I210" s="52"/>
    </row>
    <row r="211" spans="2:9">
      <c r="B211" s="50"/>
      <c r="C211" s="51"/>
      <c r="D211" s="44"/>
      <c r="E211" s="44"/>
      <c r="F211" s="61"/>
      <c r="G211" s="59"/>
      <c r="H211" s="58"/>
      <c r="I211" s="52"/>
    </row>
    <row r="212" spans="2:9">
      <c r="B212" s="50"/>
      <c r="C212" s="51"/>
      <c r="D212" s="44"/>
      <c r="E212" s="44"/>
      <c r="F212" s="61"/>
      <c r="G212" s="59"/>
      <c r="H212" s="58"/>
      <c r="I212" s="52"/>
    </row>
    <row r="213" spans="2:9">
      <c r="B213" s="50"/>
      <c r="C213" s="51"/>
      <c r="D213" s="44"/>
      <c r="E213" s="44"/>
      <c r="F213" s="61"/>
      <c r="G213" s="59"/>
      <c r="H213" s="58"/>
      <c r="I213" s="52"/>
    </row>
    <row r="214" spans="2:9">
      <c r="B214" s="50"/>
      <c r="C214" s="51"/>
      <c r="D214" s="44"/>
      <c r="E214" s="44"/>
      <c r="F214" s="61"/>
      <c r="G214" s="59"/>
      <c r="H214" s="58"/>
      <c r="I214" s="52"/>
    </row>
    <row r="215" spans="2:9">
      <c r="B215" s="50"/>
      <c r="C215" s="51"/>
      <c r="D215" s="44"/>
      <c r="E215" s="44"/>
      <c r="F215" s="61"/>
      <c r="G215" s="59"/>
      <c r="H215" s="58"/>
      <c r="I215" s="52"/>
    </row>
    <row r="216" spans="2:9">
      <c r="B216" s="50"/>
      <c r="C216" s="51"/>
      <c r="D216" s="44"/>
      <c r="E216" s="44"/>
      <c r="F216" s="61"/>
      <c r="G216" s="59"/>
      <c r="H216" s="58"/>
      <c r="I216" s="52"/>
    </row>
    <row r="217" spans="2:9">
      <c r="B217" s="50"/>
      <c r="C217" s="51"/>
      <c r="D217" s="44"/>
      <c r="E217" s="44"/>
      <c r="F217" s="61"/>
      <c r="G217" s="59"/>
      <c r="H217" s="58"/>
      <c r="I217" s="52"/>
    </row>
    <row r="218" spans="2:9">
      <c r="B218" s="50"/>
      <c r="C218" s="51"/>
      <c r="D218" s="44"/>
      <c r="E218" s="44"/>
      <c r="F218" s="61"/>
      <c r="G218" s="59"/>
      <c r="H218" s="58"/>
      <c r="I218" s="52"/>
    </row>
    <row r="219" spans="2:9">
      <c r="B219" s="50"/>
      <c r="C219" s="51"/>
      <c r="D219" s="44"/>
      <c r="E219" s="44"/>
      <c r="F219" s="61"/>
      <c r="G219" s="59"/>
      <c r="H219" s="58"/>
      <c r="I219" s="52"/>
    </row>
    <row r="220" spans="2:9">
      <c r="B220" s="50"/>
      <c r="C220" s="51"/>
      <c r="D220" s="44"/>
      <c r="E220" s="44"/>
      <c r="F220" s="61"/>
      <c r="G220" s="59"/>
      <c r="H220" s="58"/>
      <c r="I220" s="52"/>
    </row>
    <row r="221" spans="2:9">
      <c r="B221" s="50"/>
      <c r="C221" s="51"/>
      <c r="D221" s="44"/>
      <c r="E221" s="44"/>
      <c r="F221" s="61"/>
      <c r="G221" s="59"/>
      <c r="H221" s="58"/>
      <c r="I221" s="52"/>
    </row>
    <row r="222" spans="2:9">
      <c r="B222" s="50"/>
      <c r="C222" s="51"/>
      <c r="D222" s="44"/>
      <c r="E222" s="44"/>
      <c r="F222" s="61"/>
      <c r="G222" s="59"/>
      <c r="H222" s="58"/>
      <c r="I222" s="52"/>
    </row>
    <row r="223" spans="2:9">
      <c r="B223" s="50"/>
      <c r="C223" s="51"/>
      <c r="D223" s="44"/>
      <c r="E223" s="44"/>
      <c r="F223" s="61"/>
      <c r="G223" s="59"/>
      <c r="H223" s="58"/>
      <c r="I223" s="52"/>
    </row>
    <row r="224" spans="2:9">
      <c r="B224" s="50"/>
      <c r="C224" s="51"/>
      <c r="D224" s="44"/>
      <c r="E224" s="44"/>
      <c r="F224" s="61"/>
      <c r="G224" s="59"/>
      <c r="H224" s="58"/>
      <c r="I224" s="52"/>
    </row>
    <row r="225" spans="2:9">
      <c r="B225" s="50"/>
      <c r="C225" s="51"/>
      <c r="D225" s="44"/>
      <c r="E225" s="44"/>
      <c r="F225" s="61"/>
      <c r="G225" s="59"/>
      <c r="H225" s="58"/>
      <c r="I225" s="52"/>
    </row>
    <row r="226" spans="2:9">
      <c r="B226" s="50"/>
      <c r="C226" s="51"/>
      <c r="D226" s="44"/>
      <c r="E226" s="44"/>
      <c r="F226" s="61"/>
      <c r="G226" s="59"/>
      <c r="H226" s="58"/>
      <c r="I226" s="52"/>
    </row>
    <row r="227" spans="2:9">
      <c r="B227" s="50"/>
      <c r="C227" s="51"/>
      <c r="D227" s="44"/>
      <c r="E227" s="44"/>
      <c r="F227" s="61"/>
      <c r="G227" s="59"/>
      <c r="H227" s="58"/>
      <c r="I227" s="52"/>
    </row>
    <row r="228" spans="2:9">
      <c r="B228" s="50"/>
      <c r="C228" s="51"/>
      <c r="D228" s="44"/>
      <c r="E228" s="44"/>
      <c r="F228" s="61"/>
      <c r="G228" s="59"/>
      <c r="H228" s="58"/>
      <c r="I228" s="52"/>
    </row>
    <row r="229" spans="2:9">
      <c r="B229" s="50"/>
      <c r="C229" s="51"/>
      <c r="D229" s="44"/>
      <c r="E229" s="44"/>
      <c r="F229" s="61"/>
      <c r="G229" s="59"/>
      <c r="H229" s="58"/>
      <c r="I229" s="52"/>
    </row>
    <row r="230" spans="2:9">
      <c r="B230" s="50"/>
      <c r="C230" s="51"/>
      <c r="D230" s="44"/>
      <c r="E230" s="44"/>
      <c r="F230" s="61"/>
      <c r="G230" s="59"/>
      <c r="H230" s="58"/>
      <c r="I230" s="52"/>
    </row>
    <row r="231" spans="2:9">
      <c r="B231" s="50"/>
      <c r="C231" s="51"/>
      <c r="D231" s="44"/>
      <c r="E231" s="44"/>
      <c r="F231" s="61"/>
      <c r="G231" s="59"/>
      <c r="H231" s="58"/>
      <c r="I231" s="52"/>
    </row>
    <row r="232" spans="2:9">
      <c r="B232" s="50"/>
      <c r="C232" s="51"/>
      <c r="D232" s="44"/>
      <c r="E232" s="44"/>
      <c r="F232" s="61"/>
      <c r="G232" s="59"/>
      <c r="H232" s="58"/>
      <c r="I232" s="52"/>
    </row>
    <row r="233" spans="2:9">
      <c r="B233" s="50"/>
      <c r="C233" s="51"/>
      <c r="D233" s="44"/>
      <c r="E233" s="44"/>
      <c r="F233" s="61"/>
      <c r="G233" s="59"/>
      <c r="H233" s="58"/>
      <c r="I233" s="52"/>
    </row>
    <row r="234" spans="2:9">
      <c r="B234" s="50"/>
      <c r="C234" s="51"/>
      <c r="D234" s="44"/>
      <c r="E234" s="44"/>
      <c r="F234" s="61"/>
      <c r="G234" s="59"/>
      <c r="H234" s="58"/>
      <c r="I234" s="52"/>
    </row>
    <row r="235" spans="2:9">
      <c r="B235" s="50"/>
      <c r="C235" s="51"/>
      <c r="D235" s="44"/>
      <c r="E235" s="44"/>
      <c r="F235" s="61"/>
      <c r="G235" s="59"/>
      <c r="H235" s="58"/>
      <c r="I235" s="52"/>
    </row>
    <row r="236" spans="2:9">
      <c r="B236" s="50"/>
      <c r="C236" s="51"/>
      <c r="D236" s="44"/>
      <c r="E236" s="44"/>
      <c r="F236" s="61"/>
      <c r="G236" s="59"/>
      <c r="H236" s="58"/>
      <c r="I236" s="52"/>
    </row>
    <row r="237" spans="2:9">
      <c r="B237" s="50"/>
      <c r="C237" s="51"/>
      <c r="D237" s="44"/>
      <c r="E237" s="44"/>
      <c r="F237" s="61"/>
      <c r="G237" s="59"/>
      <c r="H237" s="58"/>
      <c r="I237" s="52"/>
    </row>
    <row r="238" spans="2:9">
      <c r="B238" s="50"/>
      <c r="C238" s="51"/>
      <c r="D238" s="44"/>
      <c r="E238" s="44"/>
      <c r="F238" s="61"/>
      <c r="G238" s="59"/>
      <c r="H238" s="58"/>
      <c r="I238" s="52"/>
    </row>
    <row r="239" spans="2:9">
      <c r="B239" s="50"/>
      <c r="C239" s="51"/>
      <c r="D239" s="44"/>
      <c r="E239" s="44"/>
      <c r="F239" s="61"/>
      <c r="G239" s="59"/>
      <c r="H239" s="58"/>
      <c r="I239" s="52"/>
    </row>
    <row r="240" spans="2:9">
      <c r="B240" s="50"/>
      <c r="C240" s="51"/>
      <c r="D240" s="44"/>
      <c r="E240" s="44"/>
      <c r="F240" s="61"/>
      <c r="G240" s="59"/>
      <c r="H240" s="58"/>
      <c r="I240" s="52"/>
    </row>
    <row r="241" spans="2:9">
      <c r="B241" s="50"/>
      <c r="C241" s="51"/>
      <c r="D241" s="44"/>
      <c r="E241" s="44"/>
      <c r="F241" s="61"/>
      <c r="G241" s="59"/>
      <c r="H241" s="58"/>
      <c r="I241" s="52"/>
    </row>
    <row r="242" spans="2:9">
      <c r="B242" s="50"/>
      <c r="C242" s="51"/>
      <c r="D242" s="44"/>
      <c r="E242" s="44"/>
      <c r="F242" s="61"/>
      <c r="G242" s="59"/>
      <c r="H242" s="58"/>
      <c r="I242" s="52"/>
    </row>
    <row r="243" spans="2:9">
      <c r="B243" s="50"/>
      <c r="C243" s="51"/>
      <c r="D243" s="44"/>
      <c r="E243" s="44"/>
      <c r="F243" s="61"/>
      <c r="G243" s="59"/>
      <c r="H243" s="58"/>
      <c r="I243" s="52"/>
    </row>
    <row r="244" spans="2:9">
      <c r="B244" s="50"/>
      <c r="C244" s="51"/>
      <c r="D244" s="44"/>
      <c r="E244" s="44"/>
      <c r="F244" s="61"/>
      <c r="G244" s="59"/>
      <c r="H244" s="58"/>
      <c r="I244" s="52"/>
    </row>
    <row r="245" spans="2:9">
      <c r="B245" s="50"/>
      <c r="C245" s="51"/>
      <c r="D245" s="44"/>
      <c r="E245" s="44"/>
      <c r="F245" s="61"/>
      <c r="G245" s="59"/>
      <c r="H245" s="58"/>
      <c r="I245" s="52"/>
    </row>
    <row r="246" spans="2:9">
      <c r="B246" s="50"/>
      <c r="C246" s="51"/>
      <c r="D246" s="44"/>
      <c r="E246" s="44"/>
      <c r="F246" s="61"/>
      <c r="G246" s="59"/>
      <c r="H246" s="58"/>
      <c r="I246" s="52"/>
    </row>
    <row r="247" spans="2:9">
      <c r="B247" s="50"/>
      <c r="C247" s="51"/>
      <c r="D247" s="44"/>
      <c r="E247" s="44"/>
      <c r="F247" s="61"/>
      <c r="G247" s="59"/>
      <c r="H247" s="58"/>
      <c r="I247" s="52"/>
    </row>
    <row r="248" spans="2:9">
      <c r="B248" s="50"/>
      <c r="C248" s="51"/>
      <c r="D248" s="44"/>
      <c r="E248" s="44"/>
      <c r="F248" s="61"/>
      <c r="G248" s="59"/>
      <c r="H248" s="58"/>
      <c r="I248" s="52"/>
    </row>
    <row r="249" spans="2:9">
      <c r="B249" s="50"/>
      <c r="C249" s="51"/>
      <c r="D249" s="44"/>
      <c r="E249" s="44"/>
      <c r="F249" s="61"/>
      <c r="G249" s="59"/>
      <c r="H249" s="58"/>
      <c r="I249" s="52"/>
    </row>
    <row r="250" spans="2:9">
      <c r="B250" s="50"/>
      <c r="C250" s="51"/>
      <c r="D250" s="44"/>
      <c r="E250" s="44"/>
      <c r="F250" s="61"/>
      <c r="G250" s="59"/>
      <c r="H250" s="58"/>
      <c r="I250" s="52"/>
    </row>
    <row r="251" spans="2:9">
      <c r="B251" s="50"/>
      <c r="C251" s="51"/>
      <c r="D251" s="44"/>
      <c r="E251" s="44"/>
      <c r="F251" s="61"/>
      <c r="G251" s="59"/>
      <c r="H251" s="58"/>
      <c r="I251" s="52"/>
    </row>
    <row r="252" spans="2:9">
      <c r="B252" s="50"/>
      <c r="C252" s="51"/>
      <c r="D252" s="44"/>
      <c r="E252" s="44"/>
      <c r="F252" s="61"/>
      <c r="G252" s="59"/>
      <c r="H252" s="58"/>
      <c r="I252" s="52"/>
    </row>
    <row r="253" spans="2:9">
      <c r="B253" s="50"/>
      <c r="C253" s="51"/>
      <c r="D253" s="44"/>
      <c r="E253" s="44"/>
      <c r="F253" s="61"/>
      <c r="G253" s="59"/>
      <c r="H253" s="58"/>
      <c r="I253" s="52"/>
    </row>
    <row r="254" spans="2:9">
      <c r="B254" s="50"/>
      <c r="C254" s="51"/>
      <c r="D254" s="44"/>
      <c r="E254" s="44"/>
      <c r="F254" s="61"/>
      <c r="G254" s="59"/>
      <c r="H254" s="58"/>
      <c r="I254" s="52"/>
    </row>
    <row r="255" spans="2:9">
      <c r="B255" s="50"/>
      <c r="C255" s="51"/>
      <c r="D255" s="44"/>
      <c r="E255" s="44"/>
      <c r="F255" s="61"/>
      <c r="G255" s="59"/>
      <c r="H255" s="58"/>
      <c r="I255" s="52"/>
    </row>
    <row r="256" spans="2:9">
      <c r="B256" s="50"/>
      <c r="C256" s="51"/>
      <c r="D256" s="44"/>
      <c r="E256" s="44"/>
      <c r="F256" s="61"/>
      <c r="G256" s="59"/>
      <c r="H256" s="58"/>
      <c r="I256" s="52"/>
    </row>
    <row r="257" spans="2:9">
      <c r="B257" s="50"/>
      <c r="C257" s="51"/>
      <c r="D257" s="44"/>
      <c r="E257" s="44"/>
      <c r="F257" s="61"/>
      <c r="G257" s="59"/>
      <c r="H257" s="58"/>
      <c r="I257" s="52"/>
    </row>
    <row r="258" spans="2:9">
      <c r="B258" s="50"/>
      <c r="C258" s="51"/>
      <c r="D258" s="44"/>
      <c r="E258" s="44"/>
      <c r="F258" s="61"/>
      <c r="G258" s="59"/>
      <c r="H258" s="58"/>
      <c r="I258" s="52"/>
    </row>
    <row r="259" spans="2:9">
      <c r="B259" s="50"/>
      <c r="C259" s="51"/>
      <c r="D259" s="44"/>
      <c r="E259" s="44"/>
      <c r="F259" s="61"/>
      <c r="G259" s="59"/>
      <c r="H259" s="58"/>
      <c r="I259" s="52"/>
    </row>
    <row r="260" spans="2:9">
      <c r="B260" s="50"/>
      <c r="C260" s="51"/>
      <c r="D260" s="44"/>
      <c r="E260" s="44"/>
      <c r="F260" s="61"/>
      <c r="G260" s="59"/>
      <c r="H260" s="58"/>
      <c r="I260" s="52"/>
    </row>
    <row r="261" spans="2:9">
      <c r="B261" s="50"/>
      <c r="C261" s="51"/>
      <c r="D261" s="44"/>
      <c r="E261" s="44"/>
      <c r="F261" s="61"/>
      <c r="G261" s="59"/>
      <c r="H261" s="58"/>
      <c r="I261" s="52"/>
    </row>
    <row r="262" spans="2:9">
      <c r="B262" s="50"/>
      <c r="C262" s="51"/>
      <c r="D262" s="44"/>
      <c r="E262" s="44"/>
      <c r="F262" s="61"/>
      <c r="G262" s="59"/>
      <c r="H262" s="58"/>
      <c r="I262" s="52"/>
    </row>
    <row r="263" spans="2:9">
      <c r="B263" s="50"/>
      <c r="C263" s="51"/>
      <c r="D263" s="44"/>
      <c r="E263" s="44"/>
      <c r="F263" s="61"/>
      <c r="G263" s="59"/>
      <c r="H263" s="58"/>
      <c r="I263" s="52"/>
    </row>
    <row r="264" spans="2:9">
      <c r="B264" s="50"/>
      <c r="C264" s="51"/>
      <c r="D264" s="44"/>
      <c r="E264" s="44"/>
      <c r="F264" s="61"/>
      <c r="G264" s="59"/>
      <c r="H264" s="58"/>
      <c r="I264" s="52"/>
    </row>
    <row r="265" spans="2:9">
      <c r="B265" s="50"/>
      <c r="C265" s="51"/>
      <c r="D265" s="44"/>
      <c r="E265" s="44"/>
      <c r="F265" s="61"/>
      <c r="G265" s="59"/>
      <c r="H265" s="58"/>
      <c r="I265" s="52"/>
    </row>
    <row r="266" spans="2:9">
      <c r="B266" s="50"/>
      <c r="C266" s="51"/>
      <c r="D266" s="44"/>
      <c r="E266" s="44"/>
      <c r="F266" s="61"/>
      <c r="G266" s="59"/>
      <c r="H266" s="58"/>
      <c r="I266" s="52"/>
    </row>
    <row r="267" spans="2:9">
      <c r="B267" s="50"/>
      <c r="C267" s="51"/>
      <c r="D267" s="44"/>
      <c r="E267" s="44"/>
      <c r="F267" s="61"/>
      <c r="G267" s="59"/>
      <c r="H267" s="58"/>
      <c r="I267" s="52"/>
    </row>
    <row r="268" spans="2:9">
      <c r="B268" s="50"/>
      <c r="C268" s="51"/>
      <c r="D268" s="44"/>
      <c r="E268" s="44"/>
      <c r="F268" s="61"/>
      <c r="G268" s="59"/>
      <c r="H268" s="58"/>
      <c r="I268" s="52"/>
    </row>
    <row r="269" spans="2:9">
      <c r="B269" s="50"/>
      <c r="C269" s="51"/>
      <c r="D269" s="44"/>
      <c r="E269" s="44"/>
      <c r="F269" s="61"/>
      <c r="G269" s="59"/>
      <c r="H269" s="58"/>
      <c r="I269" s="52"/>
    </row>
    <row r="270" spans="2:9">
      <c r="B270" s="50"/>
      <c r="C270" s="51"/>
      <c r="D270" s="44"/>
      <c r="E270" s="44"/>
      <c r="F270" s="61"/>
      <c r="G270" s="59"/>
      <c r="H270" s="58"/>
      <c r="I270" s="52"/>
    </row>
    <row r="271" spans="2:9">
      <c r="B271" s="50"/>
      <c r="C271" s="51"/>
      <c r="D271" s="44"/>
      <c r="E271" s="44"/>
      <c r="F271" s="61"/>
      <c r="G271" s="59"/>
      <c r="H271" s="58"/>
      <c r="I271" s="52"/>
    </row>
    <row r="272" spans="2:9">
      <c r="B272" s="50"/>
      <c r="C272" s="51"/>
      <c r="D272" s="44"/>
      <c r="E272" s="44"/>
      <c r="F272" s="61"/>
      <c r="G272" s="59"/>
      <c r="H272" s="58"/>
      <c r="I272" s="52"/>
    </row>
    <row r="273" spans="2:9">
      <c r="B273" s="50"/>
      <c r="C273" s="51"/>
      <c r="D273" s="44"/>
      <c r="E273" s="44"/>
      <c r="F273" s="61"/>
      <c r="G273" s="59"/>
      <c r="H273" s="58"/>
      <c r="I273" s="52"/>
    </row>
    <row r="274" spans="2:9">
      <c r="B274" s="50"/>
      <c r="C274" s="51"/>
      <c r="D274" s="44"/>
      <c r="E274" s="44"/>
      <c r="F274" s="61"/>
      <c r="G274" s="59"/>
      <c r="H274" s="58"/>
      <c r="I274" s="52"/>
    </row>
    <row r="275" spans="2:9">
      <c r="B275" s="50"/>
      <c r="C275" s="51"/>
      <c r="D275" s="44"/>
      <c r="E275" s="44"/>
      <c r="F275" s="61"/>
      <c r="G275" s="59"/>
      <c r="H275" s="58"/>
      <c r="I275" s="52"/>
    </row>
    <row r="276" spans="2:9">
      <c r="B276" s="50"/>
      <c r="C276" s="51"/>
      <c r="D276" s="44"/>
      <c r="E276" s="44"/>
      <c r="F276" s="61"/>
      <c r="G276" s="59"/>
      <c r="H276" s="58"/>
      <c r="I276" s="52"/>
    </row>
    <row r="277" spans="2:9">
      <c r="B277" s="50"/>
      <c r="C277" s="51"/>
      <c r="D277" s="44"/>
      <c r="E277" s="44"/>
      <c r="F277" s="61"/>
      <c r="G277" s="59"/>
      <c r="H277" s="58"/>
      <c r="I277" s="52"/>
    </row>
    <row r="278" spans="2:9">
      <c r="B278" s="50"/>
      <c r="C278" s="51"/>
      <c r="D278" s="44"/>
      <c r="E278" s="44"/>
      <c r="F278" s="61"/>
      <c r="G278" s="59"/>
      <c r="H278" s="58"/>
      <c r="I278" s="52"/>
    </row>
    <row r="279" spans="2:9">
      <c r="B279" s="50"/>
      <c r="C279" s="51"/>
      <c r="D279" s="44"/>
      <c r="E279" s="44"/>
      <c r="F279" s="61"/>
      <c r="G279" s="59"/>
      <c r="H279" s="58"/>
      <c r="I279" s="52"/>
    </row>
    <row r="280" spans="2:9">
      <c r="B280" s="50"/>
      <c r="C280" s="51"/>
      <c r="D280" s="44"/>
      <c r="E280" s="44"/>
      <c r="F280" s="61"/>
      <c r="G280" s="59"/>
      <c r="H280" s="58"/>
      <c r="I280" s="52"/>
    </row>
    <row r="281" spans="2:9">
      <c r="B281" s="50"/>
      <c r="C281" s="51"/>
      <c r="D281" s="44"/>
      <c r="E281" s="44"/>
      <c r="F281" s="61"/>
      <c r="G281" s="59"/>
      <c r="H281" s="58"/>
      <c r="I281" s="52"/>
    </row>
    <row r="282" spans="2:9">
      <c r="B282" s="50"/>
      <c r="C282" s="51"/>
      <c r="D282" s="44"/>
      <c r="E282" s="44"/>
      <c r="F282" s="61"/>
      <c r="G282" s="59"/>
      <c r="H282" s="58"/>
      <c r="I282" s="52"/>
    </row>
    <row r="283" spans="2:9">
      <c r="B283" s="50"/>
      <c r="C283" s="51"/>
      <c r="D283" s="44"/>
      <c r="E283" s="44"/>
      <c r="F283" s="61"/>
      <c r="G283" s="59"/>
      <c r="H283" s="58"/>
      <c r="I283" s="52"/>
    </row>
    <row r="284" spans="2:9">
      <c r="B284" s="50"/>
      <c r="C284" s="51"/>
      <c r="D284" s="44"/>
      <c r="E284" s="44"/>
      <c r="F284" s="61"/>
      <c r="G284" s="59"/>
      <c r="H284" s="58"/>
      <c r="I284" s="52"/>
    </row>
    <row r="285" spans="2:9">
      <c r="B285" s="50"/>
      <c r="C285" s="51"/>
      <c r="D285" s="44"/>
      <c r="E285" s="44"/>
      <c r="F285" s="61"/>
      <c r="G285" s="59"/>
      <c r="H285" s="58"/>
      <c r="I285" s="52"/>
    </row>
    <row r="286" spans="2:9">
      <c r="B286" s="50"/>
      <c r="C286" s="51"/>
      <c r="D286" s="44"/>
      <c r="E286" s="44"/>
      <c r="F286" s="61"/>
      <c r="G286" s="59"/>
      <c r="H286" s="58"/>
      <c r="I286" s="52"/>
    </row>
    <row r="287" spans="2:9">
      <c r="B287" s="50"/>
      <c r="C287" s="51"/>
      <c r="D287" s="44"/>
      <c r="E287" s="44"/>
      <c r="F287" s="61"/>
      <c r="G287" s="59"/>
      <c r="H287" s="58"/>
      <c r="I287" s="52"/>
    </row>
    <row r="288" spans="2:9">
      <c r="B288" s="50"/>
      <c r="C288" s="51"/>
      <c r="D288" s="44"/>
      <c r="E288" s="44"/>
      <c r="F288" s="61"/>
      <c r="G288" s="59"/>
      <c r="H288" s="58"/>
      <c r="I288" s="52"/>
    </row>
    <row r="289" spans="2:9">
      <c r="B289" s="50"/>
      <c r="C289" s="51"/>
      <c r="D289" s="44"/>
      <c r="E289" s="44"/>
      <c r="F289" s="61"/>
      <c r="G289" s="59"/>
      <c r="H289" s="58"/>
      <c r="I289" s="52"/>
    </row>
    <row r="290" spans="2:9">
      <c r="B290" s="50"/>
      <c r="C290" s="51"/>
      <c r="D290" s="44"/>
      <c r="E290" s="44"/>
      <c r="F290" s="61"/>
      <c r="G290" s="59"/>
      <c r="H290" s="58"/>
      <c r="I290" s="52"/>
    </row>
    <row r="291" spans="2:9">
      <c r="B291" s="50"/>
      <c r="C291" s="51"/>
      <c r="D291" s="44"/>
      <c r="E291" s="44"/>
      <c r="F291" s="61"/>
      <c r="G291" s="59"/>
      <c r="H291" s="58"/>
      <c r="I291" s="52"/>
    </row>
    <row r="292" spans="2:9">
      <c r="B292" s="50"/>
      <c r="C292" s="51"/>
      <c r="D292" s="44"/>
      <c r="E292" s="44"/>
      <c r="F292" s="61"/>
      <c r="G292" s="59"/>
      <c r="H292" s="58"/>
      <c r="I292" s="52"/>
    </row>
    <row r="293" spans="2:9">
      <c r="B293" s="50"/>
      <c r="C293" s="51"/>
      <c r="D293" s="44"/>
      <c r="E293" s="44"/>
      <c r="F293" s="61"/>
      <c r="G293" s="59"/>
      <c r="H293" s="58"/>
      <c r="I293" s="52"/>
    </row>
    <row r="294" spans="2:9">
      <c r="B294" s="50"/>
      <c r="C294" s="51"/>
      <c r="D294" s="44"/>
      <c r="E294" s="44"/>
      <c r="F294" s="61"/>
      <c r="G294" s="59"/>
      <c r="H294" s="58"/>
      <c r="I294" s="52"/>
    </row>
    <row r="295" spans="2:9">
      <c r="B295" s="50"/>
      <c r="C295" s="51"/>
      <c r="D295" s="44"/>
      <c r="E295" s="44"/>
      <c r="F295" s="61"/>
      <c r="G295" s="59"/>
      <c r="H295" s="58"/>
      <c r="I295" s="52"/>
    </row>
    <row r="296" spans="2:9">
      <c r="B296" s="50"/>
      <c r="C296" s="51"/>
      <c r="D296" s="44"/>
      <c r="E296" s="44"/>
      <c r="F296" s="61"/>
      <c r="G296" s="59"/>
      <c r="H296" s="58"/>
      <c r="I296" s="52"/>
    </row>
    <row r="297" spans="2:9">
      <c r="B297" s="50"/>
      <c r="C297" s="51"/>
      <c r="D297" s="44"/>
      <c r="E297" s="44"/>
      <c r="F297" s="61"/>
      <c r="G297" s="59"/>
      <c r="H297" s="58"/>
      <c r="I297" s="52"/>
    </row>
    <row r="298" spans="2:9">
      <c r="B298" s="50"/>
      <c r="C298" s="51"/>
      <c r="D298" s="44"/>
      <c r="E298" s="44"/>
      <c r="F298" s="61"/>
      <c r="G298" s="59"/>
      <c r="H298" s="58"/>
      <c r="I298" s="52"/>
    </row>
    <row r="299" spans="2:9">
      <c r="B299" s="50"/>
      <c r="C299" s="51"/>
      <c r="D299" s="44"/>
      <c r="E299" s="44"/>
      <c r="F299" s="61"/>
      <c r="G299" s="59"/>
      <c r="H299" s="58"/>
      <c r="I299" s="52"/>
    </row>
    <row r="300" spans="2:9">
      <c r="B300" s="50"/>
      <c r="C300" s="51"/>
      <c r="D300" s="44"/>
      <c r="E300" s="44"/>
      <c r="F300" s="61"/>
      <c r="G300" s="59"/>
      <c r="H300" s="58"/>
      <c r="I300" s="52"/>
    </row>
    <row r="301" spans="2:9">
      <c r="B301" s="50"/>
      <c r="C301" s="51"/>
      <c r="D301" s="44"/>
      <c r="E301" s="44"/>
      <c r="F301" s="61"/>
      <c r="G301" s="59"/>
      <c r="H301" s="58"/>
      <c r="I301" s="52"/>
    </row>
    <row r="302" spans="2:9">
      <c r="B302" s="50"/>
      <c r="C302" s="51"/>
      <c r="D302" s="44"/>
      <c r="E302" s="44"/>
      <c r="F302" s="61"/>
      <c r="G302" s="59"/>
      <c r="H302" s="58"/>
      <c r="I302" s="52"/>
    </row>
    <row r="303" spans="2:9">
      <c r="B303" s="50"/>
      <c r="C303" s="51"/>
      <c r="D303" s="44"/>
      <c r="E303" s="44"/>
      <c r="F303" s="61"/>
      <c r="G303" s="59"/>
      <c r="H303" s="58"/>
      <c r="I303" s="52"/>
    </row>
    <row r="304" spans="2:9">
      <c r="B304" s="50"/>
      <c r="C304" s="51"/>
      <c r="D304" s="44"/>
      <c r="E304" s="44"/>
      <c r="F304" s="61"/>
      <c r="G304" s="59"/>
      <c r="H304" s="58"/>
      <c r="I304" s="52"/>
    </row>
    <row r="305" spans="2:9">
      <c r="B305" s="50"/>
      <c r="C305" s="51"/>
      <c r="D305" s="44"/>
      <c r="E305" s="44"/>
      <c r="F305" s="61"/>
      <c r="G305" s="59"/>
      <c r="H305" s="58"/>
      <c r="I305" s="52"/>
    </row>
    <row r="306" spans="2:9">
      <c r="B306" s="50"/>
      <c r="C306" s="51"/>
      <c r="D306" s="44"/>
      <c r="E306" s="44"/>
      <c r="F306" s="61"/>
      <c r="G306" s="59"/>
      <c r="H306" s="58"/>
      <c r="I306" s="52"/>
    </row>
    <row r="307" spans="2:9">
      <c r="B307" s="50"/>
      <c r="C307" s="51"/>
      <c r="D307" s="44"/>
      <c r="E307" s="44"/>
      <c r="F307" s="61"/>
      <c r="G307" s="59"/>
      <c r="H307" s="58"/>
      <c r="I307" s="52"/>
    </row>
    <row r="308" spans="2:9">
      <c r="B308" s="50"/>
      <c r="C308" s="51"/>
      <c r="D308" s="44"/>
      <c r="E308" s="44"/>
      <c r="F308" s="61"/>
      <c r="G308" s="59"/>
      <c r="H308" s="58"/>
      <c r="I308" s="52"/>
    </row>
    <row r="309" spans="2:9">
      <c r="B309" s="50"/>
      <c r="C309" s="51"/>
      <c r="D309" s="44"/>
      <c r="E309" s="44"/>
      <c r="F309" s="61"/>
      <c r="G309" s="59"/>
      <c r="H309" s="58"/>
      <c r="I309" s="52"/>
    </row>
    <row r="310" spans="2:9">
      <c r="B310" s="50"/>
      <c r="C310" s="51"/>
      <c r="D310" s="44"/>
      <c r="E310" s="44"/>
      <c r="F310" s="61"/>
      <c r="G310" s="59"/>
      <c r="H310" s="58"/>
      <c r="I310" s="52"/>
    </row>
    <row r="311" spans="2:9">
      <c r="B311" s="50"/>
      <c r="C311" s="51"/>
      <c r="D311" s="44"/>
      <c r="E311" s="44"/>
      <c r="F311" s="61"/>
      <c r="G311" s="59"/>
      <c r="H311" s="58"/>
      <c r="I311" s="52"/>
    </row>
    <row r="312" spans="2:9">
      <c r="B312" s="50"/>
      <c r="C312" s="51"/>
      <c r="D312" s="44"/>
      <c r="E312" s="44"/>
      <c r="F312" s="61"/>
      <c r="G312" s="59"/>
      <c r="H312" s="58"/>
      <c r="I312" s="52"/>
    </row>
    <row r="313" spans="2:9">
      <c r="B313" s="50"/>
      <c r="C313" s="51"/>
      <c r="D313" s="44"/>
      <c r="E313" s="44"/>
      <c r="F313" s="61"/>
      <c r="G313" s="59"/>
      <c r="H313" s="58"/>
      <c r="I313" s="52"/>
    </row>
    <row r="314" spans="2:9">
      <c r="B314" s="50"/>
      <c r="C314" s="51"/>
      <c r="D314" s="44"/>
      <c r="E314" s="44"/>
      <c r="F314" s="61"/>
      <c r="G314" s="59"/>
      <c r="H314" s="58"/>
      <c r="I314" s="52"/>
    </row>
    <row r="315" spans="2:9">
      <c r="B315" s="50"/>
      <c r="C315" s="51"/>
      <c r="D315" s="44"/>
      <c r="E315" s="44"/>
      <c r="F315" s="61"/>
      <c r="G315" s="59"/>
      <c r="H315" s="58"/>
      <c r="I315" s="52"/>
    </row>
    <row r="316" spans="2:9">
      <c r="B316" s="50"/>
      <c r="C316" s="51"/>
      <c r="D316" s="44"/>
      <c r="E316" s="44"/>
      <c r="F316" s="61"/>
      <c r="G316" s="59"/>
      <c r="H316" s="58"/>
      <c r="I316" s="52"/>
    </row>
    <row r="317" spans="2:9">
      <c r="B317" s="50"/>
      <c r="C317" s="51"/>
      <c r="D317" s="44"/>
      <c r="E317" s="44"/>
      <c r="F317" s="61"/>
      <c r="G317" s="59"/>
      <c r="H317" s="58"/>
      <c r="I317" s="52"/>
    </row>
    <row r="318" spans="2:9">
      <c r="B318" s="50"/>
      <c r="C318" s="51"/>
      <c r="D318" s="44"/>
      <c r="E318" s="44"/>
      <c r="F318" s="61"/>
      <c r="G318" s="59"/>
      <c r="H318" s="58"/>
      <c r="I318" s="52"/>
    </row>
    <row r="319" spans="2:9">
      <c r="B319" s="50"/>
      <c r="C319" s="51"/>
      <c r="D319" s="44"/>
      <c r="E319" s="44"/>
      <c r="F319" s="61"/>
      <c r="G319" s="59"/>
      <c r="H319" s="58"/>
      <c r="I319" s="52"/>
    </row>
    <row r="320" spans="2:9">
      <c r="B320" s="50"/>
      <c r="C320" s="51"/>
      <c r="D320" s="44"/>
      <c r="E320" s="44"/>
      <c r="F320" s="61"/>
      <c r="G320" s="59"/>
      <c r="H320" s="58"/>
      <c r="I320" s="52"/>
    </row>
    <row r="321" spans="2:9">
      <c r="B321" s="50"/>
      <c r="C321" s="51"/>
      <c r="D321" s="44"/>
      <c r="E321" s="44"/>
      <c r="F321" s="61"/>
      <c r="G321" s="59"/>
      <c r="H321" s="58"/>
      <c r="I321" s="52"/>
    </row>
    <row r="322" spans="2:9">
      <c r="B322" s="50"/>
      <c r="C322" s="51"/>
      <c r="D322" s="44"/>
      <c r="E322" s="44"/>
      <c r="F322" s="61"/>
      <c r="G322" s="59"/>
      <c r="H322" s="58"/>
      <c r="I322" s="52"/>
    </row>
    <row r="323" spans="2:9">
      <c r="B323" s="50"/>
      <c r="C323" s="51"/>
      <c r="D323" s="44"/>
      <c r="E323" s="44"/>
      <c r="F323" s="61"/>
      <c r="G323" s="59"/>
      <c r="H323" s="58"/>
      <c r="I323" s="52"/>
    </row>
    <row r="324" spans="2:9">
      <c r="B324" s="50"/>
      <c r="C324" s="51"/>
      <c r="D324" s="44"/>
      <c r="E324" s="44"/>
      <c r="F324" s="61"/>
      <c r="G324" s="59"/>
      <c r="H324" s="58"/>
      <c r="I324" s="52"/>
    </row>
    <row r="325" spans="2:9">
      <c r="B325" s="50"/>
      <c r="C325" s="51"/>
      <c r="D325" s="44"/>
      <c r="E325" s="44"/>
      <c r="F325" s="61"/>
      <c r="G325" s="59"/>
      <c r="H325" s="58"/>
      <c r="I325" s="52"/>
    </row>
    <row r="326" spans="2:9">
      <c r="B326" s="50"/>
      <c r="C326" s="51"/>
      <c r="D326" s="44"/>
      <c r="E326" s="44"/>
      <c r="F326" s="61"/>
      <c r="G326" s="59"/>
      <c r="H326" s="58"/>
      <c r="I326" s="52"/>
    </row>
    <row r="327" spans="2:9">
      <c r="B327" s="50"/>
      <c r="C327" s="51"/>
      <c r="D327" s="44"/>
      <c r="E327" s="44"/>
      <c r="F327" s="61"/>
      <c r="G327" s="59"/>
      <c r="H327" s="58"/>
      <c r="I327" s="52"/>
    </row>
    <row r="328" spans="2:9">
      <c r="B328" s="50"/>
      <c r="C328" s="51"/>
      <c r="D328" s="44"/>
      <c r="E328" s="44"/>
      <c r="F328" s="61"/>
      <c r="G328" s="59"/>
      <c r="H328" s="58"/>
      <c r="I328" s="52"/>
    </row>
    <row r="329" spans="2:9">
      <c r="B329" s="50"/>
      <c r="C329" s="51"/>
      <c r="D329" s="44"/>
      <c r="E329" s="44"/>
      <c r="F329" s="61"/>
      <c r="G329" s="59"/>
      <c r="H329" s="58"/>
      <c r="I329" s="52"/>
    </row>
    <row r="330" spans="2:9">
      <c r="B330" s="50"/>
      <c r="C330" s="51"/>
      <c r="D330" s="44"/>
      <c r="E330" s="44"/>
      <c r="F330" s="61"/>
      <c r="G330" s="59"/>
      <c r="H330" s="58"/>
      <c r="I330" s="52"/>
    </row>
    <row r="331" spans="2:9">
      <c r="B331" s="50"/>
      <c r="C331" s="51"/>
      <c r="D331" s="44"/>
      <c r="F331" s="61"/>
      <c r="G331" s="59"/>
      <c r="H331" s="58"/>
      <c r="I331" s="52"/>
    </row>
    <row r="332" spans="2:9">
      <c r="B332" s="50"/>
      <c r="C332" s="51"/>
      <c r="D332" s="44"/>
      <c r="F332" s="61"/>
      <c r="G332" s="59"/>
      <c r="H332" s="58"/>
      <c r="I332" s="52"/>
    </row>
    <row r="333" spans="2:9">
      <c r="B333" s="50"/>
      <c r="C333" s="51"/>
      <c r="D333" s="44"/>
      <c r="F333" s="61"/>
      <c r="G333" s="59"/>
      <c r="H333" s="58"/>
      <c r="I333" s="52"/>
    </row>
    <row r="334" spans="2:9">
      <c r="B334" s="50"/>
      <c r="C334" s="51"/>
      <c r="D334" s="44"/>
      <c r="F334" s="61"/>
      <c r="G334" s="59"/>
      <c r="H334" s="58"/>
      <c r="I334" s="52"/>
    </row>
    <row r="335" spans="2:9">
      <c r="B335" s="50"/>
      <c r="C335" s="51"/>
      <c r="D335" s="44"/>
      <c r="F335" s="61"/>
      <c r="G335" s="59"/>
      <c r="H335" s="58"/>
      <c r="I335" s="52"/>
    </row>
    <row r="336" spans="2:9">
      <c r="B336" s="50"/>
      <c r="C336" s="51"/>
      <c r="D336" s="44"/>
      <c r="F336" s="61"/>
      <c r="G336" s="59"/>
      <c r="H336" s="58"/>
      <c r="I336" s="52"/>
    </row>
    <row r="337" spans="2:9">
      <c r="B337" s="50"/>
      <c r="C337" s="51"/>
      <c r="D337" s="44"/>
      <c r="F337" s="61"/>
      <c r="G337" s="59"/>
      <c r="H337" s="58"/>
      <c r="I337" s="52"/>
    </row>
    <row r="338" spans="2:9">
      <c r="B338" s="50"/>
      <c r="C338" s="51"/>
      <c r="D338" s="44"/>
      <c r="F338" s="61"/>
      <c r="G338" s="59"/>
      <c r="H338" s="58"/>
      <c r="I338" s="52"/>
    </row>
    <row r="339" spans="2:9">
      <c r="B339" s="50"/>
      <c r="C339" s="51"/>
      <c r="D339" s="44"/>
      <c r="F339" s="61"/>
      <c r="G339" s="59"/>
      <c r="H339" s="58"/>
      <c r="I339" s="52"/>
    </row>
    <row r="340" spans="2:9">
      <c r="B340" s="50"/>
      <c r="C340" s="51"/>
      <c r="D340" s="44"/>
      <c r="F340" s="61"/>
      <c r="G340" s="59"/>
      <c r="H340" s="58"/>
      <c r="I340" s="52"/>
    </row>
    <row r="341" spans="2:9">
      <c r="B341" s="50"/>
      <c r="C341" s="51"/>
      <c r="D341" s="44"/>
      <c r="F341" s="61"/>
      <c r="G341" s="59"/>
      <c r="H341" s="58"/>
      <c r="I341" s="52"/>
    </row>
    <row r="342" spans="2:9">
      <c r="B342" s="50"/>
      <c r="C342" s="51"/>
      <c r="D342" s="44"/>
      <c r="F342" s="61"/>
      <c r="G342" s="59"/>
      <c r="H342" s="58"/>
      <c r="I342" s="52"/>
    </row>
    <row r="343" spans="2:9">
      <c r="B343" s="50"/>
      <c r="C343" s="51"/>
      <c r="D343" s="44"/>
      <c r="F343" s="61"/>
      <c r="G343" s="59"/>
      <c r="H343" s="58"/>
      <c r="I343" s="52"/>
    </row>
    <row r="344" spans="2:9">
      <c r="B344" s="50"/>
      <c r="C344" s="51"/>
      <c r="D344" s="44"/>
      <c r="F344" s="61"/>
      <c r="G344" s="59"/>
      <c r="H344" s="58"/>
      <c r="I344" s="52"/>
    </row>
    <row r="345" spans="2:9">
      <c r="B345" s="50"/>
      <c r="C345" s="51"/>
      <c r="D345" s="44"/>
      <c r="F345" s="61"/>
      <c r="G345" s="59"/>
      <c r="H345" s="58"/>
      <c r="I345" s="52"/>
    </row>
    <row r="346" spans="2:9">
      <c r="B346" s="50"/>
      <c r="C346" s="51"/>
      <c r="D346" s="44"/>
      <c r="F346" s="61"/>
      <c r="G346" s="59"/>
      <c r="H346" s="58"/>
      <c r="I346" s="52"/>
    </row>
    <row r="347" spans="2:9">
      <c r="B347" s="50"/>
      <c r="C347" s="51"/>
      <c r="D347" s="44"/>
      <c r="F347" s="61"/>
      <c r="G347" s="59"/>
      <c r="H347" s="58"/>
      <c r="I347" s="52"/>
    </row>
    <row r="348" spans="2:9">
      <c r="B348" s="50"/>
      <c r="C348" s="51"/>
      <c r="D348" s="44"/>
      <c r="F348" s="61"/>
      <c r="G348" s="59"/>
      <c r="H348" s="58"/>
      <c r="I348" s="52"/>
    </row>
    <row r="349" spans="2:9">
      <c r="B349" s="50"/>
      <c r="C349" s="51"/>
      <c r="D349" s="44"/>
      <c r="F349" s="61"/>
      <c r="G349" s="59"/>
      <c r="H349" s="58"/>
      <c r="I349" s="52"/>
    </row>
    <row r="350" spans="2:9">
      <c r="B350" s="50"/>
      <c r="C350" s="51"/>
      <c r="D350" s="44"/>
      <c r="F350" s="61"/>
      <c r="G350" s="59"/>
      <c r="H350" s="58"/>
      <c r="I350" s="52"/>
    </row>
    <row r="351" spans="2:9">
      <c r="B351" s="50"/>
      <c r="C351" s="51"/>
      <c r="D351" s="44"/>
      <c r="F351" s="61"/>
      <c r="G351" s="59"/>
      <c r="H351" s="58"/>
      <c r="I351" s="52"/>
    </row>
    <row r="352" spans="2:9">
      <c r="B352" s="50"/>
      <c r="C352" s="51"/>
      <c r="D352" s="44"/>
      <c r="F352" s="61"/>
      <c r="G352" s="59"/>
      <c r="H352" s="58"/>
      <c r="I352" s="52"/>
    </row>
    <row r="353" spans="2:9">
      <c r="B353" s="50"/>
      <c r="C353" s="51"/>
      <c r="D353" s="44"/>
      <c r="F353" s="61"/>
      <c r="G353" s="59"/>
      <c r="H353" s="58"/>
      <c r="I353" s="52"/>
    </row>
    <row r="354" spans="2:9">
      <c r="B354" s="50"/>
      <c r="C354" s="51"/>
      <c r="D354" s="44"/>
      <c r="F354" s="61"/>
      <c r="G354" s="59"/>
      <c r="H354" s="58"/>
      <c r="I354" s="52"/>
    </row>
    <row r="355" spans="2:9">
      <c r="B355" s="50"/>
      <c r="C355" s="51"/>
      <c r="D355" s="44"/>
      <c r="F355" s="61"/>
      <c r="G355" s="59"/>
      <c r="H355" s="58"/>
      <c r="I355" s="52"/>
    </row>
    <row r="356" spans="2:9">
      <c r="B356" s="50"/>
      <c r="C356" s="51"/>
      <c r="D356" s="44"/>
      <c r="F356" s="61"/>
      <c r="G356" s="59"/>
      <c r="H356" s="58"/>
      <c r="I356" s="52"/>
    </row>
    <row r="357" spans="2:9">
      <c r="B357" s="50"/>
      <c r="C357" s="51"/>
      <c r="D357" s="44"/>
      <c r="F357" s="61"/>
      <c r="G357" s="59"/>
      <c r="H357" s="58"/>
      <c r="I357" s="52"/>
    </row>
    <row r="358" spans="2:9">
      <c r="B358" s="50"/>
      <c r="C358" s="51"/>
      <c r="D358" s="44"/>
      <c r="F358" s="61"/>
      <c r="G358" s="59"/>
      <c r="H358" s="58"/>
      <c r="I358" s="52"/>
    </row>
    <row r="359" spans="2:9">
      <c r="B359" s="50"/>
      <c r="C359" s="51"/>
      <c r="D359" s="44"/>
      <c r="F359" s="61"/>
      <c r="G359" s="59"/>
      <c r="H359" s="58"/>
      <c r="I359" s="52"/>
    </row>
    <row r="360" spans="2:9">
      <c r="B360" s="50"/>
      <c r="C360" s="51"/>
      <c r="D360" s="44"/>
      <c r="F360" s="61"/>
      <c r="G360" s="59"/>
      <c r="H360" s="58"/>
      <c r="I360" s="52"/>
    </row>
    <row r="361" spans="2:9">
      <c r="B361" s="50"/>
      <c r="C361" s="51"/>
      <c r="D361" s="44"/>
      <c r="F361" s="61"/>
      <c r="G361" s="59"/>
      <c r="H361" s="58"/>
      <c r="I361" s="52"/>
    </row>
    <row r="362" spans="2:9">
      <c r="B362" s="50"/>
      <c r="C362" s="51"/>
      <c r="D362" s="44"/>
      <c r="F362" s="61"/>
      <c r="G362" s="59"/>
      <c r="H362" s="58"/>
      <c r="I362" s="52"/>
    </row>
    <row r="363" spans="2:9">
      <c r="B363" s="50"/>
      <c r="C363" s="51"/>
      <c r="D363" s="44"/>
      <c r="F363" s="61"/>
      <c r="G363" s="59"/>
      <c r="H363" s="58"/>
      <c r="I363" s="52"/>
    </row>
    <row r="364" spans="2:9">
      <c r="B364" s="50"/>
      <c r="C364" s="51"/>
      <c r="D364" s="44"/>
      <c r="F364" s="61"/>
      <c r="G364" s="59"/>
      <c r="H364" s="58"/>
      <c r="I364" s="52"/>
    </row>
    <row r="365" spans="2:9">
      <c r="B365" s="50"/>
      <c r="C365" s="51"/>
      <c r="D365" s="44"/>
      <c r="F365" s="61"/>
      <c r="G365" s="59"/>
      <c r="H365" s="58"/>
      <c r="I365" s="52"/>
    </row>
    <row r="366" spans="2:9">
      <c r="B366" s="50"/>
      <c r="C366" s="51"/>
      <c r="D366" s="44"/>
      <c r="F366" s="61"/>
      <c r="G366" s="59"/>
      <c r="H366" s="58"/>
      <c r="I366" s="52"/>
    </row>
    <row r="367" spans="2:9">
      <c r="B367" s="50"/>
      <c r="C367" s="51"/>
      <c r="D367" s="44"/>
      <c r="F367" s="61"/>
      <c r="G367" s="59"/>
      <c r="H367" s="58"/>
      <c r="I367" s="52"/>
    </row>
    <row r="368" spans="2:9">
      <c r="B368" s="50"/>
      <c r="C368" s="51"/>
      <c r="D368" s="44"/>
      <c r="F368" s="61"/>
      <c r="G368" s="59"/>
      <c r="H368" s="58"/>
      <c r="I368" s="52"/>
    </row>
    <row r="369" spans="2:9">
      <c r="B369" s="50"/>
      <c r="C369" s="51"/>
      <c r="D369" s="44"/>
      <c r="E369" s="44"/>
      <c r="F369" s="61"/>
      <c r="G369" s="59"/>
      <c r="H369" s="58"/>
      <c r="I369" s="52"/>
    </row>
    <row r="370" spans="2:9">
      <c r="B370" s="50"/>
      <c r="C370" s="51"/>
      <c r="D370" s="44"/>
      <c r="E370" s="44"/>
      <c r="F370" s="61"/>
      <c r="G370" s="59"/>
      <c r="H370" s="58"/>
      <c r="I370" s="52"/>
    </row>
    <row r="371" spans="2:9">
      <c r="B371" s="50"/>
      <c r="C371" s="51"/>
      <c r="D371" s="44"/>
      <c r="E371" s="44"/>
      <c r="F371" s="61"/>
      <c r="G371" s="59"/>
      <c r="H371" s="58"/>
      <c r="I371" s="52"/>
    </row>
    <row r="372" spans="2:9">
      <c r="B372" s="50"/>
      <c r="C372" s="51"/>
      <c r="D372" s="44"/>
      <c r="E372" s="44"/>
      <c r="F372" s="61"/>
      <c r="G372" s="59"/>
      <c r="H372" s="58"/>
      <c r="I372" s="52"/>
    </row>
    <row r="373" spans="2:9">
      <c r="B373" s="50"/>
      <c r="C373" s="51"/>
      <c r="D373" s="44"/>
      <c r="E373" s="44"/>
      <c r="F373" s="61"/>
      <c r="G373" s="59"/>
      <c r="H373" s="58"/>
      <c r="I373" s="52"/>
    </row>
    <row r="374" spans="2:9">
      <c r="B374" s="50"/>
      <c r="C374" s="51"/>
      <c r="D374" s="44"/>
      <c r="E374" s="44"/>
      <c r="F374" s="61"/>
      <c r="G374" s="59"/>
      <c r="H374" s="58"/>
      <c r="I374" s="52"/>
    </row>
    <row r="375" spans="2:9">
      <c r="B375" s="50"/>
      <c r="C375" s="51"/>
      <c r="D375" s="44"/>
      <c r="E375" s="44"/>
      <c r="F375" s="61"/>
      <c r="G375" s="59"/>
      <c r="H375" s="58"/>
      <c r="I375" s="52"/>
    </row>
    <row r="376" spans="2:9">
      <c r="B376" s="50"/>
      <c r="C376" s="51"/>
      <c r="D376" s="44"/>
      <c r="E376" s="44"/>
      <c r="F376" s="61"/>
      <c r="G376" s="59"/>
      <c r="H376" s="58"/>
      <c r="I376" s="52"/>
    </row>
    <row r="377" spans="2:9">
      <c r="B377" s="50"/>
      <c r="C377" s="51"/>
      <c r="D377" s="44"/>
      <c r="F377" s="61"/>
      <c r="G377" s="59"/>
    </row>
    <row r="378" spans="2:9">
      <c r="B378" s="50"/>
      <c r="C378" s="51"/>
      <c r="D378" s="44"/>
      <c r="F378" s="61"/>
      <c r="G378" s="59"/>
    </row>
    <row r="379" spans="2:9">
      <c r="B379" s="50"/>
      <c r="C379" s="51"/>
      <c r="D379" s="44"/>
      <c r="F379" s="61"/>
      <c r="G379" s="59"/>
    </row>
    <row r="380" spans="2:9">
      <c r="B380" s="50"/>
      <c r="C380" s="51"/>
      <c r="D380" s="44"/>
      <c r="F380" s="61"/>
      <c r="G380" s="59"/>
    </row>
    <row r="381" spans="2:9">
      <c r="B381" s="50"/>
      <c r="C381" s="51"/>
      <c r="D381" s="44"/>
      <c r="F381" s="61"/>
      <c r="G381" s="59"/>
    </row>
    <row r="382" spans="2:9">
      <c r="B382" s="50"/>
      <c r="C382" s="51"/>
      <c r="D382" s="44"/>
      <c r="F382" s="61"/>
      <c r="G382" s="59"/>
    </row>
    <row r="383" spans="2:9">
      <c r="B383" s="50"/>
      <c r="C383" s="51"/>
      <c r="D383" s="44"/>
      <c r="F383" s="61"/>
      <c r="G383" s="59"/>
    </row>
    <row r="384" spans="2:9">
      <c r="B384" s="50"/>
      <c r="C384" s="51"/>
      <c r="D384" s="44"/>
      <c r="F384" s="61"/>
      <c r="G384" s="59"/>
    </row>
    <row r="385" spans="2:7">
      <c r="B385" s="50"/>
      <c r="C385" s="51"/>
      <c r="D385" s="44"/>
      <c r="F385" s="61"/>
      <c r="G385" s="59"/>
    </row>
    <row r="386" spans="2:7">
      <c r="B386" s="50"/>
      <c r="C386" s="51"/>
      <c r="D386" s="44"/>
      <c r="F386" s="61"/>
      <c r="G386" s="59"/>
    </row>
    <row r="387" spans="2:7">
      <c r="B387" s="50"/>
      <c r="C387" s="51"/>
      <c r="D387" s="44"/>
      <c r="F387" s="61"/>
      <c r="G387" s="59"/>
    </row>
    <row r="388" spans="2:7">
      <c r="B388" s="50"/>
      <c r="C388" s="51"/>
      <c r="D388" s="44"/>
      <c r="F388" s="61"/>
      <c r="G388" s="59"/>
    </row>
    <row r="389" spans="2:7">
      <c r="B389" s="50"/>
      <c r="C389" s="51"/>
      <c r="D389" s="44"/>
      <c r="F389" s="61"/>
      <c r="G389" s="59"/>
    </row>
    <row r="390" spans="2:7">
      <c r="B390" s="50"/>
      <c r="C390" s="51"/>
      <c r="D390" s="44"/>
      <c r="F390" s="61"/>
      <c r="G390" s="59"/>
    </row>
    <row r="391" spans="2:7">
      <c r="B391" s="50"/>
      <c r="C391" s="51"/>
      <c r="D391" s="44"/>
      <c r="F391" s="61"/>
      <c r="G391" s="59"/>
    </row>
    <row r="392" spans="2:7">
      <c r="B392" s="50"/>
      <c r="C392" s="51"/>
      <c r="D392" s="44"/>
      <c r="F392" s="61"/>
      <c r="G392" s="59"/>
    </row>
    <row r="393" spans="2:7">
      <c r="B393" s="50"/>
      <c r="C393" s="51"/>
      <c r="D393" s="44"/>
      <c r="F393" s="61"/>
      <c r="G393" s="59"/>
    </row>
    <row r="394" spans="2:7">
      <c r="B394" s="50"/>
      <c r="C394" s="51"/>
      <c r="D394" s="44"/>
      <c r="F394" s="61"/>
      <c r="G394" s="59"/>
    </row>
    <row r="395" spans="2:7">
      <c r="B395" s="50"/>
      <c r="C395" s="51"/>
      <c r="D395" s="44"/>
      <c r="F395" s="61"/>
      <c r="G395" s="59"/>
    </row>
    <row r="396" spans="2:7">
      <c r="B396" s="50"/>
      <c r="C396" s="51"/>
      <c r="D396" s="44"/>
      <c r="F396" s="61"/>
      <c r="G396" s="59"/>
    </row>
    <row r="397" spans="2:7">
      <c r="B397" s="50"/>
      <c r="C397" s="51"/>
      <c r="D397" s="44"/>
      <c r="F397" s="61"/>
      <c r="G397" s="59"/>
    </row>
    <row r="398" spans="2:7">
      <c r="B398" s="50"/>
      <c r="C398" s="51"/>
      <c r="D398" s="44"/>
      <c r="F398" s="61"/>
      <c r="G398" s="59"/>
    </row>
    <row r="399" spans="2:7">
      <c r="B399" s="50"/>
      <c r="C399" s="51"/>
      <c r="D399" s="44"/>
      <c r="F399" s="61"/>
      <c r="G399" s="59"/>
    </row>
    <row r="400" spans="2:7">
      <c r="B400" s="50"/>
      <c r="C400" s="51"/>
      <c r="D400" s="44"/>
      <c r="F400" s="61"/>
      <c r="G400" s="59"/>
    </row>
    <row r="401" spans="2:7">
      <c r="B401" s="50"/>
      <c r="C401" s="51"/>
      <c r="D401" s="44"/>
      <c r="F401" s="61"/>
      <c r="G401" s="59"/>
    </row>
    <row r="402" spans="2:7">
      <c r="B402" s="50"/>
      <c r="C402" s="51"/>
      <c r="D402" s="44"/>
      <c r="F402" s="61"/>
      <c r="G402" s="59"/>
    </row>
    <row r="403" spans="2:7">
      <c r="B403" s="50"/>
      <c r="D403" s="44"/>
      <c r="F403" s="61"/>
      <c r="G403" s="59"/>
    </row>
    <row r="404" spans="2:7">
      <c r="B404" s="50"/>
      <c r="D404" s="44"/>
      <c r="F404" s="61"/>
      <c r="G404" s="59"/>
    </row>
    <row r="405" spans="2:7">
      <c r="B405" s="50"/>
      <c r="D405" s="44"/>
      <c r="F405" s="61"/>
      <c r="G405" s="59"/>
    </row>
    <row r="406" spans="2:7">
      <c r="B406" s="50"/>
      <c r="D406" s="44"/>
      <c r="F406" s="61"/>
      <c r="G406" s="59"/>
    </row>
    <row r="407" spans="2:7">
      <c r="B407" s="50"/>
      <c r="D407" s="44"/>
      <c r="F407" s="61"/>
      <c r="G407" s="59"/>
    </row>
    <row r="408" spans="2:7">
      <c r="B408" s="50"/>
      <c r="D408" s="44"/>
      <c r="F408" s="61"/>
      <c r="G408" s="59"/>
    </row>
    <row r="409" spans="2:7">
      <c r="B409" s="50"/>
      <c r="D409" s="44"/>
      <c r="F409" s="61"/>
      <c r="G409" s="59"/>
    </row>
    <row r="410" spans="2:7">
      <c r="B410" s="50"/>
      <c r="D410" s="44"/>
      <c r="F410" s="61"/>
      <c r="G410" s="59"/>
    </row>
    <row r="411" spans="2:7">
      <c r="B411" s="50"/>
      <c r="D411" s="44"/>
      <c r="F411" s="61"/>
      <c r="G411" s="59"/>
    </row>
    <row r="412" spans="2:7">
      <c r="B412" s="50"/>
      <c r="D412" s="44"/>
      <c r="F412" s="61"/>
      <c r="G412" s="59"/>
    </row>
    <row r="413" spans="2:7">
      <c r="B413" s="50"/>
      <c r="D413" s="44"/>
      <c r="F413" s="61"/>
      <c r="G413" s="59"/>
    </row>
    <row r="414" spans="2:7">
      <c r="B414" s="50"/>
      <c r="D414" s="44"/>
      <c r="F414" s="61"/>
      <c r="G414" s="59"/>
    </row>
    <row r="415" spans="2:7">
      <c r="B415" s="50"/>
      <c r="D415" s="44"/>
      <c r="F415" s="61"/>
      <c r="G415" s="59"/>
    </row>
    <row r="416" spans="2:7">
      <c r="B416" s="50"/>
      <c r="D416" s="44"/>
      <c r="F416" s="61"/>
      <c r="G416" s="59"/>
    </row>
    <row r="417" spans="2:7">
      <c r="B417" s="50"/>
      <c r="D417" s="44"/>
      <c r="F417" s="61"/>
      <c r="G417" s="59"/>
    </row>
    <row r="418" spans="2:7">
      <c r="B418" s="50"/>
      <c r="D418" s="44"/>
      <c r="F418" s="61"/>
      <c r="G418" s="59"/>
    </row>
    <row r="419" spans="2:7">
      <c r="B419" s="50"/>
      <c r="D419" s="44"/>
      <c r="F419" s="61"/>
      <c r="G419" s="59"/>
    </row>
    <row r="420" spans="2:7">
      <c r="B420" s="50"/>
      <c r="D420" s="44"/>
      <c r="F420" s="61"/>
      <c r="G420" s="59"/>
    </row>
    <row r="421" spans="2:7">
      <c r="B421" s="50"/>
      <c r="D421" s="44"/>
      <c r="F421" s="61"/>
      <c r="G421" s="59"/>
    </row>
    <row r="422" spans="2:7">
      <c r="B422" s="50"/>
      <c r="D422" s="44"/>
      <c r="F422" s="61"/>
      <c r="G422" s="59"/>
    </row>
    <row r="423" spans="2:7">
      <c r="B423" s="50"/>
      <c r="D423" s="44"/>
      <c r="F423" s="61"/>
      <c r="G423" s="59"/>
    </row>
    <row r="424" spans="2:7">
      <c r="B424" s="50"/>
      <c r="D424" s="44"/>
      <c r="F424" s="61"/>
      <c r="G424" s="59"/>
    </row>
    <row r="425" spans="2:7">
      <c r="B425" s="50"/>
      <c r="D425" s="44"/>
      <c r="F425" s="61"/>
      <c r="G425" s="59"/>
    </row>
    <row r="426" spans="2:7">
      <c r="B426" s="50"/>
      <c r="D426" s="44"/>
      <c r="F426" s="61"/>
      <c r="G426" s="59"/>
    </row>
    <row r="427" spans="2:7">
      <c r="B427" s="50"/>
      <c r="D427" s="44"/>
      <c r="F427" s="61"/>
      <c r="G427" s="59"/>
    </row>
    <row r="428" spans="2:7">
      <c r="B428" s="50"/>
      <c r="D428" s="44"/>
      <c r="F428" s="61"/>
      <c r="G428" s="59"/>
    </row>
    <row r="429" spans="2:7">
      <c r="B429" s="50"/>
      <c r="D429" s="44"/>
      <c r="F429" s="61"/>
      <c r="G429" s="59"/>
    </row>
    <row r="430" spans="2:7">
      <c r="B430" s="50"/>
      <c r="D430" s="44"/>
      <c r="F430" s="61"/>
      <c r="G430" s="59"/>
    </row>
    <row r="431" spans="2:7">
      <c r="B431" s="50"/>
      <c r="D431" s="44"/>
      <c r="F431" s="61"/>
      <c r="G431" s="59"/>
    </row>
    <row r="432" spans="2:7">
      <c r="B432" s="50"/>
      <c r="D432" s="44"/>
      <c r="F432" s="61"/>
      <c r="G432" s="59"/>
    </row>
    <row r="433" spans="2:7">
      <c r="B433" s="50"/>
      <c r="D433" s="44"/>
      <c r="F433" s="61"/>
      <c r="G433" s="59"/>
    </row>
    <row r="434" spans="2:7">
      <c r="B434" s="50"/>
      <c r="D434" s="44"/>
      <c r="F434" s="61"/>
      <c r="G434" s="59"/>
    </row>
    <row r="435" spans="2:7">
      <c r="B435" s="50"/>
      <c r="D435" s="44"/>
      <c r="F435" s="61"/>
      <c r="G435" s="59"/>
    </row>
    <row r="436" spans="2:7">
      <c r="D436" s="44"/>
      <c r="F436" s="61"/>
      <c r="G436" s="59"/>
    </row>
    <row r="437" spans="2:7">
      <c r="D437" s="44"/>
      <c r="F437" s="61"/>
      <c r="G437" s="59"/>
    </row>
    <row r="438" spans="2:7">
      <c r="D438" s="44"/>
      <c r="F438" s="61"/>
      <c r="G438" s="59"/>
    </row>
    <row r="439" spans="2:7">
      <c r="D439" s="44"/>
      <c r="F439" s="61"/>
      <c r="G439" s="59"/>
    </row>
    <row r="440" spans="2:7">
      <c r="D440" s="44"/>
      <c r="F440" s="61"/>
      <c r="G440" s="59"/>
    </row>
    <row r="441" spans="2:7">
      <c r="D441" s="44"/>
      <c r="F441" s="61"/>
      <c r="G441" s="59"/>
    </row>
    <row r="442" spans="2:7">
      <c r="D442" s="44"/>
      <c r="F442" s="61"/>
      <c r="G442" s="59"/>
    </row>
    <row r="443" spans="2:7">
      <c r="D443" s="44"/>
      <c r="F443" s="61"/>
      <c r="G443" s="59"/>
    </row>
    <row r="444" spans="2:7">
      <c r="D444" s="44"/>
      <c r="F444" s="61"/>
      <c r="G444" s="59"/>
    </row>
    <row r="445" spans="2:7">
      <c r="D445" s="44"/>
      <c r="F445" s="61"/>
      <c r="G445" s="59"/>
    </row>
    <row r="446" spans="2:7">
      <c r="D446" s="44"/>
      <c r="F446" s="61"/>
      <c r="G446" s="59"/>
    </row>
    <row r="447" spans="2:7">
      <c r="D447" s="44"/>
      <c r="F447" s="61"/>
      <c r="G447" s="59"/>
    </row>
    <row r="448" spans="2:7">
      <c r="D448" s="44"/>
      <c r="F448" s="61"/>
      <c r="G448" s="59"/>
    </row>
    <row r="449" spans="4:7">
      <c r="D449" s="44"/>
      <c r="F449" s="61"/>
      <c r="G449" s="59"/>
    </row>
    <row r="450" spans="4:7">
      <c r="D450" s="44"/>
      <c r="F450" s="61"/>
      <c r="G450" s="59"/>
    </row>
    <row r="451" spans="4:7">
      <c r="D451" s="44"/>
      <c r="F451" s="61"/>
      <c r="G451" s="59"/>
    </row>
    <row r="452" spans="4:7">
      <c r="D452" s="44"/>
      <c r="F452" s="61"/>
      <c r="G452" s="59"/>
    </row>
    <row r="453" spans="4:7">
      <c r="D453" s="44"/>
      <c r="F453" s="61"/>
      <c r="G453" s="59"/>
    </row>
    <row r="454" spans="4:7">
      <c r="D454" s="44"/>
      <c r="F454" s="61"/>
      <c r="G454" s="59"/>
    </row>
    <row r="455" spans="4:7">
      <c r="D455" s="44"/>
      <c r="F455" s="61"/>
      <c r="G455" s="59"/>
    </row>
    <row r="456" spans="4:7">
      <c r="D456" s="44"/>
      <c r="F456" s="61"/>
      <c r="G456" s="59"/>
    </row>
    <row r="457" spans="4:7">
      <c r="D457" s="44"/>
      <c r="F457" s="61"/>
      <c r="G457" s="59"/>
    </row>
    <row r="458" spans="4:7">
      <c r="D458" s="44"/>
      <c r="F458" s="61"/>
      <c r="G458" s="59"/>
    </row>
    <row r="459" spans="4:7">
      <c r="D459" s="44"/>
      <c r="F459" s="61"/>
      <c r="G459" s="59"/>
    </row>
    <row r="460" spans="4:7">
      <c r="D460" s="44"/>
      <c r="F460" s="61"/>
      <c r="G460" s="59"/>
    </row>
    <row r="461" spans="4:7">
      <c r="D461" s="44"/>
      <c r="F461" s="61"/>
      <c r="G461" s="59"/>
    </row>
    <row r="462" spans="4:7">
      <c r="D462" s="44"/>
      <c r="F462" s="61"/>
      <c r="G462" s="59"/>
    </row>
    <row r="463" spans="4:7">
      <c r="D463" s="44"/>
      <c r="F463" s="61"/>
      <c r="G463" s="59"/>
    </row>
    <row r="464" spans="4:7">
      <c r="D464" s="44"/>
      <c r="F464" s="61"/>
      <c r="G464" s="59"/>
    </row>
    <row r="465" spans="4:7">
      <c r="D465" s="44"/>
      <c r="F465" s="61"/>
      <c r="G465" s="59"/>
    </row>
    <row r="466" spans="4:7">
      <c r="D466" s="44"/>
      <c r="F466" s="61"/>
      <c r="G466" s="59"/>
    </row>
    <row r="467" spans="4:7">
      <c r="D467" s="44"/>
      <c r="F467" s="61"/>
      <c r="G467" s="59"/>
    </row>
    <row r="468" spans="4:7">
      <c r="D468" s="44"/>
      <c r="F468" s="61"/>
      <c r="G468" s="59"/>
    </row>
    <row r="469" spans="4:7">
      <c r="D469" s="44"/>
      <c r="F469" s="61"/>
      <c r="G469" s="59"/>
    </row>
    <row r="470" spans="4:7">
      <c r="D470" s="44"/>
      <c r="F470" s="61"/>
      <c r="G470" s="59"/>
    </row>
    <row r="471" spans="4:7">
      <c r="D471" s="44"/>
      <c r="F471" s="61"/>
      <c r="G471" s="59"/>
    </row>
    <row r="472" spans="4:7">
      <c r="D472" s="44"/>
      <c r="F472" s="61"/>
      <c r="G472" s="59"/>
    </row>
    <row r="473" spans="4:7">
      <c r="D473" s="44"/>
      <c r="F473" s="61"/>
      <c r="G473" s="59"/>
    </row>
    <row r="474" spans="4:7">
      <c r="D474" s="44"/>
      <c r="F474" s="61"/>
      <c r="G474" s="59"/>
    </row>
    <row r="475" spans="4:7">
      <c r="D475" s="44"/>
      <c r="F475" s="61"/>
      <c r="G475" s="59"/>
    </row>
    <row r="476" spans="4:7">
      <c r="D476" s="44"/>
      <c r="F476" s="61"/>
      <c r="G476" s="59"/>
    </row>
    <row r="477" spans="4:7">
      <c r="D477" s="44"/>
      <c r="F477" s="61"/>
      <c r="G477" s="59"/>
    </row>
    <row r="478" spans="4:7">
      <c r="D478" s="44"/>
      <c r="F478" s="61"/>
      <c r="G478" s="59"/>
    </row>
    <row r="479" spans="4:7">
      <c r="D479" s="44"/>
      <c r="F479" s="61"/>
      <c r="G479" s="59"/>
    </row>
    <row r="480" spans="4:7">
      <c r="D480" s="44"/>
      <c r="F480" s="61"/>
      <c r="G480" s="59"/>
    </row>
    <row r="481" spans="4:7">
      <c r="D481" s="44"/>
      <c r="F481" s="61"/>
      <c r="G481" s="59"/>
    </row>
    <row r="482" spans="4:7">
      <c r="D482" s="44"/>
      <c r="F482" s="61"/>
      <c r="G482" s="59"/>
    </row>
    <row r="483" spans="4:7">
      <c r="D483" s="44"/>
      <c r="F483" s="61"/>
      <c r="G483" s="59"/>
    </row>
    <row r="484" spans="4:7">
      <c r="D484" s="44"/>
      <c r="F484" s="61"/>
      <c r="G484" s="59"/>
    </row>
    <row r="485" spans="4:7">
      <c r="D485" s="44"/>
      <c r="F485" s="61"/>
      <c r="G485" s="59"/>
    </row>
    <row r="486" spans="4:7">
      <c r="D486" s="44"/>
      <c r="F486" s="61"/>
      <c r="G486" s="59"/>
    </row>
    <row r="487" spans="4:7">
      <c r="D487" s="44"/>
      <c r="F487" s="61"/>
      <c r="G487" s="59"/>
    </row>
    <row r="488" spans="4:7">
      <c r="D488" s="44"/>
      <c r="F488" s="61"/>
      <c r="G488" s="59"/>
    </row>
    <row r="489" spans="4:7">
      <c r="D489" s="44"/>
      <c r="F489" s="61"/>
      <c r="G489" s="59"/>
    </row>
    <row r="490" spans="4:7">
      <c r="D490" s="44"/>
      <c r="F490" s="61"/>
      <c r="G490" s="59"/>
    </row>
    <row r="491" spans="4:7">
      <c r="D491" s="44"/>
      <c r="F491" s="61"/>
      <c r="G491" s="59"/>
    </row>
    <row r="492" spans="4:7">
      <c r="D492" s="44"/>
      <c r="F492" s="61"/>
      <c r="G492" s="59"/>
    </row>
    <row r="493" spans="4:7">
      <c r="D493" s="44"/>
      <c r="F493" s="61"/>
      <c r="G493" s="59"/>
    </row>
    <row r="494" spans="4:7">
      <c r="D494" s="44"/>
      <c r="F494" s="61"/>
      <c r="G494" s="59"/>
    </row>
    <row r="495" spans="4:7">
      <c r="D495" s="44"/>
      <c r="F495" s="61"/>
      <c r="G495" s="59"/>
    </row>
    <row r="496" spans="4:7">
      <c r="D496" s="44"/>
      <c r="F496" s="61"/>
      <c r="G496" s="59"/>
    </row>
    <row r="497" spans="4:7">
      <c r="D497" s="44"/>
      <c r="F497" s="61"/>
      <c r="G497" s="59"/>
    </row>
    <row r="498" spans="4:7">
      <c r="D498" s="44"/>
      <c r="F498" s="61"/>
      <c r="G498" s="59"/>
    </row>
    <row r="499" spans="4:7">
      <c r="D499" s="44"/>
      <c r="F499" s="61"/>
      <c r="G499" s="59"/>
    </row>
    <row r="500" spans="4:7">
      <c r="D500" s="44"/>
      <c r="F500" s="61"/>
      <c r="G500" s="59"/>
    </row>
    <row r="501" spans="4:7">
      <c r="D501" s="44"/>
      <c r="F501" s="61"/>
      <c r="G501" s="59"/>
    </row>
    <row r="502" spans="4:7">
      <c r="D502" s="44"/>
      <c r="F502" s="61"/>
      <c r="G502" s="59"/>
    </row>
    <row r="503" spans="4:7">
      <c r="D503" s="44"/>
      <c r="F503" s="61"/>
      <c r="G503" s="59"/>
    </row>
    <row r="504" spans="4:7">
      <c r="D504" s="44"/>
      <c r="F504" s="61"/>
      <c r="G504" s="59"/>
    </row>
    <row r="505" spans="4:7">
      <c r="D505" s="44"/>
      <c r="F505" s="61"/>
      <c r="G505" s="59"/>
    </row>
    <row r="506" spans="4:7">
      <c r="D506" s="44"/>
      <c r="F506" s="61"/>
      <c r="G506" s="59"/>
    </row>
    <row r="507" spans="4:7">
      <c r="D507" s="44"/>
      <c r="F507" s="61"/>
      <c r="G507" s="59"/>
    </row>
    <row r="508" spans="4:7">
      <c r="D508" s="44"/>
      <c r="F508" s="61"/>
      <c r="G508" s="59"/>
    </row>
    <row r="509" spans="4:7">
      <c r="D509" s="44"/>
      <c r="F509" s="61"/>
      <c r="G509" s="59"/>
    </row>
    <row r="510" spans="4:7">
      <c r="D510" s="44"/>
      <c r="F510" s="61"/>
      <c r="G510" s="59"/>
    </row>
    <row r="511" spans="4:7">
      <c r="D511" s="44"/>
      <c r="F511" s="61"/>
      <c r="G511" s="59"/>
    </row>
    <row r="512" spans="4:7">
      <c r="D512" s="44"/>
      <c r="F512" s="61"/>
      <c r="G512" s="59"/>
    </row>
    <row r="513" spans="4:7">
      <c r="D513" s="44"/>
      <c r="F513" s="61"/>
      <c r="G513" s="59"/>
    </row>
    <row r="514" spans="4:7">
      <c r="D514" s="44"/>
      <c r="F514" s="61"/>
      <c r="G514" s="59"/>
    </row>
    <row r="515" spans="4:7">
      <c r="D515" s="44"/>
      <c r="F515" s="61"/>
      <c r="G515" s="59"/>
    </row>
    <row r="516" spans="4:7">
      <c r="D516" s="44"/>
      <c r="F516" s="61"/>
      <c r="G516" s="59"/>
    </row>
    <row r="517" spans="4:7">
      <c r="D517" s="44"/>
      <c r="F517" s="61"/>
      <c r="G517" s="59"/>
    </row>
    <row r="518" spans="4:7">
      <c r="D518" s="44"/>
      <c r="F518" s="61"/>
      <c r="G518" s="59"/>
    </row>
    <row r="519" spans="4:7">
      <c r="D519" s="44"/>
      <c r="F519" s="61"/>
      <c r="G519" s="59"/>
    </row>
    <row r="520" spans="4:7">
      <c r="D520" s="44"/>
      <c r="F520" s="61"/>
      <c r="G520" s="59"/>
    </row>
    <row r="521" spans="4:7">
      <c r="D521" s="44"/>
      <c r="F521" s="61"/>
      <c r="G521" s="59"/>
    </row>
    <row r="522" spans="4:7">
      <c r="D522" s="44"/>
      <c r="F522" s="61"/>
      <c r="G522" s="59"/>
    </row>
    <row r="523" spans="4:7">
      <c r="D523" s="44"/>
      <c r="F523" s="61"/>
      <c r="G523" s="59"/>
    </row>
    <row r="524" spans="4:7">
      <c r="D524" s="44"/>
      <c r="F524" s="61"/>
      <c r="G524" s="59"/>
    </row>
    <row r="525" spans="4:7">
      <c r="D525" s="44"/>
      <c r="F525" s="61"/>
      <c r="G525" s="59"/>
    </row>
    <row r="526" spans="4:7">
      <c r="D526" s="44"/>
      <c r="F526" s="61"/>
      <c r="G526" s="59"/>
    </row>
    <row r="527" spans="4:7">
      <c r="D527" s="44"/>
      <c r="F527" s="61"/>
      <c r="G527" s="59"/>
    </row>
    <row r="528" spans="4:7">
      <c r="D528" s="44"/>
      <c r="F528" s="61"/>
      <c r="G528" s="59"/>
    </row>
    <row r="529" spans="4:7">
      <c r="D529" s="44"/>
      <c r="F529" s="61"/>
      <c r="G529" s="59"/>
    </row>
    <row r="530" spans="4:7">
      <c r="D530" s="44"/>
      <c r="F530" s="61"/>
      <c r="G530" s="59"/>
    </row>
    <row r="531" spans="4:7">
      <c r="D531" s="44"/>
      <c r="F531" s="61"/>
      <c r="G531" s="59"/>
    </row>
    <row r="532" spans="4:7">
      <c r="D532" s="44"/>
      <c r="F532" s="61"/>
      <c r="G532" s="59"/>
    </row>
    <row r="533" spans="4:7">
      <c r="D533" s="44"/>
      <c r="F533" s="61"/>
      <c r="G533" s="59"/>
    </row>
    <row r="534" spans="4:7">
      <c r="D534" s="44"/>
      <c r="F534" s="61"/>
      <c r="G534" s="59"/>
    </row>
    <row r="535" spans="4:7">
      <c r="D535" s="44"/>
      <c r="F535" s="61"/>
      <c r="G535" s="59"/>
    </row>
    <row r="536" spans="4:7">
      <c r="D536" s="44"/>
      <c r="F536" s="61"/>
      <c r="G536" s="59"/>
    </row>
    <row r="537" spans="4:7">
      <c r="D537" s="44"/>
      <c r="F537" s="61"/>
      <c r="G537" s="59"/>
    </row>
    <row r="538" spans="4:7">
      <c r="D538" s="44"/>
      <c r="F538" s="61"/>
      <c r="G538" s="59"/>
    </row>
    <row r="539" spans="4:7">
      <c r="D539" s="44"/>
      <c r="F539" s="61"/>
      <c r="G539" s="59"/>
    </row>
    <row r="540" spans="4:7">
      <c r="D540" s="44">
        <f t="shared" ref="D540:D603" si="6">C540-E540</f>
        <v>0</v>
      </c>
      <c r="F540" s="61">
        <f t="shared" ref="F540:F603" si="7">E540*10%</f>
        <v>0</v>
      </c>
      <c r="G540" s="59">
        <f t="shared" ref="G540:G603" si="8">E540*90%</f>
        <v>0</v>
      </c>
    </row>
    <row r="541" spans="4:7">
      <c r="D541" s="44">
        <f t="shared" si="6"/>
        <v>0</v>
      </c>
      <c r="F541" s="61">
        <f t="shared" si="7"/>
        <v>0</v>
      </c>
      <c r="G541" s="59">
        <f t="shared" si="8"/>
        <v>0</v>
      </c>
    </row>
    <row r="542" spans="4:7">
      <c r="D542" s="44">
        <f t="shared" si="6"/>
        <v>0</v>
      </c>
      <c r="F542" s="61">
        <f t="shared" si="7"/>
        <v>0</v>
      </c>
      <c r="G542" s="59">
        <f t="shared" si="8"/>
        <v>0</v>
      </c>
    </row>
    <row r="543" spans="4:7">
      <c r="D543" s="44">
        <f t="shared" si="6"/>
        <v>0</v>
      </c>
      <c r="F543" s="61">
        <f t="shared" si="7"/>
        <v>0</v>
      </c>
      <c r="G543" s="59">
        <f t="shared" si="8"/>
        <v>0</v>
      </c>
    </row>
    <row r="544" spans="4:7">
      <c r="D544" s="44">
        <f t="shared" si="6"/>
        <v>0</v>
      </c>
      <c r="F544" s="61">
        <f t="shared" si="7"/>
        <v>0</v>
      </c>
      <c r="G544" s="59">
        <f t="shared" si="8"/>
        <v>0</v>
      </c>
    </row>
    <row r="545" spans="4:7">
      <c r="D545" s="44">
        <f t="shared" si="6"/>
        <v>0</v>
      </c>
      <c r="F545" s="61">
        <f t="shared" si="7"/>
        <v>0</v>
      </c>
      <c r="G545" s="59">
        <f t="shared" si="8"/>
        <v>0</v>
      </c>
    </row>
    <row r="546" spans="4:7">
      <c r="D546" s="44">
        <f t="shared" si="6"/>
        <v>0</v>
      </c>
      <c r="F546" s="61">
        <f t="shared" si="7"/>
        <v>0</v>
      </c>
      <c r="G546" s="59">
        <f t="shared" si="8"/>
        <v>0</v>
      </c>
    </row>
    <row r="547" spans="4:7">
      <c r="D547" s="44">
        <f t="shared" si="6"/>
        <v>0</v>
      </c>
      <c r="F547" s="61">
        <f t="shared" si="7"/>
        <v>0</v>
      </c>
      <c r="G547" s="59">
        <f t="shared" si="8"/>
        <v>0</v>
      </c>
    </row>
    <row r="548" spans="4:7">
      <c r="D548" s="44">
        <f t="shared" si="6"/>
        <v>0</v>
      </c>
      <c r="F548" s="61">
        <f t="shared" si="7"/>
        <v>0</v>
      </c>
      <c r="G548" s="59">
        <f t="shared" si="8"/>
        <v>0</v>
      </c>
    </row>
    <row r="549" spans="4:7">
      <c r="D549" s="44">
        <f t="shared" si="6"/>
        <v>0</v>
      </c>
      <c r="F549" s="61">
        <f t="shared" si="7"/>
        <v>0</v>
      </c>
      <c r="G549" s="59">
        <f t="shared" si="8"/>
        <v>0</v>
      </c>
    </row>
    <row r="550" spans="4:7">
      <c r="D550" s="44">
        <f t="shared" si="6"/>
        <v>0</v>
      </c>
      <c r="F550" s="61">
        <f t="shared" si="7"/>
        <v>0</v>
      </c>
      <c r="G550" s="59">
        <f t="shared" si="8"/>
        <v>0</v>
      </c>
    </row>
    <row r="551" spans="4:7">
      <c r="D551" s="44">
        <f t="shared" si="6"/>
        <v>0</v>
      </c>
      <c r="F551" s="61">
        <f t="shared" si="7"/>
        <v>0</v>
      </c>
      <c r="G551" s="59">
        <f t="shared" si="8"/>
        <v>0</v>
      </c>
    </row>
    <row r="552" spans="4:7">
      <c r="D552" s="44">
        <f t="shared" si="6"/>
        <v>0</v>
      </c>
      <c r="F552" s="61">
        <f t="shared" si="7"/>
        <v>0</v>
      </c>
      <c r="G552" s="59">
        <f t="shared" si="8"/>
        <v>0</v>
      </c>
    </row>
    <row r="553" spans="4:7">
      <c r="D553" s="44">
        <f t="shared" si="6"/>
        <v>0</v>
      </c>
      <c r="F553" s="61">
        <f t="shared" si="7"/>
        <v>0</v>
      </c>
      <c r="G553" s="59">
        <f t="shared" si="8"/>
        <v>0</v>
      </c>
    </row>
    <row r="554" spans="4:7">
      <c r="D554" s="44">
        <f t="shared" si="6"/>
        <v>0</v>
      </c>
      <c r="F554" s="61">
        <f t="shared" si="7"/>
        <v>0</v>
      </c>
      <c r="G554" s="59">
        <f t="shared" si="8"/>
        <v>0</v>
      </c>
    </row>
    <row r="555" spans="4:7">
      <c r="D555" s="44">
        <f t="shared" si="6"/>
        <v>0</v>
      </c>
      <c r="F555" s="61">
        <f t="shared" si="7"/>
        <v>0</v>
      </c>
      <c r="G555" s="59">
        <f t="shared" si="8"/>
        <v>0</v>
      </c>
    </row>
    <row r="556" spans="4:7">
      <c r="D556" s="44">
        <f t="shared" si="6"/>
        <v>0</v>
      </c>
      <c r="F556" s="61">
        <f t="shared" si="7"/>
        <v>0</v>
      </c>
      <c r="G556" s="59">
        <f t="shared" si="8"/>
        <v>0</v>
      </c>
    </row>
    <row r="557" spans="4:7">
      <c r="D557" s="44">
        <f t="shared" si="6"/>
        <v>0</v>
      </c>
      <c r="F557" s="61">
        <f t="shared" si="7"/>
        <v>0</v>
      </c>
      <c r="G557" s="59">
        <f t="shared" si="8"/>
        <v>0</v>
      </c>
    </row>
    <row r="558" spans="4:7">
      <c r="D558" s="44">
        <f t="shared" si="6"/>
        <v>0</v>
      </c>
      <c r="F558" s="61">
        <f t="shared" si="7"/>
        <v>0</v>
      </c>
      <c r="G558" s="59">
        <f t="shared" si="8"/>
        <v>0</v>
      </c>
    </row>
    <row r="559" spans="4:7">
      <c r="D559" s="44">
        <f t="shared" si="6"/>
        <v>0</v>
      </c>
      <c r="F559" s="61">
        <f t="shared" si="7"/>
        <v>0</v>
      </c>
      <c r="G559" s="59">
        <f t="shared" si="8"/>
        <v>0</v>
      </c>
    </row>
    <row r="560" spans="4:7">
      <c r="D560" s="44">
        <f t="shared" si="6"/>
        <v>0</v>
      </c>
      <c r="F560" s="61">
        <f t="shared" si="7"/>
        <v>0</v>
      </c>
      <c r="G560" s="59">
        <f t="shared" si="8"/>
        <v>0</v>
      </c>
    </row>
    <row r="561" spans="4:7">
      <c r="D561" s="44">
        <f t="shared" si="6"/>
        <v>0</v>
      </c>
      <c r="F561" s="61">
        <f t="shared" si="7"/>
        <v>0</v>
      </c>
      <c r="G561" s="59">
        <f t="shared" si="8"/>
        <v>0</v>
      </c>
    </row>
    <row r="562" spans="4:7">
      <c r="D562" s="44">
        <f t="shared" si="6"/>
        <v>0</v>
      </c>
      <c r="F562" s="61">
        <f t="shared" si="7"/>
        <v>0</v>
      </c>
      <c r="G562" s="59">
        <f t="shared" si="8"/>
        <v>0</v>
      </c>
    </row>
    <row r="563" spans="4:7">
      <c r="D563" s="44">
        <f t="shared" si="6"/>
        <v>0</v>
      </c>
      <c r="F563" s="61">
        <f t="shared" si="7"/>
        <v>0</v>
      </c>
      <c r="G563" s="59">
        <f t="shared" si="8"/>
        <v>0</v>
      </c>
    </row>
    <row r="564" spans="4:7">
      <c r="D564" s="44">
        <f t="shared" si="6"/>
        <v>0</v>
      </c>
      <c r="F564" s="61">
        <f t="shared" si="7"/>
        <v>0</v>
      </c>
      <c r="G564" s="59">
        <f t="shared" si="8"/>
        <v>0</v>
      </c>
    </row>
    <row r="565" spans="4:7">
      <c r="D565" s="44">
        <f t="shared" si="6"/>
        <v>0</v>
      </c>
      <c r="F565" s="61">
        <f t="shared" si="7"/>
        <v>0</v>
      </c>
      <c r="G565" s="59">
        <f t="shared" si="8"/>
        <v>0</v>
      </c>
    </row>
    <row r="566" spans="4:7">
      <c r="D566" s="44">
        <f t="shared" si="6"/>
        <v>0</v>
      </c>
      <c r="F566" s="61">
        <f t="shared" si="7"/>
        <v>0</v>
      </c>
      <c r="G566" s="59">
        <f t="shared" si="8"/>
        <v>0</v>
      </c>
    </row>
    <row r="567" spans="4:7">
      <c r="D567" s="44">
        <f t="shared" si="6"/>
        <v>0</v>
      </c>
      <c r="F567" s="61">
        <f t="shared" si="7"/>
        <v>0</v>
      </c>
      <c r="G567" s="59">
        <f t="shared" si="8"/>
        <v>0</v>
      </c>
    </row>
    <row r="568" spans="4:7">
      <c r="D568" s="44">
        <f t="shared" si="6"/>
        <v>0</v>
      </c>
      <c r="F568" s="61">
        <f t="shared" si="7"/>
        <v>0</v>
      </c>
      <c r="G568" s="59">
        <f t="shared" si="8"/>
        <v>0</v>
      </c>
    </row>
    <row r="569" spans="4:7">
      <c r="D569" s="44">
        <f t="shared" si="6"/>
        <v>0</v>
      </c>
      <c r="F569" s="61">
        <f t="shared" si="7"/>
        <v>0</v>
      </c>
      <c r="G569" s="59">
        <f t="shared" si="8"/>
        <v>0</v>
      </c>
    </row>
    <row r="570" spans="4:7">
      <c r="D570" s="44">
        <f t="shared" si="6"/>
        <v>0</v>
      </c>
      <c r="F570" s="61">
        <f t="shared" si="7"/>
        <v>0</v>
      </c>
      <c r="G570" s="59">
        <f t="shared" si="8"/>
        <v>0</v>
      </c>
    </row>
    <row r="571" spans="4:7">
      <c r="D571" s="44">
        <f t="shared" si="6"/>
        <v>0</v>
      </c>
      <c r="F571" s="61">
        <f t="shared" si="7"/>
        <v>0</v>
      </c>
      <c r="G571" s="59">
        <f t="shared" si="8"/>
        <v>0</v>
      </c>
    </row>
    <row r="572" spans="4:7">
      <c r="D572" s="44">
        <f t="shared" si="6"/>
        <v>0</v>
      </c>
      <c r="F572" s="61">
        <f t="shared" si="7"/>
        <v>0</v>
      </c>
      <c r="G572" s="59">
        <f t="shared" si="8"/>
        <v>0</v>
      </c>
    </row>
    <row r="573" spans="4:7">
      <c r="D573" s="44">
        <f t="shared" si="6"/>
        <v>0</v>
      </c>
      <c r="F573" s="61">
        <f t="shared" si="7"/>
        <v>0</v>
      </c>
      <c r="G573" s="59">
        <f t="shared" si="8"/>
        <v>0</v>
      </c>
    </row>
    <row r="574" spans="4:7">
      <c r="D574" s="44">
        <f t="shared" si="6"/>
        <v>0</v>
      </c>
      <c r="F574" s="61">
        <f t="shared" si="7"/>
        <v>0</v>
      </c>
      <c r="G574" s="59">
        <f t="shared" si="8"/>
        <v>0</v>
      </c>
    </row>
    <row r="575" spans="4:7">
      <c r="D575" s="44">
        <f t="shared" si="6"/>
        <v>0</v>
      </c>
      <c r="F575" s="61">
        <f t="shared" si="7"/>
        <v>0</v>
      </c>
      <c r="G575" s="59">
        <f t="shared" si="8"/>
        <v>0</v>
      </c>
    </row>
    <row r="576" spans="4:7">
      <c r="D576" s="44">
        <f t="shared" si="6"/>
        <v>0</v>
      </c>
      <c r="F576" s="61">
        <f t="shared" si="7"/>
        <v>0</v>
      </c>
      <c r="G576" s="59">
        <f t="shared" si="8"/>
        <v>0</v>
      </c>
    </row>
    <row r="577" spans="4:7">
      <c r="D577" s="44">
        <f t="shared" si="6"/>
        <v>0</v>
      </c>
      <c r="F577" s="61">
        <f t="shared" si="7"/>
        <v>0</v>
      </c>
      <c r="G577" s="59">
        <f t="shared" si="8"/>
        <v>0</v>
      </c>
    </row>
    <row r="578" spans="4:7">
      <c r="D578" s="44">
        <f t="shared" si="6"/>
        <v>0</v>
      </c>
      <c r="F578" s="61">
        <f t="shared" si="7"/>
        <v>0</v>
      </c>
      <c r="G578" s="59">
        <f t="shared" si="8"/>
        <v>0</v>
      </c>
    </row>
    <row r="579" spans="4:7">
      <c r="D579" s="44">
        <f t="shared" si="6"/>
        <v>0</v>
      </c>
      <c r="F579" s="61">
        <f t="shared" si="7"/>
        <v>0</v>
      </c>
      <c r="G579" s="59">
        <f t="shared" si="8"/>
        <v>0</v>
      </c>
    </row>
    <row r="580" spans="4:7">
      <c r="D580" s="44">
        <f t="shared" si="6"/>
        <v>0</v>
      </c>
      <c r="F580" s="61">
        <f t="shared" si="7"/>
        <v>0</v>
      </c>
      <c r="G580" s="59">
        <f t="shared" si="8"/>
        <v>0</v>
      </c>
    </row>
    <row r="581" spans="4:7">
      <c r="D581" s="44">
        <f t="shared" si="6"/>
        <v>0</v>
      </c>
      <c r="F581" s="61">
        <f t="shared" si="7"/>
        <v>0</v>
      </c>
      <c r="G581" s="59">
        <f t="shared" si="8"/>
        <v>0</v>
      </c>
    </row>
    <row r="582" spans="4:7">
      <c r="D582" s="44">
        <f t="shared" si="6"/>
        <v>0</v>
      </c>
      <c r="F582" s="61">
        <f t="shared" si="7"/>
        <v>0</v>
      </c>
      <c r="G582" s="59">
        <f t="shared" si="8"/>
        <v>0</v>
      </c>
    </row>
    <row r="583" spans="4:7">
      <c r="D583" s="44">
        <f t="shared" si="6"/>
        <v>0</v>
      </c>
      <c r="F583" s="61">
        <f t="shared" si="7"/>
        <v>0</v>
      </c>
      <c r="G583" s="59">
        <f t="shared" si="8"/>
        <v>0</v>
      </c>
    </row>
    <row r="584" spans="4:7">
      <c r="D584" s="44">
        <f t="shared" si="6"/>
        <v>0</v>
      </c>
      <c r="F584" s="61">
        <f t="shared" si="7"/>
        <v>0</v>
      </c>
      <c r="G584" s="59">
        <f t="shared" si="8"/>
        <v>0</v>
      </c>
    </row>
    <row r="585" spans="4:7">
      <c r="D585" s="44">
        <f t="shared" si="6"/>
        <v>0</v>
      </c>
      <c r="F585" s="61">
        <f t="shared" si="7"/>
        <v>0</v>
      </c>
      <c r="G585" s="59">
        <f t="shared" si="8"/>
        <v>0</v>
      </c>
    </row>
    <row r="586" spans="4:7">
      <c r="D586" s="44">
        <f t="shared" si="6"/>
        <v>0</v>
      </c>
      <c r="F586" s="61">
        <f t="shared" si="7"/>
        <v>0</v>
      </c>
      <c r="G586" s="59">
        <f t="shared" si="8"/>
        <v>0</v>
      </c>
    </row>
    <row r="587" spans="4:7">
      <c r="D587" s="44">
        <f t="shared" si="6"/>
        <v>0</v>
      </c>
      <c r="F587" s="61">
        <f t="shared" si="7"/>
        <v>0</v>
      </c>
      <c r="G587" s="59">
        <f t="shared" si="8"/>
        <v>0</v>
      </c>
    </row>
    <row r="588" spans="4:7">
      <c r="D588" s="44">
        <f t="shared" si="6"/>
        <v>0</v>
      </c>
      <c r="F588" s="61">
        <f t="shared" si="7"/>
        <v>0</v>
      </c>
      <c r="G588" s="59">
        <f t="shared" si="8"/>
        <v>0</v>
      </c>
    </row>
    <row r="589" spans="4:7">
      <c r="D589" s="44">
        <f t="shared" si="6"/>
        <v>0</v>
      </c>
      <c r="F589" s="61">
        <f t="shared" si="7"/>
        <v>0</v>
      </c>
      <c r="G589" s="59">
        <f t="shared" si="8"/>
        <v>0</v>
      </c>
    </row>
    <row r="590" spans="4:7">
      <c r="D590" s="44">
        <f t="shared" si="6"/>
        <v>0</v>
      </c>
      <c r="F590" s="61">
        <f t="shared" si="7"/>
        <v>0</v>
      </c>
      <c r="G590" s="59">
        <f t="shared" si="8"/>
        <v>0</v>
      </c>
    </row>
    <row r="591" spans="4:7">
      <c r="D591" s="44">
        <f t="shared" si="6"/>
        <v>0</v>
      </c>
      <c r="F591" s="61">
        <f t="shared" si="7"/>
        <v>0</v>
      </c>
      <c r="G591" s="59">
        <f t="shared" si="8"/>
        <v>0</v>
      </c>
    </row>
    <row r="592" spans="4:7">
      <c r="D592" s="44">
        <f t="shared" si="6"/>
        <v>0</v>
      </c>
      <c r="F592" s="61">
        <f t="shared" si="7"/>
        <v>0</v>
      </c>
      <c r="G592" s="59">
        <f t="shared" si="8"/>
        <v>0</v>
      </c>
    </row>
    <row r="593" spans="4:7">
      <c r="D593" s="44">
        <f t="shared" si="6"/>
        <v>0</v>
      </c>
      <c r="F593" s="61">
        <f t="shared" si="7"/>
        <v>0</v>
      </c>
      <c r="G593" s="59">
        <f t="shared" si="8"/>
        <v>0</v>
      </c>
    </row>
    <row r="594" spans="4:7">
      <c r="D594" s="44">
        <f t="shared" si="6"/>
        <v>0</v>
      </c>
      <c r="F594" s="61">
        <f t="shared" si="7"/>
        <v>0</v>
      </c>
      <c r="G594" s="59">
        <f t="shared" si="8"/>
        <v>0</v>
      </c>
    </row>
    <row r="595" spans="4:7">
      <c r="D595" s="44">
        <f t="shared" si="6"/>
        <v>0</v>
      </c>
      <c r="F595" s="61">
        <f t="shared" si="7"/>
        <v>0</v>
      </c>
      <c r="G595" s="59">
        <f t="shared" si="8"/>
        <v>0</v>
      </c>
    </row>
    <row r="596" spans="4:7">
      <c r="D596" s="44">
        <f t="shared" si="6"/>
        <v>0</v>
      </c>
      <c r="F596" s="61">
        <f t="shared" si="7"/>
        <v>0</v>
      </c>
      <c r="G596" s="59">
        <f t="shared" si="8"/>
        <v>0</v>
      </c>
    </row>
    <row r="597" spans="4:7">
      <c r="D597" s="44">
        <f t="shared" si="6"/>
        <v>0</v>
      </c>
      <c r="F597" s="61">
        <f t="shared" si="7"/>
        <v>0</v>
      </c>
      <c r="G597" s="59">
        <f t="shared" si="8"/>
        <v>0</v>
      </c>
    </row>
    <row r="598" spans="4:7">
      <c r="D598" s="44">
        <f t="shared" si="6"/>
        <v>0</v>
      </c>
      <c r="F598" s="61">
        <f t="shared" si="7"/>
        <v>0</v>
      </c>
      <c r="G598" s="59">
        <f t="shared" si="8"/>
        <v>0</v>
      </c>
    </row>
    <row r="599" spans="4:7">
      <c r="D599" s="44">
        <f t="shared" si="6"/>
        <v>0</v>
      </c>
      <c r="F599" s="61">
        <f t="shared" si="7"/>
        <v>0</v>
      </c>
      <c r="G599" s="59">
        <f t="shared" si="8"/>
        <v>0</v>
      </c>
    </row>
    <row r="600" spans="4:7">
      <c r="D600" s="44">
        <f t="shared" si="6"/>
        <v>0</v>
      </c>
      <c r="F600" s="61">
        <f t="shared" si="7"/>
        <v>0</v>
      </c>
      <c r="G600" s="59">
        <f t="shared" si="8"/>
        <v>0</v>
      </c>
    </row>
    <row r="601" spans="4:7">
      <c r="D601" s="44">
        <f t="shared" si="6"/>
        <v>0</v>
      </c>
      <c r="F601" s="61">
        <f t="shared" si="7"/>
        <v>0</v>
      </c>
      <c r="G601" s="59">
        <f t="shared" si="8"/>
        <v>0</v>
      </c>
    </row>
    <row r="602" spans="4:7">
      <c r="D602" s="44">
        <f t="shared" si="6"/>
        <v>0</v>
      </c>
      <c r="F602" s="61">
        <f t="shared" si="7"/>
        <v>0</v>
      </c>
      <c r="G602" s="59">
        <f t="shared" si="8"/>
        <v>0</v>
      </c>
    </row>
    <row r="603" spans="4:7">
      <c r="D603" s="44">
        <f t="shared" si="6"/>
        <v>0</v>
      </c>
      <c r="F603" s="61">
        <f t="shared" si="7"/>
        <v>0</v>
      </c>
      <c r="G603" s="59">
        <f t="shared" si="8"/>
        <v>0</v>
      </c>
    </row>
    <row r="604" spans="4:7">
      <c r="D604" s="44">
        <f t="shared" ref="D604:D667" si="9">C604-E604</f>
        <v>0</v>
      </c>
      <c r="F604" s="61">
        <f t="shared" ref="F604:F667" si="10">E604*10%</f>
        <v>0</v>
      </c>
      <c r="G604" s="59">
        <f t="shared" ref="G604:G667" si="11">E604*90%</f>
        <v>0</v>
      </c>
    </row>
    <row r="605" spans="4:7">
      <c r="D605" s="44">
        <f t="shared" si="9"/>
        <v>0</v>
      </c>
      <c r="F605" s="61">
        <f t="shared" si="10"/>
        <v>0</v>
      </c>
      <c r="G605" s="59">
        <f t="shared" si="11"/>
        <v>0</v>
      </c>
    </row>
    <row r="606" spans="4:7">
      <c r="D606" s="44">
        <f t="shared" si="9"/>
        <v>0</v>
      </c>
      <c r="F606" s="61">
        <f t="shared" si="10"/>
        <v>0</v>
      </c>
      <c r="G606" s="59">
        <f t="shared" si="11"/>
        <v>0</v>
      </c>
    </row>
    <row r="607" spans="4:7">
      <c r="D607" s="44">
        <f t="shared" si="9"/>
        <v>0</v>
      </c>
      <c r="F607" s="61">
        <f t="shared" si="10"/>
        <v>0</v>
      </c>
      <c r="G607" s="59">
        <f t="shared" si="11"/>
        <v>0</v>
      </c>
    </row>
    <row r="608" spans="4:7">
      <c r="D608" s="44">
        <f t="shared" si="9"/>
        <v>0</v>
      </c>
      <c r="F608" s="61">
        <f t="shared" si="10"/>
        <v>0</v>
      </c>
      <c r="G608" s="59">
        <f t="shared" si="11"/>
        <v>0</v>
      </c>
    </row>
    <row r="609" spans="4:7">
      <c r="D609" s="44">
        <f t="shared" si="9"/>
        <v>0</v>
      </c>
      <c r="F609" s="61">
        <f t="shared" si="10"/>
        <v>0</v>
      </c>
      <c r="G609" s="59">
        <f t="shared" si="11"/>
        <v>0</v>
      </c>
    </row>
    <row r="610" spans="4:7">
      <c r="D610" s="44">
        <f t="shared" si="9"/>
        <v>0</v>
      </c>
      <c r="F610" s="61">
        <f t="shared" si="10"/>
        <v>0</v>
      </c>
      <c r="G610" s="59">
        <f t="shared" si="11"/>
        <v>0</v>
      </c>
    </row>
    <row r="611" spans="4:7">
      <c r="D611" s="44">
        <f t="shared" si="9"/>
        <v>0</v>
      </c>
      <c r="F611" s="61">
        <f t="shared" si="10"/>
        <v>0</v>
      </c>
      <c r="G611" s="59">
        <f t="shared" si="11"/>
        <v>0</v>
      </c>
    </row>
    <row r="612" spans="4:7">
      <c r="D612" s="44">
        <f t="shared" si="9"/>
        <v>0</v>
      </c>
      <c r="F612" s="61">
        <f t="shared" si="10"/>
        <v>0</v>
      </c>
      <c r="G612" s="59">
        <f t="shared" si="11"/>
        <v>0</v>
      </c>
    </row>
    <row r="613" spans="4:7">
      <c r="D613" s="44">
        <f t="shared" si="9"/>
        <v>0</v>
      </c>
      <c r="F613" s="61">
        <f t="shared" si="10"/>
        <v>0</v>
      </c>
      <c r="G613" s="59">
        <f t="shared" si="11"/>
        <v>0</v>
      </c>
    </row>
    <row r="614" spans="4:7">
      <c r="D614" s="44">
        <f t="shared" si="9"/>
        <v>0</v>
      </c>
      <c r="F614" s="61">
        <f t="shared" si="10"/>
        <v>0</v>
      </c>
      <c r="G614" s="59">
        <f t="shared" si="11"/>
        <v>0</v>
      </c>
    </row>
    <row r="615" spans="4:7">
      <c r="D615" s="44">
        <f t="shared" si="9"/>
        <v>0</v>
      </c>
      <c r="F615" s="61">
        <f t="shared" si="10"/>
        <v>0</v>
      </c>
      <c r="G615" s="59">
        <f t="shared" si="11"/>
        <v>0</v>
      </c>
    </row>
    <row r="616" spans="4:7">
      <c r="D616" s="44">
        <f t="shared" si="9"/>
        <v>0</v>
      </c>
      <c r="F616" s="61">
        <f t="shared" si="10"/>
        <v>0</v>
      </c>
      <c r="G616" s="59">
        <f t="shared" si="11"/>
        <v>0</v>
      </c>
    </row>
    <row r="617" spans="4:7">
      <c r="D617" s="44">
        <f t="shared" si="9"/>
        <v>0</v>
      </c>
      <c r="F617" s="61">
        <f t="shared" si="10"/>
        <v>0</v>
      </c>
      <c r="G617" s="59">
        <f t="shared" si="11"/>
        <v>0</v>
      </c>
    </row>
    <row r="618" spans="4:7">
      <c r="D618" s="44">
        <f t="shared" si="9"/>
        <v>0</v>
      </c>
      <c r="F618" s="61">
        <f t="shared" si="10"/>
        <v>0</v>
      </c>
      <c r="G618" s="59">
        <f t="shared" si="11"/>
        <v>0</v>
      </c>
    </row>
    <row r="619" spans="4:7">
      <c r="D619" s="44">
        <f t="shared" si="9"/>
        <v>0</v>
      </c>
      <c r="F619" s="61">
        <f t="shared" si="10"/>
        <v>0</v>
      </c>
      <c r="G619" s="59">
        <f t="shared" si="11"/>
        <v>0</v>
      </c>
    </row>
    <row r="620" spans="4:7">
      <c r="D620" s="44">
        <f t="shared" si="9"/>
        <v>0</v>
      </c>
      <c r="F620" s="61">
        <f t="shared" si="10"/>
        <v>0</v>
      </c>
      <c r="G620" s="59">
        <f t="shared" si="11"/>
        <v>0</v>
      </c>
    </row>
    <row r="621" spans="4:7">
      <c r="D621" s="44">
        <f t="shared" si="9"/>
        <v>0</v>
      </c>
      <c r="F621" s="61">
        <f t="shared" si="10"/>
        <v>0</v>
      </c>
      <c r="G621" s="59">
        <f t="shared" si="11"/>
        <v>0</v>
      </c>
    </row>
    <row r="622" spans="4:7">
      <c r="D622" s="44">
        <f t="shared" si="9"/>
        <v>0</v>
      </c>
      <c r="F622" s="61">
        <f t="shared" si="10"/>
        <v>0</v>
      </c>
      <c r="G622" s="59">
        <f t="shared" si="11"/>
        <v>0</v>
      </c>
    </row>
    <row r="623" spans="4:7">
      <c r="D623" s="44">
        <f t="shared" si="9"/>
        <v>0</v>
      </c>
      <c r="F623" s="61">
        <f t="shared" si="10"/>
        <v>0</v>
      </c>
      <c r="G623" s="59">
        <f t="shared" si="11"/>
        <v>0</v>
      </c>
    </row>
    <row r="624" spans="4:7">
      <c r="D624" s="44">
        <f t="shared" si="9"/>
        <v>0</v>
      </c>
      <c r="F624" s="61">
        <f t="shared" si="10"/>
        <v>0</v>
      </c>
      <c r="G624" s="59">
        <f t="shared" si="11"/>
        <v>0</v>
      </c>
    </row>
    <row r="625" spans="4:7">
      <c r="D625" s="44">
        <f t="shared" si="9"/>
        <v>0</v>
      </c>
      <c r="F625" s="61">
        <f t="shared" si="10"/>
        <v>0</v>
      </c>
      <c r="G625" s="59">
        <f t="shared" si="11"/>
        <v>0</v>
      </c>
    </row>
    <row r="626" spans="4:7">
      <c r="D626" s="44">
        <f t="shared" si="9"/>
        <v>0</v>
      </c>
      <c r="F626" s="61">
        <f t="shared" si="10"/>
        <v>0</v>
      </c>
      <c r="G626" s="59">
        <f t="shared" si="11"/>
        <v>0</v>
      </c>
    </row>
    <row r="627" spans="4:7">
      <c r="D627" s="44">
        <f t="shared" si="9"/>
        <v>0</v>
      </c>
      <c r="F627" s="61">
        <f t="shared" si="10"/>
        <v>0</v>
      </c>
      <c r="G627" s="59">
        <f t="shared" si="11"/>
        <v>0</v>
      </c>
    </row>
    <row r="628" spans="4:7">
      <c r="D628" s="44">
        <f t="shared" si="9"/>
        <v>0</v>
      </c>
      <c r="F628" s="61">
        <f t="shared" si="10"/>
        <v>0</v>
      </c>
      <c r="G628" s="59">
        <f t="shared" si="11"/>
        <v>0</v>
      </c>
    </row>
    <row r="629" spans="4:7">
      <c r="D629" s="44">
        <f t="shared" si="9"/>
        <v>0</v>
      </c>
      <c r="F629" s="61">
        <f t="shared" si="10"/>
        <v>0</v>
      </c>
      <c r="G629" s="59">
        <f t="shared" si="11"/>
        <v>0</v>
      </c>
    </row>
    <row r="630" spans="4:7">
      <c r="D630" s="44">
        <f t="shared" si="9"/>
        <v>0</v>
      </c>
      <c r="F630" s="61">
        <f t="shared" si="10"/>
        <v>0</v>
      </c>
      <c r="G630" s="59">
        <f t="shared" si="11"/>
        <v>0</v>
      </c>
    </row>
    <row r="631" spans="4:7">
      <c r="D631" s="44">
        <f t="shared" si="9"/>
        <v>0</v>
      </c>
      <c r="F631" s="61">
        <f t="shared" si="10"/>
        <v>0</v>
      </c>
      <c r="G631" s="59">
        <f t="shared" si="11"/>
        <v>0</v>
      </c>
    </row>
    <row r="632" spans="4:7">
      <c r="D632" s="44">
        <f t="shared" si="9"/>
        <v>0</v>
      </c>
      <c r="F632" s="61">
        <f t="shared" si="10"/>
        <v>0</v>
      </c>
      <c r="G632" s="59">
        <f t="shared" si="11"/>
        <v>0</v>
      </c>
    </row>
    <row r="633" spans="4:7">
      <c r="D633" s="44">
        <f t="shared" si="9"/>
        <v>0</v>
      </c>
      <c r="F633" s="61">
        <f t="shared" si="10"/>
        <v>0</v>
      </c>
      <c r="G633" s="59">
        <f t="shared" si="11"/>
        <v>0</v>
      </c>
    </row>
    <row r="634" spans="4:7">
      <c r="D634" s="44">
        <f t="shared" si="9"/>
        <v>0</v>
      </c>
      <c r="F634" s="61">
        <f t="shared" si="10"/>
        <v>0</v>
      </c>
      <c r="G634" s="59">
        <f t="shared" si="11"/>
        <v>0</v>
      </c>
    </row>
    <row r="635" spans="4:7">
      <c r="D635" s="44">
        <f t="shared" si="9"/>
        <v>0</v>
      </c>
      <c r="F635" s="61">
        <f t="shared" si="10"/>
        <v>0</v>
      </c>
      <c r="G635" s="59">
        <f t="shared" si="11"/>
        <v>0</v>
      </c>
    </row>
    <row r="636" spans="4:7">
      <c r="D636" s="44">
        <f t="shared" si="9"/>
        <v>0</v>
      </c>
      <c r="F636" s="61">
        <f t="shared" si="10"/>
        <v>0</v>
      </c>
      <c r="G636" s="59">
        <f t="shared" si="11"/>
        <v>0</v>
      </c>
    </row>
    <row r="637" spans="4:7">
      <c r="D637" s="44">
        <f t="shared" si="9"/>
        <v>0</v>
      </c>
      <c r="F637" s="61">
        <f t="shared" si="10"/>
        <v>0</v>
      </c>
      <c r="G637" s="59">
        <f t="shared" si="11"/>
        <v>0</v>
      </c>
    </row>
    <row r="638" spans="4:7">
      <c r="D638" s="44">
        <f t="shared" si="9"/>
        <v>0</v>
      </c>
      <c r="F638" s="61">
        <f t="shared" si="10"/>
        <v>0</v>
      </c>
      <c r="G638" s="59">
        <f t="shared" si="11"/>
        <v>0</v>
      </c>
    </row>
    <row r="639" spans="4:7">
      <c r="D639" s="44">
        <f t="shared" si="9"/>
        <v>0</v>
      </c>
      <c r="F639" s="61">
        <f t="shared" si="10"/>
        <v>0</v>
      </c>
      <c r="G639" s="59">
        <f t="shared" si="11"/>
        <v>0</v>
      </c>
    </row>
    <row r="640" spans="4:7">
      <c r="D640" s="44">
        <f t="shared" si="9"/>
        <v>0</v>
      </c>
      <c r="F640" s="61">
        <f t="shared" si="10"/>
        <v>0</v>
      </c>
      <c r="G640" s="59">
        <f t="shared" si="11"/>
        <v>0</v>
      </c>
    </row>
    <row r="641" spans="4:7">
      <c r="D641" s="44">
        <f t="shared" si="9"/>
        <v>0</v>
      </c>
      <c r="F641" s="61">
        <f t="shared" si="10"/>
        <v>0</v>
      </c>
      <c r="G641" s="59">
        <f t="shared" si="11"/>
        <v>0</v>
      </c>
    </row>
    <row r="642" spans="4:7">
      <c r="D642" s="44">
        <f t="shared" si="9"/>
        <v>0</v>
      </c>
      <c r="F642" s="61">
        <f t="shared" si="10"/>
        <v>0</v>
      </c>
      <c r="G642" s="59">
        <f t="shared" si="11"/>
        <v>0</v>
      </c>
    </row>
    <row r="643" spans="4:7">
      <c r="D643" s="44">
        <f t="shared" si="9"/>
        <v>0</v>
      </c>
      <c r="F643" s="61">
        <f t="shared" si="10"/>
        <v>0</v>
      </c>
      <c r="G643" s="59">
        <f t="shared" si="11"/>
        <v>0</v>
      </c>
    </row>
    <row r="644" spans="4:7">
      <c r="D644" s="44">
        <f t="shared" si="9"/>
        <v>0</v>
      </c>
      <c r="F644" s="61">
        <f t="shared" si="10"/>
        <v>0</v>
      </c>
      <c r="G644" s="59">
        <f t="shared" si="11"/>
        <v>0</v>
      </c>
    </row>
    <row r="645" spans="4:7">
      <c r="D645" s="44">
        <f t="shared" si="9"/>
        <v>0</v>
      </c>
      <c r="F645" s="61">
        <f t="shared" si="10"/>
        <v>0</v>
      </c>
      <c r="G645" s="59">
        <f t="shared" si="11"/>
        <v>0</v>
      </c>
    </row>
    <row r="646" spans="4:7">
      <c r="D646" s="44">
        <f t="shared" si="9"/>
        <v>0</v>
      </c>
      <c r="F646" s="61">
        <f t="shared" si="10"/>
        <v>0</v>
      </c>
      <c r="G646" s="59">
        <f t="shared" si="11"/>
        <v>0</v>
      </c>
    </row>
    <row r="647" spans="4:7">
      <c r="D647" s="44">
        <f t="shared" si="9"/>
        <v>0</v>
      </c>
      <c r="F647" s="61">
        <f t="shared" si="10"/>
        <v>0</v>
      </c>
      <c r="G647" s="59">
        <f t="shared" si="11"/>
        <v>0</v>
      </c>
    </row>
    <row r="648" spans="4:7">
      <c r="D648" s="44">
        <f t="shared" si="9"/>
        <v>0</v>
      </c>
      <c r="F648" s="61">
        <f t="shared" si="10"/>
        <v>0</v>
      </c>
      <c r="G648" s="59">
        <f t="shared" si="11"/>
        <v>0</v>
      </c>
    </row>
    <row r="649" spans="4:7">
      <c r="D649" s="44">
        <f t="shared" si="9"/>
        <v>0</v>
      </c>
      <c r="F649" s="61">
        <f t="shared" si="10"/>
        <v>0</v>
      </c>
      <c r="G649" s="59">
        <f t="shared" si="11"/>
        <v>0</v>
      </c>
    </row>
    <row r="650" spans="4:7">
      <c r="D650" s="44">
        <f t="shared" si="9"/>
        <v>0</v>
      </c>
      <c r="F650" s="61">
        <f t="shared" si="10"/>
        <v>0</v>
      </c>
      <c r="G650" s="59">
        <f t="shared" si="11"/>
        <v>0</v>
      </c>
    </row>
    <row r="651" spans="4:7">
      <c r="D651" s="44">
        <f t="shared" si="9"/>
        <v>0</v>
      </c>
      <c r="F651" s="61">
        <f t="shared" si="10"/>
        <v>0</v>
      </c>
      <c r="G651" s="59">
        <f t="shared" si="11"/>
        <v>0</v>
      </c>
    </row>
    <row r="652" spans="4:7">
      <c r="D652" s="44">
        <f t="shared" si="9"/>
        <v>0</v>
      </c>
      <c r="F652" s="61">
        <f t="shared" si="10"/>
        <v>0</v>
      </c>
      <c r="G652" s="59">
        <f t="shared" si="11"/>
        <v>0</v>
      </c>
    </row>
    <row r="653" spans="4:7">
      <c r="D653" s="44">
        <f t="shared" si="9"/>
        <v>0</v>
      </c>
      <c r="F653" s="61">
        <f t="shared" si="10"/>
        <v>0</v>
      </c>
      <c r="G653" s="59">
        <f t="shared" si="11"/>
        <v>0</v>
      </c>
    </row>
    <row r="654" spans="4:7">
      <c r="D654" s="44">
        <f t="shared" si="9"/>
        <v>0</v>
      </c>
      <c r="F654" s="61">
        <f t="shared" si="10"/>
        <v>0</v>
      </c>
      <c r="G654" s="59">
        <f t="shared" si="11"/>
        <v>0</v>
      </c>
    </row>
    <row r="655" spans="4:7">
      <c r="D655" s="44">
        <f t="shared" si="9"/>
        <v>0</v>
      </c>
      <c r="F655" s="61">
        <f t="shared" si="10"/>
        <v>0</v>
      </c>
      <c r="G655" s="59">
        <f t="shared" si="11"/>
        <v>0</v>
      </c>
    </row>
    <row r="656" spans="4:7">
      <c r="D656" s="44">
        <f t="shared" si="9"/>
        <v>0</v>
      </c>
      <c r="F656" s="61">
        <f t="shared" si="10"/>
        <v>0</v>
      </c>
      <c r="G656" s="59">
        <f t="shared" si="11"/>
        <v>0</v>
      </c>
    </row>
    <row r="657" spans="4:7">
      <c r="D657" s="44">
        <f t="shared" si="9"/>
        <v>0</v>
      </c>
      <c r="F657" s="61">
        <f t="shared" si="10"/>
        <v>0</v>
      </c>
      <c r="G657" s="59">
        <f t="shared" si="11"/>
        <v>0</v>
      </c>
    </row>
    <row r="658" spans="4:7">
      <c r="D658" s="44">
        <f t="shared" si="9"/>
        <v>0</v>
      </c>
      <c r="F658" s="61">
        <f t="shared" si="10"/>
        <v>0</v>
      </c>
      <c r="G658" s="59">
        <f t="shared" si="11"/>
        <v>0</v>
      </c>
    </row>
    <row r="659" spans="4:7">
      <c r="D659" s="44">
        <f t="shared" si="9"/>
        <v>0</v>
      </c>
      <c r="F659" s="61">
        <f t="shared" si="10"/>
        <v>0</v>
      </c>
      <c r="G659" s="59">
        <f t="shared" si="11"/>
        <v>0</v>
      </c>
    </row>
    <row r="660" spans="4:7">
      <c r="D660" s="44">
        <f t="shared" si="9"/>
        <v>0</v>
      </c>
      <c r="F660" s="61">
        <f t="shared" si="10"/>
        <v>0</v>
      </c>
      <c r="G660" s="59">
        <f t="shared" si="11"/>
        <v>0</v>
      </c>
    </row>
    <row r="661" spans="4:7">
      <c r="D661" s="44">
        <f t="shared" si="9"/>
        <v>0</v>
      </c>
      <c r="F661" s="61">
        <f t="shared" si="10"/>
        <v>0</v>
      </c>
      <c r="G661" s="59">
        <f t="shared" si="11"/>
        <v>0</v>
      </c>
    </row>
    <row r="662" spans="4:7">
      <c r="D662" s="44">
        <f t="shared" si="9"/>
        <v>0</v>
      </c>
      <c r="F662" s="61">
        <f t="shared" si="10"/>
        <v>0</v>
      </c>
      <c r="G662" s="59">
        <f t="shared" si="11"/>
        <v>0</v>
      </c>
    </row>
    <row r="663" spans="4:7">
      <c r="D663" s="44">
        <f t="shared" si="9"/>
        <v>0</v>
      </c>
      <c r="F663" s="61">
        <f t="shared" si="10"/>
        <v>0</v>
      </c>
      <c r="G663" s="59">
        <f t="shared" si="11"/>
        <v>0</v>
      </c>
    </row>
    <row r="664" spans="4:7">
      <c r="D664" s="44">
        <f t="shared" si="9"/>
        <v>0</v>
      </c>
      <c r="F664" s="61">
        <f t="shared" si="10"/>
        <v>0</v>
      </c>
      <c r="G664" s="59">
        <f t="shared" si="11"/>
        <v>0</v>
      </c>
    </row>
    <row r="665" spans="4:7">
      <c r="D665" s="44">
        <f t="shared" si="9"/>
        <v>0</v>
      </c>
      <c r="F665" s="61">
        <f t="shared" si="10"/>
        <v>0</v>
      </c>
      <c r="G665" s="59">
        <f t="shared" si="11"/>
        <v>0</v>
      </c>
    </row>
    <row r="666" spans="4:7">
      <c r="D666" s="44">
        <f t="shared" si="9"/>
        <v>0</v>
      </c>
      <c r="F666" s="61">
        <f t="shared" si="10"/>
        <v>0</v>
      </c>
      <c r="G666" s="59">
        <f t="shared" si="11"/>
        <v>0</v>
      </c>
    </row>
    <row r="667" spans="4:7">
      <c r="D667" s="44">
        <f t="shared" si="9"/>
        <v>0</v>
      </c>
      <c r="F667" s="61">
        <f t="shared" si="10"/>
        <v>0</v>
      </c>
      <c r="G667" s="59">
        <f t="shared" si="11"/>
        <v>0</v>
      </c>
    </row>
    <row r="668" spans="4:7">
      <c r="D668" s="44">
        <f t="shared" ref="D668:D731" si="12">C668-E668</f>
        <v>0</v>
      </c>
      <c r="F668" s="61">
        <f t="shared" ref="F668:F731" si="13">E668*10%</f>
        <v>0</v>
      </c>
      <c r="G668" s="59">
        <f t="shared" ref="G668:G731" si="14">E668*90%</f>
        <v>0</v>
      </c>
    </row>
    <row r="669" spans="4:7">
      <c r="D669" s="44">
        <f t="shared" si="12"/>
        <v>0</v>
      </c>
      <c r="F669" s="61">
        <f t="shared" si="13"/>
        <v>0</v>
      </c>
      <c r="G669" s="59">
        <f t="shared" si="14"/>
        <v>0</v>
      </c>
    </row>
    <row r="670" spans="4:7">
      <c r="D670" s="44">
        <f t="shared" si="12"/>
        <v>0</v>
      </c>
      <c r="F670" s="61">
        <f t="shared" si="13"/>
        <v>0</v>
      </c>
      <c r="G670" s="59">
        <f t="shared" si="14"/>
        <v>0</v>
      </c>
    </row>
    <row r="671" spans="4:7">
      <c r="D671" s="44">
        <f t="shared" si="12"/>
        <v>0</v>
      </c>
      <c r="F671" s="61">
        <f t="shared" si="13"/>
        <v>0</v>
      </c>
      <c r="G671" s="59">
        <f t="shared" si="14"/>
        <v>0</v>
      </c>
    </row>
    <row r="672" spans="4:7">
      <c r="D672" s="44">
        <f t="shared" si="12"/>
        <v>0</v>
      </c>
      <c r="F672" s="61">
        <f t="shared" si="13"/>
        <v>0</v>
      </c>
      <c r="G672" s="59">
        <f t="shared" si="14"/>
        <v>0</v>
      </c>
    </row>
    <row r="673" spans="4:7">
      <c r="D673" s="44">
        <f t="shared" si="12"/>
        <v>0</v>
      </c>
      <c r="F673" s="61">
        <f t="shared" si="13"/>
        <v>0</v>
      </c>
      <c r="G673" s="59">
        <f t="shared" si="14"/>
        <v>0</v>
      </c>
    </row>
    <row r="674" spans="4:7">
      <c r="D674" s="44">
        <f t="shared" si="12"/>
        <v>0</v>
      </c>
      <c r="F674" s="61">
        <f t="shared" si="13"/>
        <v>0</v>
      </c>
      <c r="G674" s="59">
        <f t="shared" si="14"/>
        <v>0</v>
      </c>
    </row>
    <row r="675" spans="4:7">
      <c r="D675" s="44">
        <f t="shared" si="12"/>
        <v>0</v>
      </c>
      <c r="F675" s="61">
        <f t="shared" si="13"/>
        <v>0</v>
      </c>
      <c r="G675" s="59">
        <f t="shared" si="14"/>
        <v>0</v>
      </c>
    </row>
    <row r="676" spans="4:7">
      <c r="D676" s="44">
        <f t="shared" si="12"/>
        <v>0</v>
      </c>
      <c r="F676" s="61">
        <f t="shared" si="13"/>
        <v>0</v>
      </c>
      <c r="G676" s="59">
        <f t="shared" si="14"/>
        <v>0</v>
      </c>
    </row>
    <row r="677" spans="4:7">
      <c r="D677" s="44">
        <f t="shared" si="12"/>
        <v>0</v>
      </c>
      <c r="F677" s="61">
        <f t="shared" si="13"/>
        <v>0</v>
      </c>
      <c r="G677" s="59">
        <f t="shared" si="14"/>
        <v>0</v>
      </c>
    </row>
    <row r="678" spans="4:7">
      <c r="D678" s="44">
        <f t="shared" si="12"/>
        <v>0</v>
      </c>
      <c r="F678" s="61">
        <f t="shared" si="13"/>
        <v>0</v>
      </c>
      <c r="G678" s="59">
        <f t="shared" si="14"/>
        <v>0</v>
      </c>
    </row>
    <row r="679" spans="4:7">
      <c r="D679" s="44">
        <f t="shared" si="12"/>
        <v>0</v>
      </c>
      <c r="F679" s="61">
        <f t="shared" si="13"/>
        <v>0</v>
      </c>
      <c r="G679" s="59">
        <f t="shared" si="14"/>
        <v>0</v>
      </c>
    </row>
    <row r="680" spans="4:7">
      <c r="D680" s="44">
        <f t="shared" si="12"/>
        <v>0</v>
      </c>
      <c r="F680" s="61">
        <f t="shared" si="13"/>
        <v>0</v>
      </c>
      <c r="G680" s="59">
        <f t="shared" si="14"/>
        <v>0</v>
      </c>
    </row>
    <row r="681" spans="4:7">
      <c r="D681" s="44">
        <f t="shared" si="12"/>
        <v>0</v>
      </c>
      <c r="F681" s="61">
        <f t="shared" si="13"/>
        <v>0</v>
      </c>
      <c r="G681" s="59">
        <f t="shared" si="14"/>
        <v>0</v>
      </c>
    </row>
    <row r="682" spans="4:7">
      <c r="D682" s="44">
        <f t="shared" si="12"/>
        <v>0</v>
      </c>
      <c r="F682" s="61">
        <f t="shared" si="13"/>
        <v>0</v>
      </c>
      <c r="G682" s="59">
        <f t="shared" si="14"/>
        <v>0</v>
      </c>
    </row>
    <row r="683" spans="4:7">
      <c r="D683" s="44">
        <f t="shared" si="12"/>
        <v>0</v>
      </c>
      <c r="F683" s="61">
        <f t="shared" si="13"/>
        <v>0</v>
      </c>
      <c r="G683" s="59">
        <f t="shared" si="14"/>
        <v>0</v>
      </c>
    </row>
    <row r="684" spans="4:7">
      <c r="D684" s="44">
        <f t="shared" si="12"/>
        <v>0</v>
      </c>
      <c r="F684" s="61">
        <f t="shared" si="13"/>
        <v>0</v>
      </c>
      <c r="G684" s="59">
        <f t="shared" si="14"/>
        <v>0</v>
      </c>
    </row>
    <row r="685" spans="4:7">
      <c r="D685" s="44">
        <f t="shared" si="12"/>
        <v>0</v>
      </c>
      <c r="F685" s="61">
        <f t="shared" si="13"/>
        <v>0</v>
      </c>
      <c r="G685" s="59">
        <f t="shared" si="14"/>
        <v>0</v>
      </c>
    </row>
    <row r="686" spans="4:7">
      <c r="D686" s="44">
        <f t="shared" si="12"/>
        <v>0</v>
      </c>
      <c r="F686" s="61">
        <f t="shared" si="13"/>
        <v>0</v>
      </c>
      <c r="G686" s="59">
        <f t="shared" si="14"/>
        <v>0</v>
      </c>
    </row>
    <row r="687" spans="4:7">
      <c r="D687" s="44">
        <f t="shared" si="12"/>
        <v>0</v>
      </c>
      <c r="F687" s="61">
        <f t="shared" si="13"/>
        <v>0</v>
      </c>
      <c r="G687" s="59">
        <f t="shared" si="14"/>
        <v>0</v>
      </c>
    </row>
    <row r="688" spans="4:7">
      <c r="D688" s="44">
        <f t="shared" si="12"/>
        <v>0</v>
      </c>
      <c r="F688" s="61">
        <f t="shared" si="13"/>
        <v>0</v>
      </c>
      <c r="G688" s="59">
        <f t="shared" si="14"/>
        <v>0</v>
      </c>
    </row>
    <row r="689" spans="4:7">
      <c r="D689" s="44">
        <f t="shared" si="12"/>
        <v>0</v>
      </c>
      <c r="F689" s="61">
        <f t="shared" si="13"/>
        <v>0</v>
      </c>
      <c r="G689" s="59">
        <f t="shared" si="14"/>
        <v>0</v>
      </c>
    </row>
    <row r="690" spans="4:7">
      <c r="D690" s="44">
        <f t="shared" si="12"/>
        <v>0</v>
      </c>
      <c r="F690" s="61">
        <f t="shared" si="13"/>
        <v>0</v>
      </c>
      <c r="G690" s="59">
        <f t="shared" si="14"/>
        <v>0</v>
      </c>
    </row>
    <row r="691" spans="4:7">
      <c r="D691" s="44">
        <f t="shared" si="12"/>
        <v>0</v>
      </c>
      <c r="F691" s="61">
        <f t="shared" si="13"/>
        <v>0</v>
      </c>
      <c r="G691" s="59">
        <f t="shared" si="14"/>
        <v>0</v>
      </c>
    </row>
    <row r="692" spans="4:7">
      <c r="D692" s="44">
        <f t="shared" si="12"/>
        <v>0</v>
      </c>
      <c r="F692" s="61">
        <f t="shared" si="13"/>
        <v>0</v>
      </c>
      <c r="G692" s="59">
        <f t="shared" si="14"/>
        <v>0</v>
      </c>
    </row>
    <row r="693" spans="4:7">
      <c r="D693" s="44">
        <f t="shared" si="12"/>
        <v>0</v>
      </c>
      <c r="F693" s="61">
        <f t="shared" si="13"/>
        <v>0</v>
      </c>
      <c r="G693" s="59">
        <f t="shared" si="14"/>
        <v>0</v>
      </c>
    </row>
    <row r="694" spans="4:7">
      <c r="D694" s="44">
        <f t="shared" si="12"/>
        <v>0</v>
      </c>
      <c r="F694" s="61">
        <f t="shared" si="13"/>
        <v>0</v>
      </c>
      <c r="G694" s="59">
        <f t="shared" si="14"/>
        <v>0</v>
      </c>
    </row>
    <row r="695" spans="4:7">
      <c r="D695" s="44">
        <f t="shared" si="12"/>
        <v>0</v>
      </c>
      <c r="F695" s="61">
        <f t="shared" si="13"/>
        <v>0</v>
      </c>
      <c r="G695" s="59">
        <f t="shared" si="14"/>
        <v>0</v>
      </c>
    </row>
    <row r="696" spans="4:7">
      <c r="D696" s="44">
        <f t="shared" si="12"/>
        <v>0</v>
      </c>
      <c r="F696" s="61">
        <f t="shared" si="13"/>
        <v>0</v>
      </c>
      <c r="G696" s="59">
        <f t="shared" si="14"/>
        <v>0</v>
      </c>
    </row>
    <row r="697" spans="4:7">
      <c r="D697" s="44">
        <f t="shared" si="12"/>
        <v>0</v>
      </c>
      <c r="F697" s="61">
        <f t="shared" si="13"/>
        <v>0</v>
      </c>
      <c r="G697" s="59">
        <f t="shared" si="14"/>
        <v>0</v>
      </c>
    </row>
    <row r="698" spans="4:7">
      <c r="D698" s="44">
        <f t="shared" si="12"/>
        <v>0</v>
      </c>
      <c r="F698" s="61">
        <f t="shared" si="13"/>
        <v>0</v>
      </c>
      <c r="G698" s="59">
        <f t="shared" si="14"/>
        <v>0</v>
      </c>
    </row>
    <row r="699" spans="4:7">
      <c r="D699" s="44">
        <f t="shared" si="12"/>
        <v>0</v>
      </c>
      <c r="F699" s="61">
        <f t="shared" si="13"/>
        <v>0</v>
      </c>
      <c r="G699" s="59">
        <f t="shared" si="14"/>
        <v>0</v>
      </c>
    </row>
    <row r="700" spans="4:7">
      <c r="D700" s="44">
        <f t="shared" si="12"/>
        <v>0</v>
      </c>
      <c r="F700" s="61">
        <f t="shared" si="13"/>
        <v>0</v>
      </c>
      <c r="G700" s="59">
        <f t="shared" si="14"/>
        <v>0</v>
      </c>
    </row>
    <row r="701" spans="4:7">
      <c r="D701" s="44">
        <f t="shared" si="12"/>
        <v>0</v>
      </c>
      <c r="F701" s="61">
        <f t="shared" si="13"/>
        <v>0</v>
      </c>
      <c r="G701" s="59">
        <f t="shared" si="14"/>
        <v>0</v>
      </c>
    </row>
    <row r="702" spans="4:7">
      <c r="D702" s="44">
        <f t="shared" si="12"/>
        <v>0</v>
      </c>
      <c r="F702" s="61">
        <f t="shared" si="13"/>
        <v>0</v>
      </c>
      <c r="G702" s="59">
        <f t="shared" si="14"/>
        <v>0</v>
      </c>
    </row>
    <row r="703" spans="4:7">
      <c r="D703" s="44">
        <f t="shared" si="12"/>
        <v>0</v>
      </c>
      <c r="F703" s="61">
        <f t="shared" si="13"/>
        <v>0</v>
      </c>
      <c r="G703" s="59">
        <f t="shared" si="14"/>
        <v>0</v>
      </c>
    </row>
    <row r="704" spans="4:7">
      <c r="D704" s="44">
        <f t="shared" si="12"/>
        <v>0</v>
      </c>
      <c r="F704" s="61">
        <f t="shared" si="13"/>
        <v>0</v>
      </c>
      <c r="G704" s="59">
        <f t="shared" si="14"/>
        <v>0</v>
      </c>
    </row>
    <row r="705" spans="4:7">
      <c r="D705" s="44">
        <f t="shared" si="12"/>
        <v>0</v>
      </c>
      <c r="F705" s="61">
        <f t="shared" si="13"/>
        <v>0</v>
      </c>
      <c r="G705" s="59">
        <f t="shared" si="14"/>
        <v>0</v>
      </c>
    </row>
    <row r="706" spans="4:7">
      <c r="D706" s="44">
        <f t="shared" si="12"/>
        <v>0</v>
      </c>
      <c r="F706" s="61">
        <f t="shared" si="13"/>
        <v>0</v>
      </c>
      <c r="G706" s="59">
        <f t="shared" si="14"/>
        <v>0</v>
      </c>
    </row>
    <row r="707" spans="4:7">
      <c r="D707" s="44">
        <f t="shared" si="12"/>
        <v>0</v>
      </c>
      <c r="F707" s="61">
        <f t="shared" si="13"/>
        <v>0</v>
      </c>
      <c r="G707" s="59">
        <f t="shared" si="14"/>
        <v>0</v>
      </c>
    </row>
    <row r="708" spans="4:7">
      <c r="D708" s="44">
        <f t="shared" si="12"/>
        <v>0</v>
      </c>
      <c r="F708" s="61">
        <f t="shared" si="13"/>
        <v>0</v>
      </c>
      <c r="G708" s="59">
        <f t="shared" si="14"/>
        <v>0</v>
      </c>
    </row>
    <row r="709" spans="4:7">
      <c r="D709" s="44">
        <f t="shared" si="12"/>
        <v>0</v>
      </c>
      <c r="F709" s="61">
        <f t="shared" si="13"/>
        <v>0</v>
      </c>
      <c r="G709" s="59">
        <f t="shared" si="14"/>
        <v>0</v>
      </c>
    </row>
    <row r="710" spans="4:7">
      <c r="D710" s="44">
        <f t="shared" si="12"/>
        <v>0</v>
      </c>
      <c r="F710" s="61">
        <f t="shared" si="13"/>
        <v>0</v>
      </c>
      <c r="G710" s="59">
        <f t="shared" si="14"/>
        <v>0</v>
      </c>
    </row>
    <row r="711" spans="4:7">
      <c r="D711" s="44">
        <f t="shared" si="12"/>
        <v>0</v>
      </c>
      <c r="F711" s="61">
        <f t="shared" si="13"/>
        <v>0</v>
      </c>
      <c r="G711" s="59">
        <f t="shared" si="14"/>
        <v>0</v>
      </c>
    </row>
    <row r="712" spans="4:7">
      <c r="D712" s="44">
        <f t="shared" si="12"/>
        <v>0</v>
      </c>
      <c r="F712" s="61">
        <f t="shared" si="13"/>
        <v>0</v>
      </c>
      <c r="G712" s="59">
        <f t="shared" si="14"/>
        <v>0</v>
      </c>
    </row>
    <row r="713" spans="4:7">
      <c r="D713" s="44">
        <f t="shared" si="12"/>
        <v>0</v>
      </c>
      <c r="F713" s="61">
        <f t="shared" si="13"/>
        <v>0</v>
      </c>
      <c r="G713" s="59">
        <f t="shared" si="14"/>
        <v>0</v>
      </c>
    </row>
    <row r="714" spans="4:7">
      <c r="D714" s="44">
        <f t="shared" si="12"/>
        <v>0</v>
      </c>
      <c r="F714" s="61">
        <f t="shared" si="13"/>
        <v>0</v>
      </c>
      <c r="G714" s="59">
        <f t="shared" si="14"/>
        <v>0</v>
      </c>
    </row>
    <row r="715" spans="4:7">
      <c r="D715" s="44">
        <f t="shared" si="12"/>
        <v>0</v>
      </c>
      <c r="F715" s="61">
        <f t="shared" si="13"/>
        <v>0</v>
      </c>
      <c r="G715" s="59">
        <f t="shared" si="14"/>
        <v>0</v>
      </c>
    </row>
    <row r="716" spans="4:7">
      <c r="D716" s="44">
        <f t="shared" si="12"/>
        <v>0</v>
      </c>
      <c r="F716" s="61">
        <f t="shared" si="13"/>
        <v>0</v>
      </c>
      <c r="G716" s="59">
        <f t="shared" si="14"/>
        <v>0</v>
      </c>
    </row>
    <row r="717" spans="4:7">
      <c r="D717" s="44">
        <f t="shared" si="12"/>
        <v>0</v>
      </c>
      <c r="F717" s="61">
        <f t="shared" si="13"/>
        <v>0</v>
      </c>
      <c r="G717" s="59">
        <f t="shared" si="14"/>
        <v>0</v>
      </c>
    </row>
    <row r="718" spans="4:7">
      <c r="D718" s="44">
        <f t="shared" si="12"/>
        <v>0</v>
      </c>
      <c r="F718" s="61">
        <f t="shared" si="13"/>
        <v>0</v>
      </c>
      <c r="G718" s="59">
        <f t="shared" si="14"/>
        <v>0</v>
      </c>
    </row>
    <row r="719" spans="4:7">
      <c r="D719" s="44">
        <f t="shared" si="12"/>
        <v>0</v>
      </c>
      <c r="F719" s="61">
        <f t="shared" si="13"/>
        <v>0</v>
      </c>
      <c r="G719" s="59">
        <f t="shared" si="14"/>
        <v>0</v>
      </c>
    </row>
    <row r="720" spans="4:7">
      <c r="D720" s="44">
        <f t="shared" si="12"/>
        <v>0</v>
      </c>
      <c r="F720" s="61">
        <f t="shared" si="13"/>
        <v>0</v>
      </c>
      <c r="G720" s="59">
        <f t="shared" si="14"/>
        <v>0</v>
      </c>
    </row>
    <row r="721" spans="4:7">
      <c r="D721" s="44">
        <f t="shared" si="12"/>
        <v>0</v>
      </c>
      <c r="F721" s="61">
        <f t="shared" si="13"/>
        <v>0</v>
      </c>
      <c r="G721" s="59">
        <f t="shared" si="14"/>
        <v>0</v>
      </c>
    </row>
    <row r="722" spans="4:7">
      <c r="D722" s="44">
        <f t="shared" si="12"/>
        <v>0</v>
      </c>
      <c r="F722" s="61">
        <f t="shared" si="13"/>
        <v>0</v>
      </c>
      <c r="G722" s="59">
        <f t="shared" si="14"/>
        <v>0</v>
      </c>
    </row>
    <row r="723" spans="4:7">
      <c r="D723" s="44">
        <f t="shared" si="12"/>
        <v>0</v>
      </c>
      <c r="F723" s="61">
        <f t="shared" si="13"/>
        <v>0</v>
      </c>
      <c r="G723" s="59">
        <f t="shared" si="14"/>
        <v>0</v>
      </c>
    </row>
    <row r="724" spans="4:7">
      <c r="D724" s="44">
        <f t="shared" si="12"/>
        <v>0</v>
      </c>
      <c r="F724" s="61">
        <f t="shared" si="13"/>
        <v>0</v>
      </c>
      <c r="G724" s="59">
        <f t="shared" si="14"/>
        <v>0</v>
      </c>
    </row>
    <row r="725" spans="4:7">
      <c r="D725" s="44">
        <f t="shared" si="12"/>
        <v>0</v>
      </c>
      <c r="F725" s="61">
        <f t="shared" si="13"/>
        <v>0</v>
      </c>
      <c r="G725" s="59">
        <f t="shared" si="14"/>
        <v>0</v>
      </c>
    </row>
    <row r="726" spans="4:7">
      <c r="D726" s="44">
        <f t="shared" si="12"/>
        <v>0</v>
      </c>
      <c r="F726" s="61">
        <f t="shared" si="13"/>
        <v>0</v>
      </c>
      <c r="G726" s="59">
        <f t="shared" si="14"/>
        <v>0</v>
      </c>
    </row>
    <row r="727" spans="4:7">
      <c r="D727" s="44">
        <f t="shared" si="12"/>
        <v>0</v>
      </c>
      <c r="F727" s="61">
        <f t="shared" si="13"/>
        <v>0</v>
      </c>
      <c r="G727" s="59">
        <f t="shared" si="14"/>
        <v>0</v>
      </c>
    </row>
    <row r="728" spans="4:7">
      <c r="D728" s="44">
        <f t="shared" si="12"/>
        <v>0</v>
      </c>
      <c r="F728" s="61">
        <f t="shared" si="13"/>
        <v>0</v>
      </c>
      <c r="G728" s="59">
        <f t="shared" si="14"/>
        <v>0</v>
      </c>
    </row>
    <row r="729" spans="4:7">
      <c r="D729" s="44">
        <f t="shared" si="12"/>
        <v>0</v>
      </c>
      <c r="F729" s="61">
        <f t="shared" si="13"/>
        <v>0</v>
      </c>
      <c r="G729" s="59">
        <f t="shared" si="14"/>
        <v>0</v>
      </c>
    </row>
    <row r="730" spans="4:7">
      <c r="D730" s="44">
        <f t="shared" si="12"/>
        <v>0</v>
      </c>
      <c r="F730" s="61">
        <f t="shared" si="13"/>
        <v>0</v>
      </c>
      <c r="G730" s="59">
        <f t="shared" si="14"/>
        <v>0</v>
      </c>
    </row>
    <row r="731" spans="4:7">
      <c r="D731" s="44">
        <f t="shared" si="12"/>
        <v>0</v>
      </c>
      <c r="F731" s="61">
        <f t="shared" si="13"/>
        <v>0</v>
      </c>
      <c r="G731" s="59">
        <f t="shared" si="14"/>
        <v>0</v>
      </c>
    </row>
    <row r="732" spans="4:7">
      <c r="D732" s="44">
        <f t="shared" ref="D732:D795" si="15">C732-E732</f>
        <v>0</v>
      </c>
      <c r="F732" s="61">
        <f t="shared" ref="F732:F795" si="16">E732*10%</f>
        <v>0</v>
      </c>
      <c r="G732" s="59">
        <f t="shared" ref="G732:G795" si="17">E732*90%</f>
        <v>0</v>
      </c>
    </row>
    <row r="733" spans="4:7">
      <c r="D733" s="44">
        <f t="shared" si="15"/>
        <v>0</v>
      </c>
      <c r="F733" s="61">
        <f t="shared" si="16"/>
        <v>0</v>
      </c>
      <c r="G733" s="59">
        <f t="shared" si="17"/>
        <v>0</v>
      </c>
    </row>
    <row r="734" spans="4:7">
      <c r="D734" s="44">
        <f t="shared" si="15"/>
        <v>0</v>
      </c>
      <c r="F734" s="61">
        <f t="shared" si="16"/>
        <v>0</v>
      </c>
      <c r="G734" s="59">
        <f t="shared" si="17"/>
        <v>0</v>
      </c>
    </row>
    <row r="735" spans="4:7">
      <c r="D735" s="44">
        <f t="shared" si="15"/>
        <v>0</v>
      </c>
      <c r="F735" s="61">
        <f t="shared" si="16"/>
        <v>0</v>
      </c>
      <c r="G735" s="59">
        <f t="shared" si="17"/>
        <v>0</v>
      </c>
    </row>
    <row r="736" spans="4:7">
      <c r="D736" s="44">
        <f t="shared" si="15"/>
        <v>0</v>
      </c>
      <c r="F736" s="61">
        <f t="shared" si="16"/>
        <v>0</v>
      </c>
      <c r="G736" s="59">
        <f t="shared" si="17"/>
        <v>0</v>
      </c>
    </row>
    <row r="737" spans="4:7">
      <c r="D737" s="44">
        <f t="shared" si="15"/>
        <v>0</v>
      </c>
      <c r="F737" s="61">
        <f t="shared" si="16"/>
        <v>0</v>
      </c>
      <c r="G737" s="59">
        <f t="shared" si="17"/>
        <v>0</v>
      </c>
    </row>
    <row r="738" spans="4:7">
      <c r="D738" s="44">
        <f t="shared" si="15"/>
        <v>0</v>
      </c>
      <c r="F738" s="61">
        <f t="shared" si="16"/>
        <v>0</v>
      </c>
      <c r="G738" s="59">
        <f t="shared" si="17"/>
        <v>0</v>
      </c>
    </row>
    <row r="739" spans="4:7">
      <c r="D739" s="44">
        <f t="shared" si="15"/>
        <v>0</v>
      </c>
      <c r="F739" s="61">
        <f t="shared" si="16"/>
        <v>0</v>
      </c>
      <c r="G739" s="59">
        <f t="shared" si="17"/>
        <v>0</v>
      </c>
    </row>
    <row r="740" spans="4:7">
      <c r="D740" s="44">
        <f t="shared" si="15"/>
        <v>0</v>
      </c>
      <c r="F740" s="61">
        <f t="shared" si="16"/>
        <v>0</v>
      </c>
      <c r="G740" s="59">
        <f t="shared" si="17"/>
        <v>0</v>
      </c>
    </row>
    <row r="741" spans="4:7">
      <c r="D741" s="44">
        <f t="shared" si="15"/>
        <v>0</v>
      </c>
      <c r="F741" s="61">
        <f t="shared" si="16"/>
        <v>0</v>
      </c>
      <c r="G741" s="59">
        <f t="shared" si="17"/>
        <v>0</v>
      </c>
    </row>
    <row r="742" spans="4:7">
      <c r="D742" s="44">
        <f t="shared" si="15"/>
        <v>0</v>
      </c>
      <c r="F742" s="61">
        <f t="shared" si="16"/>
        <v>0</v>
      </c>
      <c r="G742" s="59">
        <f t="shared" si="17"/>
        <v>0</v>
      </c>
    </row>
    <row r="743" spans="4:7">
      <c r="D743" s="44">
        <f t="shared" si="15"/>
        <v>0</v>
      </c>
      <c r="F743" s="61">
        <f t="shared" si="16"/>
        <v>0</v>
      </c>
      <c r="G743" s="59">
        <f t="shared" si="17"/>
        <v>0</v>
      </c>
    </row>
    <row r="744" spans="4:7">
      <c r="D744" s="44">
        <f t="shared" si="15"/>
        <v>0</v>
      </c>
      <c r="F744" s="61">
        <f t="shared" si="16"/>
        <v>0</v>
      </c>
      <c r="G744" s="59">
        <f t="shared" si="17"/>
        <v>0</v>
      </c>
    </row>
    <row r="745" spans="4:7">
      <c r="D745" s="44">
        <f t="shared" si="15"/>
        <v>0</v>
      </c>
      <c r="F745" s="61">
        <f t="shared" si="16"/>
        <v>0</v>
      </c>
      <c r="G745" s="59">
        <f t="shared" si="17"/>
        <v>0</v>
      </c>
    </row>
    <row r="746" spans="4:7">
      <c r="D746" s="44">
        <f t="shared" si="15"/>
        <v>0</v>
      </c>
      <c r="F746" s="61">
        <f t="shared" si="16"/>
        <v>0</v>
      </c>
      <c r="G746" s="59">
        <f t="shared" si="17"/>
        <v>0</v>
      </c>
    </row>
    <row r="747" spans="4:7">
      <c r="D747" s="44">
        <f t="shared" si="15"/>
        <v>0</v>
      </c>
      <c r="F747" s="61">
        <f t="shared" si="16"/>
        <v>0</v>
      </c>
      <c r="G747" s="59">
        <f t="shared" si="17"/>
        <v>0</v>
      </c>
    </row>
    <row r="748" spans="4:7">
      <c r="D748" s="44">
        <f t="shared" si="15"/>
        <v>0</v>
      </c>
      <c r="F748" s="61">
        <f t="shared" si="16"/>
        <v>0</v>
      </c>
      <c r="G748" s="59">
        <f t="shared" si="17"/>
        <v>0</v>
      </c>
    </row>
    <row r="749" spans="4:7">
      <c r="D749" s="44">
        <f t="shared" si="15"/>
        <v>0</v>
      </c>
      <c r="F749" s="61">
        <f t="shared" si="16"/>
        <v>0</v>
      </c>
      <c r="G749" s="59">
        <f t="shared" si="17"/>
        <v>0</v>
      </c>
    </row>
    <row r="750" spans="4:7">
      <c r="D750" s="44">
        <f t="shared" si="15"/>
        <v>0</v>
      </c>
      <c r="F750" s="61">
        <f t="shared" si="16"/>
        <v>0</v>
      </c>
      <c r="G750" s="59">
        <f t="shared" si="17"/>
        <v>0</v>
      </c>
    </row>
    <row r="751" spans="4:7">
      <c r="D751" s="44">
        <f t="shared" si="15"/>
        <v>0</v>
      </c>
      <c r="F751" s="61">
        <f t="shared" si="16"/>
        <v>0</v>
      </c>
      <c r="G751" s="59">
        <f t="shared" si="17"/>
        <v>0</v>
      </c>
    </row>
    <row r="752" spans="4:7">
      <c r="D752" s="44">
        <f t="shared" si="15"/>
        <v>0</v>
      </c>
      <c r="F752" s="61">
        <f t="shared" si="16"/>
        <v>0</v>
      </c>
      <c r="G752" s="59">
        <f t="shared" si="17"/>
        <v>0</v>
      </c>
    </row>
    <row r="753" spans="4:7">
      <c r="D753" s="44">
        <f t="shared" si="15"/>
        <v>0</v>
      </c>
      <c r="F753" s="61">
        <f t="shared" si="16"/>
        <v>0</v>
      </c>
      <c r="G753" s="59">
        <f t="shared" si="17"/>
        <v>0</v>
      </c>
    </row>
    <row r="754" spans="4:7">
      <c r="D754" s="44">
        <f t="shared" si="15"/>
        <v>0</v>
      </c>
      <c r="F754" s="61">
        <f t="shared" si="16"/>
        <v>0</v>
      </c>
      <c r="G754" s="59">
        <f t="shared" si="17"/>
        <v>0</v>
      </c>
    </row>
    <row r="755" spans="4:7">
      <c r="D755" s="44">
        <f t="shared" si="15"/>
        <v>0</v>
      </c>
      <c r="F755" s="61">
        <f t="shared" si="16"/>
        <v>0</v>
      </c>
      <c r="G755" s="59">
        <f t="shared" si="17"/>
        <v>0</v>
      </c>
    </row>
    <row r="756" spans="4:7">
      <c r="D756" s="44">
        <f t="shared" si="15"/>
        <v>0</v>
      </c>
      <c r="F756" s="61">
        <f t="shared" si="16"/>
        <v>0</v>
      </c>
      <c r="G756" s="59">
        <f t="shared" si="17"/>
        <v>0</v>
      </c>
    </row>
    <row r="757" spans="4:7">
      <c r="D757" s="44">
        <f t="shared" si="15"/>
        <v>0</v>
      </c>
      <c r="F757" s="61">
        <f t="shared" si="16"/>
        <v>0</v>
      </c>
      <c r="G757" s="59">
        <f t="shared" si="17"/>
        <v>0</v>
      </c>
    </row>
    <row r="758" spans="4:7">
      <c r="D758" s="44">
        <f t="shared" si="15"/>
        <v>0</v>
      </c>
      <c r="F758" s="61">
        <f t="shared" si="16"/>
        <v>0</v>
      </c>
      <c r="G758" s="59">
        <f t="shared" si="17"/>
        <v>0</v>
      </c>
    </row>
    <row r="759" spans="4:7">
      <c r="D759" s="44">
        <f t="shared" si="15"/>
        <v>0</v>
      </c>
      <c r="F759" s="61">
        <f t="shared" si="16"/>
        <v>0</v>
      </c>
      <c r="G759" s="59">
        <f t="shared" si="17"/>
        <v>0</v>
      </c>
    </row>
    <row r="760" spans="4:7">
      <c r="D760" s="44">
        <f t="shared" si="15"/>
        <v>0</v>
      </c>
      <c r="F760" s="61">
        <f t="shared" si="16"/>
        <v>0</v>
      </c>
      <c r="G760" s="59">
        <f t="shared" si="17"/>
        <v>0</v>
      </c>
    </row>
    <row r="761" spans="4:7">
      <c r="D761" s="44">
        <f t="shared" si="15"/>
        <v>0</v>
      </c>
      <c r="F761" s="61">
        <f t="shared" si="16"/>
        <v>0</v>
      </c>
      <c r="G761" s="59">
        <f t="shared" si="17"/>
        <v>0</v>
      </c>
    </row>
    <row r="762" spans="4:7">
      <c r="D762" s="44">
        <f t="shared" si="15"/>
        <v>0</v>
      </c>
      <c r="F762" s="61">
        <f t="shared" si="16"/>
        <v>0</v>
      </c>
      <c r="G762" s="59">
        <f t="shared" si="17"/>
        <v>0</v>
      </c>
    </row>
    <row r="763" spans="4:7">
      <c r="D763" s="44">
        <f t="shared" si="15"/>
        <v>0</v>
      </c>
      <c r="F763" s="61">
        <f t="shared" si="16"/>
        <v>0</v>
      </c>
      <c r="G763" s="59">
        <f t="shared" si="17"/>
        <v>0</v>
      </c>
    </row>
    <row r="764" spans="4:7">
      <c r="D764" s="44">
        <f t="shared" si="15"/>
        <v>0</v>
      </c>
      <c r="F764" s="61">
        <f t="shared" si="16"/>
        <v>0</v>
      </c>
      <c r="G764" s="59">
        <f t="shared" si="17"/>
        <v>0</v>
      </c>
    </row>
    <row r="765" spans="4:7">
      <c r="D765" s="44">
        <f t="shared" si="15"/>
        <v>0</v>
      </c>
      <c r="F765" s="61">
        <f t="shared" si="16"/>
        <v>0</v>
      </c>
      <c r="G765" s="59">
        <f t="shared" si="17"/>
        <v>0</v>
      </c>
    </row>
    <row r="766" spans="4:7">
      <c r="D766" s="44">
        <f t="shared" si="15"/>
        <v>0</v>
      </c>
      <c r="F766" s="61">
        <f t="shared" si="16"/>
        <v>0</v>
      </c>
      <c r="G766" s="59">
        <f t="shared" si="17"/>
        <v>0</v>
      </c>
    </row>
    <row r="767" spans="4:7">
      <c r="D767" s="44">
        <f t="shared" si="15"/>
        <v>0</v>
      </c>
      <c r="F767" s="61">
        <f t="shared" si="16"/>
        <v>0</v>
      </c>
      <c r="G767" s="59">
        <f t="shared" si="17"/>
        <v>0</v>
      </c>
    </row>
    <row r="768" spans="4:7">
      <c r="D768" s="44">
        <f t="shared" si="15"/>
        <v>0</v>
      </c>
      <c r="F768" s="61">
        <f t="shared" si="16"/>
        <v>0</v>
      </c>
      <c r="G768" s="59">
        <f t="shared" si="17"/>
        <v>0</v>
      </c>
    </row>
    <row r="769" spans="4:7">
      <c r="D769" s="44">
        <f t="shared" si="15"/>
        <v>0</v>
      </c>
      <c r="F769" s="61">
        <f t="shared" si="16"/>
        <v>0</v>
      </c>
      <c r="G769" s="59">
        <f t="shared" si="17"/>
        <v>0</v>
      </c>
    </row>
    <row r="770" spans="4:7">
      <c r="D770" s="44">
        <f t="shared" si="15"/>
        <v>0</v>
      </c>
      <c r="F770" s="61">
        <f t="shared" si="16"/>
        <v>0</v>
      </c>
      <c r="G770" s="59">
        <f t="shared" si="17"/>
        <v>0</v>
      </c>
    </row>
    <row r="771" spans="4:7">
      <c r="D771" s="44">
        <f t="shared" si="15"/>
        <v>0</v>
      </c>
      <c r="F771" s="61">
        <f t="shared" si="16"/>
        <v>0</v>
      </c>
      <c r="G771" s="59">
        <f t="shared" si="17"/>
        <v>0</v>
      </c>
    </row>
    <row r="772" spans="4:7">
      <c r="D772" s="44">
        <f t="shared" si="15"/>
        <v>0</v>
      </c>
      <c r="F772" s="61">
        <f t="shared" si="16"/>
        <v>0</v>
      </c>
      <c r="G772" s="59">
        <f t="shared" si="17"/>
        <v>0</v>
      </c>
    </row>
    <row r="773" spans="4:7">
      <c r="D773" s="44">
        <f t="shared" si="15"/>
        <v>0</v>
      </c>
      <c r="F773" s="61">
        <f t="shared" si="16"/>
        <v>0</v>
      </c>
      <c r="G773" s="59">
        <f t="shared" si="17"/>
        <v>0</v>
      </c>
    </row>
    <row r="774" spans="4:7">
      <c r="D774" s="44">
        <f t="shared" si="15"/>
        <v>0</v>
      </c>
      <c r="F774" s="61">
        <f t="shared" si="16"/>
        <v>0</v>
      </c>
      <c r="G774" s="59">
        <f t="shared" si="17"/>
        <v>0</v>
      </c>
    </row>
    <row r="775" spans="4:7">
      <c r="D775" s="44">
        <f t="shared" si="15"/>
        <v>0</v>
      </c>
      <c r="F775" s="61">
        <f t="shared" si="16"/>
        <v>0</v>
      </c>
      <c r="G775" s="59">
        <f t="shared" si="17"/>
        <v>0</v>
      </c>
    </row>
    <row r="776" spans="4:7">
      <c r="D776" s="44">
        <f t="shared" si="15"/>
        <v>0</v>
      </c>
      <c r="F776" s="61">
        <f t="shared" si="16"/>
        <v>0</v>
      </c>
      <c r="G776" s="59">
        <f t="shared" si="17"/>
        <v>0</v>
      </c>
    </row>
    <row r="777" spans="4:7">
      <c r="D777" s="44">
        <f t="shared" si="15"/>
        <v>0</v>
      </c>
      <c r="F777" s="61">
        <f t="shared" si="16"/>
        <v>0</v>
      </c>
      <c r="G777" s="59">
        <f t="shared" si="17"/>
        <v>0</v>
      </c>
    </row>
    <row r="778" spans="4:7">
      <c r="D778" s="44">
        <f t="shared" si="15"/>
        <v>0</v>
      </c>
      <c r="F778" s="61">
        <f t="shared" si="16"/>
        <v>0</v>
      </c>
      <c r="G778" s="59">
        <f t="shared" si="17"/>
        <v>0</v>
      </c>
    </row>
    <row r="779" spans="4:7">
      <c r="D779" s="44">
        <f t="shared" si="15"/>
        <v>0</v>
      </c>
      <c r="F779" s="61">
        <f t="shared" si="16"/>
        <v>0</v>
      </c>
      <c r="G779" s="59">
        <f t="shared" si="17"/>
        <v>0</v>
      </c>
    </row>
    <row r="780" spans="4:7">
      <c r="D780" s="44">
        <f t="shared" si="15"/>
        <v>0</v>
      </c>
      <c r="F780" s="61">
        <f t="shared" si="16"/>
        <v>0</v>
      </c>
      <c r="G780" s="59">
        <f t="shared" si="17"/>
        <v>0</v>
      </c>
    </row>
    <row r="781" spans="4:7">
      <c r="D781" s="44">
        <f t="shared" si="15"/>
        <v>0</v>
      </c>
      <c r="F781" s="61">
        <f t="shared" si="16"/>
        <v>0</v>
      </c>
      <c r="G781" s="59">
        <f t="shared" si="17"/>
        <v>0</v>
      </c>
    </row>
    <row r="782" spans="4:7">
      <c r="D782" s="44">
        <f t="shared" si="15"/>
        <v>0</v>
      </c>
      <c r="F782" s="61">
        <f t="shared" si="16"/>
        <v>0</v>
      </c>
      <c r="G782" s="59">
        <f t="shared" si="17"/>
        <v>0</v>
      </c>
    </row>
    <row r="783" spans="4:7">
      <c r="D783" s="44">
        <f t="shared" si="15"/>
        <v>0</v>
      </c>
      <c r="F783" s="61">
        <f t="shared" si="16"/>
        <v>0</v>
      </c>
      <c r="G783" s="59">
        <f t="shared" si="17"/>
        <v>0</v>
      </c>
    </row>
    <row r="784" spans="4:7">
      <c r="D784" s="44">
        <f t="shared" si="15"/>
        <v>0</v>
      </c>
      <c r="F784" s="61">
        <f t="shared" si="16"/>
        <v>0</v>
      </c>
      <c r="G784" s="59">
        <f t="shared" si="17"/>
        <v>0</v>
      </c>
    </row>
    <row r="785" spans="4:7">
      <c r="D785" s="44">
        <f t="shared" si="15"/>
        <v>0</v>
      </c>
      <c r="F785" s="61">
        <f t="shared" si="16"/>
        <v>0</v>
      </c>
      <c r="G785" s="59">
        <f t="shared" si="17"/>
        <v>0</v>
      </c>
    </row>
    <row r="786" spans="4:7">
      <c r="D786" s="44">
        <f t="shared" si="15"/>
        <v>0</v>
      </c>
      <c r="F786" s="61">
        <f t="shared" si="16"/>
        <v>0</v>
      </c>
      <c r="G786" s="59">
        <f t="shared" si="17"/>
        <v>0</v>
      </c>
    </row>
    <row r="787" spans="4:7">
      <c r="D787" s="44">
        <f t="shared" si="15"/>
        <v>0</v>
      </c>
      <c r="F787" s="61">
        <f t="shared" si="16"/>
        <v>0</v>
      </c>
      <c r="G787" s="59">
        <f t="shared" si="17"/>
        <v>0</v>
      </c>
    </row>
    <row r="788" spans="4:7">
      <c r="D788" s="44">
        <f t="shared" si="15"/>
        <v>0</v>
      </c>
      <c r="F788" s="61">
        <f t="shared" si="16"/>
        <v>0</v>
      </c>
      <c r="G788" s="59">
        <f t="shared" si="17"/>
        <v>0</v>
      </c>
    </row>
    <row r="789" spans="4:7">
      <c r="D789" s="44">
        <f t="shared" si="15"/>
        <v>0</v>
      </c>
      <c r="F789" s="61">
        <f t="shared" si="16"/>
        <v>0</v>
      </c>
      <c r="G789" s="59">
        <f t="shared" si="17"/>
        <v>0</v>
      </c>
    </row>
    <row r="790" spans="4:7">
      <c r="D790" s="44">
        <f t="shared" si="15"/>
        <v>0</v>
      </c>
      <c r="F790" s="61">
        <f t="shared" si="16"/>
        <v>0</v>
      </c>
      <c r="G790" s="59">
        <f t="shared" si="17"/>
        <v>0</v>
      </c>
    </row>
    <row r="791" spans="4:7">
      <c r="D791" s="44">
        <f t="shared" si="15"/>
        <v>0</v>
      </c>
      <c r="F791" s="61">
        <f t="shared" si="16"/>
        <v>0</v>
      </c>
      <c r="G791" s="59">
        <f t="shared" si="17"/>
        <v>0</v>
      </c>
    </row>
    <row r="792" spans="4:7">
      <c r="D792" s="44">
        <f t="shared" si="15"/>
        <v>0</v>
      </c>
      <c r="F792" s="61">
        <f t="shared" si="16"/>
        <v>0</v>
      </c>
      <c r="G792" s="59">
        <f t="shared" si="17"/>
        <v>0</v>
      </c>
    </row>
    <row r="793" spans="4:7">
      <c r="D793" s="44">
        <f t="shared" si="15"/>
        <v>0</v>
      </c>
      <c r="F793" s="61">
        <f t="shared" si="16"/>
        <v>0</v>
      </c>
      <c r="G793" s="59">
        <f t="shared" si="17"/>
        <v>0</v>
      </c>
    </row>
    <row r="794" spans="4:7">
      <c r="D794" s="44">
        <f t="shared" si="15"/>
        <v>0</v>
      </c>
      <c r="F794" s="61">
        <f t="shared" si="16"/>
        <v>0</v>
      </c>
      <c r="G794" s="59">
        <f t="shared" si="17"/>
        <v>0</v>
      </c>
    </row>
    <row r="795" spans="4:7">
      <c r="D795" s="44">
        <f t="shared" si="15"/>
        <v>0</v>
      </c>
      <c r="F795" s="61">
        <f t="shared" si="16"/>
        <v>0</v>
      </c>
      <c r="G795" s="59">
        <f t="shared" si="17"/>
        <v>0</v>
      </c>
    </row>
    <row r="796" spans="4:7">
      <c r="D796" s="44">
        <f t="shared" ref="D796:D859" si="18">C796-E796</f>
        <v>0</v>
      </c>
      <c r="F796" s="61">
        <f t="shared" ref="F796:F859" si="19">E796*10%</f>
        <v>0</v>
      </c>
      <c r="G796" s="59">
        <f t="shared" ref="G796:G859" si="20">E796*90%</f>
        <v>0</v>
      </c>
    </row>
    <row r="797" spans="4:7">
      <c r="D797" s="44">
        <f t="shared" si="18"/>
        <v>0</v>
      </c>
      <c r="F797" s="61">
        <f t="shared" si="19"/>
        <v>0</v>
      </c>
      <c r="G797" s="59">
        <f t="shared" si="20"/>
        <v>0</v>
      </c>
    </row>
    <row r="798" spans="4:7">
      <c r="D798" s="44">
        <f t="shared" si="18"/>
        <v>0</v>
      </c>
      <c r="F798" s="61">
        <f t="shared" si="19"/>
        <v>0</v>
      </c>
      <c r="G798" s="59">
        <f t="shared" si="20"/>
        <v>0</v>
      </c>
    </row>
    <row r="799" spans="4:7">
      <c r="D799" s="44">
        <f t="shared" si="18"/>
        <v>0</v>
      </c>
      <c r="F799" s="61">
        <f t="shared" si="19"/>
        <v>0</v>
      </c>
      <c r="G799" s="59">
        <f t="shared" si="20"/>
        <v>0</v>
      </c>
    </row>
    <row r="800" spans="4:7">
      <c r="D800" s="44">
        <f t="shared" si="18"/>
        <v>0</v>
      </c>
      <c r="F800" s="61">
        <f t="shared" si="19"/>
        <v>0</v>
      </c>
      <c r="G800" s="59">
        <f t="shared" si="20"/>
        <v>0</v>
      </c>
    </row>
    <row r="801" spans="4:7">
      <c r="D801" s="44">
        <f t="shared" si="18"/>
        <v>0</v>
      </c>
      <c r="F801" s="61">
        <f t="shared" si="19"/>
        <v>0</v>
      </c>
      <c r="G801" s="59">
        <f t="shared" si="20"/>
        <v>0</v>
      </c>
    </row>
    <row r="802" spans="4:7">
      <c r="D802" s="44">
        <f t="shared" si="18"/>
        <v>0</v>
      </c>
      <c r="F802" s="61">
        <f t="shared" si="19"/>
        <v>0</v>
      </c>
      <c r="G802" s="59">
        <f t="shared" si="20"/>
        <v>0</v>
      </c>
    </row>
    <row r="803" spans="4:7">
      <c r="D803" s="44">
        <f t="shared" si="18"/>
        <v>0</v>
      </c>
      <c r="F803" s="61">
        <f t="shared" si="19"/>
        <v>0</v>
      </c>
      <c r="G803" s="59">
        <f t="shared" si="20"/>
        <v>0</v>
      </c>
    </row>
    <row r="804" spans="4:7">
      <c r="D804" s="44">
        <f t="shared" si="18"/>
        <v>0</v>
      </c>
      <c r="F804" s="61">
        <f t="shared" si="19"/>
        <v>0</v>
      </c>
      <c r="G804" s="59">
        <f t="shared" si="20"/>
        <v>0</v>
      </c>
    </row>
    <row r="805" spans="4:7">
      <c r="D805" s="44">
        <f t="shared" si="18"/>
        <v>0</v>
      </c>
      <c r="F805" s="61">
        <f t="shared" si="19"/>
        <v>0</v>
      </c>
      <c r="G805" s="59">
        <f t="shared" si="20"/>
        <v>0</v>
      </c>
    </row>
    <row r="806" spans="4:7">
      <c r="D806" s="44">
        <f t="shared" si="18"/>
        <v>0</v>
      </c>
      <c r="F806" s="61">
        <f t="shared" si="19"/>
        <v>0</v>
      </c>
      <c r="G806" s="59">
        <f t="shared" si="20"/>
        <v>0</v>
      </c>
    </row>
    <row r="807" spans="4:7">
      <c r="D807" s="44">
        <f t="shared" si="18"/>
        <v>0</v>
      </c>
      <c r="F807" s="61">
        <f t="shared" si="19"/>
        <v>0</v>
      </c>
      <c r="G807" s="59">
        <f t="shared" si="20"/>
        <v>0</v>
      </c>
    </row>
    <row r="808" spans="4:7">
      <c r="D808" s="44">
        <f t="shared" si="18"/>
        <v>0</v>
      </c>
      <c r="F808" s="61">
        <f t="shared" si="19"/>
        <v>0</v>
      </c>
      <c r="G808" s="59">
        <f t="shared" si="20"/>
        <v>0</v>
      </c>
    </row>
    <row r="809" spans="4:7">
      <c r="D809" s="44">
        <f t="shared" si="18"/>
        <v>0</v>
      </c>
      <c r="F809" s="61">
        <f t="shared" si="19"/>
        <v>0</v>
      </c>
      <c r="G809" s="59">
        <f t="shared" si="20"/>
        <v>0</v>
      </c>
    </row>
    <row r="810" spans="4:7">
      <c r="D810" s="44">
        <f t="shared" si="18"/>
        <v>0</v>
      </c>
      <c r="F810" s="61">
        <f t="shared" si="19"/>
        <v>0</v>
      </c>
      <c r="G810" s="59">
        <f t="shared" si="20"/>
        <v>0</v>
      </c>
    </row>
    <row r="811" spans="4:7">
      <c r="D811" s="44">
        <f t="shared" si="18"/>
        <v>0</v>
      </c>
      <c r="F811" s="61">
        <f t="shared" si="19"/>
        <v>0</v>
      </c>
      <c r="G811" s="59">
        <f t="shared" si="20"/>
        <v>0</v>
      </c>
    </row>
    <row r="812" spans="4:7">
      <c r="D812" s="44">
        <f t="shared" si="18"/>
        <v>0</v>
      </c>
      <c r="F812" s="61">
        <f t="shared" si="19"/>
        <v>0</v>
      </c>
      <c r="G812" s="59">
        <f t="shared" si="20"/>
        <v>0</v>
      </c>
    </row>
    <row r="813" spans="4:7">
      <c r="D813" s="44">
        <f t="shared" si="18"/>
        <v>0</v>
      </c>
      <c r="F813" s="61">
        <f t="shared" si="19"/>
        <v>0</v>
      </c>
      <c r="G813" s="59">
        <f t="shared" si="20"/>
        <v>0</v>
      </c>
    </row>
    <row r="814" spans="4:7">
      <c r="D814" s="44">
        <f t="shared" si="18"/>
        <v>0</v>
      </c>
      <c r="F814" s="61">
        <f t="shared" si="19"/>
        <v>0</v>
      </c>
      <c r="G814" s="59">
        <f t="shared" si="20"/>
        <v>0</v>
      </c>
    </row>
    <row r="815" spans="4:7">
      <c r="D815" s="44">
        <f t="shared" si="18"/>
        <v>0</v>
      </c>
      <c r="F815" s="61">
        <f t="shared" si="19"/>
        <v>0</v>
      </c>
      <c r="G815" s="59">
        <f t="shared" si="20"/>
        <v>0</v>
      </c>
    </row>
    <row r="816" spans="4:7">
      <c r="D816" s="44">
        <f t="shared" si="18"/>
        <v>0</v>
      </c>
      <c r="F816" s="61">
        <f t="shared" si="19"/>
        <v>0</v>
      </c>
      <c r="G816" s="59">
        <f t="shared" si="20"/>
        <v>0</v>
      </c>
    </row>
    <row r="817" spans="4:7">
      <c r="D817" s="44">
        <f t="shared" si="18"/>
        <v>0</v>
      </c>
      <c r="F817" s="61">
        <f t="shared" si="19"/>
        <v>0</v>
      </c>
      <c r="G817" s="59">
        <f t="shared" si="20"/>
        <v>0</v>
      </c>
    </row>
    <row r="818" spans="4:7">
      <c r="D818" s="44">
        <f t="shared" si="18"/>
        <v>0</v>
      </c>
      <c r="F818" s="61">
        <f t="shared" si="19"/>
        <v>0</v>
      </c>
      <c r="G818" s="59">
        <f t="shared" si="20"/>
        <v>0</v>
      </c>
    </row>
    <row r="819" spans="4:7">
      <c r="D819" s="44">
        <f t="shared" si="18"/>
        <v>0</v>
      </c>
      <c r="F819" s="61">
        <f t="shared" si="19"/>
        <v>0</v>
      </c>
      <c r="G819" s="59">
        <f t="shared" si="20"/>
        <v>0</v>
      </c>
    </row>
    <row r="820" spans="4:7">
      <c r="D820" s="44">
        <f t="shared" si="18"/>
        <v>0</v>
      </c>
      <c r="F820" s="61">
        <f t="shared" si="19"/>
        <v>0</v>
      </c>
      <c r="G820" s="59">
        <f t="shared" si="20"/>
        <v>0</v>
      </c>
    </row>
    <row r="821" spans="4:7">
      <c r="D821" s="44">
        <f t="shared" si="18"/>
        <v>0</v>
      </c>
      <c r="F821" s="61">
        <f t="shared" si="19"/>
        <v>0</v>
      </c>
      <c r="G821" s="59">
        <f t="shared" si="20"/>
        <v>0</v>
      </c>
    </row>
    <row r="822" spans="4:7">
      <c r="D822" s="44">
        <f t="shared" si="18"/>
        <v>0</v>
      </c>
      <c r="F822" s="61">
        <f t="shared" si="19"/>
        <v>0</v>
      </c>
      <c r="G822" s="59">
        <f t="shared" si="20"/>
        <v>0</v>
      </c>
    </row>
    <row r="823" spans="4:7">
      <c r="D823" s="44">
        <f t="shared" si="18"/>
        <v>0</v>
      </c>
      <c r="F823" s="61">
        <f t="shared" si="19"/>
        <v>0</v>
      </c>
      <c r="G823" s="59">
        <f t="shared" si="20"/>
        <v>0</v>
      </c>
    </row>
    <row r="824" spans="4:7">
      <c r="D824" s="44">
        <f t="shared" si="18"/>
        <v>0</v>
      </c>
      <c r="F824" s="61">
        <f t="shared" si="19"/>
        <v>0</v>
      </c>
      <c r="G824" s="59">
        <f t="shared" si="20"/>
        <v>0</v>
      </c>
    </row>
    <row r="825" spans="4:7">
      <c r="D825" s="44">
        <f t="shared" si="18"/>
        <v>0</v>
      </c>
      <c r="F825" s="61">
        <f t="shared" si="19"/>
        <v>0</v>
      </c>
      <c r="G825" s="59">
        <f t="shared" si="20"/>
        <v>0</v>
      </c>
    </row>
    <row r="826" spans="4:7">
      <c r="D826" s="44">
        <f t="shared" si="18"/>
        <v>0</v>
      </c>
      <c r="F826" s="61">
        <f t="shared" si="19"/>
        <v>0</v>
      </c>
      <c r="G826" s="59">
        <f t="shared" si="20"/>
        <v>0</v>
      </c>
    </row>
    <row r="827" spans="4:7">
      <c r="D827" s="44">
        <f t="shared" si="18"/>
        <v>0</v>
      </c>
      <c r="F827" s="61">
        <f t="shared" si="19"/>
        <v>0</v>
      </c>
      <c r="G827" s="59">
        <f t="shared" si="20"/>
        <v>0</v>
      </c>
    </row>
    <row r="828" spans="4:7">
      <c r="D828" s="44">
        <f t="shared" si="18"/>
        <v>0</v>
      </c>
      <c r="F828" s="61">
        <f t="shared" si="19"/>
        <v>0</v>
      </c>
      <c r="G828" s="59">
        <f t="shared" si="20"/>
        <v>0</v>
      </c>
    </row>
    <row r="829" spans="4:7">
      <c r="D829" s="44">
        <f t="shared" si="18"/>
        <v>0</v>
      </c>
      <c r="F829" s="61">
        <f t="shared" si="19"/>
        <v>0</v>
      </c>
      <c r="G829" s="59">
        <f t="shared" si="20"/>
        <v>0</v>
      </c>
    </row>
    <row r="830" spans="4:7">
      <c r="D830" s="44">
        <f t="shared" si="18"/>
        <v>0</v>
      </c>
      <c r="F830" s="61">
        <f t="shared" si="19"/>
        <v>0</v>
      </c>
      <c r="G830" s="59">
        <f t="shared" si="20"/>
        <v>0</v>
      </c>
    </row>
    <row r="831" spans="4:7">
      <c r="D831" s="44">
        <f t="shared" si="18"/>
        <v>0</v>
      </c>
      <c r="F831" s="61">
        <f t="shared" si="19"/>
        <v>0</v>
      </c>
      <c r="G831" s="59">
        <f t="shared" si="20"/>
        <v>0</v>
      </c>
    </row>
    <row r="832" spans="4:7">
      <c r="D832" s="44">
        <f t="shared" si="18"/>
        <v>0</v>
      </c>
      <c r="F832" s="61">
        <f t="shared" si="19"/>
        <v>0</v>
      </c>
      <c r="G832" s="59">
        <f t="shared" si="20"/>
        <v>0</v>
      </c>
    </row>
    <row r="833" spans="4:7">
      <c r="D833" s="44">
        <f t="shared" si="18"/>
        <v>0</v>
      </c>
      <c r="F833" s="61">
        <f t="shared" si="19"/>
        <v>0</v>
      </c>
      <c r="G833" s="59">
        <f t="shared" si="20"/>
        <v>0</v>
      </c>
    </row>
    <row r="834" spans="4:7">
      <c r="D834" s="44">
        <f t="shared" si="18"/>
        <v>0</v>
      </c>
      <c r="F834" s="61">
        <f t="shared" si="19"/>
        <v>0</v>
      </c>
      <c r="G834" s="59">
        <f t="shared" si="20"/>
        <v>0</v>
      </c>
    </row>
    <row r="835" spans="4:7">
      <c r="D835" s="44">
        <f t="shared" si="18"/>
        <v>0</v>
      </c>
      <c r="F835" s="61">
        <f t="shared" si="19"/>
        <v>0</v>
      </c>
      <c r="G835" s="59">
        <f t="shared" si="20"/>
        <v>0</v>
      </c>
    </row>
    <row r="836" spans="4:7">
      <c r="D836" s="44">
        <f t="shared" si="18"/>
        <v>0</v>
      </c>
      <c r="F836" s="61">
        <f t="shared" si="19"/>
        <v>0</v>
      </c>
      <c r="G836" s="59">
        <f t="shared" si="20"/>
        <v>0</v>
      </c>
    </row>
    <row r="837" spans="4:7">
      <c r="D837" s="44">
        <f t="shared" si="18"/>
        <v>0</v>
      </c>
      <c r="F837" s="61">
        <f t="shared" si="19"/>
        <v>0</v>
      </c>
      <c r="G837" s="59">
        <f t="shared" si="20"/>
        <v>0</v>
      </c>
    </row>
    <row r="838" spans="4:7">
      <c r="D838" s="44">
        <f t="shared" si="18"/>
        <v>0</v>
      </c>
      <c r="F838" s="61">
        <f t="shared" si="19"/>
        <v>0</v>
      </c>
      <c r="G838" s="59">
        <f t="shared" si="20"/>
        <v>0</v>
      </c>
    </row>
    <row r="839" spans="4:7">
      <c r="D839" s="44">
        <f t="shared" si="18"/>
        <v>0</v>
      </c>
      <c r="F839" s="61">
        <f t="shared" si="19"/>
        <v>0</v>
      </c>
      <c r="G839" s="59">
        <f t="shared" si="20"/>
        <v>0</v>
      </c>
    </row>
    <row r="840" spans="4:7">
      <c r="D840" s="44">
        <f t="shared" si="18"/>
        <v>0</v>
      </c>
      <c r="F840" s="61">
        <f t="shared" si="19"/>
        <v>0</v>
      </c>
      <c r="G840" s="59">
        <f t="shared" si="20"/>
        <v>0</v>
      </c>
    </row>
    <row r="841" spans="4:7">
      <c r="D841" s="44">
        <f t="shared" si="18"/>
        <v>0</v>
      </c>
      <c r="F841" s="61">
        <f t="shared" si="19"/>
        <v>0</v>
      </c>
      <c r="G841" s="59">
        <f t="shared" si="20"/>
        <v>0</v>
      </c>
    </row>
    <row r="842" spans="4:7">
      <c r="D842" s="44">
        <f t="shared" si="18"/>
        <v>0</v>
      </c>
      <c r="F842" s="61">
        <f t="shared" si="19"/>
        <v>0</v>
      </c>
      <c r="G842" s="59">
        <f t="shared" si="20"/>
        <v>0</v>
      </c>
    </row>
    <row r="843" spans="4:7">
      <c r="D843" s="44">
        <f t="shared" si="18"/>
        <v>0</v>
      </c>
      <c r="F843" s="61">
        <f t="shared" si="19"/>
        <v>0</v>
      </c>
      <c r="G843" s="59">
        <f t="shared" si="20"/>
        <v>0</v>
      </c>
    </row>
    <row r="844" spans="4:7">
      <c r="D844" s="44">
        <f t="shared" si="18"/>
        <v>0</v>
      </c>
      <c r="F844" s="61">
        <f t="shared" si="19"/>
        <v>0</v>
      </c>
      <c r="G844" s="59">
        <f t="shared" si="20"/>
        <v>0</v>
      </c>
    </row>
    <row r="845" spans="4:7">
      <c r="D845" s="44">
        <f t="shared" si="18"/>
        <v>0</v>
      </c>
      <c r="F845" s="61">
        <f t="shared" si="19"/>
        <v>0</v>
      </c>
      <c r="G845" s="59">
        <f t="shared" si="20"/>
        <v>0</v>
      </c>
    </row>
    <row r="846" spans="4:7">
      <c r="D846" s="44">
        <f t="shared" si="18"/>
        <v>0</v>
      </c>
      <c r="F846" s="61">
        <f t="shared" si="19"/>
        <v>0</v>
      </c>
      <c r="G846" s="59">
        <f t="shared" si="20"/>
        <v>0</v>
      </c>
    </row>
    <row r="847" spans="4:7">
      <c r="D847" s="44">
        <f t="shared" si="18"/>
        <v>0</v>
      </c>
      <c r="F847" s="61">
        <f t="shared" si="19"/>
        <v>0</v>
      </c>
      <c r="G847" s="59">
        <f t="shared" si="20"/>
        <v>0</v>
      </c>
    </row>
    <row r="848" spans="4:7">
      <c r="D848" s="44">
        <f t="shared" si="18"/>
        <v>0</v>
      </c>
      <c r="F848" s="61">
        <f t="shared" si="19"/>
        <v>0</v>
      </c>
      <c r="G848" s="59">
        <f t="shared" si="20"/>
        <v>0</v>
      </c>
    </row>
    <row r="849" spans="4:7">
      <c r="D849" s="44">
        <f t="shared" si="18"/>
        <v>0</v>
      </c>
      <c r="F849" s="61">
        <f t="shared" si="19"/>
        <v>0</v>
      </c>
      <c r="G849" s="59">
        <f t="shared" si="20"/>
        <v>0</v>
      </c>
    </row>
    <row r="850" spans="4:7">
      <c r="D850" s="44">
        <f t="shared" si="18"/>
        <v>0</v>
      </c>
      <c r="F850" s="61">
        <f t="shared" si="19"/>
        <v>0</v>
      </c>
      <c r="G850" s="59">
        <f t="shared" si="20"/>
        <v>0</v>
      </c>
    </row>
    <row r="851" spans="4:7">
      <c r="D851" s="44">
        <f t="shared" si="18"/>
        <v>0</v>
      </c>
      <c r="F851" s="61">
        <f t="shared" si="19"/>
        <v>0</v>
      </c>
      <c r="G851" s="59">
        <f t="shared" si="20"/>
        <v>0</v>
      </c>
    </row>
    <row r="852" spans="4:7">
      <c r="D852" s="44">
        <f t="shared" si="18"/>
        <v>0</v>
      </c>
      <c r="F852" s="61">
        <f t="shared" si="19"/>
        <v>0</v>
      </c>
      <c r="G852" s="59">
        <f t="shared" si="20"/>
        <v>0</v>
      </c>
    </row>
    <row r="853" spans="4:7">
      <c r="D853" s="44">
        <f t="shared" si="18"/>
        <v>0</v>
      </c>
      <c r="F853" s="61">
        <f t="shared" si="19"/>
        <v>0</v>
      </c>
      <c r="G853" s="59">
        <f t="shared" si="20"/>
        <v>0</v>
      </c>
    </row>
    <row r="854" spans="4:7">
      <c r="D854" s="44">
        <f t="shared" si="18"/>
        <v>0</v>
      </c>
      <c r="F854" s="61">
        <f t="shared" si="19"/>
        <v>0</v>
      </c>
      <c r="G854" s="59">
        <f t="shared" si="20"/>
        <v>0</v>
      </c>
    </row>
    <row r="855" spans="4:7">
      <c r="D855" s="44">
        <f t="shared" si="18"/>
        <v>0</v>
      </c>
      <c r="F855" s="61">
        <f t="shared" si="19"/>
        <v>0</v>
      </c>
      <c r="G855" s="59">
        <f t="shared" si="20"/>
        <v>0</v>
      </c>
    </row>
    <row r="856" spans="4:7">
      <c r="D856" s="44">
        <f t="shared" si="18"/>
        <v>0</v>
      </c>
      <c r="F856" s="61">
        <f t="shared" si="19"/>
        <v>0</v>
      </c>
      <c r="G856" s="59">
        <f t="shared" si="20"/>
        <v>0</v>
      </c>
    </row>
    <row r="857" spans="4:7">
      <c r="D857" s="44">
        <f t="shared" si="18"/>
        <v>0</v>
      </c>
      <c r="F857" s="61">
        <f t="shared" si="19"/>
        <v>0</v>
      </c>
      <c r="G857" s="59">
        <f t="shared" si="20"/>
        <v>0</v>
      </c>
    </row>
    <row r="858" spans="4:7">
      <c r="D858" s="44">
        <f t="shared" si="18"/>
        <v>0</v>
      </c>
      <c r="F858" s="61">
        <f t="shared" si="19"/>
        <v>0</v>
      </c>
      <c r="G858" s="59">
        <f t="shared" si="20"/>
        <v>0</v>
      </c>
    </row>
    <row r="859" spans="4:7">
      <c r="D859" s="44">
        <f t="shared" si="18"/>
        <v>0</v>
      </c>
      <c r="F859" s="61">
        <f t="shared" si="19"/>
        <v>0</v>
      </c>
      <c r="G859" s="59">
        <f t="shared" si="20"/>
        <v>0</v>
      </c>
    </row>
    <row r="860" spans="4:7">
      <c r="D860" s="44">
        <f t="shared" ref="D860:D923" si="21">C860-E860</f>
        <v>0</v>
      </c>
      <c r="F860" s="61">
        <f t="shared" ref="F860:F923" si="22">E860*10%</f>
        <v>0</v>
      </c>
      <c r="G860" s="59">
        <f t="shared" ref="G860:G923" si="23">E860*90%</f>
        <v>0</v>
      </c>
    </row>
    <row r="861" spans="4:7">
      <c r="D861" s="44">
        <f t="shared" si="21"/>
        <v>0</v>
      </c>
      <c r="F861" s="61">
        <f t="shared" si="22"/>
        <v>0</v>
      </c>
      <c r="G861" s="59">
        <f t="shared" si="23"/>
        <v>0</v>
      </c>
    </row>
    <row r="862" spans="4:7">
      <c r="D862" s="44">
        <f t="shared" si="21"/>
        <v>0</v>
      </c>
      <c r="F862" s="61">
        <f t="shared" si="22"/>
        <v>0</v>
      </c>
      <c r="G862" s="59">
        <f t="shared" si="23"/>
        <v>0</v>
      </c>
    </row>
    <row r="863" spans="4:7">
      <c r="D863" s="44">
        <f t="shared" si="21"/>
        <v>0</v>
      </c>
      <c r="F863" s="61">
        <f t="shared" si="22"/>
        <v>0</v>
      </c>
      <c r="G863" s="59">
        <f t="shared" si="23"/>
        <v>0</v>
      </c>
    </row>
    <row r="864" spans="4:7">
      <c r="D864" s="44">
        <f t="shared" si="21"/>
        <v>0</v>
      </c>
      <c r="F864" s="61">
        <f t="shared" si="22"/>
        <v>0</v>
      </c>
      <c r="G864" s="59">
        <f t="shared" si="23"/>
        <v>0</v>
      </c>
    </row>
    <row r="865" spans="4:7">
      <c r="D865" s="44">
        <f t="shared" si="21"/>
        <v>0</v>
      </c>
      <c r="F865" s="61">
        <f t="shared" si="22"/>
        <v>0</v>
      </c>
      <c r="G865" s="59">
        <f t="shared" si="23"/>
        <v>0</v>
      </c>
    </row>
    <row r="866" spans="4:7">
      <c r="D866" s="44">
        <f t="shared" si="21"/>
        <v>0</v>
      </c>
      <c r="F866" s="61">
        <f t="shared" si="22"/>
        <v>0</v>
      </c>
      <c r="G866" s="59">
        <f t="shared" si="23"/>
        <v>0</v>
      </c>
    </row>
    <row r="867" spans="4:7">
      <c r="D867" s="44">
        <f t="shared" si="21"/>
        <v>0</v>
      </c>
      <c r="F867" s="61">
        <f t="shared" si="22"/>
        <v>0</v>
      </c>
      <c r="G867" s="59">
        <f t="shared" si="23"/>
        <v>0</v>
      </c>
    </row>
    <row r="868" spans="4:7">
      <c r="D868" s="44">
        <f t="shared" si="21"/>
        <v>0</v>
      </c>
      <c r="F868" s="61">
        <f t="shared" si="22"/>
        <v>0</v>
      </c>
      <c r="G868" s="59">
        <f t="shared" si="23"/>
        <v>0</v>
      </c>
    </row>
    <row r="869" spans="4:7">
      <c r="D869" s="44">
        <f t="shared" si="21"/>
        <v>0</v>
      </c>
      <c r="F869" s="61">
        <f t="shared" si="22"/>
        <v>0</v>
      </c>
      <c r="G869" s="59">
        <f t="shared" si="23"/>
        <v>0</v>
      </c>
    </row>
    <row r="870" spans="4:7">
      <c r="D870" s="44">
        <f t="shared" si="21"/>
        <v>0</v>
      </c>
      <c r="F870" s="61">
        <f t="shared" si="22"/>
        <v>0</v>
      </c>
      <c r="G870" s="59">
        <f t="shared" si="23"/>
        <v>0</v>
      </c>
    </row>
    <row r="871" spans="4:7">
      <c r="D871" s="44">
        <f t="shared" si="21"/>
        <v>0</v>
      </c>
      <c r="F871" s="61">
        <f t="shared" si="22"/>
        <v>0</v>
      </c>
      <c r="G871" s="59">
        <f t="shared" si="23"/>
        <v>0</v>
      </c>
    </row>
    <row r="872" spans="4:7">
      <c r="D872" s="44">
        <f t="shared" si="21"/>
        <v>0</v>
      </c>
      <c r="F872" s="61">
        <f t="shared" si="22"/>
        <v>0</v>
      </c>
      <c r="G872" s="59">
        <f t="shared" si="23"/>
        <v>0</v>
      </c>
    </row>
    <row r="873" spans="4:7">
      <c r="D873" s="44">
        <f t="shared" si="21"/>
        <v>0</v>
      </c>
      <c r="F873" s="61">
        <f t="shared" si="22"/>
        <v>0</v>
      </c>
      <c r="G873" s="59">
        <f t="shared" si="23"/>
        <v>0</v>
      </c>
    </row>
    <row r="874" spans="4:7">
      <c r="D874" s="44">
        <f t="shared" si="21"/>
        <v>0</v>
      </c>
      <c r="F874" s="61">
        <f t="shared" si="22"/>
        <v>0</v>
      </c>
      <c r="G874" s="59">
        <f t="shared" si="23"/>
        <v>0</v>
      </c>
    </row>
    <row r="875" spans="4:7">
      <c r="D875" s="44">
        <f t="shared" si="21"/>
        <v>0</v>
      </c>
      <c r="F875" s="61">
        <f t="shared" si="22"/>
        <v>0</v>
      </c>
      <c r="G875" s="59">
        <f t="shared" si="23"/>
        <v>0</v>
      </c>
    </row>
    <row r="876" spans="4:7">
      <c r="D876" s="44">
        <f t="shared" si="21"/>
        <v>0</v>
      </c>
      <c r="F876" s="61">
        <f t="shared" si="22"/>
        <v>0</v>
      </c>
      <c r="G876" s="59">
        <f t="shared" si="23"/>
        <v>0</v>
      </c>
    </row>
    <row r="877" spans="4:7">
      <c r="D877" s="44">
        <f t="shared" si="21"/>
        <v>0</v>
      </c>
      <c r="F877" s="61">
        <f t="shared" si="22"/>
        <v>0</v>
      </c>
      <c r="G877" s="59">
        <f t="shared" si="23"/>
        <v>0</v>
      </c>
    </row>
    <row r="878" spans="4:7">
      <c r="D878" s="44">
        <f t="shared" si="21"/>
        <v>0</v>
      </c>
      <c r="F878" s="61">
        <f t="shared" si="22"/>
        <v>0</v>
      </c>
      <c r="G878" s="59">
        <f t="shared" si="23"/>
        <v>0</v>
      </c>
    </row>
    <row r="879" spans="4:7">
      <c r="D879" s="44">
        <f t="shared" si="21"/>
        <v>0</v>
      </c>
      <c r="F879" s="61">
        <f t="shared" si="22"/>
        <v>0</v>
      </c>
      <c r="G879" s="59">
        <f t="shared" si="23"/>
        <v>0</v>
      </c>
    </row>
    <row r="880" spans="4:7">
      <c r="D880" s="44">
        <f t="shared" si="21"/>
        <v>0</v>
      </c>
      <c r="F880" s="61">
        <f t="shared" si="22"/>
        <v>0</v>
      </c>
      <c r="G880" s="59">
        <f t="shared" si="23"/>
        <v>0</v>
      </c>
    </row>
    <row r="881" spans="4:7">
      <c r="D881" s="44">
        <f t="shared" si="21"/>
        <v>0</v>
      </c>
      <c r="F881" s="61">
        <f t="shared" si="22"/>
        <v>0</v>
      </c>
      <c r="G881" s="59">
        <f t="shared" si="23"/>
        <v>0</v>
      </c>
    </row>
    <row r="882" spans="4:7">
      <c r="D882" s="44">
        <f t="shared" si="21"/>
        <v>0</v>
      </c>
      <c r="F882" s="61">
        <f t="shared" si="22"/>
        <v>0</v>
      </c>
      <c r="G882" s="59">
        <f t="shared" si="23"/>
        <v>0</v>
      </c>
    </row>
    <row r="883" spans="4:7">
      <c r="D883" s="44">
        <f t="shared" si="21"/>
        <v>0</v>
      </c>
      <c r="F883" s="61">
        <f t="shared" si="22"/>
        <v>0</v>
      </c>
      <c r="G883" s="59">
        <f t="shared" si="23"/>
        <v>0</v>
      </c>
    </row>
    <row r="884" spans="4:7">
      <c r="D884" s="44">
        <f t="shared" si="21"/>
        <v>0</v>
      </c>
      <c r="F884" s="61">
        <f t="shared" si="22"/>
        <v>0</v>
      </c>
      <c r="G884" s="59">
        <f t="shared" si="23"/>
        <v>0</v>
      </c>
    </row>
    <row r="885" spans="4:7">
      <c r="D885" s="44">
        <f t="shared" si="21"/>
        <v>0</v>
      </c>
      <c r="F885" s="61">
        <f t="shared" si="22"/>
        <v>0</v>
      </c>
      <c r="G885" s="59">
        <f t="shared" si="23"/>
        <v>0</v>
      </c>
    </row>
    <row r="886" spans="4:7">
      <c r="D886" s="44">
        <f t="shared" si="21"/>
        <v>0</v>
      </c>
      <c r="F886" s="61">
        <f t="shared" si="22"/>
        <v>0</v>
      </c>
      <c r="G886" s="59">
        <f t="shared" si="23"/>
        <v>0</v>
      </c>
    </row>
    <row r="887" spans="4:7">
      <c r="D887" s="44">
        <f t="shared" si="21"/>
        <v>0</v>
      </c>
      <c r="F887" s="61">
        <f t="shared" si="22"/>
        <v>0</v>
      </c>
      <c r="G887" s="59">
        <f t="shared" si="23"/>
        <v>0</v>
      </c>
    </row>
    <row r="888" spans="4:7">
      <c r="D888" s="44">
        <f t="shared" si="21"/>
        <v>0</v>
      </c>
      <c r="F888" s="61">
        <f t="shared" si="22"/>
        <v>0</v>
      </c>
      <c r="G888" s="59">
        <f t="shared" si="23"/>
        <v>0</v>
      </c>
    </row>
    <row r="889" spans="4:7">
      <c r="D889" s="44">
        <f t="shared" si="21"/>
        <v>0</v>
      </c>
      <c r="F889" s="61">
        <f t="shared" si="22"/>
        <v>0</v>
      </c>
      <c r="G889" s="59">
        <f t="shared" si="23"/>
        <v>0</v>
      </c>
    </row>
    <row r="890" spans="4:7">
      <c r="D890" s="44">
        <f t="shared" si="21"/>
        <v>0</v>
      </c>
      <c r="F890" s="61">
        <f t="shared" si="22"/>
        <v>0</v>
      </c>
      <c r="G890" s="59">
        <f t="shared" si="23"/>
        <v>0</v>
      </c>
    </row>
    <row r="891" spans="4:7">
      <c r="D891" s="44">
        <f t="shared" si="21"/>
        <v>0</v>
      </c>
      <c r="F891" s="61">
        <f t="shared" si="22"/>
        <v>0</v>
      </c>
      <c r="G891" s="59">
        <f t="shared" si="23"/>
        <v>0</v>
      </c>
    </row>
    <row r="892" spans="4:7">
      <c r="D892" s="44">
        <f t="shared" si="21"/>
        <v>0</v>
      </c>
      <c r="F892" s="61">
        <f t="shared" si="22"/>
        <v>0</v>
      </c>
      <c r="G892" s="59">
        <f t="shared" si="23"/>
        <v>0</v>
      </c>
    </row>
    <row r="893" spans="4:7">
      <c r="D893" s="44">
        <f t="shared" si="21"/>
        <v>0</v>
      </c>
      <c r="F893" s="61">
        <f t="shared" si="22"/>
        <v>0</v>
      </c>
      <c r="G893" s="59">
        <f t="shared" si="23"/>
        <v>0</v>
      </c>
    </row>
    <row r="894" spans="4:7">
      <c r="D894" s="44">
        <f t="shared" si="21"/>
        <v>0</v>
      </c>
      <c r="F894" s="61">
        <f t="shared" si="22"/>
        <v>0</v>
      </c>
      <c r="G894" s="59">
        <f t="shared" si="23"/>
        <v>0</v>
      </c>
    </row>
    <row r="895" spans="4:7">
      <c r="D895" s="44">
        <f t="shared" si="21"/>
        <v>0</v>
      </c>
      <c r="F895" s="61">
        <f t="shared" si="22"/>
        <v>0</v>
      </c>
      <c r="G895" s="59">
        <f t="shared" si="23"/>
        <v>0</v>
      </c>
    </row>
    <row r="896" spans="4:7">
      <c r="D896" s="44">
        <f t="shared" si="21"/>
        <v>0</v>
      </c>
      <c r="F896" s="61">
        <f t="shared" si="22"/>
        <v>0</v>
      </c>
      <c r="G896" s="59">
        <f t="shared" si="23"/>
        <v>0</v>
      </c>
    </row>
    <row r="897" spans="4:7">
      <c r="D897" s="44">
        <f t="shared" si="21"/>
        <v>0</v>
      </c>
      <c r="F897" s="61">
        <f t="shared" si="22"/>
        <v>0</v>
      </c>
      <c r="G897" s="59">
        <f t="shared" si="23"/>
        <v>0</v>
      </c>
    </row>
    <row r="898" spans="4:7">
      <c r="D898" s="44">
        <f t="shared" si="21"/>
        <v>0</v>
      </c>
      <c r="F898" s="61">
        <f t="shared" si="22"/>
        <v>0</v>
      </c>
      <c r="G898" s="59">
        <f t="shared" si="23"/>
        <v>0</v>
      </c>
    </row>
    <row r="899" spans="4:7">
      <c r="D899" s="44">
        <f t="shared" si="21"/>
        <v>0</v>
      </c>
      <c r="F899" s="61">
        <f t="shared" si="22"/>
        <v>0</v>
      </c>
      <c r="G899" s="59">
        <f t="shared" si="23"/>
        <v>0</v>
      </c>
    </row>
    <row r="900" spans="4:7">
      <c r="D900" s="44">
        <f t="shared" si="21"/>
        <v>0</v>
      </c>
      <c r="F900" s="61">
        <f t="shared" si="22"/>
        <v>0</v>
      </c>
      <c r="G900" s="59">
        <f t="shared" si="23"/>
        <v>0</v>
      </c>
    </row>
    <row r="901" spans="4:7">
      <c r="D901" s="44">
        <f t="shared" si="21"/>
        <v>0</v>
      </c>
      <c r="F901" s="61">
        <f t="shared" si="22"/>
        <v>0</v>
      </c>
      <c r="G901" s="59">
        <f t="shared" si="23"/>
        <v>0</v>
      </c>
    </row>
    <row r="902" spans="4:7">
      <c r="D902" s="44">
        <f t="shared" si="21"/>
        <v>0</v>
      </c>
      <c r="F902" s="61">
        <f t="shared" si="22"/>
        <v>0</v>
      </c>
      <c r="G902" s="59">
        <f t="shared" si="23"/>
        <v>0</v>
      </c>
    </row>
    <row r="903" spans="4:7">
      <c r="D903" s="44">
        <f t="shared" si="21"/>
        <v>0</v>
      </c>
      <c r="F903" s="61">
        <f t="shared" si="22"/>
        <v>0</v>
      </c>
      <c r="G903" s="59">
        <f t="shared" si="23"/>
        <v>0</v>
      </c>
    </row>
    <row r="904" spans="4:7">
      <c r="D904" s="44">
        <f t="shared" si="21"/>
        <v>0</v>
      </c>
      <c r="F904" s="61">
        <f t="shared" si="22"/>
        <v>0</v>
      </c>
      <c r="G904" s="59">
        <f t="shared" si="23"/>
        <v>0</v>
      </c>
    </row>
    <row r="905" spans="4:7">
      <c r="D905" s="44">
        <f t="shared" si="21"/>
        <v>0</v>
      </c>
      <c r="F905" s="61">
        <f t="shared" si="22"/>
        <v>0</v>
      </c>
      <c r="G905" s="59">
        <f t="shared" si="23"/>
        <v>0</v>
      </c>
    </row>
    <row r="906" spans="4:7">
      <c r="D906" s="44">
        <f t="shared" si="21"/>
        <v>0</v>
      </c>
      <c r="F906" s="61">
        <f t="shared" si="22"/>
        <v>0</v>
      </c>
      <c r="G906" s="59">
        <f t="shared" si="23"/>
        <v>0</v>
      </c>
    </row>
    <row r="907" spans="4:7">
      <c r="D907" s="44">
        <f t="shared" si="21"/>
        <v>0</v>
      </c>
      <c r="F907" s="61">
        <f t="shared" si="22"/>
        <v>0</v>
      </c>
      <c r="G907" s="59">
        <f t="shared" si="23"/>
        <v>0</v>
      </c>
    </row>
    <row r="908" spans="4:7">
      <c r="D908" s="44">
        <f t="shared" si="21"/>
        <v>0</v>
      </c>
      <c r="F908" s="61">
        <f t="shared" si="22"/>
        <v>0</v>
      </c>
      <c r="G908" s="59">
        <f t="shared" si="23"/>
        <v>0</v>
      </c>
    </row>
    <row r="909" spans="4:7">
      <c r="D909" s="44">
        <f t="shared" si="21"/>
        <v>0</v>
      </c>
      <c r="F909" s="61">
        <f t="shared" si="22"/>
        <v>0</v>
      </c>
      <c r="G909" s="59">
        <f t="shared" si="23"/>
        <v>0</v>
      </c>
    </row>
    <row r="910" spans="4:7">
      <c r="D910" s="44">
        <f t="shared" si="21"/>
        <v>0</v>
      </c>
      <c r="F910" s="61">
        <f t="shared" si="22"/>
        <v>0</v>
      </c>
      <c r="G910" s="59">
        <f t="shared" si="23"/>
        <v>0</v>
      </c>
    </row>
    <row r="911" spans="4:7">
      <c r="D911" s="44">
        <f t="shared" si="21"/>
        <v>0</v>
      </c>
      <c r="F911" s="61">
        <f t="shared" si="22"/>
        <v>0</v>
      </c>
      <c r="G911" s="59">
        <f t="shared" si="23"/>
        <v>0</v>
      </c>
    </row>
    <row r="912" spans="4:7">
      <c r="D912" s="44">
        <f t="shared" si="21"/>
        <v>0</v>
      </c>
      <c r="F912" s="61">
        <f t="shared" si="22"/>
        <v>0</v>
      </c>
      <c r="G912" s="59">
        <f t="shared" si="23"/>
        <v>0</v>
      </c>
    </row>
    <row r="913" spans="4:7">
      <c r="D913" s="44">
        <f t="shared" si="21"/>
        <v>0</v>
      </c>
      <c r="F913" s="61">
        <f t="shared" si="22"/>
        <v>0</v>
      </c>
      <c r="G913" s="59">
        <f t="shared" si="23"/>
        <v>0</v>
      </c>
    </row>
    <row r="914" spans="4:7">
      <c r="D914" s="44">
        <f t="shared" si="21"/>
        <v>0</v>
      </c>
      <c r="F914" s="61">
        <f t="shared" si="22"/>
        <v>0</v>
      </c>
      <c r="G914" s="59">
        <f t="shared" si="23"/>
        <v>0</v>
      </c>
    </row>
    <row r="915" spans="4:7">
      <c r="D915" s="44">
        <f t="shared" si="21"/>
        <v>0</v>
      </c>
      <c r="F915" s="61">
        <f t="shared" si="22"/>
        <v>0</v>
      </c>
      <c r="G915" s="59">
        <f t="shared" si="23"/>
        <v>0</v>
      </c>
    </row>
    <row r="916" spans="4:7">
      <c r="D916" s="44">
        <f t="shared" si="21"/>
        <v>0</v>
      </c>
      <c r="F916" s="61">
        <f t="shared" si="22"/>
        <v>0</v>
      </c>
      <c r="G916" s="59">
        <f t="shared" si="23"/>
        <v>0</v>
      </c>
    </row>
    <row r="917" spans="4:7">
      <c r="D917" s="44">
        <f t="shared" si="21"/>
        <v>0</v>
      </c>
      <c r="F917" s="61">
        <f t="shared" si="22"/>
        <v>0</v>
      </c>
      <c r="G917" s="59">
        <f t="shared" si="23"/>
        <v>0</v>
      </c>
    </row>
    <row r="918" spans="4:7">
      <c r="D918" s="44">
        <f t="shared" si="21"/>
        <v>0</v>
      </c>
      <c r="F918" s="61">
        <f t="shared" si="22"/>
        <v>0</v>
      </c>
      <c r="G918" s="59">
        <f t="shared" si="23"/>
        <v>0</v>
      </c>
    </row>
    <row r="919" spans="4:7">
      <c r="D919" s="44">
        <f t="shared" si="21"/>
        <v>0</v>
      </c>
      <c r="F919" s="61">
        <f t="shared" si="22"/>
        <v>0</v>
      </c>
      <c r="G919" s="59">
        <f t="shared" si="23"/>
        <v>0</v>
      </c>
    </row>
    <row r="920" spans="4:7">
      <c r="D920" s="44">
        <f t="shared" si="21"/>
        <v>0</v>
      </c>
      <c r="F920" s="61">
        <f t="shared" si="22"/>
        <v>0</v>
      </c>
      <c r="G920" s="59">
        <f t="shared" si="23"/>
        <v>0</v>
      </c>
    </row>
    <row r="921" spans="4:7">
      <c r="D921" s="44">
        <f t="shared" si="21"/>
        <v>0</v>
      </c>
      <c r="F921" s="61">
        <f t="shared" si="22"/>
        <v>0</v>
      </c>
      <c r="G921" s="59">
        <f t="shared" si="23"/>
        <v>0</v>
      </c>
    </row>
    <row r="922" spans="4:7">
      <c r="D922" s="44">
        <f t="shared" si="21"/>
        <v>0</v>
      </c>
      <c r="F922" s="61">
        <f t="shared" si="22"/>
        <v>0</v>
      </c>
      <c r="G922" s="59">
        <f t="shared" si="23"/>
        <v>0</v>
      </c>
    </row>
    <row r="923" spans="4:7">
      <c r="D923" s="44">
        <f t="shared" si="21"/>
        <v>0</v>
      </c>
      <c r="F923" s="61">
        <f t="shared" si="22"/>
        <v>0</v>
      </c>
      <c r="G923" s="59">
        <f t="shared" si="23"/>
        <v>0</v>
      </c>
    </row>
    <row r="924" spans="4:7">
      <c r="D924" s="44">
        <f t="shared" ref="D924:D958" si="24">C924-E924</f>
        <v>0</v>
      </c>
      <c r="F924" s="61">
        <f t="shared" ref="F924:F959" si="25">E924*10%</f>
        <v>0</v>
      </c>
      <c r="G924" s="59">
        <f t="shared" ref="G924:G959" si="26">E924*90%</f>
        <v>0</v>
      </c>
    </row>
    <row r="925" spans="4:7">
      <c r="D925" s="44">
        <f t="shared" si="24"/>
        <v>0</v>
      </c>
      <c r="F925" s="61">
        <f t="shared" si="25"/>
        <v>0</v>
      </c>
      <c r="G925" s="59">
        <f t="shared" si="26"/>
        <v>0</v>
      </c>
    </row>
    <row r="926" spans="4:7">
      <c r="D926" s="44">
        <f t="shared" si="24"/>
        <v>0</v>
      </c>
      <c r="F926" s="61">
        <f t="shared" si="25"/>
        <v>0</v>
      </c>
      <c r="G926" s="59">
        <f t="shared" si="26"/>
        <v>0</v>
      </c>
    </row>
    <row r="927" spans="4:7">
      <c r="D927" s="44">
        <f t="shared" si="24"/>
        <v>0</v>
      </c>
      <c r="F927" s="61">
        <f t="shared" si="25"/>
        <v>0</v>
      </c>
      <c r="G927" s="59">
        <f t="shared" si="26"/>
        <v>0</v>
      </c>
    </row>
    <row r="928" spans="4:7">
      <c r="D928" s="44">
        <f t="shared" si="24"/>
        <v>0</v>
      </c>
      <c r="F928" s="61">
        <f t="shared" si="25"/>
        <v>0</v>
      </c>
      <c r="G928" s="59">
        <f t="shared" si="26"/>
        <v>0</v>
      </c>
    </row>
    <row r="929" spans="4:7">
      <c r="D929" s="44">
        <f t="shared" si="24"/>
        <v>0</v>
      </c>
      <c r="F929" s="61">
        <f t="shared" si="25"/>
        <v>0</v>
      </c>
      <c r="G929" s="59">
        <f t="shared" si="26"/>
        <v>0</v>
      </c>
    </row>
    <row r="930" spans="4:7">
      <c r="D930" s="44">
        <f t="shared" si="24"/>
        <v>0</v>
      </c>
      <c r="F930" s="61">
        <f t="shared" si="25"/>
        <v>0</v>
      </c>
      <c r="G930" s="59">
        <f t="shared" si="26"/>
        <v>0</v>
      </c>
    </row>
    <row r="931" spans="4:7">
      <c r="D931" s="44">
        <f t="shared" si="24"/>
        <v>0</v>
      </c>
      <c r="F931" s="61">
        <f t="shared" si="25"/>
        <v>0</v>
      </c>
      <c r="G931" s="59">
        <f t="shared" si="26"/>
        <v>0</v>
      </c>
    </row>
    <row r="932" spans="4:7">
      <c r="D932" s="44">
        <f t="shared" si="24"/>
        <v>0</v>
      </c>
      <c r="F932" s="61">
        <f t="shared" si="25"/>
        <v>0</v>
      </c>
      <c r="G932" s="59">
        <f t="shared" si="26"/>
        <v>0</v>
      </c>
    </row>
    <row r="933" spans="4:7">
      <c r="D933" s="44">
        <f t="shared" si="24"/>
        <v>0</v>
      </c>
      <c r="F933" s="61">
        <f t="shared" si="25"/>
        <v>0</v>
      </c>
      <c r="G933" s="59">
        <f t="shared" si="26"/>
        <v>0</v>
      </c>
    </row>
    <row r="934" spans="4:7">
      <c r="D934" s="44">
        <f t="shared" si="24"/>
        <v>0</v>
      </c>
      <c r="F934" s="61">
        <f t="shared" si="25"/>
        <v>0</v>
      </c>
      <c r="G934" s="59">
        <f t="shared" si="26"/>
        <v>0</v>
      </c>
    </row>
    <row r="935" spans="4:7">
      <c r="D935" s="44">
        <f t="shared" si="24"/>
        <v>0</v>
      </c>
      <c r="F935" s="61">
        <f t="shared" si="25"/>
        <v>0</v>
      </c>
      <c r="G935" s="59">
        <f t="shared" si="26"/>
        <v>0</v>
      </c>
    </row>
    <row r="936" spans="4:7">
      <c r="D936" s="44">
        <f t="shared" si="24"/>
        <v>0</v>
      </c>
      <c r="F936" s="61">
        <f t="shared" si="25"/>
        <v>0</v>
      </c>
      <c r="G936" s="59">
        <f t="shared" si="26"/>
        <v>0</v>
      </c>
    </row>
    <row r="937" spans="4:7">
      <c r="D937" s="44">
        <f t="shared" si="24"/>
        <v>0</v>
      </c>
      <c r="F937" s="61">
        <f t="shared" si="25"/>
        <v>0</v>
      </c>
      <c r="G937" s="59">
        <f t="shared" si="26"/>
        <v>0</v>
      </c>
    </row>
    <row r="938" spans="4:7">
      <c r="D938" s="44">
        <f t="shared" si="24"/>
        <v>0</v>
      </c>
      <c r="F938" s="61">
        <f t="shared" si="25"/>
        <v>0</v>
      </c>
      <c r="G938" s="59">
        <f t="shared" si="26"/>
        <v>0</v>
      </c>
    </row>
    <row r="939" spans="4:7">
      <c r="D939" s="44">
        <f t="shared" si="24"/>
        <v>0</v>
      </c>
      <c r="F939" s="61">
        <f t="shared" si="25"/>
        <v>0</v>
      </c>
      <c r="G939" s="59">
        <f t="shared" si="26"/>
        <v>0</v>
      </c>
    </row>
    <row r="940" spans="4:7">
      <c r="D940" s="44">
        <f t="shared" si="24"/>
        <v>0</v>
      </c>
      <c r="F940" s="61">
        <f t="shared" si="25"/>
        <v>0</v>
      </c>
      <c r="G940" s="59">
        <f t="shared" si="26"/>
        <v>0</v>
      </c>
    </row>
    <row r="941" spans="4:7">
      <c r="D941" s="44">
        <f t="shared" si="24"/>
        <v>0</v>
      </c>
      <c r="F941" s="61">
        <f t="shared" si="25"/>
        <v>0</v>
      </c>
      <c r="G941" s="59">
        <f t="shared" si="26"/>
        <v>0</v>
      </c>
    </row>
    <row r="942" spans="4:7">
      <c r="D942" s="44">
        <f t="shared" si="24"/>
        <v>0</v>
      </c>
      <c r="F942" s="61">
        <f t="shared" si="25"/>
        <v>0</v>
      </c>
      <c r="G942" s="59">
        <f t="shared" si="26"/>
        <v>0</v>
      </c>
    </row>
    <row r="943" spans="4:7">
      <c r="D943" s="44">
        <f t="shared" si="24"/>
        <v>0</v>
      </c>
      <c r="F943" s="61">
        <f t="shared" si="25"/>
        <v>0</v>
      </c>
      <c r="G943" s="59">
        <f t="shared" si="26"/>
        <v>0</v>
      </c>
    </row>
    <row r="944" spans="4:7">
      <c r="D944" s="44">
        <f t="shared" si="24"/>
        <v>0</v>
      </c>
      <c r="F944" s="61">
        <f t="shared" si="25"/>
        <v>0</v>
      </c>
      <c r="G944" s="59">
        <f t="shared" si="26"/>
        <v>0</v>
      </c>
    </row>
    <row r="945" spans="4:7">
      <c r="D945" s="44">
        <f t="shared" si="24"/>
        <v>0</v>
      </c>
      <c r="F945" s="61">
        <f t="shared" si="25"/>
        <v>0</v>
      </c>
      <c r="G945" s="59">
        <f t="shared" si="26"/>
        <v>0</v>
      </c>
    </row>
    <row r="946" spans="4:7">
      <c r="D946" s="44">
        <f t="shared" si="24"/>
        <v>0</v>
      </c>
      <c r="F946" s="61">
        <f t="shared" si="25"/>
        <v>0</v>
      </c>
      <c r="G946" s="59">
        <f t="shared" si="26"/>
        <v>0</v>
      </c>
    </row>
    <row r="947" spans="4:7">
      <c r="D947" s="44">
        <f t="shared" si="24"/>
        <v>0</v>
      </c>
      <c r="F947" s="61">
        <f t="shared" si="25"/>
        <v>0</v>
      </c>
      <c r="G947" s="59">
        <f t="shared" si="26"/>
        <v>0</v>
      </c>
    </row>
    <row r="948" spans="4:7">
      <c r="D948" s="44">
        <f t="shared" si="24"/>
        <v>0</v>
      </c>
      <c r="F948" s="61">
        <f t="shared" si="25"/>
        <v>0</v>
      </c>
      <c r="G948" s="59">
        <f t="shared" si="26"/>
        <v>0</v>
      </c>
    </row>
    <row r="949" spans="4:7">
      <c r="D949" s="44">
        <f t="shared" si="24"/>
        <v>0</v>
      </c>
      <c r="F949" s="61">
        <f t="shared" si="25"/>
        <v>0</v>
      </c>
      <c r="G949" s="59">
        <f t="shared" si="26"/>
        <v>0</v>
      </c>
    </row>
    <row r="950" spans="4:7">
      <c r="D950" s="44">
        <f t="shared" si="24"/>
        <v>0</v>
      </c>
      <c r="F950" s="61">
        <f t="shared" si="25"/>
        <v>0</v>
      </c>
      <c r="G950" s="59">
        <f t="shared" si="26"/>
        <v>0</v>
      </c>
    </row>
    <row r="951" spans="4:7">
      <c r="D951" s="44">
        <f t="shared" si="24"/>
        <v>0</v>
      </c>
      <c r="F951" s="61">
        <f t="shared" si="25"/>
        <v>0</v>
      </c>
      <c r="G951" s="59">
        <f t="shared" si="26"/>
        <v>0</v>
      </c>
    </row>
    <row r="952" spans="4:7">
      <c r="D952" s="44">
        <f t="shared" si="24"/>
        <v>0</v>
      </c>
      <c r="F952" s="61">
        <f t="shared" si="25"/>
        <v>0</v>
      </c>
      <c r="G952" s="59">
        <f t="shared" si="26"/>
        <v>0</v>
      </c>
    </row>
    <row r="953" spans="4:7">
      <c r="D953" s="44">
        <f t="shared" si="24"/>
        <v>0</v>
      </c>
      <c r="F953" s="61">
        <f t="shared" si="25"/>
        <v>0</v>
      </c>
      <c r="G953" s="59">
        <f t="shared" si="26"/>
        <v>0</v>
      </c>
    </row>
    <row r="954" spans="4:7">
      <c r="D954" s="44">
        <f t="shared" si="24"/>
        <v>0</v>
      </c>
      <c r="F954" s="61">
        <f t="shared" si="25"/>
        <v>0</v>
      </c>
      <c r="G954" s="59">
        <f t="shared" si="26"/>
        <v>0</v>
      </c>
    </row>
    <row r="955" spans="4:7">
      <c r="D955" s="44">
        <f t="shared" si="24"/>
        <v>0</v>
      </c>
      <c r="F955" s="61">
        <f t="shared" si="25"/>
        <v>0</v>
      </c>
      <c r="G955" s="59">
        <f t="shared" si="26"/>
        <v>0</v>
      </c>
    </row>
    <row r="956" spans="4:7">
      <c r="D956" s="44">
        <f t="shared" si="24"/>
        <v>0</v>
      </c>
      <c r="F956" s="61">
        <f t="shared" si="25"/>
        <v>0</v>
      </c>
      <c r="G956" s="59">
        <f t="shared" si="26"/>
        <v>0</v>
      </c>
    </row>
    <row r="957" spans="4:7">
      <c r="D957" s="44">
        <f t="shared" si="24"/>
        <v>0</v>
      </c>
      <c r="F957" s="61">
        <f t="shared" si="25"/>
        <v>0</v>
      </c>
      <c r="G957" s="59">
        <f t="shared" si="26"/>
        <v>0</v>
      </c>
    </row>
    <row r="958" spans="4:7">
      <c r="D958" s="44">
        <f t="shared" si="24"/>
        <v>0</v>
      </c>
      <c r="F958" s="61">
        <f t="shared" si="25"/>
        <v>0</v>
      </c>
      <c r="G958" s="59">
        <f t="shared" si="26"/>
        <v>0</v>
      </c>
    </row>
    <row r="959" spans="4:7">
      <c r="D959" s="44"/>
      <c r="F959" s="61">
        <f t="shared" si="25"/>
        <v>0</v>
      </c>
      <c r="G959" s="59">
        <f t="shared" si="26"/>
        <v>0</v>
      </c>
    </row>
  </sheetData>
  <phoneticPr fontId="37" type="noConversion"/>
  <pageMargins left="0.7" right="0.7" top="0.75" bottom="0.75" header="0.3" footer="0.3"/>
  <pageSetup paperSize="9" scale="98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tabColor theme="0"/>
    <pageSetUpPr fitToPage="1"/>
  </sheetPr>
  <dimension ref="A2:M962"/>
  <sheetViews>
    <sheetView topLeftCell="B8" zoomScaleNormal="100" workbookViewId="0">
      <selection activeCell="E25" sqref="E25"/>
    </sheetView>
  </sheetViews>
  <sheetFormatPr defaultColWidth="8.69921875" defaultRowHeight="17.399999999999999"/>
  <cols>
    <col min="1" max="1" width="8.69921875" style="23"/>
    <col min="2" max="2" width="35.69921875" style="15" customWidth="1"/>
    <col min="3" max="3" width="15.3984375" style="40" bestFit="1" customWidth="1"/>
    <col min="4" max="7" width="13.3984375" style="40" customWidth="1"/>
    <col min="8" max="8" width="17.09765625" style="40" customWidth="1"/>
    <col min="9" max="10" width="17.69921875" style="40" customWidth="1"/>
    <col min="11" max="11" width="11.59765625" style="23" customWidth="1"/>
    <col min="12" max="16384" width="8.69921875" style="23"/>
  </cols>
  <sheetData>
    <row r="2" spans="1:13">
      <c r="A2" s="43"/>
      <c r="B2" s="48" t="s">
        <v>80</v>
      </c>
      <c r="C2" s="44"/>
      <c r="D2" s="44"/>
      <c r="E2" s="44"/>
      <c r="F2" s="44"/>
      <c r="G2" s="44"/>
      <c r="H2" s="44"/>
      <c r="I2" s="44"/>
      <c r="J2" s="44"/>
      <c r="K2" s="43"/>
      <c r="L2" s="43"/>
      <c r="M2" s="43"/>
    </row>
    <row r="3" spans="1:13">
      <c r="A3" s="43"/>
      <c r="B3" s="49"/>
      <c r="C3" s="44"/>
      <c r="D3" s="44"/>
      <c r="E3" s="44"/>
      <c r="F3" s="44"/>
      <c r="G3" s="44"/>
      <c r="H3" s="59"/>
      <c r="I3" s="71">
        <v>0.15</v>
      </c>
      <c r="J3" s="71">
        <v>0.85</v>
      </c>
      <c r="K3" s="43"/>
      <c r="L3" s="43"/>
      <c r="M3" s="43"/>
    </row>
    <row r="4" spans="1:13" ht="26.25" customHeight="1">
      <c r="A4" s="43"/>
      <c r="B4" s="161" t="s">
        <v>152</v>
      </c>
      <c r="C4" s="88" t="s">
        <v>62</v>
      </c>
      <c r="D4" s="158" t="s">
        <v>4</v>
      </c>
      <c r="E4" s="159"/>
      <c r="F4" s="159"/>
      <c r="G4" s="160"/>
      <c r="H4" s="162" t="s">
        <v>28</v>
      </c>
      <c r="I4" s="162" t="s">
        <v>27</v>
      </c>
      <c r="J4" s="162" t="s">
        <v>26</v>
      </c>
      <c r="K4" s="156" t="s">
        <v>8</v>
      </c>
      <c r="L4" s="43"/>
      <c r="M4" s="43"/>
    </row>
    <row r="5" spans="1:13" ht="36.75" customHeight="1">
      <c r="A5" s="43"/>
      <c r="B5" s="157"/>
      <c r="C5" s="82" t="s">
        <v>60</v>
      </c>
      <c r="D5" s="89" t="s">
        <v>61</v>
      </c>
      <c r="E5" s="89" t="s">
        <v>63</v>
      </c>
      <c r="F5" s="89" t="s">
        <v>64</v>
      </c>
      <c r="G5" s="89" t="s">
        <v>65</v>
      </c>
      <c r="H5" s="163"/>
      <c r="I5" s="163"/>
      <c r="J5" s="163"/>
      <c r="K5" s="157"/>
      <c r="L5" s="43"/>
      <c r="M5" s="43"/>
    </row>
    <row r="6" spans="1:13">
      <c r="B6" s="56" t="s">
        <v>15</v>
      </c>
      <c r="C6" s="47">
        <f t="shared" ref="C6:J6" si="0">ROUND(SUM(C7:C1982),0)</f>
        <v>1040960</v>
      </c>
      <c r="D6" s="47">
        <f t="shared" si="0"/>
        <v>312288</v>
      </c>
      <c r="E6" s="47">
        <f t="shared" si="0"/>
        <v>4227133</v>
      </c>
      <c r="F6" s="47">
        <f t="shared" si="0"/>
        <v>3842848</v>
      </c>
      <c r="G6" s="47">
        <f t="shared" si="0"/>
        <v>1921424</v>
      </c>
      <c r="H6" s="47">
        <f t="shared" si="0"/>
        <v>1921424</v>
      </c>
      <c r="I6" s="47">
        <f t="shared" si="0"/>
        <v>288214</v>
      </c>
      <c r="J6" s="47">
        <f t="shared" si="0"/>
        <v>1633210</v>
      </c>
      <c r="K6" s="41"/>
    </row>
    <row r="7" spans="1:13">
      <c r="B7" s="90" t="s">
        <v>74</v>
      </c>
      <c r="C7" s="91">
        <v>11000</v>
      </c>
      <c r="D7" s="92">
        <f>C7*0.3</f>
        <v>3300</v>
      </c>
      <c r="E7" s="92">
        <v>50632</v>
      </c>
      <c r="F7" s="92">
        <f>E7/1.1</f>
        <v>46029.090909090904</v>
      </c>
      <c r="G7" s="92">
        <f>F7*0.5</f>
        <v>23014.545454545452</v>
      </c>
      <c r="H7" s="92">
        <f>G7</f>
        <v>23014.545454545452</v>
      </c>
      <c r="I7" s="93">
        <f>H7*15%</f>
        <v>3452.1818181818176</v>
      </c>
      <c r="J7" s="92">
        <f>H7*85%</f>
        <v>19562.363636363632</v>
      </c>
      <c r="K7" s="92"/>
      <c r="L7" s="52"/>
    </row>
    <row r="8" spans="1:13">
      <c r="B8" s="90" t="s">
        <v>66</v>
      </c>
      <c r="C8" s="91">
        <v>38001</v>
      </c>
      <c r="D8" s="92">
        <f>C8*0.3</f>
        <v>11400.3</v>
      </c>
      <c r="E8" s="92">
        <v>82856</v>
      </c>
      <c r="F8" s="92">
        <f>E8/1.1</f>
        <v>75323.636363636353</v>
      </c>
      <c r="G8" s="92">
        <f>F8*0.5</f>
        <v>37661.818181818177</v>
      </c>
      <c r="H8" s="92">
        <f>G8</f>
        <v>37661.818181818177</v>
      </c>
      <c r="I8" s="93">
        <f>H8*15%</f>
        <v>5649.2727272727261</v>
      </c>
      <c r="J8" s="92">
        <f>H8*85%</f>
        <v>32012.545454545449</v>
      </c>
      <c r="K8" s="92"/>
      <c r="L8" s="52"/>
    </row>
    <row r="9" spans="1:13">
      <c r="B9" s="90" t="s">
        <v>67</v>
      </c>
      <c r="C9" s="91">
        <v>23000</v>
      </c>
      <c r="D9" s="92">
        <f t="shared" ref="D9:D29" si="1">C9*0.3</f>
        <v>6900</v>
      </c>
      <c r="E9" s="139">
        <v>29798</v>
      </c>
      <c r="F9" s="92">
        <f t="shared" ref="F9:F29" si="2">E9/1.1</f>
        <v>27089.090909090908</v>
      </c>
      <c r="G9" s="92">
        <f t="shared" ref="G9:G29" si="3">F9*0.5</f>
        <v>13544.545454545454</v>
      </c>
      <c r="H9" s="92">
        <f t="shared" ref="H9:H29" si="4">G9</f>
        <v>13544.545454545454</v>
      </c>
      <c r="I9" s="93">
        <f t="shared" ref="I9:I29" si="5">H9*15%</f>
        <v>2031.681818181818</v>
      </c>
      <c r="J9" s="92">
        <f t="shared" ref="J9:J29" si="6">H9*85%</f>
        <v>11512.863636363636</v>
      </c>
      <c r="K9" s="92"/>
      <c r="L9" s="52"/>
    </row>
    <row r="10" spans="1:13">
      <c r="B10" s="90" t="s">
        <v>132</v>
      </c>
      <c r="C10" s="91">
        <v>43000</v>
      </c>
      <c r="D10" s="92">
        <f t="shared" si="1"/>
        <v>12900</v>
      </c>
      <c r="E10" s="139">
        <v>81664</v>
      </c>
      <c r="F10" s="92">
        <f t="shared" si="2"/>
        <v>74240</v>
      </c>
      <c r="G10" s="92">
        <f t="shared" si="3"/>
        <v>37120</v>
      </c>
      <c r="H10" s="92">
        <f t="shared" si="4"/>
        <v>37120</v>
      </c>
      <c r="I10" s="93">
        <f t="shared" si="5"/>
        <v>5568</v>
      </c>
      <c r="J10" s="92">
        <f t="shared" si="6"/>
        <v>31552</v>
      </c>
      <c r="K10" s="92"/>
      <c r="L10" s="52"/>
    </row>
    <row r="11" spans="1:13">
      <c r="B11" s="90" t="s">
        <v>68</v>
      </c>
      <c r="C11" s="91">
        <v>15500</v>
      </c>
      <c r="D11" s="92">
        <f t="shared" si="1"/>
        <v>4650</v>
      </c>
      <c r="E11" s="130">
        <v>17278</v>
      </c>
      <c r="F11" s="92">
        <f t="shared" si="2"/>
        <v>15707.272727272726</v>
      </c>
      <c r="G11" s="92">
        <f t="shared" si="3"/>
        <v>7853.6363636363631</v>
      </c>
      <c r="H11" s="92">
        <f t="shared" si="4"/>
        <v>7853.6363636363631</v>
      </c>
      <c r="I11" s="93">
        <f t="shared" si="5"/>
        <v>1178.0454545454545</v>
      </c>
      <c r="J11" s="92">
        <f t="shared" si="6"/>
        <v>6675.5909090909081</v>
      </c>
      <c r="K11" s="92"/>
      <c r="L11" s="52"/>
    </row>
    <row r="12" spans="1:13">
      <c r="B12" s="90" t="s">
        <v>69</v>
      </c>
      <c r="C12" s="91">
        <v>15715</v>
      </c>
      <c r="D12" s="92">
        <f t="shared" si="1"/>
        <v>4714.5</v>
      </c>
      <c r="E12" s="92">
        <v>154556</v>
      </c>
      <c r="F12" s="92">
        <f t="shared" si="2"/>
        <v>140505.45454545453</v>
      </c>
      <c r="G12" s="92">
        <f t="shared" si="3"/>
        <v>70252.727272727265</v>
      </c>
      <c r="H12" s="92">
        <f t="shared" si="4"/>
        <v>70252.727272727265</v>
      </c>
      <c r="I12" s="93">
        <f t="shared" si="5"/>
        <v>10537.90909090909</v>
      </c>
      <c r="J12" s="92">
        <f t="shared" si="6"/>
        <v>59714.818181818177</v>
      </c>
      <c r="K12" s="92"/>
      <c r="L12" s="52"/>
    </row>
    <row r="13" spans="1:13">
      <c r="B13" s="90" t="s">
        <v>70</v>
      </c>
      <c r="C13" s="91">
        <v>0</v>
      </c>
      <c r="D13" s="131">
        <f t="shared" si="1"/>
        <v>0</v>
      </c>
      <c r="E13" s="92">
        <v>32061</v>
      </c>
      <c r="F13" s="92">
        <f t="shared" si="2"/>
        <v>29146.363636363632</v>
      </c>
      <c r="G13" s="92">
        <f t="shared" si="3"/>
        <v>14573.181818181816</v>
      </c>
      <c r="H13" s="92">
        <f t="shared" si="4"/>
        <v>14573.181818181816</v>
      </c>
      <c r="I13" s="93">
        <f t="shared" si="5"/>
        <v>2185.9772727272725</v>
      </c>
      <c r="J13" s="92">
        <f t="shared" si="6"/>
        <v>12387.204545454544</v>
      </c>
      <c r="K13" s="92"/>
      <c r="L13" s="52"/>
    </row>
    <row r="14" spans="1:13">
      <c r="B14" s="90" t="s">
        <v>71</v>
      </c>
      <c r="C14" s="91">
        <v>12715</v>
      </c>
      <c r="D14" s="92">
        <f t="shared" si="1"/>
        <v>3814.5</v>
      </c>
      <c r="E14" s="92">
        <v>117996</v>
      </c>
      <c r="F14" s="92">
        <f t="shared" si="2"/>
        <v>107269.0909090909</v>
      </c>
      <c r="G14" s="92">
        <f t="shared" si="3"/>
        <v>53634.545454545449</v>
      </c>
      <c r="H14" s="92">
        <f t="shared" si="4"/>
        <v>53634.545454545449</v>
      </c>
      <c r="I14" s="93">
        <f t="shared" si="5"/>
        <v>8045.1818181818171</v>
      </c>
      <c r="J14" s="92">
        <f t="shared" si="6"/>
        <v>45589.363636363632</v>
      </c>
      <c r="K14" s="92"/>
      <c r="L14" s="52"/>
    </row>
    <row r="15" spans="1:13">
      <c r="B15" s="90" t="s">
        <v>72</v>
      </c>
      <c r="C15" s="91">
        <v>3000</v>
      </c>
      <c r="D15" s="92">
        <f t="shared" si="1"/>
        <v>900</v>
      </c>
      <c r="E15" s="92">
        <v>31779</v>
      </c>
      <c r="F15" s="92">
        <f t="shared" si="2"/>
        <v>28889.999999999996</v>
      </c>
      <c r="G15" s="92">
        <f t="shared" si="3"/>
        <v>14444.999999999998</v>
      </c>
      <c r="H15" s="92">
        <f t="shared" si="4"/>
        <v>14444.999999999998</v>
      </c>
      <c r="I15" s="93">
        <f t="shared" si="5"/>
        <v>2166.7499999999995</v>
      </c>
      <c r="J15" s="92">
        <f t="shared" si="6"/>
        <v>12278.249999999998</v>
      </c>
      <c r="K15" s="92"/>
      <c r="L15" s="52"/>
    </row>
    <row r="16" spans="1:13">
      <c r="B16" s="90" t="s">
        <v>73</v>
      </c>
      <c r="C16" s="91">
        <v>327485</v>
      </c>
      <c r="D16" s="92">
        <f t="shared" si="1"/>
        <v>98245.5</v>
      </c>
      <c r="E16" s="92">
        <v>375708</v>
      </c>
      <c r="F16" s="92">
        <f t="shared" si="2"/>
        <v>341552.72727272724</v>
      </c>
      <c r="G16" s="92">
        <f t="shared" si="3"/>
        <v>170776.36363636362</v>
      </c>
      <c r="H16" s="92">
        <f t="shared" si="4"/>
        <v>170776.36363636362</v>
      </c>
      <c r="I16" s="93">
        <f t="shared" si="5"/>
        <v>25616.45454545454</v>
      </c>
      <c r="J16" s="92">
        <f t="shared" si="6"/>
        <v>145159.90909090906</v>
      </c>
      <c r="K16" s="92"/>
      <c r="L16" s="52"/>
    </row>
    <row r="17" spans="2:12">
      <c r="B17" s="90" t="s">
        <v>75</v>
      </c>
      <c r="C17" s="91">
        <v>25398</v>
      </c>
      <c r="D17" s="92">
        <f t="shared" si="1"/>
        <v>7619.4</v>
      </c>
      <c r="E17" s="92">
        <v>247914</v>
      </c>
      <c r="F17" s="92">
        <f t="shared" si="2"/>
        <v>225376.36363636362</v>
      </c>
      <c r="G17" s="92">
        <f t="shared" si="3"/>
        <v>112688.18181818181</v>
      </c>
      <c r="H17" s="92">
        <f t="shared" si="4"/>
        <v>112688.18181818181</v>
      </c>
      <c r="I17" s="93">
        <f t="shared" si="5"/>
        <v>16903.227272727272</v>
      </c>
      <c r="J17" s="92">
        <f t="shared" si="6"/>
        <v>95784.95454545453</v>
      </c>
      <c r="K17" s="92"/>
      <c r="L17" s="52"/>
    </row>
    <row r="18" spans="2:12">
      <c r="B18" s="90" t="s">
        <v>76</v>
      </c>
      <c r="C18" s="91">
        <v>12500</v>
      </c>
      <c r="D18" s="92">
        <f t="shared" si="1"/>
        <v>3750</v>
      </c>
      <c r="E18" s="92">
        <v>186647</v>
      </c>
      <c r="F18" s="92">
        <f t="shared" si="2"/>
        <v>169679.09090909088</v>
      </c>
      <c r="G18" s="92">
        <f t="shared" si="3"/>
        <v>84839.545454545441</v>
      </c>
      <c r="H18" s="92">
        <f t="shared" si="4"/>
        <v>84839.545454545441</v>
      </c>
      <c r="I18" s="93">
        <f t="shared" si="5"/>
        <v>12725.931818181816</v>
      </c>
      <c r="J18" s="92">
        <f t="shared" si="6"/>
        <v>72113.613636363618</v>
      </c>
      <c r="K18" s="92"/>
      <c r="L18" s="52"/>
    </row>
    <row r="19" spans="2:12">
      <c r="B19" s="90" t="s">
        <v>137</v>
      </c>
      <c r="C19" s="94">
        <v>40000</v>
      </c>
      <c r="D19" s="140">
        <f t="shared" si="1"/>
        <v>12000</v>
      </c>
      <c r="E19" s="137">
        <v>185937</v>
      </c>
      <c r="F19" s="137">
        <f t="shared" si="2"/>
        <v>169033.63636363635</v>
      </c>
      <c r="G19" s="137">
        <f t="shared" si="3"/>
        <v>84516.818181818177</v>
      </c>
      <c r="H19" s="137">
        <f t="shared" si="4"/>
        <v>84516.818181818177</v>
      </c>
      <c r="I19" s="93">
        <f t="shared" si="5"/>
        <v>12677.522727272726</v>
      </c>
      <c r="J19" s="137">
        <f t="shared" si="6"/>
        <v>71839.295454545441</v>
      </c>
      <c r="K19" s="44"/>
      <c r="L19" s="52"/>
    </row>
    <row r="20" spans="2:12">
      <c r="B20" s="90" t="s">
        <v>77</v>
      </c>
      <c r="C20" s="91">
        <v>2715</v>
      </c>
      <c r="D20" s="92">
        <f t="shared" si="1"/>
        <v>814.5</v>
      </c>
      <c r="E20" s="92">
        <v>29099</v>
      </c>
      <c r="F20" s="92">
        <f t="shared" si="2"/>
        <v>26453.63636363636</v>
      </c>
      <c r="G20" s="92">
        <f t="shared" si="3"/>
        <v>13226.81818181818</v>
      </c>
      <c r="H20" s="92">
        <f t="shared" si="4"/>
        <v>13226.81818181818</v>
      </c>
      <c r="I20" s="93">
        <f t="shared" si="5"/>
        <v>1984.022727272727</v>
      </c>
      <c r="J20" s="92">
        <f t="shared" si="6"/>
        <v>11242.795454545452</v>
      </c>
      <c r="K20" s="92"/>
      <c r="L20" s="52"/>
    </row>
    <row r="21" spans="2:12">
      <c r="B21" s="90" t="s">
        <v>78</v>
      </c>
      <c r="C21" s="91">
        <v>27000</v>
      </c>
      <c r="D21" s="92">
        <f t="shared" si="1"/>
        <v>8100</v>
      </c>
      <c r="E21" s="92">
        <v>94264</v>
      </c>
      <c r="F21" s="92">
        <f t="shared" si="2"/>
        <v>85694.545454545441</v>
      </c>
      <c r="G21" s="92">
        <f t="shared" si="3"/>
        <v>42847.272727272721</v>
      </c>
      <c r="H21" s="92">
        <f t="shared" si="4"/>
        <v>42847.272727272721</v>
      </c>
      <c r="I21" s="93">
        <f t="shared" si="5"/>
        <v>6427.0909090909081</v>
      </c>
      <c r="J21" s="92">
        <f t="shared" si="6"/>
        <v>36420.181818181809</v>
      </c>
      <c r="K21" s="92"/>
      <c r="L21" s="52"/>
    </row>
    <row r="22" spans="2:12">
      <c r="B22" s="90" t="s">
        <v>79</v>
      </c>
      <c r="C22" s="91">
        <v>5000</v>
      </c>
      <c r="D22" s="92">
        <f t="shared" si="1"/>
        <v>1500</v>
      </c>
      <c r="E22" s="92">
        <v>10523</v>
      </c>
      <c r="F22" s="92">
        <f t="shared" si="2"/>
        <v>9566.363636363636</v>
      </c>
      <c r="G22" s="92">
        <f t="shared" si="3"/>
        <v>4783.181818181818</v>
      </c>
      <c r="H22" s="92">
        <f t="shared" si="4"/>
        <v>4783.181818181818</v>
      </c>
      <c r="I22" s="93">
        <f t="shared" si="5"/>
        <v>717.47727272727263</v>
      </c>
      <c r="J22" s="92">
        <f t="shared" si="6"/>
        <v>4065.704545454545</v>
      </c>
      <c r="K22" s="92"/>
      <c r="L22" s="52"/>
    </row>
    <row r="23" spans="2:12">
      <c r="B23" s="90" t="s">
        <v>136</v>
      </c>
      <c r="C23" s="91">
        <v>82430</v>
      </c>
      <c r="D23" s="137">
        <f t="shared" si="1"/>
        <v>24729</v>
      </c>
      <c r="E23" s="137">
        <v>1167891</v>
      </c>
      <c r="F23" s="137">
        <f t="shared" si="2"/>
        <v>1061719.0909090908</v>
      </c>
      <c r="G23" s="137">
        <f t="shared" si="3"/>
        <v>530859.54545454541</v>
      </c>
      <c r="H23" s="137">
        <f t="shared" si="4"/>
        <v>530859.54545454541</v>
      </c>
      <c r="I23" s="93">
        <f t="shared" si="5"/>
        <v>79628.931818181809</v>
      </c>
      <c r="J23" s="137">
        <f t="shared" si="6"/>
        <v>451230.61363636359</v>
      </c>
      <c r="K23" s="44"/>
      <c r="L23" s="52"/>
    </row>
    <row r="24" spans="2:12">
      <c r="B24" s="90" t="s">
        <v>135</v>
      </c>
      <c r="C24" s="91">
        <v>356501</v>
      </c>
      <c r="D24" s="133">
        <f>C24*0.3</f>
        <v>106950.3</v>
      </c>
      <c r="E24" s="133">
        <v>1330530</v>
      </c>
      <c r="F24" s="133">
        <f>E24/1.1</f>
        <v>1209572.7272727271</v>
      </c>
      <c r="G24" s="133">
        <f>F24*0.5</f>
        <v>604786.36363636353</v>
      </c>
      <c r="H24" s="133">
        <f>G24</f>
        <v>604786.36363636353</v>
      </c>
      <c r="I24" s="93">
        <f>H24*15%</f>
        <v>90717.95454545453</v>
      </c>
      <c r="J24" s="133">
        <f>H24*85%</f>
        <v>514068.409090909</v>
      </c>
      <c r="K24" s="133"/>
      <c r="L24" s="52"/>
    </row>
    <row r="25" spans="2:12">
      <c r="B25" s="90"/>
      <c r="C25" s="91"/>
      <c r="D25" s="134"/>
      <c r="E25" s="135"/>
      <c r="F25" s="134"/>
      <c r="G25" s="134"/>
      <c r="H25" s="134"/>
      <c r="I25" s="93"/>
      <c r="J25" s="134"/>
      <c r="K25" s="44"/>
      <c r="L25" s="52"/>
    </row>
    <row r="26" spans="2:12">
      <c r="B26" s="50"/>
      <c r="D26" s="134"/>
      <c r="E26" s="134"/>
      <c r="F26" s="134"/>
      <c r="G26" s="134"/>
      <c r="H26" s="134"/>
      <c r="I26" s="93"/>
      <c r="J26" s="134"/>
      <c r="K26" s="44"/>
      <c r="L26" s="52"/>
    </row>
    <row r="27" spans="2:12">
      <c r="B27" s="50"/>
      <c r="D27" s="44"/>
      <c r="E27" s="44"/>
      <c r="F27" s="44"/>
      <c r="G27" s="44"/>
      <c r="H27" s="44"/>
      <c r="I27" s="61"/>
      <c r="J27" s="44"/>
      <c r="K27" s="44"/>
      <c r="L27" s="52"/>
    </row>
    <row r="28" spans="2:12">
      <c r="B28" s="50"/>
      <c r="D28" s="44">
        <f t="shared" si="1"/>
        <v>0</v>
      </c>
      <c r="E28" s="44"/>
      <c r="F28" s="44">
        <f t="shared" si="2"/>
        <v>0</v>
      </c>
      <c r="G28" s="44">
        <f t="shared" si="3"/>
        <v>0</v>
      </c>
      <c r="H28" s="44">
        <f t="shared" si="4"/>
        <v>0</v>
      </c>
      <c r="I28" s="61">
        <f t="shared" si="5"/>
        <v>0</v>
      </c>
      <c r="J28" s="44">
        <f t="shared" si="6"/>
        <v>0</v>
      </c>
      <c r="K28" s="44"/>
      <c r="L28" s="52"/>
    </row>
    <row r="29" spans="2:12">
      <c r="B29" s="50"/>
      <c r="D29" s="44">
        <f t="shared" si="1"/>
        <v>0</v>
      </c>
      <c r="E29" s="44"/>
      <c r="F29" s="44">
        <f t="shared" si="2"/>
        <v>0</v>
      </c>
      <c r="G29" s="44">
        <f t="shared" si="3"/>
        <v>0</v>
      </c>
      <c r="H29" s="44">
        <f t="shared" si="4"/>
        <v>0</v>
      </c>
      <c r="I29" s="61">
        <f t="shared" si="5"/>
        <v>0</v>
      </c>
      <c r="J29" s="44">
        <f t="shared" si="6"/>
        <v>0</v>
      </c>
      <c r="K29" s="44"/>
      <c r="L29" s="52"/>
    </row>
    <row r="30" spans="2:12">
      <c r="B30" s="50"/>
      <c r="D30" s="44"/>
      <c r="E30" s="44"/>
      <c r="F30" s="44"/>
      <c r="G30" s="44"/>
      <c r="H30" s="44"/>
      <c r="I30" s="61"/>
      <c r="J30" s="44"/>
      <c r="K30" s="44"/>
      <c r="L30" s="52"/>
    </row>
    <row r="31" spans="2:12">
      <c r="B31" s="50"/>
      <c r="C31" s="51"/>
      <c r="D31" s="44"/>
      <c r="E31" s="44"/>
      <c r="F31" s="44"/>
      <c r="G31" s="44"/>
      <c r="H31" s="44"/>
      <c r="I31" s="61"/>
      <c r="J31" s="59"/>
      <c r="K31" s="58"/>
      <c r="L31" s="52"/>
    </row>
    <row r="32" spans="2:12">
      <c r="B32" s="50"/>
      <c r="C32" s="51"/>
      <c r="D32" s="44"/>
      <c r="E32" s="44"/>
      <c r="F32" s="44"/>
      <c r="G32" s="44"/>
      <c r="H32" s="44"/>
      <c r="I32" s="61"/>
      <c r="J32" s="59"/>
      <c r="K32" s="58"/>
      <c r="L32" s="52"/>
    </row>
    <row r="33" spans="2:12">
      <c r="B33" s="50"/>
      <c r="C33" s="51"/>
      <c r="D33" s="44"/>
      <c r="E33" s="44"/>
      <c r="F33" s="44"/>
      <c r="G33" s="44"/>
      <c r="H33" s="44"/>
      <c r="I33" s="61"/>
      <c r="J33" s="59"/>
      <c r="K33" s="58"/>
      <c r="L33" s="52"/>
    </row>
    <row r="34" spans="2:12">
      <c r="B34" s="50"/>
      <c r="C34" s="51"/>
      <c r="D34" s="44"/>
      <c r="E34" s="44"/>
      <c r="F34" s="44"/>
      <c r="G34" s="44"/>
      <c r="H34" s="44"/>
      <c r="I34" s="61"/>
      <c r="J34" s="59"/>
      <c r="K34" s="58"/>
      <c r="L34" s="52"/>
    </row>
    <row r="35" spans="2:12">
      <c r="B35" s="50"/>
      <c r="C35" s="51"/>
      <c r="D35" s="44"/>
      <c r="E35" s="44"/>
      <c r="F35" s="44"/>
      <c r="G35" s="44"/>
      <c r="H35" s="44"/>
      <c r="I35" s="61"/>
      <c r="J35" s="59"/>
      <c r="K35" s="58"/>
      <c r="L35" s="52"/>
    </row>
    <row r="36" spans="2:12">
      <c r="B36" s="50"/>
      <c r="C36" s="51"/>
      <c r="D36" s="44"/>
      <c r="E36" s="44"/>
      <c r="F36" s="44"/>
      <c r="G36" s="44"/>
      <c r="H36" s="44"/>
      <c r="I36" s="61"/>
      <c r="J36" s="59"/>
      <c r="K36" s="58"/>
      <c r="L36" s="52"/>
    </row>
    <row r="37" spans="2:12">
      <c r="B37" s="50"/>
      <c r="C37" s="51"/>
      <c r="D37" s="44"/>
      <c r="E37" s="44"/>
      <c r="F37" s="44"/>
      <c r="G37" s="44"/>
      <c r="H37" s="44"/>
      <c r="I37" s="61"/>
      <c r="J37" s="59"/>
      <c r="K37" s="58"/>
      <c r="L37" s="52"/>
    </row>
    <row r="38" spans="2:12">
      <c r="B38" s="50"/>
      <c r="C38" s="51"/>
      <c r="D38" s="44"/>
      <c r="E38" s="44"/>
      <c r="F38" s="44"/>
      <c r="G38" s="44"/>
      <c r="H38" s="44"/>
      <c r="I38" s="61"/>
      <c r="J38" s="59"/>
      <c r="K38" s="58"/>
      <c r="L38" s="52"/>
    </row>
    <row r="39" spans="2:12">
      <c r="B39" s="50"/>
      <c r="C39" s="51"/>
      <c r="D39" s="44"/>
      <c r="E39" s="44"/>
      <c r="F39" s="44"/>
      <c r="G39" s="44"/>
      <c r="H39" s="44"/>
      <c r="I39" s="61"/>
      <c r="J39" s="59"/>
      <c r="K39" s="58"/>
      <c r="L39" s="52"/>
    </row>
    <row r="40" spans="2:12">
      <c r="B40" s="50"/>
      <c r="C40" s="51"/>
      <c r="D40" s="44"/>
      <c r="E40" s="44"/>
      <c r="F40" s="44"/>
      <c r="G40" s="44"/>
      <c r="H40" s="44"/>
      <c r="I40" s="61"/>
      <c r="J40" s="59"/>
      <c r="K40" s="58"/>
      <c r="L40" s="52"/>
    </row>
    <row r="41" spans="2:12">
      <c r="B41" s="50"/>
      <c r="C41" s="51"/>
      <c r="D41" s="44"/>
      <c r="E41" s="44"/>
      <c r="F41" s="44"/>
      <c r="G41" s="44"/>
      <c r="H41" s="44"/>
      <c r="I41" s="61"/>
      <c r="J41" s="59"/>
      <c r="K41" s="58"/>
      <c r="L41" s="52"/>
    </row>
    <row r="42" spans="2:12">
      <c r="B42" s="50"/>
      <c r="C42" s="51"/>
      <c r="D42" s="44"/>
      <c r="E42" s="44"/>
      <c r="F42" s="44"/>
      <c r="G42" s="44"/>
      <c r="H42" s="44"/>
      <c r="I42" s="61"/>
      <c r="J42" s="59"/>
      <c r="K42" s="58"/>
      <c r="L42" s="52"/>
    </row>
    <row r="43" spans="2:12">
      <c r="B43" s="50"/>
      <c r="C43" s="51"/>
      <c r="D43" s="44"/>
      <c r="E43" s="44"/>
      <c r="F43" s="44"/>
      <c r="G43" s="44"/>
      <c r="H43" s="44"/>
      <c r="I43" s="61"/>
      <c r="J43" s="59"/>
      <c r="K43" s="58"/>
      <c r="L43" s="52"/>
    </row>
    <row r="44" spans="2:12">
      <c r="B44" s="50"/>
      <c r="C44" s="51"/>
      <c r="D44" s="44"/>
      <c r="E44" s="44"/>
      <c r="F44" s="44"/>
      <c r="G44" s="44"/>
      <c r="H44" s="44"/>
      <c r="I44" s="61"/>
      <c r="J44" s="59"/>
      <c r="K44" s="58"/>
      <c r="L44" s="52"/>
    </row>
    <row r="45" spans="2:12">
      <c r="B45" s="50"/>
      <c r="C45" s="51"/>
      <c r="D45" s="44"/>
      <c r="E45" s="44"/>
      <c r="F45" s="44"/>
      <c r="G45" s="44"/>
      <c r="H45" s="44"/>
      <c r="I45" s="61"/>
      <c r="J45" s="59"/>
      <c r="K45" s="58"/>
      <c r="L45" s="52"/>
    </row>
    <row r="46" spans="2:12">
      <c r="B46" s="50"/>
      <c r="C46" s="51"/>
      <c r="D46" s="44"/>
      <c r="E46" s="44"/>
      <c r="F46" s="44"/>
      <c r="G46" s="44"/>
      <c r="H46" s="44"/>
      <c r="I46" s="61"/>
      <c r="J46" s="59"/>
      <c r="K46" s="58"/>
      <c r="L46" s="52"/>
    </row>
    <row r="47" spans="2:12">
      <c r="B47" s="50"/>
      <c r="C47" s="51"/>
      <c r="D47" s="44"/>
      <c r="E47" s="44"/>
      <c r="F47" s="44"/>
      <c r="G47" s="44"/>
      <c r="H47" s="44"/>
      <c r="I47" s="61"/>
      <c r="J47" s="59"/>
      <c r="K47" s="58"/>
      <c r="L47" s="52"/>
    </row>
    <row r="48" spans="2:12">
      <c r="B48" s="50"/>
      <c r="C48" s="51"/>
      <c r="D48" s="44"/>
      <c r="E48" s="44"/>
      <c r="F48" s="44"/>
      <c r="G48" s="44"/>
      <c r="H48" s="44"/>
      <c r="I48" s="61"/>
      <c r="J48" s="59"/>
      <c r="K48" s="58"/>
      <c r="L48" s="52"/>
    </row>
    <row r="49" spans="2:12">
      <c r="B49" s="50"/>
      <c r="C49" s="51"/>
      <c r="D49" s="44"/>
      <c r="E49" s="44"/>
      <c r="F49" s="44"/>
      <c r="G49" s="44"/>
      <c r="H49" s="44"/>
      <c r="I49" s="61"/>
      <c r="J49" s="59"/>
      <c r="K49" s="58"/>
      <c r="L49" s="52"/>
    </row>
    <row r="50" spans="2:12">
      <c r="B50" s="50"/>
      <c r="C50" s="51"/>
      <c r="D50" s="44"/>
      <c r="E50" s="44"/>
      <c r="F50" s="44"/>
      <c r="G50" s="44"/>
      <c r="H50" s="44"/>
      <c r="I50" s="61"/>
      <c r="J50" s="59"/>
      <c r="K50" s="58"/>
      <c r="L50" s="52"/>
    </row>
    <row r="51" spans="2:12">
      <c r="B51" s="50"/>
      <c r="C51" s="51"/>
      <c r="D51" s="44"/>
      <c r="E51" s="44"/>
      <c r="F51" s="44"/>
      <c r="G51" s="44"/>
      <c r="H51" s="44"/>
      <c r="I51" s="61"/>
      <c r="J51" s="59"/>
      <c r="K51" s="58"/>
      <c r="L51" s="52"/>
    </row>
    <row r="52" spans="2:12">
      <c r="B52" s="50"/>
      <c r="C52" s="51"/>
      <c r="D52" s="44"/>
      <c r="E52" s="44"/>
      <c r="F52" s="44"/>
      <c r="G52" s="44"/>
      <c r="H52" s="44"/>
      <c r="I52" s="61"/>
      <c r="J52" s="59"/>
      <c r="K52" s="58"/>
      <c r="L52" s="52"/>
    </row>
    <row r="53" spans="2:12">
      <c r="B53" s="50"/>
      <c r="C53" s="51"/>
      <c r="D53" s="44"/>
      <c r="E53" s="44"/>
      <c r="F53" s="44"/>
      <c r="G53" s="44"/>
      <c r="H53" s="44"/>
      <c r="I53" s="61"/>
      <c r="J53" s="59"/>
      <c r="K53" s="58"/>
      <c r="L53" s="52"/>
    </row>
    <row r="54" spans="2:12">
      <c r="B54" s="50"/>
      <c r="C54" s="51"/>
      <c r="D54" s="44"/>
      <c r="E54" s="44"/>
      <c r="F54" s="44"/>
      <c r="G54" s="44"/>
      <c r="H54" s="44"/>
      <c r="I54" s="61"/>
      <c r="J54" s="59"/>
      <c r="K54" s="58"/>
      <c r="L54" s="52"/>
    </row>
    <row r="55" spans="2:12">
      <c r="B55" s="50"/>
      <c r="C55" s="51"/>
      <c r="D55" s="44"/>
      <c r="E55" s="44"/>
      <c r="F55" s="44"/>
      <c r="G55" s="44"/>
      <c r="H55" s="44"/>
      <c r="I55" s="61"/>
      <c r="J55" s="59"/>
      <c r="K55" s="58"/>
      <c r="L55" s="52"/>
    </row>
    <row r="56" spans="2:12">
      <c r="B56" s="50"/>
      <c r="C56" s="51"/>
      <c r="D56" s="44"/>
      <c r="E56" s="44"/>
      <c r="F56" s="44"/>
      <c r="G56" s="44"/>
      <c r="H56" s="44"/>
      <c r="I56" s="61"/>
      <c r="J56" s="59"/>
      <c r="K56" s="58"/>
      <c r="L56" s="52"/>
    </row>
    <row r="57" spans="2:12">
      <c r="B57" s="50"/>
      <c r="C57" s="51"/>
      <c r="D57" s="44"/>
      <c r="E57" s="44"/>
      <c r="F57" s="44"/>
      <c r="G57" s="44"/>
      <c r="H57" s="44"/>
      <c r="I57" s="61"/>
      <c r="J57" s="59"/>
      <c r="K57" s="58"/>
      <c r="L57" s="52"/>
    </row>
    <row r="58" spans="2:12">
      <c r="B58" s="50"/>
      <c r="C58" s="51"/>
      <c r="D58" s="44"/>
      <c r="E58" s="44"/>
      <c r="F58" s="44"/>
      <c r="G58" s="44"/>
      <c r="H58" s="44"/>
      <c r="I58" s="61"/>
      <c r="J58" s="59"/>
      <c r="K58" s="58"/>
      <c r="L58" s="52"/>
    </row>
    <row r="59" spans="2:12">
      <c r="B59" s="50"/>
      <c r="C59" s="51"/>
      <c r="D59" s="44"/>
      <c r="E59" s="44"/>
      <c r="F59" s="44"/>
      <c r="G59" s="44"/>
      <c r="H59" s="44"/>
      <c r="I59" s="61"/>
      <c r="J59" s="59"/>
      <c r="K59" s="58"/>
      <c r="L59" s="52"/>
    </row>
    <row r="60" spans="2:12">
      <c r="B60" s="50"/>
      <c r="C60" s="51"/>
      <c r="D60" s="44"/>
      <c r="E60" s="44"/>
      <c r="F60" s="44"/>
      <c r="G60" s="44"/>
      <c r="H60" s="44"/>
      <c r="I60" s="61"/>
      <c r="J60" s="59"/>
      <c r="K60" s="58"/>
      <c r="L60" s="52"/>
    </row>
    <row r="61" spans="2:12">
      <c r="B61" s="50"/>
      <c r="C61" s="51"/>
      <c r="D61" s="44"/>
      <c r="E61" s="44"/>
      <c r="F61" s="44"/>
      <c r="G61" s="44"/>
      <c r="H61" s="44"/>
      <c r="I61" s="61"/>
      <c r="J61" s="59"/>
      <c r="K61" s="58"/>
      <c r="L61" s="52"/>
    </row>
    <row r="62" spans="2:12">
      <c r="B62" s="50"/>
      <c r="C62" s="51"/>
      <c r="D62" s="44"/>
      <c r="E62" s="44"/>
      <c r="F62" s="44"/>
      <c r="G62" s="44"/>
      <c r="H62" s="44"/>
      <c r="I62" s="61"/>
      <c r="J62" s="59"/>
      <c r="K62" s="58"/>
      <c r="L62" s="52"/>
    </row>
    <row r="63" spans="2:12">
      <c r="B63" s="50"/>
      <c r="C63" s="51"/>
      <c r="D63" s="44"/>
      <c r="E63" s="44"/>
      <c r="F63" s="44"/>
      <c r="G63" s="44"/>
      <c r="H63" s="44"/>
      <c r="I63" s="61"/>
      <c r="J63" s="59"/>
      <c r="K63" s="58"/>
      <c r="L63" s="52"/>
    </row>
    <row r="64" spans="2:12">
      <c r="B64" s="50"/>
      <c r="C64" s="51"/>
      <c r="D64" s="44"/>
      <c r="E64" s="44"/>
      <c r="F64" s="44"/>
      <c r="G64" s="44"/>
      <c r="H64" s="44"/>
      <c r="I64" s="61"/>
      <c r="J64" s="59"/>
      <c r="K64" s="58"/>
      <c r="L64" s="52"/>
    </row>
    <row r="65" spans="2:12">
      <c r="B65" s="50"/>
      <c r="C65" s="51"/>
      <c r="D65" s="44"/>
      <c r="E65" s="44"/>
      <c r="F65" s="44"/>
      <c r="G65" s="44"/>
      <c r="H65" s="44"/>
      <c r="I65" s="61"/>
      <c r="J65" s="59"/>
      <c r="K65" s="58"/>
      <c r="L65" s="52"/>
    </row>
    <row r="66" spans="2:12">
      <c r="B66" s="50"/>
      <c r="C66" s="51"/>
      <c r="D66" s="44"/>
      <c r="E66" s="44"/>
      <c r="F66" s="44"/>
      <c r="G66" s="44"/>
      <c r="H66" s="44"/>
      <c r="I66" s="61"/>
      <c r="J66" s="59"/>
      <c r="K66" s="58"/>
      <c r="L66" s="52"/>
    </row>
    <row r="67" spans="2:12">
      <c r="B67" s="50"/>
      <c r="C67" s="51"/>
      <c r="D67" s="44"/>
      <c r="E67" s="44"/>
      <c r="F67" s="44"/>
      <c r="G67" s="44"/>
      <c r="H67" s="44"/>
      <c r="I67" s="61"/>
      <c r="J67" s="59"/>
      <c r="K67" s="58"/>
      <c r="L67" s="52"/>
    </row>
    <row r="68" spans="2:12">
      <c r="B68" s="50"/>
      <c r="C68" s="51"/>
      <c r="D68" s="44"/>
      <c r="E68" s="44"/>
      <c r="F68" s="44"/>
      <c r="G68" s="44"/>
      <c r="H68" s="44"/>
      <c r="I68" s="61"/>
      <c r="J68" s="59"/>
      <c r="K68" s="58"/>
      <c r="L68" s="52"/>
    </row>
    <row r="69" spans="2:12">
      <c r="B69" s="50"/>
      <c r="C69" s="51"/>
      <c r="D69" s="44"/>
      <c r="E69" s="44"/>
      <c r="F69" s="44"/>
      <c r="G69" s="44"/>
      <c r="H69" s="44"/>
      <c r="I69" s="61"/>
      <c r="J69" s="59"/>
      <c r="K69" s="58"/>
      <c r="L69" s="52"/>
    </row>
    <row r="70" spans="2:12">
      <c r="B70" s="50"/>
      <c r="C70" s="51"/>
      <c r="D70" s="44"/>
      <c r="E70" s="44"/>
      <c r="F70" s="44"/>
      <c r="G70" s="44"/>
      <c r="H70" s="44"/>
      <c r="I70" s="61"/>
      <c r="J70" s="59"/>
      <c r="K70" s="58"/>
      <c r="L70" s="52"/>
    </row>
    <row r="71" spans="2:12">
      <c r="B71" s="50"/>
      <c r="C71" s="51"/>
      <c r="D71" s="44"/>
      <c r="E71" s="44"/>
      <c r="F71" s="44"/>
      <c r="G71" s="44"/>
      <c r="H71" s="44"/>
      <c r="I71" s="61"/>
      <c r="J71" s="59"/>
      <c r="K71" s="58"/>
      <c r="L71" s="52"/>
    </row>
    <row r="72" spans="2:12">
      <c r="B72" s="50"/>
      <c r="C72" s="51"/>
      <c r="D72" s="44"/>
      <c r="E72" s="44"/>
      <c r="F72" s="44"/>
      <c r="G72" s="44"/>
      <c r="H72" s="44"/>
      <c r="I72" s="61"/>
      <c r="J72" s="59"/>
      <c r="K72" s="58"/>
      <c r="L72" s="52"/>
    </row>
    <row r="73" spans="2:12">
      <c r="B73" s="50"/>
      <c r="C73" s="51"/>
      <c r="D73" s="44"/>
      <c r="E73" s="44"/>
      <c r="F73" s="44"/>
      <c r="G73" s="44"/>
      <c r="H73" s="44"/>
      <c r="I73" s="61"/>
      <c r="J73" s="59"/>
      <c r="K73" s="58"/>
      <c r="L73" s="52"/>
    </row>
    <row r="74" spans="2:12">
      <c r="B74" s="50"/>
      <c r="C74" s="51"/>
      <c r="D74" s="44"/>
      <c r="E74" s="44"/>
      <c r="F74" s="44"/>
      <c r="G74" s="44"/>
      <c r="H74" s="44"/>
      <c r="I74" s="61"/>
      <c r="J74" s="59"/>
      <c r="K74" s="58"/>
      <c r="L74" s="52"/>
    </row>
    <row r="75" spans="2:12">
      <c r="B75" s="50"/>
      <c r="C75" s="51"/>
      <c r="D75" s="44"/>
      <c r="E75" s="44"/>
      <c r="F75" s="44"/>
      <c r="G75" s="44"/>
      <c r="H75" s="44"/>
      <c r="I75" s="61"/>
      <c r="J75" s="59"/>
      <c r="K75" s="58"/>
      <c r="L75" s="52"/>
    </row>
    <row r="76" spans="2:12">
      <c r="B76" s="50"/>
      <c r="C76" s="51"/>
      <c r="D76" s="44"/>
      <c r="E76" s="44"/>
      <c r="F76" s="44"/>
      <c r="G76" s="44"/>
      <c r="H76" s="44"/>
      <c r="I76" s="61"/>
      <c r="J76" s="59"/>
      <c r="K76" s="58"/>
      <c r="L76" s="52"/>
    </row>
    <row r="77" spans="2:12">
      <c r="B77" s="50"/>
      <c r="C77" s="51"/>
      <c r="D77" s="44"/>
      <c r="E77" s="44"/>
      <c r="F77" s="44"/>
      <c r="G77" s="44"/>
      <c r="H77" s="44"/>
      <c r="I77" s="61"/>
      <c r="J77" s="59"/>
      <c r="K77" s="58"/>
      <c r="L77" s="52"/>
    </row>
    <row r="78" spans="2:12">
      <c r="B78" s="50"/>
      <c r="C78" s="51"/>
      <c r="D78" s="44"/>
      <c r="E78" s="44"/>
      <c r="F78" s="44"/>
      <c r="G78" s="44"/>
      <c r="H78" s="44"/>
      <c r="I78" s="61"/>
      <c r="J78" s="59"/>
      <c r="K78" s="58"/>
      <c r="L78" s="52"/>
    </row>
    <row r="79" spans="2:12">
      <c r="B79" s="50"/>
      <c r="C79" s="51"/>
      <c r="D79" s="44"/>
      <c r="E79" s="44"/>
      <c r="F79" s="44"/>
      <c r="G79" s="44"/>
      <c r="H79" s="44"/>
      <c r="I79" s="61"/>
      <c r="J79" s="59"/>
      <c r="K79" s="58"/>
      <c r="L79" s="52"/>
    </row>
    <row r="80" spans="2:12">
      <c r="B80" s="50"/>
      <c r="C80" s="51"/>
      <c r="D80" s="44"/>
      <c r="E80" s="44"/>
      <c r="F80" s="44"/>
      <c r="G80" s="44"/>
      <c r="H80" s="44"/>
      <c r="I80" s="61"/>
      <c r="J80" s="59"/>
      <c r="K80" s="58"/>
      <c r="L80" s="52"/>
    </row>
    <row r="81" spans="2:12">
      <c r="B81" s="50"/>
      <c r="C81" s="51"/>
      <c r="D81" s="44"/>
      <c r="E81" s="44"/>
      <c r="F81" s="44"/>
      <c r="G81" s="44"/>
      <c r="H81" s="44"/>
      <c r="I81" s="61"/>
      <c r="J81" s="59"/>
      <c r="K81" s="58"/>
      <c r="L81" s="52"/>
    </row>
    <row r="82" spans="2:12">
      <c r="B82" s="50"/>
      <c r="C82" s="51"/>
      <c r="D82" s="44"/>
      <c r="E82" s="44"/>
      <c r="F82" s="44"/>
      <c r="G82" s="44"/>
      <c r="H82" s="44"/>
      <c r="I82" s="61"/>
      <c r="J82" s="59"/>
      <c r="K82" s="58"/>
      <c r="L82" s="52"/>
    </row>
    <row r="83" spans="2:12">
      <c r="B83" s="50"/>
      <c r="C83" s="51"/>
      <c r="D83" s="44"/>
      <c r="E83" s="44"/>
      <c r="F83" s="44"/>
      <c r="G83" s="44"/>
      <c r="H83" s="44"/>
      <c r="I83" s="61"/>
      <c r="J83" s="59"/>
      <c r="K83" s="58"/>
      <c r="L83" s="52"/>
    </row>
    <row r="84" spans="2:12">
      <c r="B84" s="50"/>
      <c r="C84" s="51"/>
      <c r="D84" s="44"/>
      <c r="E84" s="44"/>
      <c r="F84" s="44"/>
      <c r="G84" s="44"/>
      <c r="H84" s="44"/>
      <c r="I84" s="61"/>
      <c r="J84" s="59"/>
      <c r="K84" s="58"/>
      <c r="L84" s="52"/>
    </row>
    <row r="85" spans="2:12">
      <c r="B85" s="50"/>
      <c r="C85" s="51"/>
      <c r="D85" s="44"/>
      <c r="E85" s="44"/>
      <c r="F85" s="44"/>
      <c r="G85" s="44"/>
      <c r="H85" s="44"/>
      <c r="I85" s="61"/>
      <c r="J85" s="59"/>
      <c r="K85" s="58"/>
      <c r="L85" s="52"/>
    </row>
    <row r="86" spans="2:12">
      <c r="B86" s="50"/>
      <c r="C86" s="51"/>
      <c r="D86" s="44"/>
      <c r="E86" s="44"/>
      <c r="F86" s="44"/>
      <c r="G86" s="44"/>
      <c r="H86" s="44"/>
      <c r="I86" s="61"/>
      <c r="J86" s="59"/>
      <c r="K86" s="58"/>
      <c r="L86" s="52"/>
    </row>
    <row r="87" spans="2:12">
      <c r="B87" s="50"/>
      <c r="C87" s="51"/>
      <c r="D87" s="44"/>
      <c r="E87" s="44"/>
      <c r="F87" s="44"/>
      <c r="G87" s="44"/>
      <c r="H87" s="44"/>
      <c r="I87" s="61"/>
      <c r="J87" s="59"/>
      <c r="K87" s="58"/>
      <c r="L87" s="52"/>
    </row>
    <row r="88" spans="2:12">
      <c r="B88" s="50"/>
      <c r="C88" s="51"/>
      <c r="D88" s="44"/>
      <c r="E88" s="44"/>
      <c r="F88" s="44"/>
      <c r="G88" s="44"/>
      <c r="H88" s="44"/>
      <c r="I88" s="61"/>
      <c r="J88" s="59"/>
      <c r="K88" s="58"/>
      <c r="L88" s="52"/>
    </row>
    <row r="89" spans="2:12">
      <c r="B89" s="50"/>
      <c r="C89" s="51"/>
      <c r="D89" s="44"/>
      <c r="E89" s="44"/>
      <c r="F89" s="44"/>
      <c r="G89" s="44"/>
      <c r="H89" s="44"/>
      <c r="I89" s="61"/>
      <c r="J89" s="59"/>
      <c r="K89" s="58"/>
      <c r="L89" s="52"/>
    </row>
    <row r="90" spans="2:12">
      <c r="B90" s="50"/>
      <c r="C90" s="51"/>
      <c r="D90" s="44"/>
      <c r="E90" s="44"/>
      <c r="F90" s="44"/>
      <c r="G90" s="44"/>
      <c r="H90" s="44"/>
      <c r="I90" s="61"/>
      <c r="J90" s="59"/>
      <c r="K90" s="58"/>
      <c r="L90" s="52"/>
    </row>
    <row r="91" spans="2:12">
      <c r="B91" s="50"/>
      <c r="C91" s="51"/>
      <c r="D91" s="44"/>
      <c r="E91" s="44"/>
      <c r="F91" s="44"/>
      <c r="G91" s="44"/>
      <c r="H91" s="44"/>
      <c r="I91" s="61"/>
      <c r="J91" s="59"/>
      <c r="K91" s="58"/>
      <c r="L91" s="52"/>
    </row>
    <row r="92" spans="2:12">
      <c r="B92" s="50"/>
      <c r="C92" s="51"/>
      <c r="D92" s="44"/>
      <c r="E92" s="44"/>
      <c r="F92" s="44"/>
      <c r="G92" s="44"/>
      <c r="H92" s="44"/>
      <c r="I92" s="61"/>
      <c r="J92" s="59"/>
      <c r="K92" s="58"/>
      <c r="L92" s="52"/>
    </row>
    <row r="93" spans="2:12">
      <c r="B93" s="50"/>
      <c r="C93" s="51"/>
      <c r="D93" s="44"/>
      <c r="E93" s="44"/>
      <c r="F93" s="44"/>
      <c r="G93" s="44"/>
      <c r="H93" s="44"/>
      <c r="I93" s="61"/>
      <c r="J93" s="59"/>
      <c r="K93" s="58"/>
      <c r="L93" s="52"/>
    </row>
    <row r="94" spans="2:12">
      <c r="B94" s="50"/>
      <c r="C94" s="51"/>
      <c r="D94" s="44"/>
      <c r="E94" s="44"/>
      <c r="F94" s="44"/>
      <c r="G94" s="44"/>
      <c r="H94" s="44"/>
      <c r="I94" s="61"/>
      <c r="J94" s="59"/>
      <c r="K94" s="58"/>
      <c r="L94" s="52"/>
    </row>
    <row r="95" spans="2:12">
      <c r="B95" s="50"/>
      <c r="C95" s="51"/>
      <c r="D95" s="44"/>
      <c r="E95" s="44"/>
      <c r="F95" s="44"/>
      <c r="G95" s="44"/>
      <c r="H95" s="44"/>
      <c r="I95" s="61"/>
      <c r="J95" s="59"/>
      <c r="K95" s="58"/>
      <c r="L95" s="52"/>
    </row>
    <row r="96" spans="2:12">
      <c r="B96" s="50"/>
      <c r="C96" s="51"/>
      <c r="D96" s="44"/>
      <c r="E96" s="44"/>
      <c r="F96" s="44"/>
      <c r="G96" s="44"/>
      <c r="H96" s="44"/>
      <c r="I96" s="61"/>
      <c r="J96" s="59"/>
      <c r="K96" s="58"/>
      <c r="L96" s="52"/>
    </row>
    <row r="97" spans="2:12">
      <c r="B97" s="50"/>
      <c r="C97" s="51"/>
      <c r="D97" s="44"/>
      <c r="E97" s="44"/>
      <c r="F97" s="44"/>
      <c r="G97" s="44"/>
      <c r="H97" s="44"/>
      <c r="I97" s="61"/>
      <c r="J97" s="59"/>
      <c r="K97" s="58"/>
      <c r="L97" s="52"/>
    </row>
    <row r="98" spans="2:12">
      <c r="B98" s="50"/>
      <c r="C98" s="51"/>
      <c r="D98" s="44"/>
      <c r="E98" s="44"/>
      <c r="F98" s="44"/>
      <c r="G98" s="44"/>
      <c r="H98" s="44"/>
      <c r="I98" s="61"/>
      <c r="J98" s="59"/>
      <c r="K98" s="58"/>
      <c r="L98" s="52"/>
    </row>
    <row r="99" spans="2:12">
      <c r="B99" s="50"/>
      <c r="C99" s="51"/>
      <c r="D99" s="44"/>
      <c r="E99" s="44"/>
      <c r="F99" s="44"/>
      <c r="G99" s="44"/>
      <c r="H99" s="44"/>
      <c r="I99" s="61"/>
      <c r="J99" s="59"/>
      <c r="K99" s="58"/>
      <c r="L99" s="52"/>
    </row>
    <row r="100" spans="2:12">
      <c r="B100" s="50"/>
      <c r="C100" s="51"/>
      <c r="D100" s="44"/>
      <c r="E100" s="44"/>
      <c r="F100" s="44"/>
      <c r="G100" s="44"/>
      <c r="H100" s="44"/>
      <c r="I100" s="61"/>
      <c r="J100" s="59"/>
      <c r="K100" s="58"/>
      <c r="L100" s="52"/>
    </row>
    <row r="101" spans="2:12">
      <c r="B101" s="50"/>
      <c r="C101" s="51"/>
      <c r="D101" s="44"/>
      <c r="E101" s="44"/>
      <c r="F101" s="44"/>
      <c r="G101" s="44"/>
      <c r="H101" s="44"/>
      <c r="I101" s="61"/>
      <c r="J101" s="59"/>
      <c r="K101" s="58"/>
      <c r="L101" s="52"/>
    </row>
    <row r="102" spans="2:12">
      <c r="B102" s="50"/>
      <c r="C102" s="51"/>
      <c r="D102" s="44"/>
      <c r="E102" s="44"/>
      <c r="F102" s="44"/>
      <c r="G102" s="44"/>
      <c r="H102" s="44"/>
      <c r="I102" s="61"/>
      <c r="J102" s="59"/>
      <c r="K102" s="58"/>
      <c r="L102" s="52"/>
    </row>
    <row r="103" spans="2:12">
      <c r="B103" s="50"/>
      <c r="C103" s="51"/>
      <c r="D103" s="44"/>
      <c r="E103" s="44"/>
      <c r="F103" s="44"/>
      <c r="G103" s="44"/>
      <c r="H103" s="44"/>
      <c r="I103" s="61"/>
      <c r="J103" s="59"/>
      <c r="K103" s="58"/>
      <c r="L103" s="52"/>
    </row>
    <row r="104" spans="2:12">
      <c r="B104" s="50"/>
      <c r="C104" s="51"/>
      <c r="D104" s="44"/>
      <c r="E104" s="44"/>
      <c r="F104" s="44"/>
      <c r="G104" s="44"/>
      <c r="H104" s="44"/>
      <c r="I104" s="61"/>
      <c r="J104" s="59"/>
      <c r="K104" s="58"/>
      <c r="L104" s="52"/>
    </row>
    <row r="105" spans="2:12">
      <c r="B105" s="50"/>
      <c r="C105" s="51"/>
      <c r="D105" s="44"/>
      <c r="E105" s="44"/>
      <c r="F105" s="44"/>
      <c r="G105" s="44"/>
      <c r="H105" s="44"/>
      <c r="I105" s="61"/>
      <c r="J105" s="59"/>
      <c r="K105" s="58"/>
      <c r="L105" s="52"/>
    </row>
    <row r="106" spans="2:12">
      <c r="B106" s="50"/>
      <c r="C106" s="51"/>
      <c r="D106" s="44"/>
      <c r="E106" s="44"/>
      <c r="F106" s="44"/>
      <c r="G106" s="44"/>
      <c r="H106" s="44"/>
      <c r="I106" s="61"/>
      <c r="J106" s="59"/>
      <c r="K106" s="58"/>
      <c r="L106" s="52"/>
    </row>
    <row r="107" spans="2:12">
      <c r="B107" s="50"/>
      <c r="C107" s="51"/>
      <c r="D107" s="44"/>
      <c r="E107" s="44"/>
      <c r="F107" s="44"/>
      <c r="G107" s="44"/>
      <c r="H107" s="44"/>
      <c r="I107" s="61"/>
      <c r="J107" s="59"/>
      <c r="K107" s="58"/>
      <c r="L107" s="52"/>
    </row>
    <row r="108" spans="2:12">
      <c r="B108" s="50"/>
      <c r="C108" s="51"/>
      <c r="D108" s="44"/>
      <c r="E108" s="44"/>
      <c r="F108" s="44"/>
      <c r="G108" s="44"/>
      <c r="H108" s="44"/>
      <c r="I108" s="61"/>
      <c r="J108" s="59"/>
      <c r="K108" s="58"/>
      <c r="L108" s="52"/>
    </row>
    <row r="109" spans="2:12">
      <c r="B109" s="50"/>
      <c r="C109" s="51"/>
      <c r="D109" s="44"/>
      <c r="E109" s="44"/>
      <c r="F109" s="44"/>
      <c r="G109" s="44"/>
      <c r="H109" s="44"/>
      <c r="I109" s="61"/>
      <c r="J109" s="59"/>
      <c r="K109" s="58"/>
      <c r="L109" s="52"/>
    </row>
    <row r="110" spans="2:12">
      <c r="B110" s="50"/>
      <c r="C110" s="51"/>
      <c r="D110" s="44"/>
      <c r="E110" s="44"/>
      <c r="F110" s="44"/>
      <c r="G110" s="44"/>
      <c r="H110" s="44"/>
      <c r="I110" s="61"/>
      <c r="J110" s="59"/>
      <c r="K110" s="58"/>
      <c r="L110" s="52"/>
    </row>
    <row r="111" spans="2:12">
      <c r="B111" s="50"/>
      <c r="C111" s="51"/>
      <c r="D111" s="44"/>
      <c r="E111" s="44"/>
      <c r="F111" s="44"/>
      <c r="G111" s="44"/>
      <c r="H111" s="44"/>
      <c r="I111" s="61"/>
      <c r="J111" s="59"/>
      <c r="K111" s="58"/>
      <c r="L111" s="52"/>
    </row>
    <row r="112" spans="2:12">
      <c r="B112" s="50"/>
      <c r="C112" s="51"/>
      <c r="D112" s="44"/>
      <c r="E112" s="44"/>
      <c r="F112" s="44"/>
      <c r="G112" s="44"/>
      <c r="H112" s="44"/>
      <c r="I112" s="61"/>
      <c r="J112" s="59"/>
      <c r="K112" s="58"/>
      <c r="L112" s="52"/>
    </row>
    <row r="113" spans="2:12">
      <c r="B113" s="50"/>
      <c r="C113" s="51"/>
      <c r="D113" s="44"/>
      <c r="E113" s="44"/>
      <c r="F113" s="44"/>
      <c r="G113" s="44"/>
      <c r="H113" s="44"/>
      <c r="I113" s="61"/>
      <c r="J113" s="59"/>
      <c r="K113" s="58"/>
      <c r="L113" s="52"/>
    </row>
    <row r="114" spans="2:12">
      <c r="B114" s="50"/>
      <c r="C114" s="51"/>
      <c r="D114" s="44"/>
      <c r="E114" s="44"/>
      <c r="F114" s="44"/>
      <c r="G114" s="44"/>
      <c r="H114" s="44"/>
      <c r="I114" s="61"/>
      <c r="J114" s="59"/>
      <c r="K114" s="58"/>
      <c r="L114" s="52"/>
    </row>
    <row r="115" spans="2:12">
      <c r="B115" s="50"/>
      <c r="C115" s="51"/>
      <c r="D115" s="44"/>
      <c r="E115" s="44"/>
      <c r="F115" s="44"/>
      <c r="G115" s="44"/>
      <c r="H115" s="44"/>
      <c r="I115" s="61"/>
      <c r="J115" s="59"/>
      <c r="K115" s="58"/>
      <c r="L115" s="52"/>
    </row>
    <row r="116" spans="2:12">
      <c r="B116" s="50"/>
      <c r="C116" s="51"/>
      <c r="D116" s="44"/>
      <c r="E116" s="44"/>
      <c r="F116" s="44"/>
      <c r="G116" s="44"/>
      <c r="H116" s="44"/>
      <c r="I116" s="61"/>
      <c r="J116" s="59"/>
      <c r="K116" s="58"/>
      <c r="L116" s="52"/>
    </row>
    <row r="117" spans="2:12">
      <c r="B117" s="50"/>
      <c r="C117" s="51"/>
      <c r="D117" s="44"/>
      <c r="E117" s="44"/>
      <c r="F117" s="44"/>
      <c r="G117" s="44"/>
      <c r="H117" s="44"/>
      <c r="I117" s="61"/>
      <c r="J117" s="59"/>
      <c r="K117" s="58"/>
      <c r="L117" s="52"/>
    </row>
    <row r="118" spans="2:12">
      <c r="B118" s="50"/>
      <c r="C118" s="51"/>
      <c r="D118" s="44"/>
      <c r="E118" s="44"/>
      <c r="F118" s="44"/>
      <c r="G118" s="44"/>
      <c r="H118" s="44"/>
      <c r="I118" s="61"/>
      <c r="J118" s="59"/>
      <c r="K118" s="58"/>
      <c r="L118" s="52"/>
    </row>
    <row r="119" spans="2:12">
      <c r="B119" s="50"/>
      <c r="C119" s="51"/>
      <c r="D119" s="44"/>
      <c r="E119" s="44"/>
      <c r="F119" s="44"/>
      <c r="G119" s="44"/>
      <c r="H119" s="44"/>
      <c r="I119" s="61"/>
      <c r="J119" s="59"/>
      <c r="K119" s="58"/>
      <c r="L119" s="52"/>
    </row>
    <row r="120" spans="2:12">
      <c r="B120" s="50"/>
      <c r="C120" s="51"/>
      <c r="D120" s="44"/>
      <c r="E120" s="44"/>
      <c r="F120" s="44"/>
      <c r="G120" s="44"/>
      <c r="H120" s="44"/>
      <c r="I120" s="61"/>
      <c r="J120" s="59"/>
      <c r="K120" s="58"/>
      <c r="L120" s="52"/>
    </row>
    <row r="121" spans="2:12">
      <c r="B121" s="50"/>
      <c r="C121" s="51"/>
      <c r="D121" s="44"/>
      <c r="E121" s="44"/>
      <c r="F121" s="44"/>
      <c r="G121" s="44"/>
      <c r="H121" s="44"/>
      <c r="I121" s="61"/>
      <c r="J121" s="59"/>
      <c r="K121" s="58"/>
      <c r="L121" s="52"/>
    </row>
    <row r="122" spans="2:12">
      <c r="B122" s="50"/>
      <c r="C122" s="51"/>
      <c r="D122" s="44"/>
      <c r="E122" s="44"/>
      <c r="F122" s="44"/>
      <c r="G122" s="44"/>
      <c r="H122" s="44"/>
      <c r="I122" s="61"/>
      <c r="J122" s="59"/>
      <c r="K122" s="58"/>
      <c r="L122" s="52"/>
    </row>
    <row r="123" spans="2:12">
      <c r="B123" s="50"/>
      <c r="C123" s="51"/>
      <c r="D123" s="44"/>
      <c r="E123" s="44"/>
      <c r="F123" s="44"/>
      <c r="G123" s="44"/>
      <c r="H123" s="44"/>
      <c r="I123" s="61"/>
      <c r="J123" s="59"/>
      <c r="K123" s="58"/>
      <c r="L123" s="52"/>
    </row>
    <row r="124" spans="2:12">
      <c r="B124" s="50"/>
      <c r="C124" s="51"/>
      <c r="D124" s="44"/>
      <c r="E124" s="44"/>
      <c r="F124" s="44"/>
      <c r="G124" s="44"/>
      <c r="H124" s="44"/>
      <c r="I124" s="61"/>
      <c r="J124" s="59"/>
      <c r="K124" s="58"/>
      <c r="L124" s="52"/>
    </row>
    <row r="125" spans="2:12">
      <c r="B125" s="50"/>
      <c r="C125" s="51"/>
      <c r="D125" s="44"/>
      <c r="E125" s="44"/>
      <c r="F125" s="44"/>
      <c r="G125" s="44"/>
      <c r="H125" s="44"/>
      <c r="I125" s="61"/>
      <c r="J125" s="59"/>
      <c r="K125" s="58"/>
      <c r="L125" s="52"/>
    </row>
    <row r="126" spans="2:12">
      <c r="B126" s="50"/>
      <c r="C126" s="51"/>
      <c r="D126" s="44"/>
      <c r="E126" s="44"/>
      <c r="F126" s="44"/>
      <c r="G126" s="44"/>
      <c r="H126" s="44"/>
      <c r="I126" s="61"/>
      <c r="J126" s="59"/>
      <c r="K126" s="58"/>
      <c r="L126" s="52"/>
    </row>
    <row r="127" spans="2:12">
      <c r="B127" s="50"/>
      <c r="C127" s="51"/>
      <c r="D127" s="44"/>
      <c r="E127" s="44"/>
      <c r="F127" s="44"/>
      <c r="G127" s="44"/>
      <c r="H127" s="44"/>
      <c r="I127" s="61"/>
      <c r="J127" s="59"/>
      <c r="K127" s="58"/>
      <c r="L127" s="52"/>
    </row>
    <row r="128" spans="2:12">
      <c r="B128" s="50"/>
      <c r="C128" s="51"/>
      <c r="D128" s="44"/>
      <c r="E128" s="44"/>
      <c r="F128" s="44"/>
      <c r="G128" s="44"/>
      <c r="H128" s="44"/>
      <c r="I128" s="61"/>
      <c r="J128" s="59"/>
      <c r="K128" s="58"/>
      <c r="L128" s="52"/>
    </row>
    <row r="129" spans="2:12">
      <c r="B129" s="50"/>
      <c r="C129" s="51"/>
      <c r="D129" s="44"/>
      <c r="E129" s="44"/>
      <c r="F129" s="44"/>
      <c r="G129" s="44"/>
      <c r="H129" s="44"/>
      <c r="I129" s="61"/>
      <c r="J129" s="59"/>
      <c r="K129" s="58"/>
      <c r="L129" s="52"/>
    </row>
    <row r="130" spans="2:12">
      <c r="B130" s="50"/>
      <c r="C130" s="51"/>
      <c r="D130" s="44"/>
      <c r="E130" s="44"/>
      <c r="F130" s="44"/>
      <c r="G130" s="44"/>
      <c r="H130" s="44"/>
      <c r="I130" s="61"/>
      <c r="J130" s="59"/>
      <c r="K130" s="58"/>
      <c r="L130" s="52"/>
    </row>
    <row r="131" spans="2:12">
      <c r="B131" s="50"/>
      <c r="C131" s="51"/>
      <c r="D131" s="44"/>
      <c r="E131" s="44"/>
      <c r="F131" s="44"/>
      <c r="G131" s="44"/>
      <c r="H131" s="44"/>
      <c r="I131" s="61"/>
      <c r="J131" s="59"/>
      <c r="K131" s="58"/>
      <c r="L131" s="52"/>
    </row>
    <row r="132" spans="2:12">
      <c r="B132" s="50"/>
      <c r="C132" s="51"/>
      <c r="D132" s="44"/>
      <c r="E132" s="44"/>
      <c r="F132" s="44"/>
      <c r="G132" s="44"/>
      <c r="H132" s="44"/>
      <c r="I132" s="61"/>
      <c r="J132" s="59"/>
      <c r="K132" s="58"/>
      <c r="L132" s="52"/>
    </row>
    <row r="133" spans="2:12">
      <c r="B133" s="50"/>
      <c r="C133" s="51"/>
      <c r="D133" s="44"/>
      <c r="E133" s="44"/>
      <c r="F133" s="44"/>
      <c r="G133" s="44"/>
      <c r="H133" s="44"/>
      <c r="I133" s="61"/>
      <c r="J133" s="59"/>
      <c r="K133" s="58"/>
      <c r="L133" s="52"/>
    </row>
    <row r="134" spans="2:12">
      <c r="B134" s="50"/>
      <c r="C134" s="51"/>
      <c r="D134" s="44"/>
      <c r="E134" s="44"/>
      <c r="F134" s="44"/>
      <c r="G134" s="44"/>
      <c r="H134" s="44"/>
      <c r="I134" s="61"/>
      <c r="J134" s="59"/>
      <c r="K134" s="58"/>
      <c r="L134" s="52"/>
    </row>
    <row r="135" spans="2:12">
      <c r="B135" s="50"/>
      <c r="C135" s="51"/>
      <c r="D135" s="44"/>
      <c r="E135" s="44"/>
      <c r="F135" s="44"/>
      <c r="G135" s="44"/>
      <c r="H135" s="44"/>
      <c r="I135" s="61"/>
      <c r="J135" s="59"/>
      <c r="K135" s="58"/>
      <c r="L135" s="52"/>
    </row>
    <row r="136" spans="2:12">
      <c r="B136" s="50"/>
      <c r="C136" s="51"/>
      <c r="D136" s="44"/>
      <c r="E136" s="44"/>
      <c r="F136" s="44"/>
      <c r="G136" s="44"/>
      <c r="H136" s="44"/>
      <c r="I136" s="61"/>
      <c r="J136" s="59"/>
      <c r="K136" s="58"/>
      <c r="L136" s="52"/>
    </row>
    <row r="137" spans="2:12">
      <c r="B137" s="50"/>
      <c r="C137" s="51"/>
      <c r="D137" s="44"/>
      <c r="E137" s="44"/>
      <c r="F137" s="44"/>
      <c r="G137" s="44"/>
      <c r="H137" s="44"/>
      <c r="I137" s="61"/>
      <c r="J137" s="59"/>
      <c r="K137" s="58"/>
      <c r="L137" s="52"/>
    </row>
    <row r="138" spans="2:12">
      <c r="B138" s="50"/>
      <c r="C138" s="51"/>
      <c r="D138" s="44"/>
      <c r="E138" s="44"/>
      <c r="F138" s="44"/>
      <c r="G138" s="44"/>
      <c r="H138" s="44"/>
      <c r="I138" s="61"/>
      <c r="J138" s="59"/>
      <c r="K138" s="58"/>
      <c r="L138" s="52"/>
    </row>
    <row r="139" spans="2:12">
      <c r="B139" s="50"/>
      <c r="C139" s="51"/>
      <c r="D139" s="44"/>
      <c r="E139" s="44"/>
      <c r="F139" s="44"/>
      <c r="G139" s="44"/>
      <c r="H139" s="44"/>
      <c r="I139" s="61"/>
      <c r="J139" s="59"/>
      <c r="K139" s="58"/>
      <c r="L139" s="52"/>
    </row>
    <row r="140" spans="2:12">
      <c r="B140" s="50"/>
      <c r="C140" s="51"/>
      <c r="D140" s="44"/>
      <c r="E140" s="44"/>
      <c r="F140" s="44"/>
      <c r="G140" s="44"/>
      <c r="H140" s="44"/>
      <c r="I140" s="61"/>
      <c r="J140" s="59"/>
      <c r="K140" s="58"/>
      <c r="L140" s="52"/>
    </row>
    <row r="141" spans="2:12">
      <c r="B141" s="50"/>
      <c r="C141" s="51"/>
      <c r="D141" s="44"/>
      <c r="E141" s="44"/>
      <c r="F141" s="44"/>
      <c r="G141" s="44"/>
      <c r="H141" s="44"/>
      <c r="I141" s="61"/>
      <c r="J141" s="59"/>
      <c r="K141" s="58"/>
      <c r="L141" s="52"/>
    </row>
    <row r="142" spans="2:12">
      <c r="B142" s="50"/>
      <c r="C142" s="51"/>
      <c r="D142" s="44"/>
      <c r="E142" s="44"/>
      <c r="F142" s="44"/>
      <c r="G142" s="44"/>
      <c r="H142" s="44"/>
      <c r="I142" s="61"/>
      <c r="J142" s="59"/>
      <c r="K142" s="58"/>
      <c r="L142" s="52"/>
    </row>
    <row r="143" spans="2:12">
      <c r="B143" s="50"/>
      <c r="C143" s="51"/>
      <c r="D143" s="44"/>
      <c r="E143" s="44"/>
      <c r="F143" s="44"/>
      <c r="G143" s="44"/>
      <c r="H143" s="44"/>
      <c r="I143" s="61"/>
      <c r="J143" s="59"/>
      <c r="K143" s="58"/>
      <c r="L143" s="52"/>
    </row>
    <row r="144" spans="2:12">
      <c r="B144" s="50"/>
      <c r="C144" s="51"/>
      <c r="D144" s="44"/>
      <c r="E144" s="44"/>
      <c r="F144" s="44"/>
      <c r="G144" s="44"/>
      <c r="H144" s="44"/>
      <c r="I144" s="61"/>
      <c r="J144" s="59"/>
      <c r="K144" s="58"/>
      <c r="L144" s="52"/>
    </row>
    <row r="145" spans="2:12">
      <c r="B145" s="50"/>
      <c r="C145" s="51"/>
      <c r="D145" s="44"/>
      <c r="E145" s="44"/>
      <c r="F145" s="44"/>
      <c r="G145" s="44"/>
      <c r="H145" s="44"/>
      <c r="I145" s="61"/>
      <c r="J145" s="59"/>
      <c r="K145" s="58"/>
      <c r="L145" s="52"/>
    </row>
    <row r="146" spans="2:12">
      <c r="B146" s="50"/>
      <c r="C146" s="51"/>
      <c r="D146" s="44"/>
      <c r="E146" s="44"/>
      <c r="F146" s="44"/>
      <c r="G146" s="44"/>
      <c r="H146" s="44"/>
      <c r="I146" s="61"/>
      <c r="J146" s="59"/>
      <c r="K146" s="58"/>
      <c r="L146" s="52"/>
    </row>
    <row r="147" spans="2:12">
      <c r="B147" s="50"/>
      <c r="C147" s="51"/>
      <c r="D147" s="44"/>
      <c r="E147" s="44"/>
      <c r="F147" s="44"/>
      <c r="G147" s="44"/>
      <c r="H147" s="44"/>
      <c r="I147" s="61"/>
      <c r="J147" s="59"/>
      <c r="K147" s="58"/>
      <c r="L147" s="52"/>
    </row>
    <row r="148" spans="2:12">
      <c r="B148" s="50"/>
      <c r="C148" s="51"/>
      <c r="D148" s="44"/>
      <c r="E148" s="44"/>
      <c r="F148" s="44"/>
      <c r="G148" s="44"/>
      <c r="H148" s="44"/>
      <c r="I148" s="61"/>
      <c r="J148" s="59"/>
      <c r="K148" s="58"/>
      <c r="L148" s="52"/>
    </row>
    <row r="149" spans="2:12">
      <c r="B149" s="50"/>
      <c r="C149" s="51"/>
      <c r="D149" s="44"/>
      <c r="E149" s="44"/>
      <c r="F149" s="44"/>
      <c r="G149" s="44"/>
      <c r="H149" s="44"/>
      <c r="I149" s="61"/>
      <c r="J149" s="59"/>
      <c r="K149" s="58"/>
      <c r="L149" s="52"/>
    </row>
    <row r="150" spans="2:12">
      <c r="B150" s="50"/>
      <c r="C150" s="51"/>
      <c r="D150" s="44"/>
      <c r="E150" s="44"/>
      <c r="F150" s="44"/>
      <c r="G150" s="44"/>
      <c r="H150" s="44"/>
      <c r="I150" s="61"/>
      <c r="J150" s="59"/>
      <c r="K150" s="58"/>
      <c r="L150" s="52"/>
    </row>
    <row r="151" spans="2:12">
      <c r="B151" s="50"/>
      <c r="C151" s="51"/>
      <c r="D151" s="44"/>
      <c r="E151" s="44"/>
      <c r="F151" s="44"/>
      <c r="G151" s="44"/>
      <c r="H151" s="44"/>
      <c r="I151" s="61"/>
      <c r="J151" s="59"/>
      <c r="K151" s="58"/>
      <c r="L151" s="52"/>
    </row>
    <row r="152" spans="2:12">
      <c r="B152" s="50"/>
      <c r="C152" s="51"/>
      <c r="D152" s="44"/>
      <c r="E152" s="44"/>
      <c r="F152" s="44"/>
      <c r="G152" s="44"/>
      <c r="H152" s="44"/>
      <c r="I152" s="61"/>
      <c r="J152" s="59"/>
      <c r="K152" s="58"/>
      <c r="L152" s="52"/>
    </row>
    <row r="153" spans="2:12">
      <c r="B153" s="50"/>
      <c r="C153" s="51"/>
      <c r="D153" s="44"/>
      <c r="E153" s="44"/>
      <c r="F153" s="44"/>
      <c r="G153" s="44"/>
      <c r="H153" s="44"/>
      <c r="I153" s="61"/>
      <c r="J153" s="59"/>
      <c r="K153" s="58"/>
      <c r="L153" s="52"/>
    </row>
    <row r="154" spans="2:12">
      <c r="B154" s="50"/>
      <c r="C154" s="51"/>
      <c r="D154" s="44"/>
      <c r="E154" s="44"/>
      <c r="F154" s="44"/>
      <c r="G154" s="44"/>
      <c r="H154" s="44"/>
      <c r="I154" s="61"/>
      <c r="J154" s="59"/>
      <c r="K154" s="58"/>
      <c r="L154" s="52"/>
    </row>
    <row r="155" spans="2:12">
      <c r="B155" s="50"/>
      <c r="C155" s="51"/>
      <c r="D155" s="44"/>
      <c r="E155" s="44"/>
      <c r="F155" s="44"/>
      <c r="G155" s="44"/>
      <c r="H155" s="44"/>
      <c r="I155" s="61"/>
      <c r="J155" s="59"/>
      <c r="K155" s="58"/>
      <c r="L155" s="52"/>
    </row>
    <row r="156" spans="2:12">
      <c r="B156" s="50"/>
      <c r="C156" s="51"/>
      <c r="D156" s="44"/>
      <c r="E156" s="44"/>
      <c r="F156" s="44"/>
      <c r="G156" s="44"/>
      <c r="H156" s="44"/>
      <c r="I156" s="61"/>
      <c r="J156" s="59"/>
      <c r="K156" s="58"/>
      <c r="L156" s="52"/>
    </row>
    <row r="157" spans="2:12">
      <c r="B157" s="50"/>
      <c r="C157" s="51"/>
      <c r="D157" s="44"/>
      <c r="E157" s="44"/>
      <c r="F157" s="44"/>
      <c r="G157" s="44"/>
      <c r="H157" s="44"/>
      <c r="I157" s="61"/>
      <c r="J157" s="59"/>
      <c r="K157" s="58"/>
      <c r="L157" s="52"/>
    </row>
    <row r="158" spans="2:12">
      <c r="B158" s="50"/>
      <c r="C158" s="51"/>
      <c r="D158" s="44"/>
      <c r="E158" s="44"/>
      <c r="F158" s="44"/>
      <c r="G158" s="44"/>
      <c r="H158" s="44"/>
      <c r="I158" s="61"/>
      <c r="J158" s="59"/>
      <c r="K158" s="58"/>
      <c r="L158" s="52"/>
    </row>
    <row r="159" spans="2:12">
      <c r="B159" s="50"/>
      <c r="C159" s="51"/>
      <c r="D159" s="44"/>
      <c r="E159" s="44"/>
      <c r="F159" s="44"/>
      <c r="G159" s="44"/>
      <c r="H159" s="44"/>
      <c r="I159" s="61"/>
      <c r="J159" s="59"/>
      <c r="K159" s="58"/>
      <c r="L159" s="52"/>
    </row>
    <row r="160" spans="2:12">
      <c r="B160" s="50"/>
      <c r="C160" s="51"/>
      <c r="D160" s="44"/>
      <c r="E160" s="44"/>
      <c r="F160" s="44"/>
      <c r="G160" s="44"/>
      <c r="H160" s="44"/>
      <c r="I160" s="61"/>
      <c r="J160" s="59"/>
      <c r="K160" s="58"/>
      <c r="L160" s="52"/>
    </row>
    <row r="161" spans="2:12">
      <c r="B161" s="50"/>
      <c r="C161" s="51"/>
      <c r="D161" s="44"/>
      <c r="E161" s="44"/>
      <c r="F161" s="44"/>
      <c r="G161" s="44"/>
      <c r="H161" s="44"/>
      <c r="I161" s="61"/>
      <c r="J161" s="59"/>
      <c r="K161" s="58"/>
      <c r="L161" s="52"/>
    </row>
    <row r="162" spans="2:12">
      <c r="B162" s="50"/>
      <c r="C162" s="51"/>
      <c r="D162" s="44"/>
      <c r="E162" s="44"/>
      <c r="F162" s="44"/>
      <c r="G162" s="44"/>
      <c r="H162" s="44"/>
      <c r="I162" s="61"/>
      <c r="J162" s="59"/>
      <c r="K162" s="58"/>
      <c r="L162" s="52"/>
    </row>
    <row r="163" spans="2:12">
      <c r="B163" s="50"/>
      <c r="C163" s="51"/>
      <c r="D163" s="44"/>
      <c r="E163" s="44"/>
      <c r="F163" s="44"/>
      <c r="G163" s="44"/>
      <c r="H163" s="44"/>
      <c r="I163" s="61"/>
      <c r="J163" s="59"/>
      <c r="K163" s="58"/>
      <c r="L163" s="52"/>
    </row>
    <row r="164" spans="2:12">
      <c r="B164" s="50"/>
      <c r="C164" s="51"/>
      <c r="D164" s="44"/>
      <c r="E164" s="44"/>
      <c r="F164" s="44"/>
      <c r="G164" s="44"/>
      <c r="H164" s="44"/>
      <c r="I164" s="61"/>
      <c r="J164" s="59"/>
      <c r="K164" s="58"/>
      <c r="L164" s="52"/>
    </row>
    <row r="165" spans="2:12">
      <c r="B165" s="50"/>
      <c r="C165" s="51"/>
      <c r="D165" s="44"/>
      <c r="E165" s="44"/>
      <c r="F165" s="44"/>
      <c r="G165" s="44"/>
      <c r="H165" s="44"/>
      <c r="I165" s="61"/>
      <c r="J165" s="59"/>
      <c r="K165" s="58"/>
      <c r="L165" s="52"/>
    </row>
    <row r="166" spans="2:12">
      <c r="B166" s="50"/>
      <c r="C166" s="51"/>
      <c r="D166" s="44"/>
      <c r="E166" s="44"/>
      <c r="F166" s="44"/>
      <c r="G166" s="44"/>
      <c r="H166" s="44"/>
      <c r="I166" s="61"/>
      <c r="J166" s="59"/>
      <c r="K166" s="58"/>
      <c r="L166" s="52"/>
    </row>
    <row r="167" spans="2:12">
      <c r="B167" s="50"/>
      <c r="C167" s="51"/>
      <c r="D167" s="44"/>
      <c r="E167" s="44"/>
      <c r="F167" s="44"/>
      <c r="G167" s="44"/>
      <c r="H167" s="44"/>
      <c r="I167" s="61"/>
      <c r="J167" s="59"/>
      <c r="K167" s="58"/>
      <c r="L167" s="52"/>
    </row>
    <row r="168" spans="2:12">
      <c r="B168" s="50"/>
      <c r="C168" s="51"/>
      <c r="D168" s="44"/>
      <c r="E168" s="44"/>
      <c r="F168" s="44"/>
      <c r="G168" s="44"/>
      <c r="H168" s="44"/>
      <c r="I168" s="61"/>
      <c r="J168" s="59"/>
      <c r="K168" s="58"/>
      <c r="L168" s="52"/>
    </row>
    <row r="169" spans="2:12">
      <c r="B169" s="50"/>
      <c r="C169" s="51"/>
      <c r="D169" s="44"/>
      <c r="E169" s="44"/>
      <c r="F169" s="44"/>
      <c r="G169" s="44"/>
      <c r="H169" s="44"/>
      <c r="I169" s="61"/>
      <c r="J169" s="59"/>
      <c r="K169" s="58"/>
      <c r="L169" s="52"/>
    </row>
    <row r="170" spans="2:12">
      <c r="B170" s="50"/>
      <c r="C170" s="51"/>
      <c r="D170" s="44"/>
      <c r="E170" s="44"/>
      <c r="F170" s="44"/>
      <c r="G170" s="44"/>
      <c r="H170" s="44"/>
      <c r="I170" s="61"/>
      <c r="J170" s="59"/>
      <c r="K170" s="58"/>
      <c r="L170" s="52"/>
    </row>
    <row r="171" spans="2:12">
      <c r="B171" s="50"/>
      <c r="C171" s="51"/>
      <c r="D171" s="44"/>
      <c r="E171" s="44"/>
      <c r="F171" s="44"/>
      <c r="G171" s="44"/>
      <c r="H171" s="44"/>
      <c r="I171" s="61"/>
      <c r="J171" s="59"/>
      <c r="K171" s="58"/>
      <c r="L171" s="52"/>
    </row>
    <row r="172" spans="2:12">
      <c r="B172" s="50"/>
      <c r="C172" s="51"/>
      <c r="D172" s="44"/>
      <c r="E172" s="44"/>
      <c r="F172" s="44"/>
      <c r="G172" s="44"/>
      <c r="H172" s="44"/>
      <c r="I172" s="61"/>
      <c r="J172" s="59"/>
      <c r="K172" s="58"/>
      <c r="L172" s="52"/>
    </row>
    <row r="173" spans="2:12">
      <c r="B173" s="50"/>
      <c r="C173" s="51"/>
      <c r="D173" s="44"/>
      <c r="E173" s="44"/>
      <c r="F173" s="44"/>
      <c r="G173" s="44"/>
      <c r="H173" s="44"/>
      <c r="I173" s="61"/>
      <c r="J173" s="59"/>
      <c r="K173" s="58"/>
      <c r="L173" s="52"/>
    </row>
    <row r="174" spans="2:12">
      <c r="B174" s="50"/>
      <c r="C174" s="51"/>
      <c r="D174" s="44"/>
      <c r="E174" s="44"/>
      <c r="F174" s="44"/>
      <c r="G174" s="44"/>
      <c r="H174" s="44"/>
      <c r="I174" s="61"/>
      <c r="J174" s="59"/>
      <c r="K174" s="58"/>
      <c r="L174" s="52"/>
    </row>
    <row r="175" spans="2:12">
      <c r="B175" s="50"/>
      <c r="C175" s="51"/>
      <c r="D175" s="44"/>
      <c r="E175" s="44"/>
      <c r="F175" s="44"/>
      <c r="G175" s="44"/>
      <c r="H175" s="44"/>
      <c r="I175" s="61"/>
      <c r="J175" s="59"/>
      <c r="K175" s="58"/>
      <c r="L175" s="52"/>
    </row>
    <row r="176" spans="2:12">
      <c r="B176" s="50"/>
      <c r="C176" s="51"/>
      <c r="D176" s="44"/>
      <c r="E176" s="44"/>
      <c r="F176" s="44"/>
      <c r="G176" s="44"/>
      <c r="H176" s="44"/>
      <c r="I176" s="61"/>
      <c r="J176" s="59"/>
      <c r="K176" s="58"/>
      <c r="L176" s="52"/>
    </row>
    <row r="177" spans="2:12">
      <c r="B177" s="50"/>
      <c r="C177" s="51"/>
      <c r="D177" s="44"/>
      <c r="E177" s="44"/>
      <c r="F177" s="44"/>
      <c r="G177" s="44"/>
      <c r="H177" s="44"/>
      <c r="I177" s="61"/>
      <c r="J177" s="59"/>
      <c r="K177" s="58"/>
      <c r="L177" s="52"/>
    </row>
    <row r="178" spans="2:12">
      <c r="B178" s="50"/>
      <c r="C178" s="51"/>
      <c r="D178" s="44"/>
      <c r="E178" s="44"/>
      <c r="F178" s="44"/>
      <c r="G178" s="44"/>
      <c r="H178" s="44"/>
      <c r="I178" s="61"/>
      <c r="J178" s="59"/>
      <c r="K178" s="58"/>
      <c r="L178" s="52"/>
    </row>
    <row r="179" spans="2:12">
      <c r="B179" s="50"/>
      <c r="C179" s="51"/>
      <c r="D179" s="44"/>
      <c r="E179" s="44"/>
      <c r="F179" s="44"/>
      <c r="G179" s="44"/>
      <c r="H179" s="44"/>
      <c r="I179" s="61"/>
      <c r="J179" s="59"/>
      <c r="K179" s="58"/>
      <c r="L179" s="52"/>
    </row>
    <row r="180" spans="2:12">
      <c r="B180" s="50"/>
      <c r="C180" s="51"/>
      <c r="D180" s="44"/>
      <c r="E180" s="44"/>
      <c r="F180" s="44"/>
      <c r="G180" s="44"/>
      <c r="H180" s="44"/>
      <c r="I180" s="61"/>
      <c r="J180" s="59"/>
      <c r="K180" s="58"/>
      <c r="L180" s="52"/>
    </row>
    <row r="181" spans="2:12">
      <c r="B181" s="50"/>
      <c r="C181" s="51"/>
      <c r="D181" s="44"/>
      <c r="E181" s="44"/>
      <c r="F181" s="44"/>
      <c r="G181" s="44"/>
      <c r="H181" s="44"/>
      <c r="I181" s="61"/>
      <c r="J181" s="59"/>
      <c r="K181" s="58"/>
      <c r="L181" s="52"/>
    </row>
    <row r="182" spans="2:12">
      <c r="B182" s="50"/>
      <c r="C182" s="51"/>
      <c r="D182" s="44"/>
      <c r="E182" s="44"/>
      <c r="F182" s="44"/>
      <c r="G182" s="44"/>
      <c r="H182" s="44"/>
      <c r="I182" s="61"/>
      <c r="J182" s="59"/>
      <c r="K182" s="58"/>
      <c r="L182" s="52"/>
    </row>
    <row r="183" spans="2:12">
      <c r="B183" s="50"/>
      <c r="C183" s="51"/>
      <c r="D183" s="44"/>
      <c r="E183" s="44"/>
      <c r="F183" s="44"/>
      <c r="G183" s="44"/>
      <c r="H183" s="44"/>
      <c r="I183" s="61"/>
      <c r="J183" s="59"/>
      <c r="K183" s="58"/>
      <c r="L183" s="52"/>
    </row>
    <row r="184" spans="2:12">
      <c r="B184" s="50"/>
      <c r="C184" s="51"/>
      <c r="D184" s="44"/>
      <c r="E184" s="44"/>
      <c r="F184" s="44"/>
      <c r="G184" s="44"/>
      <c r="H184" s="44"/>
      <c r="I184" s="61"/>
      <c r="J184" s="59"/>
      <c r="K184" s="58"/>
      <c r="L184" s="52"/>
    </row>
    <row r="185" spans="2:12">
      <c r="B185" s="50"/>
      <c r="C185" s="51"/>
      <c r="D185" s="44"/>
      <c r="E185" s="44"/>
      <c r="F185" s="44"/>
      <c r="G185" s="44"/>
      <c r="H185" s="44"/>
      <c r="I185" s="61"/>
      <c r="J185" s="59"/>
      <c r="K185" s="58"/>
      <c r="L185" s="52"/>
    </row>
    <row r="186" spans="2:12">
      <c r="B186" s="50"/>
      <c r="C186" s="51"/>
      <c r="D186" s="44"/>
      <c r="E186" s="44"/>
      <c r="F186" s="44"/>
      <c r="G186" s="44"/>
      <c r="H186" s="44"/>
      <c r="I186" s="61"/>
      <c r="J186" s="59"/>
      <c r="K186" s="58"/>
      <c r="L186" s="52"/>
    </row>
    <row r="187" spans="2:12">
      <c r="B187" s="50"/>
      <c r="C187" s="51"/>
      <c r="D187" s="44"/>
      <c r="E187" s="44"/>
      <c r="F187" s="44"/>
      <c r="G187" s="44"/>
      <c r="H187" s="44"/>
      <c r="I187" s="61"/>
      <c r="J187" s="59"/>
      <c r="K187" s="58"/>
      <c r="L187" s="52"/>
    </row>
    <row r="188" spans="2:12">
      <c r="B188" s="50"/>
      <c r="C188" s="51"/>
      <c r="D188" s="44"/>
      <c r="E188" s="44"/>
      <c r="F188" s="44"/>
      <c r="G188" s="44"/>
      <c r="H188" s="44"/>
      <c r="I188" s="61"/>
      <c r="J188" s="59"/>
      <c r="K188" s="58"/>
      <c r="L188" s="52"/>
    </row>
    <row r="189" spans="2:12">
      <c r="B189" s="50"/>
      <c r="C189" s="51"/>
      <c r="D189" s="44"/>
      <c r="E189" s="44"/>
      <c r="F189" s="44"/>
      <c r="G189" s="44"/>
      <c r="H189" s="44"/>
      <c r="I189" s="61"/>
      <c r="J189" s="59"/>
      <c r="K189" s="58"/>
      <c r="L189" s="52"/>
    </row>
    <row r="190" spans="2:12">
      <c r="B190" s="50"/>
      <c r="C190" s="51"/>
      <c r="D190" s="44"/>
      <c r="E190" s="44"/>
      <c r="F190" s="44"/>
      <c r="G190" s="44"/>
      <c r="H190" s="44"/>
      <c r="I190" s="61"/>
      <c r="J190" s="59"/>
      <c r="K190" s="58"/>
      <c r="L190" s="52"/>
    </row>
    <row r="191" spans="2:12">
      <c r="B191" s="50"/>
      <c r="C191" s="51"/>
      <c r="D191" s="44"/>
      <c r="E191" s="44"/>
      <c r="F191" s="44"/>
      <c r="G191" s="44"/>
      <c r="H191" s="44"/>
      <c r="I191" s="61"/>
      <c r="J191" s="59"/>
      <c r="K191" s="58"/>
      <c r="L191" s="52"/>
    </row>
    <row r="192" spans="2:12">
      <c r="B192" s="50"/>
      <c r="C192" s="51"/>
      <c r="D192" s="44"/>
      <c r="E192" s="44"/>
      <c r="F192" s="44"/>
      <c r="G192" s="44"/>
      <c r="H192" s="44"/>
      <c r="I192" s="61"/>
      <c r="J192" s="59"/>
      <c r="K192" s="58"/>
      <c r="L192" s="52"/>
    </row>
    <row r="193" spans="2:12">
      <c r="B193" s="50"/>
      <c r="C193" s="51"/>
      <c r="D193" s="44"/>
      <c r="E193" s="44"/>
      <c r="F193" s="44"/>
      <c r="G193" s="44"/>
      <c r="H193" s="44"/>
      <c r="I193" s="61"/>
      <c r="J193" s="59"/>
      <c r="K193" s="58"/>
      <c r="L193" s="52"/>
    </row>
    <row r="194" spans="2:12">
      <c r="B194" s="50"/>
      <c r="C194" s="51"/>
      <c r="D194" s="44"/>
      <c r="E194" s="44"/>
      <c r="F194" s="44"/>
      <c r="G194" s="44"/>
      <c r="H194" s="44"/>
      <c r="I194" s="61"/>
      <c r="J194" s="59"/>
      <c r="K194" s="58"/>
      <c r="L194" s="52"/>
    </row>
    <row r="195" spans="2:12">
      <c r="B195" s="50"/>
      <c r="C195" s="51"/>
      <c r="D195" s="44"/>
      <c r="E195" s="44"/>
      <c r="F195" s="44"/>
      <c r="G195" s="44"/>
      <c r="H195" s="44"/>
      <c r="I195" s="61"/>
      <c r="J195" s="59"/>
      <c r="K195" s="58"/>
      <c r="L195" s="52"/>
    </row>
    <row r="196" spans="2:12">
      <c r="B196" s="50"/>
      <c r="C196" s="51"/>
      <c r="D196" s="44"/>
      <c r="E196" s="44"/>
      <c r="F196" s="44"/>
      <c r="G196" s="44"/>
      <c r="H196" s="44"/>
      <c r="I196" s="61"/>
      <c r="J196" s="59"/>
      <c r="K196" s="58"/>
      <c r="L196" s="52"/>
    </row>
    <row r="197" spans="2:12">
      <c r="B197" s="50"/>
      <c r="C197" s="51"/>
      <c r="D197" s="44"/>
      <c r="E197" s="44"/>
      <c r="F197" s="44"/>
      <c r="G197" s="44"/>
      <c r="H197" s="44"/>
      <c r="I197" s="61"/>
      <c r="J197" s="59"/>
      <c r="K197" s="58"/>
      <c r="L197" s="52"/>
    </row>
    <row r="198" spans="2:12">
      <c r="B198" s="50"/>
      <c r="C198" s="51"/>
      <c r="D198" s="44"/>
      <c r="E198" s="44"/>
      <c r="F198" s="44"/>
      <c r="G198" s="44"/>
      <c r="H198" s="44"/>
      <c r="I198" s="61"/>
      <c r="J198" s="59"/>
      <c r="K198" s="58"/>
      <c r="L198" s="52"/>
    </row>
    <row r="199" spans="2:12">
      <c r="B199" s="50"/>
      <c r="C199" s="51"/>
      <c r="D199" s="44"/>
      <c r="E199" s="44"/>
      <c r="F199" s="44"/>
      <c r="G199" s="44"/>
      <c r="H199" s="44"/>
      <c r="I199" s="61"/>
      <c r="J199" s="59"/>
      <c r="K199" s="58"/>
      <c r="L199" s="52"/>
    </row>
    <row r="200" spans="2:12">
      <c r="B200" s="50"/>
      <c r="C200" s="51"/>
      <c r="D200" s="44"/>
      <c r="E200" s="44"/>
      <c r="F200" s="44"/>
      <c r="G200" s="44"/>
      <c r="H200" s="44"/>
      <c r="I200" s="61"/>
      <c r="J200" s="59"/>
      <c r="K200" s="58"/>
      <c r="L200" s="52"/>
    </row>
    <row r="201" spans="2:12">
      <c r="B201" s="50"/>
      <c r="C201" s="51"/>
      <c r="D201" s="44"/>
      <c r="E201" s="44"/>
      <c r="F201" s="44"/>
      <c r="G201" s="44"/>
      <c r="H201" s="44"/>
      <c r="I201" s="61"/>
      <c r="J201" s="59"/>
      <c r="K201" s="58"/>
      <c r="L201" s="52"/>
    </row>
    <row r="202" spans="2:12">
      <c r="B202" s="50"/>
      <c r="C202" s="51"/>
      <c r="D202" s="44"/>
      <c r="E202" s="44"/>
      <c r="F202" s="44"/>
      <c r="G202" s="44"/>
      <c r="H202" s="44"/>
      <c r="I202" s="61"/>
      <c r="J202" s="59"/>
      <c r="K202" s="58"/>
      <c r="L202" s="52"/>
    </row>
    <row r="203" spans="2:12">
      <c r="B203" s="50"/>
      <c r="C203" s="51"/>
      <c r="D203" s="44"/>
      <c r="E203" s="44"/>
      <c r="F203" s="44"/>
      <c r="G203" s="44"/>
      <c r="H203" s="44"/>
      <c r="I203" s="61"/>
      <c r="J203" s="59"/>
      <c r="K203" s="58"/>
      <c r="L203" s="52"/>
    </row>
    <row r="204" spans="2:12">
      <c r="B204" s="50"/>
      <c r="C204" s="51"/>
      <c r="D204" s="44"/>
      <c r="E204" s="44"/>
      <c r="F204" s="44"/>
      <c r="G204" s="44"/>
      <c r="H204" s="44"/>
      <c r="I204" s="61"/>
      <c r="J204" s="59"/>
      <c r="K204" s="58"/>
      <c r="L204" s="52"/>
    </row>
    <row r="205" spans="2:12">
      <c r="B205" s="50"/>
      <c r="C205" s="51"/>
      <c r="D205" s="44"/>
      <c r="E205" s="44"/>
      <c r="F205" s="44"/>
      <c r="G205" s="44"/>
      <c r="H205" s="44"/>
      <c r="I205" s="61"/>
      <c r="J205" s="59"/>
      <c r="K205" s="58"/>
      <c r="L205" s="52"/>
    </row>
    <row r="206" spans="2:12">
      <c r="B206" s="50"/>
      <c r="C206" s="51"/>
      <c r="D206" s="44"/>
      <c r="E206" s="44"/>
      <c r="F206" s="44"/>
      <c r="G206" s="44"/>
      <c r="H206" s="44"/>
      <c r="I206" s="61"/>
      <c r="J206" s="59"/>
      <c r="K206" s="58"/>
      <c r="L206" s="52"/>
    </row>
    <row r="207" spans="2:12">
      <c r="B207" s="50"/>
      <c r="C207" s="51"/>
      <c r="D207" s="44"/>
      <c r="E207" s="44"/>
      <c r="F207" s="44"/>
      <c r="G207" s="44"/>
      <c r="H207" s="44"/>
      <c r="I207" s="61"/>
      <c r="J207" s="59"/>
      <c r="K207" s="58"/>
      <c r="L207" s="52"/>
    </row>
    <row r="208" spans="2:12">
      <c r="B208" s="50"/>
      <c r="C208" s="51"/>
      <c r="D208" s="44"/>
      <c r="E208" s="44"/>
      <c r="F208" s="44"/>
      <c r="G208" s="44"/>
      <c r="H208" s="44"/>
      <c r="I208" s="61"/>
      <c r="J208" s="59"/>
      <c r="K208" s="58"/>
      <c r="L208" s="52"/>
    </row>
    <row r="209" spans="2:12">
      <c r="B209" s="50"/>
      <c r="C209" s="51"/>
      <c r="D209" s="44"/>
      <c r="E209" s="44"/>
      <c r="F209" s="44"/>
      <c r="G209" s="44"/>
      <c r="H209" s="44"/>
      <c r="I209" s="61"/>
      <c r="J209" s="59"/>
      <c r="K209" s="58"/>
      <c r="L209" s="52"/>
    </row>
    <row r="210" spans="2:12">
      <c r="B210" s="50"/>
      <c r="C210" s="51"/>
      <c r="D210" s="44"/>
      <c r="E210" s="44"/>
      <c r="F210" s="44"/>
      <c r="G210" s="44"/>
      <c r="H210" s="44"/>
      <c r="I210" s="61"/>
      <c r="J210" s="59"/>
      <c r="K210" s="58"/>
      <c r="L210" s="52"/>
    </row>
    <row r="211" spans="2:12">
      <c r="B211" s="50"/>
      <c r="C211" s="51"/>
      <c r="D211" s="44"/>
      <c r="E211" s="44"/>
      <c r="F211" s="44"/>
      <c r="G211" s="44"/>
      <c r="H211" s="44"/>
      <c r="I211" s="61"/>
      <c r="J211" s="59"/>
      <c r="K211" s="58"/>
      <c r="L211" s="52"/>
    </row>
    <row r="212" spans="2:12">
      <c r="B212" s="50"/>
      <c r="C212" s="51"/>
      <c r="D212" s="44"/>
      <c r="E212" s="44"/>
      <c r="F212" s="44"/>
      <c r="G212" s="44"/>
      <c r="H212" s="44"/>
      <c r="I212" s="61"/>
      <c r="J212" s="59"/>
      <c r="K212" s="58"/>
      <c r="L212" s="52"/>
    </row>
    <row r="213" spans="2:12">
      <c r="B213" s="50"/>
      <c r="C213" s="51"/>
      <c r="D213" s="44"/>
      <c r="E213" s="44"/>
      <c r="F213" s="44"/>
      <c r="G213" s="44"/>
      <c r="H213" s="44"/>
      <c r="I213" s="61"/>
      <c r="J213" s="59"/>
      <c r="K213" s="58"/>
      <c r="L213" s="52"/>
    </row>
    <row r="214" spans="2:12">
      <c r="B214" s="50"/>
      <c r="C214" s="51"/>
      <c r="D214" s="44"/>
      <c r="E214" s="44"/>
      <c r="F214" s="44"/>
      <c r="G214" s="44"/>
      <c r="H214" s="44"/>
      <c r="I214" s="61"/>
      <c r="J214" s="59"/>
      <c r="K214" s="58"/>
      <c r="L214" s="52"/>
    </row>
    <row r="215" spans="2:12">
      <c r="B215" s="50"/>
      <c r="C215" s="51"/>
      <c r="D215" s="44"/>
      <c r="E215" s="44"/>
      <c r="F215" s="44"/>
      <c r="G215" s="44"/>
      <c r="H215" s="44"/>
      <c r="I215" s="61"/>
      <c r="J215" s="59"/>
      <c r="K215" s="58"/>
      <c r="L215" s="52"/>
    </row>
    <row r="216" spans="2:12">
      <c r="B216" s="50"/>
      <c r="C216" s="51"/>
      <c r="D216" s="44"/>
      <c r="E216" s="44"/>
      <c r="F216" s="44"/>
      <c r="G216" s="44"/>
      <c r="H216" s="44"/>
      <c r="I216" s="61"/>
      <c r="J216" s="59"/>
      <c r="K216" s="58"/>
      <c r="L216" s="52"/>
    </row>
    <row r="217" spans="2:12">
      <c r="B217" s="50"/>
      <c r="C217" s="51"/>
      <c r="D217" s="44"/>
      <c r="E217" s="44"/>
      <c r="F217" s="44"/>
      <c r="G217" s="44"/>
      <c r="H217" s="44"/>
      <c r="I217" s="61"/>
      <c r="J217" s="59"/>
      <c r="K217" s="58"/>
      <c r="L217" s="52"/>
    </row>
    <row r="218" spans="2:12">
      <c r="B218" s="50"/>
      <c r="C218" s="51"/>
      <c r="D218" s="44"/>
      <c r="E218" s="44"/>
      <c r="F218" s="44"/>
      <c r="G218" s="44"/>
      <c r="H218" s="44"/>
      <c r="I218" s="61"/>
      <c r="J218" s="59"/>
      <c r="K218" s="58"/>
      <c r="L218" s="52"/>
    </row>
    <row r="219" spans="2:12">
      <c r="B219" s="50"/>
      <c r="C219" s="51"/>
      <c r="D219" s="44"/>
      <c r="E219" s="44"/>
      <c r="F219" s="44"/>
      <c r="G219" s="44"/>
      <c r="H219" s="44"/>
      <c r="I219" s="61"/>
      <c r="J219" s="59"/>
      <c r="K219" s="58"/>
      <c r="L219" s="52"/>
    </row>
    <row r="220" spans="2:12">
      <c r="B220" s="50"/>
      <c r="C220" s="51"/>
      <c r="D220" s="44"/>
      <c r="E220" s="44"/>
      <c r="F220" s="44"/>
      <c r="G220" s="44"/>
      <c r="H220" s="44"/>
      <c r="I220" s="61"/>
      <c r="J220" s="59"/>
      <c r="K220" s="58"/>
      <c r="L220" s="52"/>
    </row>
    <row r="221" spans="2:12">
      <c r="B221" s="50"/>
      <c r="C221" s="51"/>
      <c r="D221" s="44"/>
      <c r="E221" s="44"/>
      <c r="F221" s="44"/>
      <c r="G221" s="44"/>
      <c r="H221" s="44"/>
      <c r="I221" s="61"/>
      <c r="J221" s="59"/>
      <c r="K221" s="58"/>
      <c r="L221" s="52"/>
    </row>
    <row r="222" spans="2:12">
      <c r="B222" s="50"/>
      <c r="C222" s="51"/>
      <c r="D222" s="44"/>
      <c r="E222" s="44"/>
      <c r="F222" s="44"/>
      <c r="G222" s="44"/>
      <c r="H222" s="44"/>
      <c r="I222" s="61"/>
      <c r="J222" s="59"/>
      <c r="K222" s="58"/>
      <c r="L222" s="52"/>
    </row>
    <row r="223" spans="2:12">
      <c r="B223" s="50"/>
      <c r="C223" s="51"/>
      <c r="D223" s="44"/>
      <c r="E223" s="44"/>
      <c r="F223" s="44"/>
      <c r="G223" s="44"/>
      <c r="H223" s="44"/>
      <c r="I223" s="61"/>
      <c r="J223" s="59"/>
      <c r="K223" s="58"/>
      <c r="L223" s="52"/>
    </row>
    <row r="224" spans="2:12">
      <c r="B224" s="50"/>
      <c r="C224" s="51"/>
      <c r="D224" s="44"/>
      <c r="E224" s="44"/>
      <c r="F224" s="44"/>
      <c r="G224" s="44"/>
      <c r="H224" s="44"/>
      <c r="I224" s="61"/>
      <c r="J224" s="59"/>
      <c r="K224" s="58"/>
      <c r="L224" s="52"/>
    </row>
    <row r="225" spans="2:12">
      <c r="B225" s="50"/>
      <c r="C225" s="51"/>
      <c r="D225" s="44"/>
      <c r="E225" s="44"/>
      <c r="F225" s="44"/>
      <c r="G225" s="44"/>
      <c r="H225" s="44"/>
      <c r="I225" s="61"/>
      <c r="J225" s="59"/>
      <c r="K225" s="58"/>
      <c r="L225" s="52"/>
    </row>
    <row r="226" spans="2:12">
      <c r="B226" s="50"/>
      <c r="C226" s="51"/>
      <c r="D226" s="44"/>
      <c r="E226" s="44"/>
      <c r="F226" s="44"/>
      <c r="G226" s="44"/>
      <c r="H226" s="44"/>
      <c r="I226" s="61"/>
      <c r="J226" s="59"/>
      <c r="K226" s="58"/>
      <c r="L226" s="52"/>
    </row>
    <row r="227" spans="2:12">
      <c r="B227" s="50"/>
      <c r="C227" s="51"/>
      <c r="D227" s="44"/>
      <c r="E227" s="44"/>
      <c r="F227" s="44"/>
      <c r="G227" s="44"/>
      <c r="H227" s="44"/>
      <c r="I227" s="61"/>
      <c r="J227" s="59"/>
      <c r="K227" s="58"/>
      <c r="L227" s="52"/>
    </row>
    <row r="228" spans="2:12">
      <c r="B228" s="50"/>
      <c r="C228" s="51"/>
      <c r="D228" s="44"/>
      <c r="E228" s="44"/>
      <c r="F228" s="44"/>
      <c r="G228" s="44"/>
      <c r="H228" s="44"/>
      <c r="I228" s="61"/>
      <c r="J228" s="59"/>
      <c r="K228" s="58"/>
      <c r="L228" s="52"/>
    </row>
    <row r="229" spans="2:12">
      <c r="B229" s="50"/>
      <c r="C229" s="51"/>
      <c r="D229" s="44"/>
      <c r="E229" s="44"/>
      <c r="F229" s="44"/>
      <c r="G229" s="44"/>
      <c r="H229" s="44"/>
      <c r="I229" s="61"/>
      <c r="J229" s="59"/>
      <c r="K229" s="58"/>
      <c r="L229" s="52"/>
    </row>
    <row r="230" spans="2:12">
      <c r="B230" s="50"/>
      <c r="C230" s="51"/>
      <c r="D230" s="44"/>
      <c r="E230" s="44"/>
      <c r="F230" s="44"/>
      <c r="G230" s="44"/>
      <c r="H230" s="44"/>
      <c r="I230" s="61"/>
      <c r="J230" s="59"/>
      <c r="K230" s="58"/>
      <c r="L230" s="52"/>
    </row>
    <row r="231" spans="2:12">
      <c r="B231" s="50"/>
      <c r="C231" s="51"/>
      <c r="D231" s="44"/>
      <c r="E231" s="44"/>
      <c r="F231" s="44"/>
      <c r="G231" s="44"/>
      <c r="H231" s="44"/>
      <c r="I231" s="61"/>
      <c r="J231" s="59"/>
      <c r="K231" s="58"/>
      <c r="L231" s="52"/>
    </row>
    <row r="232" spans="2:12">
      <c r="B232" s="50"/>
      <c r="C232" s="51"/>
      <c r="D232" s="44"/>
      <c r="E232" s="44"/>
      <c r="F232" s="44"/>
      <c r="G232" s="44"/>
      <c r="H232" s="44"/>
      <c r="I232" s="61"/>
      <c r="J232" s="59"/>
      <c r="K232" s="58"/>
      <c r="L232" s="52"/>
    </row>
    <row r="233" spans="2:12">
      <c r="B233" s="50"/>
      <c r="C233" s="51"/>
      <c r="D233" s="44"/>
      <c r="E233" s="44"/>
      <c r="F233" s="44"/>
      <c r="G233" s="44"/>
      <c r="H233" s="44"/>
      <c r="I233" s="61"/>
      <c r="J233" s="59"/>
      <c r="K233" s="58"/>
      <c r="L233" s="52"/>
    </row>
    <row r="234" spans="2:12">
      <c r="B234" s="50"/>
      <c r="C234" s="51"/>
      <c r="D234" s="44"/>
      <c r="E234" s="44"/>
      <c r="F234" s="44"/>
      <c r="G234" s="44"/>
      <c r="H234" s="44"/>
      <c r="I234" s="61"/>
      <c r="J234" s="59"/>
      <c r="K234" s="58"/>
      <c r="L234" s="52"/>
    </row>
    <row r="235" spans="2:12">
      <c r="B235" s="50"/>
      <c r="C235" s="51"/>
      <c r="D235" s="44"/>
      <c r="E235" s="44"/>
      <c r="F235" s="44"/>
      <c r="G235" s="44"/>
      <c r="H235" s="44"/>
      <c r="I235" s="61"/>
      <c r="J235" s="59"/>
      <c r="K235" s="58"/>
      <c r="L235" s="52"/>
    </row>
    <row r="236" spans="2:12">
      <c r="B236" s="50"/>
      <c r="C236" s="51"/>
      <c r="D236" s="44"/>
      <c r="E236" s="44"/>
      <c r="F236" s="44"/>
      <c r="G236" s="44"/>
      <c r="H236" s="44"/>
      <c r="I236" s="61"/>
      <c r="J236" s="59"/>
      <c r="K236" s="58"/>
      <c r="L236" s="52"/>
    </row>
    <row r="237" spans="2:12">
      <c r="B237" s="50"/>
      <c r="C237" s="51"/>
      <c r="D237" s="44"/>
      <c r="E237" s="44"/>
      <c r="F237" s="44"/>
      <c r="G237" s="44"/>
      <c r="H237" s="44"/>
      <c r="I237" s="61"/>
      <c r="J237" s="59"/>
      <c r="K237" s="58"/>
      <c r="L237" s="52"/>
    </row>
    <row r="238" spans="2:12">
      <c r="B238" s="50"/>
      <c r="C238" s="51"/>
      <c r="D238" s="44"/>
      <c r="E238" s="44"/>
      <c r="F238" s="44"/>
      <c r="G238" s="44"/>
      <c r="H238" s="44"/>
      <c r="I238" s="61"/>
      <c r="J238" s="59"/>
      <c r="K238" s="58"/>
      <c r="L238" s="52"/>
    </row>
    <row r="239" spans="2:12">
      <c r="B239" s="50"/>
      <c r="C239" s="51"/>
      <c r="D239" s="44"/>
      <c r="E239" s="44"/>
      <c r="F239" s="44"/>
      <c r="G239" s="44"/>
      <c r="H239" s="44"/>
      <c r="I239" s="61"/>
      <c r="J239" s="59"/>
      <c r="K239" s="58"/>
      <c r="L239" s="52"/>
    </row>
    <row r="240" spans="2:12">
      <c r="B240" s="50"/>
      <c r="C240" s="51"/>
      <c r="D240" s="44"/>
      <c r="E240" s="44"/>
      <c r="F240" s="44"/>
      <c r="G240" s="44"/>
      <c r="H240" s="44"/>
      <c r="I240" s="61"/>
      <c r="J240" s="59"/>
      <c r="K240" s="58"/>
      <c r="L240" s="52"/>
    </row>
    <row r="241" spans="2:12">
      <c r="B241" s="50"/>
      <c r="C241" s="51"/>
      <c r="D241" s="44"/>
      <c r="E241" s="44"/>
      <c r="F241" s="44"/>
      <c r="G241" s="44"/>
      <c r="H241" s="44"/>
      <c r="I241" s="61"/>
      <c r="J241" s="59"/>
      <c r="K241" s="58"/>
      <c r="L241" s="52"/>
    </row>
    <row r="242" spans="2:12">
      <c r="B242" s="50"/>
      <c r="C242" s="51"/>
      <c r="D242" s="44"/>
      <c r="E242" s="44"/>
      <c r="F242" s="44"/>
      <c r="G242" s="44"/>
      <c r="H242" s="44"/>
      <c r="I242" s="61"/>
      <c r="J242" s="59"/>
      <c r="K242" s="58"/>
      <c r="L242" s="52"/>
    </row>
    <row r="243" spans="2:12">
      <c r="B243" s="50"/>
      <c r="C243" s="51"/>
      <c r="D243" s="44"/>
      <c r="E243" s="44"/>
      <c r="F243" s="44"/>
      <c r="G243" s="44"/>
      <c r="H243" s="44"/>
      <c r="I243" s="61"/>
      <c r="J243" s="59"/>
      <c r="K243" s="58"/>
      <c r="L243" s="52"/>
    </row>
    <row r="244" spans="2:12">
      <c r="B244" s="50"/>
      <c r="C244" s="51"/>
      <c r="D244" s="44"/>
      <c r="E244" s="44"/>
      <c r="F244" s="44"/>
      <c r="G244" s="44"/>
      <c r="H244" s="44"/>
      <c r="I244" s="61"/>
      <c r="J244" s="59"/>
      <c r="K244" s="58"/>
      <c r="L244" s="52"/>
    </row>
    <row r="245" spans="2:12">
      <c r="B245" s="50"/>
      <c r="C245" s="51"/>
      <c r="D245" s="44"/>
      <c r="E245" s="44"/>
      <c r="F245" s="44"/>
      <c r="G245" s="44"/>
      <c r="H245" s="44"/>
      <c r="I245" s="61"/>
      <c r="J245" s="59"/>
      <c r="K245" s="58"/>
      <c r="L245" s="52"/>
    </row>
    <row r="246" spans="2:12">
      <c r="B246" s="50"/>
      <c r="C246" s="51"/>
      <c r="D246" s="44"/>
      <c r="E246" s="44"/>
      <c r="F246" s="44"/>
      <c r="G246" s="44"/>
      <c r="H246" s="44"/>
      <c r="I246" s="61"/>
      <c r="J246" s="59"/>
      <c r="K246" s="58"/>
      <c r="L246" s="52"/>
    </row>
    <row r="247" spans="2:12">
      <c r="B247" s="50"/>
      <c r="C247" s="51"/>
      <c r="D247" s="44"/>
      <c r="E247" s="44"/>
      <c r="F247" s="44"/>
      <c r="G247" s="44"/>
      <c r="H247" s="44"/>
      <c r="I247" s="61"/>
      <c r="J247" s="59"/>
      <c r="K247" s="58"/>
      <c r="L247" s="52"/>
    </row>
    <row r="248" spans="2:12">
      <c r="B248" s="50"/>
      <c r="C248" s="51"/>
      <c r="D248" s="44"/>
      <c r="E248" s="44"/>
      <c r="F248" s="44"/>
      <c r="G248" s="44"/>
      <c r="H248" s="44"/>
      <c r="I248" s="61"/>
      <c r="J248" s="59"/>
      <c r="K248" s="58"/>
      <c r="L248" s="52"/>
    </row>
    <row r="249" spans="2:12">
      <c r="B249" s="50"/>
      <c r="C249" s="51"/>
      <c r="D249" s="44"/>
      <c r="E249" s="44"/>
      <c r="F249" s="44"/>
      <c r="G249" s="44"/>
      <c r="H249" s="44"/>
      <c r="I249" s="61"/>
      <c r="J249" s="59"/>
      <c r="K249" s="58"/>
      <c r="L249" s="52"/>
    </row>
    <row r="250" spans="2:12">
      <c r="B250" s="50"/>
      <c r="C250" s="51"/>
      <c r="D250" s="44"/>
      <c r="E250" s="44"/>
      <c r="F250" s="44"/>
      <c r="G250" s="44"/>
      <c r="H250" s="44"/>
      <c r="I250" s="61"/>
      <c r="J250" s="59"/>
      <c r="K250" s="58"/>
      <c r="L250" s="52"/>
    </row>
    <row r="251" spans="2:12">
      <c r="B251" s="50"/>
      <c r="C251" s="51"/>
      <c r="D251" s="44"/>
      <c r="E251" s="44"/>
      <c r="F251" s="44"/>
      <c r="G251" s="44"/>
      <c r="H251" s="44"/>
      <c r="I251" s="61"/>
      <c r="J251" s="59"/>
      <c r="K251" s="58"/>
      <c r="L251" s="52"/>
    </row>
    <row r="252" spans="2:12">
      <c r="B252" s="50"/>
      <c r="C252" s="51"/>
      <c r="D252" s="44"/>
      <c r="E252" s="44"/>
      <c r="F252" s="44"/>
      <c r="G252" s="44"/>
      <c r="H252" s="44"/>
      <c r="I252" s="61"/>
      <c r="J252" s="59"/>
      <c r="K252" s="58"/>
      <c r="L252" s="52"/>
    </row>
    <row r="253" spans="2:12">
      <c r="B253" s="50"/>
      <c r="C253" s="51"/>
      <c r="D253" s="44"/>
      <c r="E253" s="44"/>
      <c r="F253" s="44"/>
      <c r="G253" s="44"/>
      <c r="H253" s="44"/>
      <c r="I253" s="61"/>
      <c r="J253" s="59"/>
      <c r="K253" s="58"/>
      <c r="L253" s="52"/>
    </row>
    <row r="254" spans="2:12">
      <c r="B254" s="50"/>
      <c r="C254" s="51"/>
      <c r="D254" s="44"/>
      <c r="E254" s="44"/>
      <c r="F254" s="44"/>
      <c r="G254" s="44"/>
      <c r="H254" s="44"/>
      <c r="I254" s="61"/>
      <c r="J254" s="59"/>
      <c r="K254" s="58"/>
      <c r="L254" s="52"/>
    </row>
    <row r="255" spans="2:12">
      <c r="B255" s="50"/>
      <c r="C255" s="51"/>
      <c r="D255" s="44"/>
      <c r="E255" s="44"/>
      <c r="F255" s="44"/>
      <c r="G255" s="44"/>
      <c r="H255" s="44"/>
      <c r="I255" s="61"/>
      <c r="J255" s="59"/>
      <c r="K255" s="58"/>
      <c r="L255" s="52"/>
    </row>
    <row r="256" spans="2:12">
      <c r="B256" s="50"/>
      <c r="C256" s="51"/>
      <c r="D256" s="44"/>
      <c r="E256" s="44"/>
      <c r="F256" s="44"/>
      <c r="G256" s="44"/>
      <c r="H256" s="44"/>
      <c r="I256" s="61"/>
      <c r="J256" s="59"/>
      <c r="K256" s="58"/>
      <c r="L256" s="52"/>
    </row>
    <row r="257" spans="2:12">
      <c r="B257" s="50"/>
      <c r="C257" s="51"/>
      <c r="D257" s="44"/>
      <c r="E257" s="44"/>
      <c r="F257" s="44"/>
      <c r="G257" s="44"/>
      <c r="H257" s="44"/>
      <c r="I257" s="61"/>
      <c r="J257" s="59"/>
      <c r="K257" s="58"/>
      <c r="L257" s="52"/>
    </row>
    <row r="258" spans="2:12">
      <c r="B258" s="50"/>
      <c r="C258" s="51"/>
      <c r="D258" s="44"/>
      <c r="E258" s="44"/>
      <c r="F258" s="44"/>
      <c r="G258" s="44"/>
      <c r="H258" s="44"/>
      <c r="I258" s="61"/>
      <c r="J258" s="59"/>
      <c r="K258" s="58"/>
      <c r="L258" s="52"/>
    </row>
    <row r="259" spans="2:12">
      <c r="B259" s="50"/>
      <c r="C259" s="51"/>
      <c r="D259" s="44"/>
      <c r="E259" s="44"/>
      <c r="F259" s="44"/>
      <c r="G259" s="44"/>
      <c r="H259" s="44"/>
      <c r="I259" s="61"/>
      <c r="J259" s="59"/>
      <c r="K259" s="58"/>
      <c r="L259" s="52"/>
    </row>
    <row r="260" spans="2:12">
      <c r="B260" s="50"/>
      <c r="C260" s="51"/>
      <c r="D260" s="44"/>
      <c r="E260" s="44"/>
      <c r="F260" s="44"/>
      <c r="G260" s="44"/>
      <c r="H260" s="44"/>
      <c r="I260" s="61"/>
      <c r="J260" s="59"/>
      <c r="K260" s="58"/>
      <c r="L260" s="52"/>
    </row>
    <row r="261" spans="2:12">
      <c r="B261" s="50"/>
      <c r="C261" s="51"/>
      <c r="D261" s="44"/>
      <c r="E261" s="44"/>
      <c r="F261" s="44"/>
      <c r="G261" s="44"/>
      <c r="H261" s="44"/>
      <c r="I261" s="61"/>
      <c r="J261" s="59"/>
      <c r="K261" s="58"/>
      <c r="L261" s="52"/>
    </row>
    <row r="262" spans="2:12">
      <c r="B262" s="50"/>
      <c r="C262" s="51"/>
      <c r="D262" s="44"/>
      <c r="E262" s="44"/>
      <c r="F262" s="44"/>
      <c r="G262" s="44"/>
      <c r="H262" s="44"/>
      <c r="I262" s="61"/>
      <c r="J262" s="59"/>
      <c r="K262" s="58"/>
      <c r="L262" s="52"/>
    </row>
    <row r="263" spans="2:12">
      <c r="B263" s="50"/>
      <c r="C263" s="51"/>
      <c r="D263" s="44"/>
      <c r="E263" s="44"/>
      <c r="F263" s="44"/>
      <c r="G263" s="44"/>
      <c r="H263" s="44"/>
      <c r="I263" s="61"/>
      <c r="J263" s="59"/>
      <c r="K263" s="58"/>
      <c r="L263" s="52"/>
    </row>
    <row r="264" spans="2:12">
      <c r="B264" s="50"/>
      <c r="C264" s="51"/>
      <c r="D264" s="44"/>
      <c r="E264" s="44"/>
      <c r="F264" s="44"/>
      <c r="G264" s="44"/>
      <c r="H264" s="44"/>
      <c r="I264" s="61"/>
      <c r="J264" s="59"/>
      <c r="K264" s="58"/>
      <c r="L264" s="52"/>
    </row>
    <row r="265" spans="2:12">
      <c r="B265" s="50"/>
      <c r="C265" s="51"/>
      <c r="D265" s="44"/>
      <c r="E265" s="44"/>
      <c r="F265" s="44"/>
      <c r="G265" s="44"/>
      <c r="H265" s="44"/>
      <c r="I265" s="61"/>
      <c r="J265" s="59"/>
      <c r="K265" s="58"/>
      <c r="L265" s="52"/>
    </row>
    <row r="266" spans="2:12">
      <c r="B266" s="50"/>
      <c r="C266" s="51"/>
      <c r="D266" s="44"/>
      <c r="E266" s="44"/>
      <c r="F266" s="44"/>
      <c r="G266" s="44"/>
      <c r="H266" s="44"/>
      <c r="I266" s="61"/>
      <c r="J266" s="59"/>
      <c r="K266" s="58"/>
      <c r="L266" s="52"/>
    </row>
    <row r="267" spans="2:12">
      <c r="B267" s="50"/>
      <c r="C267" s="51"/>
      <c r="D267" s="44"/>
      <c r="E267" s="44"/>
      <c r="F267" s="44"/>
      <c r="G267" s="44"/>
      <c r="H267" s="44"/>
      <c r="I267" s="61"/>
      <c r="J267" s="59"/>
      <c r="K267" s="58"/>
      <c r="L267" s="52"/>
    </row>
    <row r="268" spans="2:12">
      <c r="B268" s="50"/>
      <c r="C268" s="51"/>
      <c r="D268" s="44"/>
      <c r="E268" s="44"/>
      <c r="F268" s="44"/>
      <c r="G268" s="44"/>
      <c r="H268" s="44"/>
      <c r="I268" s="61"/>
      <c r="J268" s="59"/>
      <c r="K268" s="58"/>
      <c r="L268" s="52"/>
    </row>
    <row r="269" spans="2:12">
      <c r="B269" s="50"/>
      <c r="C269" s="51"/>
      <c r="D269" s="44"/>
      <c r="E269" s="44"/>
      <c r="F269" s="44"/>
      <c r="G269" s="44"/>
      <c r="H269" s="44"/>
      <c r="I269" s="61"/>
      <c r="J269" s="59"/>
      <c r="K269" s="58"/>
      <c r="L269" s="52"/>
    </row>
    <row r="270" spans="2:12">
      <c r="B270" s="50"/>
      <c r="C270" s="51"/>
      <c r="D270" s="44"/>
      <c r="E270" s="44"/>
      <c r="F270" s="44"/>
      <c r="G270" s="44"/>
      <c r="H270" s="44"/>
      <c r="I270" s="61"/>
      <c r="J270" s="59"/>
      <c r="K270" s="58"/>
      <c r="L270" s="52"/>
    </row>
    <row r="271" spans="2:12">
      <c r="B271" s="50"/>
      <c r="C271" s="51"/>
      <c r="D271" s="44"/>
      <c r="E271" s="44"/>
      <c r="F271" s="44"/>
      <c r="G271" s="44"/>
      <c r="H271" s="44"/>
      <c r="I271" s="61"/>
      <c r="J271" s="59"/>
      <c r="K271" s="58"/>
      <c r="L271" s="52"/>
    </row>
    <row r="272" spans="2:12">
      <c r="B272" s="50"/>
      <c r="C272" s="51"/>
      <c r="D272" s="44"/>
      <c r="E272" s="44"/>
      <c r="F272" s="44"/>
      <c r="G272" s="44"/>
      <c r="H272" s="44"/>
      <c r="I272" s="61"/>
      <c r="J272" s="59"/>
      <c r="K272" s="58"/>
      <c r="L272" s="52"/>
    </row>
    <row r="273" spans="2:12">
      <c r="B273" s="50"/>
      <c r="C273" s="51"/>
      <c r="D273" s="44"/>
      <c r="E273" s="44"/>
      <c r="F273" s="44"/>
      <c r="G273" s="44"/>
      <c r="H273" s="44"/>
      <c r="I273" s="61"/>
      <c r="J273" s="59"/>
      <c r="K273" s="58"/>
      <c r="L273" s="52"/>
    </row>
    <row r="274" spans="2:12">
      <c r="B274" s="50"/>
      <c r="C274" s="51"/>
      <c r="D274" s="44"/>
      <c r="E274" s="44"/>
      <c r="F274" s="44"/>
      <c r="G274" s="44"/>
      <c r="H274" s="44"/>
      <c r="I274" s="61"/>
      <c r="J274" s="59"/>
      <c r="K274" s="58"/>
      <c r="L274" s="52"/>
    </row>
    <row r="275" spans="2:12">
      <c r="B275" s="50"/>
      <c r="C275" s="51"/>
      <c r="D275" s="44"/>
      <c r="E275" s="44"/>
      <c r="F275" s="44"/>
      <c r="G275" s="44"/>
      <c r="H275" s="44"/>
      <c r="I275" s="61"/>
      <c r="J275" s="59"/>
      <c r="K275" s="58"/>
      <c r="L275" s="52"/>
    </row>
    <row r="276" spans="2:12">
      <c r="B276" s="50"/>
      <c r="C276" s="51"/>
      <c r="D276" s="44"/>
      <c r="E276" s="44"/>
      <c r="F276" s="44"/>
      <c r="G276" s="44"/>
      <c r="H276" s="44"/>
      <c r="I276" s="61"/>
      <c r="J276" s="59"/>
      <c r="K276" s="58"/>
      <c r="L276" s="52"/>
    </row>
    <row r="277" spans="2:12">
      <c r="B277" s="50"/>
      <c r="C277" s="51"/>
      <c r="D277" s="44"/>
      <c r="E277" s="44"/>
      <c r="F277" s="44"/>
      <c r="G277" s="44"/>
      <c r="H277" s="44"/>
      <c r="I277" s="61"/>
      <c r="J277" s="59"/>
      <c r="K277" s="58"/>
      <c r="L277" s="52"/>
    </row>
    <row r="278" spans="2:12">
      <c r="B278" s="50"/>
      <c r="C278" s="51"/>
      <c r="D278" s="44"/>
      <c r="E278" s="44"/>
      <c r="F278" s="44"/>
      <c r="G278" s="44"/>
      <c r="H278" s="44"/>
      <c r="I278" s="61"/>
      <c r="J278" s="59"/>
      <c r="K278" s="58"/>
      <c r="L278" s="52"/>
    </row>
    <row r="279" spans="2:12">
      <c r="B279" s="50"/>
      <c r="C279" s="51"/>
      <c r="D279" s="44"/>
      <c r="E279" s="44"/>
      <c r="F279" s="44"/>
      <c r="G279" s="44"/>
      <c r="H279" s="44"/>
      <c r="I279" s="61"/>
      <c r="J279" s="59"/>
      <c r="K279" s="58"/>
      <c r="L279" s="52"/>
    </row>
    <row r="280" spans="2:12">
      <c r="B280" s="50"/>
      <c r="C280" s="51"/>
      <c r="D280" s="44"/>
      <c r="E280" s="44"/>
      <c r="F280" s="44"/>
      <c r="G280" s="44"/>
      <c r="H280" s="44"/>
      <c r="I280" s="61"/>
      <c r="J280" s="59"/>
      <c r="K280" s="58"/>
      <c r="L280" s="52"/>
    </row>
    <row r="281" spans="2:12">
      <c r="B281" s="50"/>
      <c r="C281" s="51"/>
      <c r="D281" s="44"/>
      <c r="E281" s="44"/>
      <c r="F281" s="44"/>
      <c r="G281" s="44"/>
      <c r="H281" s="44"/>
      <c r="I281" s="61"/>
      <c r="J281" s="59"/>
      <c r="K281" s="58"/>
      <c r="L281" s="52"/>
    </row>
    <row r="282" spans="2:12">
      <c r="B282" s="50"/>
      <c r="C282" s="51"/>
      <c r="D282" s="44"/>
      <c r="E282" s="44"/>
      <c r="F282" s="44"/>
      <c r="G282" s="44"/>
      <c r="H282" s="44"/>
      <c r="I282" s="61"/>
      <c r="J282" s="59"/>
      <c r="K282" s="58"/>
      <c r="L282" s="52"/>
    </row>
    <row r="283" spans="2:12">
      <c r="B283" s="50"/>
      <c r="C283" s="51"/>
      <c r="D283" s="44"/>
      <c r="E283" s="44"/>
      <c r="F283" s="44"/>
      <c r="G283" s="44"/>
      <c r="H283" s="44"/>
      <c r="I283" s="61"/>
      <c r="J283" s="59"/>
      <c r="K283" s="58"/>
      <c r="L283" s="52"/>
    </row>
    <row r="284" spans="2:12">
      <c r="B284" s="50"/>
      <c r="C284" s="51"/>
      <c r="D284" s="44"/>
      <c r="E284" s="44"/>
      <c r="F284" s="44"/>
      <c r="G284" s="44"/>
      <c r="H284" s="44"/>
      <c r="I284" s="61"/>
      <c r="J284" s="59"/>
      <c r="K284" s="58"/>
      <c r="L284" s="52"/>
    </row>
    <row r="285" spans="2:12">
      <c r="B285" s="50"/>
      <c r="C285" s="51"/>
      <c r="D285" s="44"/>
      <c r="E285" s="44"/>
      <c r="F285" s="44"/>
      <c r="G285" s="44"/>
      <c r="H285" s="44"/>
      <c r="I285" s="61"/>
      <c r="J285" s="59"/>
      <c r="K285" s="58"/>
      <c r="L285" s="52"/>
    </row>
    <row r="286" spans="2:12">
      <c r="B286" s="50"/>
      <c r="C286" s="51"/>
      <c r="D286" s="44"/>
      <c r="E286" s="44"/>
      <c r="F286" s="44"/>
      <c r="G286" s="44"/>
      <c r="H286" s="44"/>
      <c r="I286" s="61"/>
      <c r="J286" s="59"/>
      <c r="K286" s="58"/>
      <c r="L286" s="52"/>
    </row>
    <row r="287" spans="2:12">
      <c r="B287" s="50"/>
      <c r="C287" s="51"/>
      <c r="D287" s="44"/>
      <c r="E287" s="44"/>
      <c r="F287" s="44"/>
      <c r="G287" s="44"/>
      <c r="H287" s="44"/>
      <c r="I287" s="61"/>
      <c r="J287" s="59"/>
      <c r="K287" s="58"/>
      <c r="L287" s="52"/>
    </row>
    <row r="288" spans="2:12">
      <c r="B288" s="50"/>
      <c r="C288" s="51"/>
      <c r="D288" s="44"/>
      <c r="E288" s="44"/>
      <c r="F288" s="44"/>
      <c r="G288" s="44"/>
      <c r="H288" s="44"/>
      <c r="I288" s="61"/>
      <c r="J288" s="59"/>
      <c r="K288" s="58"/>
      <c r="L288" s="52"/>
    </row>
    <row r="289" spans="2:12">
      <c r="B289" s="50"/>
      <c r="C289" s="51"/>
      <c r="D289" s="44"/>
      <c r="E289" s="44"/>
      <c r="F289" s="44"/>
      <c r="G289" s="44"/>
      <c r="H289" s="44"/>
      <c r="I289" s="61"/>
      <c r="J289" s="59"/>
      <c r="K289" s="58"/>
      <c r="L289" s="52"/>
    </row>
    <row r="290" spans="2:12">
      <c r="B290" s="50"/>
      <c r="C290" s="51"/>
      <c r="D290" s="44"/>
      <c r="E290" s="44"/>
      <c r="F290" s="44"/>
      <c r="G290" s="44"/>
      <c r="H290" s="44"/>
      <c r="I290" s="61"/>
      <c r="J290" s="59"/>
      <c r="K290" s="58"/>
      <c r="L290" s="52"/>
    </row>
    <row r="291" spans="2:12">
      <c r="B291" s="50"/>
      <c r="C291" s="51"/>
      <c r="D291" s="44"/>
      <c r="E291" s="44"/>
      <c r="F291" s="44"/>
      <c r="G291" s="44"/>
      <c r="H291" s="44"/>
      <c r="I291" s="61"/>
      <c r="J291" s="59"/>
      <c r="K291" s="58"/>
      <c r="L291" s="52"/>
    </row>
    <row r="292" spans="2:12">
      <c r="B292" s="50"/>
      <c r="C292" s="51"/>
      <c r="D292" s="44"/>
      <c r="E292" s="44"/>
      <c r="F292" s="44"/>
      <c r="G292" s="44"/>
      <c r="H292" s="44"/>
      <c r="I292" s="61"/>
      <c r="J292" s="59"/>
      <c r="K292" s="58"/>
      <c r="L292" s="52"/>
    </row>
    <row r="293" spans="2:12">
      <c r="B293" s="50"/>
      <c r="C293" s="51"/>
      <c r="D293" s="44"/>
      <c r="E293" s="44"/>
      <c r="F293" s="44"/>
      <c r="G293" s="44"/>
      <c r="H293" s="44"/>
      <c r="I293" s="61"/>
      <c r="J293" s="59"/>
      <c r="K293" s="58"/>
      <c r="L293" s="52"/>
    </row>
    <row r="294" spans="2:12">
      <c r="B294" s="50"/>
      <c r="C294" s="51"/>
      <c r="D294" s="44"/>
      <c r="E294" s="44"/>
      <c r="F294" s="44"/>
      <c r="G294" s="44"/>
      <c r="H294" s="44"/>
      <c r="I294" s="61"/>
      <c r="J294" s="59"/>
      <c r="K294" s="58"/>
      <c r="L294" s="52"/>
    </row>
    <row r="295" spans="2:12">
      <c r="B295" s="50"/>
      <c r="C295" s="51"/>
      <c r="D295" s="44"/>
      <c r="E295" s="44"/>
      <c r="F295" s="44"/>
      <c r="G295" s="44"/>
      <c r="H295" s="44"/>
      <c r="I295" s="61"/>
      <c r="J295" s="59"/>
      <c r="K295" s="58"/>
      <c r="L295" s="52"/>
    </row>
    <row r="296" spans="2:12">
      <c r="B296" s="50"/>
      <c r="C296" s="51"/>
      <c r="D296" s="44"/>
      <c r="E296" s="44"/>
      <c r="F296" s="44"/>
      <c r="G296" s="44"/>
      <c r="H296" s="44"/>
      <c r="I296" s="61"/>
      <c r="J296" s="59"/>
      <c r="K296" s="58"/>
      <c r="L296" s="52"/>
    </row>
    <row r="297" spans="2:12">
      <c r="B297" s="50"/>
      <c r="C297" s="51"/>
      <c r="D297" s="44"/>
      <c r="E297" s="44"/>
      <c r="F297" s="44"/>
      <c r="G297" s="44"/>
      <c r="H297" s="44"/>
      <c r="I297" s="61"/>
      <c r="J297" s="59"/>
      <c r="K297" s="58"/>
      <c r="L297" s="52"/>
    </row>
    <row r="298" spans="2:12">
      <c r="B298" s="50"/>
      <c r="C298" s="51"/>
      <c r="D298" s="44"/>
      <c r="E298" s="44"/>
      <c r="F298" s="44"/>
      <c r="G298" s="44"/>
      <c r="H298" s="44"/>
      <c r="I298" s="61"/>
      <c r="J298" s="59"/>
      <c r="K298" s="58"/>
      <c r="L298" s="52"/>
    </row>
    <row r="299" spans="2:12">
      <c r="B299" s="50"/>
      <c r="C299" s="51"/>
      <c r="D299" s="44"/>
      <c r="E299" s="44"/>
      <c r="F299" s="44"/>
      <c r="G299" s="44"/>
      <c r="H299" s="44"/>
      <c r="I299" s="61"/>
      <c r="J299" s="59"/>
      <c r="K299" s="58"/>
      <c r="L299" s="52"/>
    </row>
    <row r="300" spans="2:12">
      <c r="B300" s="50"/>
      <c r="C300" s="51"/>
      <c r="D300" s="44"/>
      <c r="E300" s="44"/>
      <c r="F300" s="44"/>
      <c r="G300" s="44"/>
      <c r="H300" s="44"/>
      <c r="I300" s="61"/>
      <c r="J300" s="59"/>
      <c r="K300" s="58"/>
      <c r="L300" s="52"/>
    </row>
    <row r="301" spans="2:12">
      <c r="B301" s="50"/>
      <c r="C301" s="51"/>
      <c r="D301" s="44"/>
      <c r="E301" s="44"/>
      <c r="F301" s="44"/>
      <c r="G301" s="44"/>
      <c r="H301" s="44"/>
      <c r="I301" s="61"/>
      <c r="J301" s="59"/>
      <c r="K301" s="58"/>
      <c r="L301" s="52"/>
    </row>
    <row r="302" spans="2:12">
      <c r="B302" s="50"/>
      <c r="C302" s="51"/>
      <c r="D302" s="44"/>
      <c r="E302" s="44"/>
      <c r="F302" s="44"/>
      <c r="G302" s="44"/>
      <c r="H302" s="44"/>
      <c r="I302" s="61"/>
      <c r="J302" s="59"/>
      <c r="K302" s="58"/>
      <c r="L302" s="52"/>
    </row>
    <row r="303" spans="2:12">
      <c r="B303" s="50"/>
      <c r="C303" s="51"/>
      <c r="D303" s="44"/>
      <c r="E303" s="44"/>
      <c r="F303" s="44"/>
      <c r="G303" s="44"/>
      <c r="H303" s="44"/>
      <c r="I303" s="61"/>
      <c r="J303" s="59"/>
      <c r="K303" s="58"/>
      <c r="L303" s="52"/>
    </row>
    <row r="304" spans="2:12">
      <c r="B304" s="50"/>
      <c r="C304" s="51"/>
      <c r="D304" s="44"/>
      <c r="E304" s="44"/>
      <c r="F304" s="44"/>
      <c r="G304" s="44"/>
      <c r="H304" s="44"/>
      <c r="I304" s="61"/>
      <c r="J304" s="59"/>
      <c r="K304" s="58"/>
      <c r="L304" s="52"/>
    </row>
    <row r="305" spans="2:12">
      <c r="B305" s="50"/>
      <c r="C305" s="51"/>
      <c r="D305" s="44"/>
      <c r="E305" s="44"/>
      <c r="F305" s="44"/>
      <c r="G305" s="44"/>
      <c r="H305" s="44"/>
      <c r="I305" s="61"/>
      <c r="J305" s="59"/>
      <c r="K305" s="58"/>
      <c r="L305" s="52"/>
    </row>
    <row r="306" spans="2:12">
      <c r="B306" s="50"/>
      <c r="C306" s="51"/>
      <c r="D306" s="44"/>
      <c r="E306" s="44"/>
      <c r="F306" s="44"/>
      <c r="G306" s="44"/>
      <c r="H306" s="44"/>
      <c r="I306" s="61"/>
      <c r="J306" s="59"/>
      <c r="K306" s="58"/>
      <c r="L306" s="52"/>
    </row>
    <row r="307" spans="2:12">
      <c r="B307" s="50"/>
      <c r="C307" s="51"/>
      <c r="D307" s="44"/>
      <c r="E307" s="44"/>
      <c r="F307" s="44"/>
      <c r="G307" s="44"/>
      <c r="H307" s="44"/>
      <c r="I307" s="61"/>
      <c r="J307" s="59"/>
      <c r="K307" s="58"/>
      <c r="L307" s="52"/>
    </row>
    <row r="308" spans="2:12">
      <c r="B308" s="50"/>
      <c r="C308" s="51"/>
      <c r="D308" s="44"/>
      <c r="E308" s="44"/>
      <c r="F308" s="44"/>
      <c r="G308" s="44"/>
      <c r="H308" s="44"/>
      <c r="I308" s="61"/>
      <c r="J308" s="59"/>
      <c r="K308" s="58"/>
      <c r="L308" s="52"/>
    </row>
    <row r="309" spans="2:12">
      <c r="B309" s="50"/>
      <c r="C309" s="51"/>
      <c r="D309" s="44"/>
      <c r="E309" s="44"/>
      <c r="F309" s="44"/>
      <c r="G309" s="44"/>
      <c r="H309" s="44"/>
      <c r="I309" s="61"/>
      <c r="J309" s="59"/>
      <c r="K309" s="58"/>
      <c r="L309" s="52"/>
    </row>
    <row r="310" spans="2:12">
      <c r="B310" s="50"/>
      <c r="C310" s="51"/>
      <c r="D310" s="44"/>
      <c r="E310" s="44"/>
      <c r="F310" s="44"/>
      <c r="G310" s="44"/>
      <c r="H310" s="44"/>
      <c r="I310" s="61"/>
      <c r="J310" s="59"/>
      <c r="K310" s="58"/>
      <c r="L310" s="52"/>
    </row>
    <row r="311" spans="2:12">
      <c r="B311" s="50"/>
      <c r="C311" s="51"/>
      <c r="D311" s="44"/>
      <c r="E311" s="44"/>
      <c r="F311" s="44"/>
      <c r="G311" s="44"/>
      <c r="H311" s="44"/>
      <c r="I311" s="61"/>
      <c r="J311" s="59"/>
      <c r="K311" s="58"/>
      <c r="L311" s="52"/>
    </row>
    <row r="312" spans="2:12">
      <c r="B312" s="50"/>
      <c r="C312" s="51"/>
      <c r="D312" s="44"/>
      <c r="E312" s="44"/>
      <c r="F312" s="44"/>
      <c r="G312" s="44"/>
      <c r="H312" s="44"/>
      <c r="I312" s="61"/>
      <c r="J312" s="59"/>
      <c r="K312" s="58"/>
      <c r="L312" s="52"/>
    </row>
    <row r="313" spans="2:12">
      <c r="B313" s="50"/>
      <c r="C313" s="51"/>
      <c r="D313" s="44"/>
      <c r="E313" s="44"/>
      <c r="F313" s="44"/>
      <c r="G313" s="44"/>
      <c r="H313" s="44"/>
      <c r="I313" s="61"/>
      <c r="J313" s="59"/>
      <c r="K313" s="58"/>
      <c r="L313" s="52"/>
    </row>
    <row r="314" spans="2:12">
      <c r="B314" s="50"/>
      <c r="C314" s="51"/>
      <c r="D314" s="44"/>
      <c r="E314" s="44"/>
      <c r="F314" s="44"/>
      <c r="G314" s="44"/>
      <c r="H314" s="44"/>
      <c r="I314" s="61"/>
      <c r="J314" s="59"/>
      <c r="K314" s="58"/>
      <c r="L314" s="52"/>
    </row>
    <row r="315" spans="2:12">
      <c r="B315" s="50"/>
      <c r="C315" s="51"/>
      <c r="D315" s="44"/>
      <c r="E315" s="44"/>
      <c r="F315" s="44"/>
      <c r="G315" s="44"/>
      <c r="H315" s="44"/>
      <c r="I315" s="61"/>
      <c r="J315" s="59"/>
      <c r="K315" s="58"/>
      <c r="L315" s="52"/>
    </row>
    <row r="316" spans="2:12">
      <c r="B316" s="50"/>
      <c r="C316" s="51"/>
      <c r="D316" s="44"/>
      <c r="E316" s="44"/>
      <c r="F316" s="44"/>
      <c r="G316" s="44"/>
      <c r="H316" s="44"/>
      <c r="I316" s="61"/>
      <c r="J316" s="59"/>
      <c r="K316" s="58"/>
      <c r="L316" s="52"/>
    </row>
    <row r="317" spans="2:12">
      <c r="B317" s="50"/>
      <c r="C317" s="51"/>
      <c r="D317" s="44"/>
      <c r="E317" s="44"/>
      <c r="F317" s="44"/>
      <c r="G317" s="44"/>
      <c r="H317" s="44"/>
      <c r="I317" s="61"/>
      <c r="J317" s="59"/>
      <c r="K317" s="58"/>
      <c r="L317" s="52"/>
    </row>
    <row r="318" spans="2:12">
      <c r="B318" s="50"/>
      <c r="C318" s="51"/>
      <c r="D318" s="44"/>
      <c r="E318" s="44"/>
      <c r="F318" s="44"/>
      <c r="G318" s="44"/>
      <c r="H318" s="44"/>
      <c r="I318" s="61"/>
      <c r="J318" s="59"/>
      <c r="K318" s="58"/>
      <c r="L318" s="52"/>
    </row>
    <row r="319" spans="2:12">
      <c r="B319" s="50"/>
      <c r="C319" s="51"/>
      <c r="D319" s="44"/>
      <c r="E319" s="44"/>
      <c r="F319" s="44"/>
      <c r="G319" s="44"/>
      <c r="H319" s="44"/>
      <c r="I319" s="61"/>
      <c r="J319" s="59"/>
      <c r="K319" s="58"/>
      <c r="L319" s="52"/>
    </row>
    <row r="320" spans="2:12">
      <c r="B320" s="50"/>
      <c r="C320" s="51"/>
      <c r="D320" s="44"/>
      <c r="E320" s="44"/>
      <c r="F320" s="44"/>
      <c r="G320" s="44"/>
      <c r="H320" s="44"/>
      <c r="I320" s="61"/>
      <c r="J320" s="59"/>
      <c r="K320" s="58"/>
      <c r="L320" s="52"/>
    </row>
    <row r="321" spans="2:12">
      <c r="B321" s="50"/>
      <c r="C321" s="51"/>
      <c r="D321" s="44"/>
      <c r="E321" s="44"/>
      <c r="F321" s="44"/>
      <c r="G321" s="44"/>
      <c r="H321" s="44"/>
      <c r="I321" s="61"/>
      <c r="J321" s="59"/>
      <c r="K321" s="58"/>
      <c r="L321" s="52"/>
    </row>
    <row r="322" spans="2:12">
      <c r="B322" s="50"/>
      <c r="C322" s="51"/>
      <c r="D322" s="44"/>
      <c r="E322" s="44"/>
      <c r="F322" s="44"/>
      <c r="G322" s="44"/>
      <c r="H322" s="44"/>
      <c r="I322" s="61"/>
      <c r="J322" s="59"/>
      <c r="K322" s="58"/>
      <c r="L322" s="52"/>
    </row>
    <row r="323" spans="2:12">
      <c r="B323" s="50"/>
      <c r="C323" s="51"/>
      <c r="D323" s="44"/>
      <c r="E323" s="44"/>
      <c r="F323" s="44"/>
      <c r="G323" s="44"/>
      <c r="H323" s="44"/>
      <c r="I323" s="61"/>
      <c r="J323" s="59"/>
      <c r="K323" s="58"/>
      <c r="L323" s="52"/>
    </row>
    <row r="324" spans="2:12">
      <c r="B324" s="50"/>
      <c r="C324" s="51"/>
      <c r="D324" s="44"/>
      <c r="E324" s="44"/>
      <c r="F324" s="44"/>
      <c r="G324" s="44"/>
      <c r="H324" s="44"/>
      <c r="I324" s="61"/>
      <c r="J324" s="59"/>
      <c r="K324" s="58"/>
      <c r="L324" s="52"/>
    </row>
    <row r="325" spans="2:12">
      <c r="B325" s="50"/>
      <c r="C325" s="51"/>
      <c r="D325" s="44"/>
      <c r="E325" s="44"/>
      <c r="F325" s="44"/>
      <c r="G325" s="44"/>
      <c r="H325" s="44"/>
      <c r="I325" s="61"/>
      <c r="J325" s="59"/>
      <c r="K325" s="58"/>
      <c r="L325" s="52"/>
    </row>
    <row r="326" spans="2:12">
      <c r="B326" s="50"/>
      <c r="C326" s="51"/>
      <c r="D326" s="44"/>
      <c r="E326" s="44"/>
      <c r="F326" s="44"/>
      <c r="G326" s="44"/>
      <c r="H326" s="44"/>
      <c r="I326" s="61"/>
      <c r="J326" s="59"/>
      <c r="K326" s="58"/>
      <c r="L326" s="52"/>
    </row>
    <row r="327" spans="2:12">
      <c r="B327" s="50"/>
      <c r="C327" s="51"/>
      <c r="D327" s="44"/>
      <c r="E327" s="44"/>
      <c r="F327" s="44"/>
      <c r="G327" s="44"/>
      <c r="H327" s="44"/>
      <c r="I327" s="61"/>
      <c r="J327" s="59"/>
      <c r="K327" s="58"/>
      <c r="L327" s="52"/>
    </row>
    <row r="328" spans="2:12">
      <c r="B328" s="50"/>
      <c r="C328" s="51"/>
      <c r="D328" s="44"/>
      <c r="E328" s="44"/>
      <c r="F328" s="44"/>
      <c r="G328" s="44"/>
      <c r="H328" s="44"/>
      <c r="I328" s="61"/>
      <c r="J328" s="59"/>
      <c r="K328" s="58"/>
      <c r="L328" s="52"/>
    </row>
    <row r="329" spans="2:12">
      <c r="B329" s="50"/>
      <c r="C329" s="51"/>
      <c r="D329" s="44"/>
      <c r="E329" s="44"/>
      <c r="F329" s="44"/>
      <c r="G329" s="44"/>
      <c r="H329" s="44"/>
      <c r="I329" s="61"/>
      <c r="J329" s="59"/>
      <c r="K329" s="58"/>
      <c r="L329" s="52"/>
    </row>
    <row r="330" spans="2:12">
      <c r="B330" s="50"/>
      <c r="C330" s="51"/>
      <c r="D330" s="44"/>
      <c r="E330" s="44"/>
      <c r="F330" s="44"/>
      <c r="G330" s="44"/>
      <c r="H330" s="44"/>
      <c r="I330" s="61"/>
      <c r="J330" s="59"/>
      <c r="K330" s="58"/>
      <c r="L330" s="52"/>
    </row>
    <row r="331" spans="2:12">
      <c r="B331" s="50"/>
      <c r="C331" s="51"/>
      <c r="D331" s="44"/>
      <c r="E331" s="44"/>
      <c r="F331" s="44"/>
      <c r="G331" s="44"/>
      <c r="H331" s="44"/>
      <c r="I331" s="61"/>
      <c r="J331" s="59"/>
      <c r="K331" s="58"/>
      <c r="L331" s="52"/>
    </row>
    <row r="332" spans="2:12">
      <c r="B332" s="50"/>
      <c r="C332" s="51"/>
      <c r="D332" s="44"/>
      <c r="E332" s="44"/>
      <c r="F332" s="44"/>
      <c r="G332" s="44"/>
      <c r="H332" s="44"/>
      <c r="I332" s="61"/>
      <c r="J332" s="59"/>
      <c r="K332" s="58"/>
      <c r="L332" s="52"/>
    </row>
    <row r="333" spans="2:12">
      <c r="B333" s="50"/>
      <c r="C333" s="51"/>
      <c r="D333" s="44"/>
      <c r="E333" s="44"/>
      <c r="F333" s="44"/>
      <c r="G333" s="44"/>
      <c r="H333" s="44"/>
      <c r="I333" s="61"/>
      <c r="J333" s="59"/>
      <c r="K333" s="58"/>
      <c r="L333" s="52"/>
    </row>
    <row r="334" spans="2:12">
      <c r="B334" s="50"/>
      <c r="C334" s="51"/>
      <c r="D334" s="44"/>
      <c r="E334" s="44"/>
      <c r="F334" s="44"/>
      <c r="G334" s="44"/>
      <c r="I334" s="61"/>
      <c r="J334" s="59"/>
      <c r="K334" s="58"/>
      <c r="L334" s="52"/>
    </row>
    <row r="335" spans="2:12">
      <c r="B335" s="50"/>
      <c r="C335" s="51"/>
      <c r="D335" s="44"/>
      <c r="E335" s="44"/>
      <c r="F335" s="44"/>
      <c r="G335" s="44"/>
      <c r="I335" s="61"/>
      <c r="J335" s="59"/>
      <c r="K335" s="58"/>
      <c r="L335" s="52"/>
    </row>
    <row r="336" spans="2:12">
      <c r="B336" s="50"/>
      <c r="C336" s="51"/>
      <c r="D336" s="44"/>
      <c r="E336" s="44"/>
      <c r="F336" s="44"/>
      <c r="G336" s="44"/>
      <c r="I336" s="61"/>
      <c r="J336" s="59"/>
      <c r="K336" s="58"/>
      <c r="L336" s="52"/>
    </row>
    <row r="337" spans="2:12">
      <c r="B337" s="50"/>
      <c r="C337" s="51"/>
      <c r="D337" s="44"/>
      <c r="E337" s="44"/>
      <c r="F337" s="44"/>
      <c r="G337" s="44"/>
      <c r="I337" s="61"/>
      <c r="J337" s="59"/>
      <c r="K337" s="58"/>
      <c r="L337" s="52"/>
    </row>
    <row r="338" spans="2:12">
      <c r="B338" s="50"/>
      <c r="C338" s="51"/>
      <c r="D338" s="44"/>
      <c r="E338" s="44"/>
      <c r="F338" s="44"/>
      <c r="G338" s="44"/>
      <c r="I338" s="61"/>
      <c r="J338" s="59"/>
      <c r="K338" s="58"/>
      <c r="L338" s="52"/>
    </row>
    <row r="339" spans="2:12">
      <c r="B339" s="50"/>
      <c r="C339" s="51"/>
      <c r="D339" s="44"/>
      <c r="E339" s="44"/>
      <c r="F339" s="44"/>
      <c r="G339" s="44"/>
      <c r="I339" s="61"/>
      <c r="J339" s="59"/>
      <c r="K339" s="58"/>
      <c r="L339" s="52"/>
    </row>
    <row r="340" spans="2:12">
      <c r="B340" s="50"/>
      <c r="C340" s="51"/>
      <c r="D340" s="44"/>
      <c r="E340" s="44"/>
      <c r="F340" s="44"/>
      <c r="G340" s="44"/>
      <c r="I340" s="61"/>
      <c r="J340" s="59"/>
      <c r="K340" s="58"/>
      <c r="L340" s="52"/>
    </row>
    <row r="341" spans="2:12">
      <c r="B341" s="50"/>
      <c r="C341" s="51"/>
      <c r="D341" s="44"/>
      <c r="E341" s="44"/>
      <c r="F341" s="44"/>
      <c r="G341" s="44"/>
      <c r="I341" s="61"/>
      <c r="J341" s="59"/>
      <c r="K341" s="58"/>
      <c r="L341" s="52"/>
    </row>
    <row r="342" spans="2:12">
      <c r="B342" s="50"/>
      <c r="C342" s="51"/>
      <c r="D342" s="44"/>
      <c r="E342" s="44"/>
      <c r="F342" s="44"/>
      <c r="G342" s="44"/>
      <c r="I342" s="61"/>
      <c r="J342" s="59"/>
      <c r="K342" s="58"/>
      <c r="L342" s="52"/>
    </row>
    <row r="343" spans="2:12">
      <c r="B343" s="50"/>
      <c r="C343" s="51"/>
      <c r="D343" s="44"/>
      <c r="E343" s="44"/>
      <c r="F343" s="44"/>
      <c r="G343" s="44"/>
      <c r="I343" s="61"/>
      <c r="J343" s="59"/>
      <c r="K343" s="58"/>
      <c r="L343" s="52"/>
    </row>
    <row r="344" spans="2:12">
      <c r="B344" s="50"/>
      <c r="C344" s="51"/>
      <c r="D344" s="44"/>
      <c r="E344" s="44"/>
      <c r="F344" s="44"/>
      <c r="G344" s="44"/>
      <c r="I344" s="61"/>
      <c r="J344" s="59"/>
      <c r="K344" s="58"/>
      <c r="L344" s="52"/>
    </row>
    <row r="345" spans="2:12">
      <c r="B345" s="50"/>
      <c r="C345" s="51"/>
      <c r="D345" s="44"/>
      <c r="E345" s="44"/>
      <c r="F345" s="44"/>
      <c r="G345" s="44"/>
      <c r="I345" s="61"/>
      <c r="J345" s="59"/>
      <c r="K345" s="58"/>
      <c r="L345" s="52"/>
    </row>
    <row r="346" spans="2:12">
      <c r="B346" s="50"/>
      <c r="C346" s="51"/>
      <c r="D346" s="44"/>
      <c r="E346" s="44"/>
      <c r="F346" s="44"/>
      <c r="G346" s="44"/>
      <c r="I346" s="61"/>
      <c r="J346" s="59"/>
      <c r="K346" s="58"/>
      <c r="L346" s="52"/>
    </row>
    <row r="347" spans="2:12">
      <c r="B347" s="50"/>
      <c r="C347" s="51"/>
      <c r="D347" s="44"/>
      <c r="E347" s="44"/>
      <c r="F347" s="44"/>
      <c r="G347" s="44"/>
      <c r="I347" s="61"/>
      <c r="J347" s="59"/>
      <c r="K347" s="58"/>
      <c r="L347" s="52"/>
    </row>
    <row r="348" spans="2:12">
      <c r="B348" s="50"/>
      <c r="C348" s="51"/>
      <c r="D348" s="44"/>
      <c r="E348" s="44"/>
      <c r="F348" s="44"/>
      <c r="G348" s="44"/>
      <c r="I348" s="61"/>
      <c r="J348" s="59"/>
      <c r="K348" s="58"/>
      <c r="L348" s="52"/>
    </row>
    <row r="349" spans="2:12">
      <c r="B349" s="50"/>
      <c r="C349" s="51"/>
      <c r="D349" s="44"/>
      <c r="E349" s="44"/>
      <c r="F349" s="44"/>
      <c r="G349" s="44"/>
      <c r="I349" s="61"/>
      <c r="J349" s="59"/>
      <c r="K349" s="58"/>
      <c r="L349" s="52"/>
    </row>
    <row r="350" spans="2:12">
      <c r="B350" s="50"/>
      <c r="C350" s="51"/>
      <c r="D350" s="44"/>
      <c r="E350" s="44"/>
      <c r="F350" s="44"/>
      <c r="G350" s="44"/>
      <c r="I350" s="61"/>
      <c r="J350" s="59"/>
      <c r="K350" s="58"/>
      <c r="L350" s="52"/>
    </row>
    <row r="351" spans="2:12">
      <c r="B351" s="50"/>
      <c r="C351" s="51"/>
      <c r="D351" s="44"/>
      <c r="E351" s="44"/>
      <c r="F351" s="44"/>
      <c r="G351" s="44"/>
      <c r="I351" s="61"/>
      <c r="J351" s="59"/>
      <c r="K351" s="58"/>
      <c r="L351" s="52"/>
    </row>
    <row r="352" spans="2:12">
      <c r="B352" s="50"/>
      <c r="C352" s="51"/>
      <c r="D352" s="44"/>
      <c r="E352" s="44"/>
      <c r="F352" s="44"/>
      <c r="G352" s="44"/>
      <c r="I352" s="61"/>
      <c r="J352" s="59"/>
      <c r="K352" s="58"/>
      <c r="L352" s="52"/>
    </row>
    <row r="353" spans="2:12">
      <c r="B353" s="50"/>
      <c r="C353" s="51"/>
      <c r="D353" s="44"/>
      <c r="E353" s="44"/>
      <c r="F353" s="44"/>
      <c r="G353" s="44"/>
      <c r="I353" s="61"/>
      <c r="J353" s="59"/>
      <c r="K353" s="58"/>
      <c r="L353" s="52"/>
    </row>
    <row r="354" spans="2:12">
      <c r="B354" s="50"/>
      <c r="C354" s="51"/>
      <c r="D354" s="44"/>
      <c r="E354" s="44"/>
      <c r="F354" s="44"/>
      <c r="G354" s="44"/>
      <c r="I354" s="61"/>
      <c r="J354" s="59"/>
      <c r="K354" s="58"/>
      <c r="L354" s="52"/>
    </row>
    <row r="355" spans="2:12">
      <c r="B355" s="50"/>
      <c r="C355" s="51"/>
      <c r="D355" s="44"/>
      <c r="E355" s="44"/>
      <c r="F355" s="44"/>
      <c r="G355" s="44"/>
      <c r="I355" s="61"/>
      <c r="J355" s="59"/>
      <c r="K355" s="58"/>
      <c r="L355" s="52"/>
    </row>
    <row r="356" spans="2:12">
      <c r="B356" s="50"/>
      <c r="C356" s="51"/>
      <c r="D356" s="44"/>
      <c r="E356" s="44"/>
      <c r="F356" s="44"/>
      <c r="G356" s="44"/>
      <c r="I356" s="61"/>
      <c r="J356" s="59"/>
      <c r="K356" s="58"/>
      <c r="L356" s="52"/>
    </row>
    <row r="357" spans="2:12">
      <c r="B357" s="50"/>
      <c r="C357" s="51"/>
      <c r="D357" s="44"/>
      <c r="E357" s="44"/>
      <c r="F357" s="44"/>
      <c r="G357" s="44"/>
      <c r="I357" s="61"/>
      <c r="J357" s="59"/>
      <c r="K357" s="58"/>
      <c r="L357" s="52"/>
    </row>
    <row r="358" spans="2:12">
      <c r="B358" s="50"/>
      <c r="C358" s="51"/>
      <c r="D358" s="44"/>
      <c r="E358" s="44"/>
      <c r="F358" s="44"/>
      <c r="G358" s="44"/>
      <c r="I358" s="61"/>
      <c r="J358" s="59"/>
      <c r="K358" s="58"/>
      <c r="L358" s="52"/>
    </row>
    <row r="359" spans="2:12">
      <c r="B359" s="50"/>
      <c r="C359" s="51"/>
      <c r="D359" s="44"/>
      <c r="E359" s="44"/>
      <c r="F359" s="44"/>
      <c r="G359" s="44"/>
      <c r="I359" s="61"/>
      <c r="J359" s="59"/>
      <c r="K359" s="58"/>
      <c r="L359" s="52"/>
    </row>
    <row r="360" spans="2:12">
      <c r="B360" s="50"/>
      <c r="C360" s="51"/>
      <c r="D360" s="44"/>
      <c r="E360" s="44"/>
      <c r="F360" s="44"/>
      <c r="G360" s="44"/>
      <c r="I360" s="61"/>
      <c r="J360" s="59"/>
      <c r="K360" s="58"/>
      <c r="L360" s="52"/>
    </row>
    <row r="361" spans="2:12">
      <c r="B361" s="50"/>
      <c r="C361" s="51"/>
      <c r="D361" s="44"/>
      <c r="E361" s="44"/>
      <c r="F361" s="44"/>
      <c r="G361" s="44"/>
      <c r="I361" s="61"/>
      <c r="J361" s="59"/>
      <c r="K361" s="58"/>
      <c r="L361" s="52"/>
    </row>
    <row r="362" spans="2:12">
      <c r="B362" s="50"/>
      <c r="C362" s="51"/>
      <c r="D362" s="44"/>
      <c r="E362" s="44"/>
      <c r="F362" s="44"/>
      <c r="G362" s="44"/>
      <c r="I362" s="61"/>
      <c r="J362" s="59"/>
      <c r="K362" s="58"/>
      <c r="L362" s="52"/>
    </row>
    <row r="363" spans="2:12">
      <c r="B363" s="50"/>
      <c r="C363" s="51"/>
      <c r="D363" s="44"/>
      <c r="E363" s="44"/>
      <c r="F363" s="44"/>
      <c r="G363" s="44"/>
      <c r="I363" s="61"/>
      <c r="J363" s="59"/>
      <c r="K363" s="58"/>
      <c r="L363" s="52"/>
    </row>
    <row r="364" spans="2:12">
      <c r="B364" s="50"/>
      <c r="C364" s="51"/>
      <c r="D364" s="44"/>
      <c r="E364" s="44"/>
      <c r="F364" s="44"/>
      <c r="G364" s="44"/>
      <c r="I364" s="61"/>
      <c r="J364" s="59"/>
      <c r="K364" s="58"/>
      <c r="L364" s="52"/>
    </row>
    <row r="365" spans="2:12">
      <c r="B365" s="50"/>
      <c r="C365" s="51"/>
      <c r="D365" s="44"/>
      <c r="E365" s="44"/>
      <c r="F365" s="44"/>
      <c r="G365" s="44"/>
      <c r="I365" s="61"/>
      <c r="J365" s="59"/>
      <c r="K365" s="58"/>
      <c r="L365" s="52"/>
    </row>
    <row r="366" spans="2:12">
      <c r="B366" s="50"/>
      <c r="C366" s="51"/>
      <c r="D366" s="44"/>
      <c r="E366" s="44"/>
      <c r="F366" s="44"/>
      <c r="G366" s="44"/>
      <c r="I366" s="61"/>
      <c r="J366" s="59"/>
      <c r="K366" s="58"/>
      <c r="L366" s="52"/>
    </row>
    <row r="367" spans="2:12">
      <c r="B367" s="50"/>
      <c r="C367" s="51"/>
      <c r="D367" s="44"/>
      <c r="E367" s="44"/>
      <c r="F367" s="44"/>
      <c r="G367" s="44"/>
      <c r="I367" s="61"/>
      <c r="J367" s="59"/>
      <c r="K367" s="58"/>
      <c r="L367" s="52"/>
    </row>
    <row r="368" spans="2:12">
      <c r="B368" s="50"/>
      <c r="C368" s="51"/>
      <c r="D368" s="44"/>
      <c r="E368" s="44"/>
      <c r="F368" s="44"/>
      <c r="G368" s="44"/>
      <c r="I368" s="61"/>
      <c r="J368" s="59"/>
      <c r="K368" s="58"/>
      <c r="L368" s="52"/>
    </row>
    <row r="369" spans="2:12">
      <c r="B369" s="50"/>
      <c r="C369" s="51"/>
      <c r="D369" s="44"/>
      <c r="E369" s="44"/>
      <c r="F369" s="44"/>
      <c r="G369" s="44"/>
      <c r="I369" s="61"/>
      <c r="J369" s="59"/>
      <c r="K369" s="58"/>
      <c r="L369" s="52"/>
    </row>
    <row r="370" spans="2:12">
      <c r="B370" s="50"/>
      <c r="C370" s="51"/>
      <c r="D370" s="44"/>
      <c r="E370" s="44"/>
      <c r="F370" s="44"/>
      <c r="G370" s="44"/>
      <c r="I370" s="61"/>
      <c r="J370" s="59"/>
      <c r="K370" s="58"/>
      <c r="L370" s="52"/>
    </row>
    <row r="371" spans="2:12">
      <c r="B371" s="50"/>
      <c r="C371" s="51"/>
      <c r="D371" s="44"/>
      <c r="E371" s="44"/>
      <c r="F371" s="44"/>
      <c r="G371" s="44"/>
      <c r="I371" s="61"/>
      <c r="J371" s="59"/>
      <c r="K371" s="58"/>
      <c r="L371" s="52"/>
    </row>
    <row r="372" spans="2:12">
      <c r="B372" s="50"/>
      <c r="C372" s="51"/>
      <c r="D372" s="44"/>
      <c r="E372" s="44"/>
      <c r="F372" s="44"/>
      <c r="G372" s="44"/>
      <c r="H372" s="44"/>
      <c r="I372" s="61"/>
      <c r="J372" s="59"/>
      <c r="K372" s="58"/>
      <c r="L372" s="52"/>
    </row>
    <row r="373" spans="2:12">
      <c r="B373" s="50"/>
      <c r="C373" s="51"/>
      <c r="D373" s="44"/>
      <c r="E373" s="44"/>
      <c r="F373" s="44"/>
      <c r="G373" s="44"/>
      <c r="H373" s="44"/>
      <c r="I373" s="61"/>
      <c r="J373" s="59"/>
      <c r="K373" s="58"/>
      <c r="L373" s="52"/>
    </row>
    <row r="374" spans="2:12">
      <c r="B374" s="50"/>
      <c r="C374" s="51"/>
      <c r="D374" s="44"/>
      <c r="E374" s="44"/>
      <c r="F374" s="44"/>
      <c r="G374" s="44"/>
      <c r="H374" s="44"/>
      <c r="I374" s="61"/>
      <c r="J374" s="59"/>
      <c r="K374" s="58"/>
      <c r="L374" s="52"/>
    </row>
    <row r="375" spans="2:12">
      <c r="B375" s="50"/>
      <c r="C375" s="51"/>
      <c r="D375" s="44"/>
      <c r="E375" s="44"/>
      <c r="F375" s="44"/>
      <c r="G375" s="44"/>
      <c r="H375" s="44"/>
      <c r="I375" s="61"/>
      <c r="J375" s="59"/>
      <c r="K375" s="58"/>
      <c r="L375" s="52"/>
    </row>
    <row r="376" spans="2:12">
      <c r="B376" s="50"/>
      <c r="C376" s="51"/>
      <c r="D376" s="44"/>
      <c r="E376" s="44"/>
      <c r="F376" s="44"/>
      <c r="G376" s="44"/>
      <c r="H376" s="44"/>
      <c r="I376" s="61"/>
      <c r="J376" s="59"/>
      <c r="K376" s="58"/>
      <c r="L376" s="52"/>
    </row>
    <row r="377" spans="2:12">
      <c r="B377" s="50"/>
      <c r="C377" s="51"/>
      <c r="D377" s="44"/>
      <c r="E377" s="44"/>
      <c r="F377" s="44"/>
      <c r="G377" s="44"/>
      <c r="H377" s="44"/>
      <c r="I377" s="61"/>
      <c r="J377" s="59"/>
      <c r="K377" s="58"/>
      <c r="L377" s="52"/>
    </row>
    <row r="378" spans="2:12">
      <c r="B378" s="50"/>
      <c r="C378" s="51"/>
      <c r="D378" s="44"/>
      <c r="E378" s="44"/>
      <c r="F378" s="44"/>
      <c r="G378" s="44"/>
      <c r="H378" s="44"/>
      <c r="I378" s="61"/>
      <c r="J378" s="59"/>
      <c r="K378" s="58"/>
      <c r="L378" s="52"/>
    </row>
    <row r="379" spans="2:12">
      <c r="B379" s="50"/>
      <c r="C379" s="51"/>
      <c r="D379" s="44"/>
      <c r="E379" s="44"/>
      <c r="F379" s="44"/>
      <c r="G379" s="44"/>
      <c r="H379" s="44"/>
      <c r="I379" s="61"/>
      <c r="J379" s="59"/>
      <c r="K379" s="58"/>
      <c r="L379" s="52"/>
    </row>
    <row r="380" spans="2:12">
      <c r="B380" s="50"/>
      <c r="C380" s="51"/>
      <c r="D380" s="44"/>
      <c r="E380" s="44"/>
      <c r="F380" s="44"/>
      <c r="G380" s="44"/>
      <c r="I380" s="61"/>
      <c r="J380" s="59"/>
    </row>
    <row r="381" spans="2:12">
      <c r="B381" s="50"/>
      <c r="C381" s="51"/>
      <c r="D381" s="44"/>
      <c r="E381" s="44"/>
      <c r="F381" s="44"/>
      <c r="G381" s="44"/>
      <c r="I381" s="61"/>
      <c r="J381" s="59"/>
    </row>
    <row r="382" spans="2:12">
      <c r="B382" s="50"/>
      <c r="C382" s="51"/>
      <c r="D382" s="44"/>
      <c r="E382" s="44"/>
      <c r="F382" s="44"/>
      <c r="G382" s="44"/>
      <c r="I382" s="61"/>
      <c r="J382" s="59"/>
    </row>
    <row r="383" spans="2:12">
      <c r="B383" s="50"/>
      <c r="C383" s="51"/>
      <c r="D383" s="44"/>
      <c r="E383" s="44"/>
      <c r="F383" s="44"/>
      <c r="G383" s="44"/>
      <c r="I383" s="61"/>
      <c r="J383" s="59"/>
    </row>
    <row r="384" spans="2:12">
      <c r="B384" s="50"/>
      <c r="C384" s="51"/>
      <c r="D384" s="44"/>
      <c r="E384" s="44"/>
      <c r="F384" s="44"/>
      <c r="G384" s="44"/>
      <c r="I384" s="61"/>
      <c r="J384" s="59"/>
    </row>
    <row r="385" spans="2:10">
      <c r="B385" s="50"/>
      <c r="C385" s="51"/>
      <c r="D385" s="44"/>
      <c r="E385" s="44"/>
      <c r="F385" s="44"/>
      <c r="G385" s="44"/>
      <c r="I385" s="61"/>
      <c r="J385" s="59"/>
    </row>
    <row r="386" spans="2:10">
      <c r="B386" s="50"/>
      <c r="C386" s="51"/>
      <c r="D386" s="44"/>
      <c r="E386" s="44"/>
      <c r="F386" s="44"/>
      <c r="G386" s="44"/>
      <c r="I386" s="61"/>
      <c r="J386" s="59"/>
    </row>
    <row r="387" spans="2:10">
      <c r="B387" s="50"/>
      <c r="C387" s="51"/>
      <c r="D387" s="44"/>
      <c r="E387" s="44"/>
      <c r="F387" s="44"/>
      <c r="G387" s="44"/>
      <c r="I387" s="61"/>
      <c r="J387" s="59"/>
    </row>
    <row r="388" spans="2:10">
      <c r="B388" s="50"/>
      <c r="C388" s="51"/>
      <c r="D388" s="44"/>
      <c r="E388" s="44"/>
      <c r="F388" s="44"/>
      <c r="G388" s="44"/>
      <c r="I388" s="61"/>
      <c r="J388" s="59"/>
    </row>
    <row r="389" spans="2:10">
      <c r="B389" s="50"/>
      <c r="C389" s="51"/>
      <c r="D389" s="44"/>
      <c r="E389" s="44"/>
      <c r="F389" s="44"/>
      <c r="G389" s="44"/>
      <c r="I389" s="61"/>
      <c r="J389" s="59"/>
    </row>
    <row r="390" spans="2:10">
      <c r="B390" s="50"/>
      <c r="C390" s="51"/>
      <c r="D390" s="44"/>
      <c r="E390" s="44"/>
      <c r="F390" s="44"/>
      <c r="G390" s="44"/>
      <c r="I390" s="61"/>
      <c r="J390" s="59"/>
    </row>
    <row r="391" spans="2:10">
      <c r="B391" s="50"/>
      <c r="C391" s="51"/>
      <c r="D391" s="44"/>
      <c r="E391" s="44"/>
      <c r="F391" s="44"/>
      <c r="G391" s="44"/>
      <c r="I391" s="61"/>
      <c r="J391" s="59"/>
    </row>
    <row r="392" spans="2:10">
      <c r="B392" s="50"/>
      <c r="C392" s="51"/>
      <c r="D392" s="44"/>
      <c r="E392" s="44"/>
      <c r="F392" s="44"/>
      <c r="G392" s="44"/>
      <c r="I392" s="61"/>
      <c r="J392" s="59"/>
    </row>
    <row r="393" spans="2:10">
      <c r="B393" s="50"/>
      <c r="C393" s="51"/>
      <c r="D393" s="44"/>
      <c r="E393" s="44"/>
      <c r="F393" s="44"/>
      <c r="G393" s="44"/>
      <c r="I393" s="61"/>
      <c r="J393" s="59"/>
    </row>
    <row r="394" spans="2:10">
      <c r="B394" s="50"/>
      <c r="C394" s="51"/>
      <c r="D394" s="44"/>
      <c r="E394" s="44"/>
      <c r="F394" s="44"/>
      <c r="G394" s="44"/>
      <c r="I394" s="61"/>
      <c r="J394" s="59"/>
    </row>
    <row r="395" spans="2:10">
      <c r="B395" s="50"/>
      <c r="C395" s="51"/>
      <c r="D395" s="44"/>
      <c r="E395" s="44"/>
      <c r="F395" s="44"/>
      <c r="G395" s="44"/>
      <c r="I395" s="61"/>
      <c r="J395" s="59"/>
    </row>
    <row r="396" spans="2:10">
      <c r="B396" s="50"/>
      <c r="C396" s="51"/>
      <c r="D396" s="44"/>
      <c r="E396" s="44"/>
      <c r="F396" s="44"/>
      <c r="G396" s="44"/>
      <c r="I396" s="61"/>
      <c r="J396" s="59"/>
    </row>
    <row r="397" spans="2:10">
      <c r="B397" s="50"/>
      <c r="C397" s="51"/>
      <c r="D397" s="44"/>
      <c r="E397" s="44"/>
      <c r="F397" s="44"/>
      <c r="G397" s="44"/>
      <c r="I397" s="61"/>
      <c r="J397" s="59"/>
    </row>
    <row r="398" spans="2:10">
      <c r="B398" s="50"/>
      <c r="C398" s="51"/>
      <c r="D398" s="44"/>
      <c r="E398" s="44"/>
      <c r="F398" s="44"/>
      <c r="G398" s="44"/>
      <c r="I398" s="61"/>
      <c r="J398" s="59"/>
    </row>
    <row r="399" spans="2:10">
      <c r="B399" s="50"/>
      <c r="C399" s="51"/>
      <c r="D399" s="44"/>
      <c r="E399" s="44"/>
      <c r="F399" s="44"/>
      <c r="G399" s="44"/>
      <c r="I399" s="61"/>
      <c r="J399" s="59"/>
    </row>
    <row r="400" spans="2:10">
      <c r="B400" s="50"/>
      <c r="C400" s="51"/>
      <c r="D400" s="44"/>
      <c r="E400" s="44"/>
      <c r="F400" s="44"/>
      <c r="G400" s="44"/>
      <c r="I400" s="61"/>
      <c r="J400" s="59"/>
    </row>
    <row r="401" spans="2:10">
      <c r="B401" s="50"/>
      <c r="C401" s="51"/>
      <c r="D401" s="44"/>
      <c r="E401" s="44"/>
      <c r="F401" s="44"/>
      <c r="G401" s="44"/>
      <c r="I401" s="61"/>
      <c r="J401" s="59"/>
    </row>
    <row r="402" spans="2:10">
      <c r="B402" s="50"/>
      <c r="C402" s="51"/>
      <c r="D402" s="44"/>
      <c r="E402" s="44"/>
      <c r="F402" s="44"/>
      <c r="G402" s="44"/>
      <c r="I402" s="61"/>
      <c r="J402" s="59"/>
    </row>
    <row r="403" spans="2:10">
      <c r="B403" s="50"/>
      <c r="C403" s="51"/>
      <c r="D403" s="44"/>
      <c r="E403" s="44"/>
      <c r="F403" s="44"/>
      <c r="G403" s="44"/>
      <c r="I403" s="61"/>
      <c r="J403" s="59"/>
    </row>
    <row r="404" spans="2:10">
      <c r="B404" s="50"/>
      <c r="C404" s="51"/>
      <c r="D404" s="44"/>
      <c r="E404" s="44"/>
      <c r="F404" s="44"/>
      <c r="G404" s="44"/>
      <c r="I404" s="61"/>
      <c r="J404" s="59"/>
    </row>
    <row r="405" spans="2:10">
      <c r="B405" s="50"/>
      <c r="C405" s="51"/>
      <c r="D405" s="44"/>
      <c r="E405" s="44"/>
      <c r="F405" s="44"/>
      <c r="G405" s="44"/>
      <c r="I405" s="61"/>
      <c r="J405" s="59"/>
    </row>
    <row r="406" spans="2:10">
      <c r="B406" s="50"/>
      <c r="D406" s="44"/>
      <c r="E406" s="44"/>
      <c r="F406" s="44"/>
      <c r="G406" s="44"/>
      <c r="I406" s="61"/>
      <c r="J406" s="59"/>
    </row>
    <row r="407" spans="2:10">
      <c r="B407" s="50"/>
      <c r="D407" s="44"/>
      <c r="E407" s="44"/>
      <c r="F407" s="44"/>
      <c r="G407" s="44"/>
      <c r="I407" s="61"/>
      <c r="J407" s="59"/>
    </row>
    <row r="408" spans="2:10">
      <c r="B408" s="50"/>
      <c r="D408" s="44"/>
      <c r="E408" s="44"/>
      <c r="F408" s="44"/>
      <c r="G408" s="44"/>
      <c r="I408" s="61"/>
      <c r="J408" s="59"/>
    </row>
    <row r="409" spans="2:10">
      <c r="B409" s="50"/>
      <c r="D409" s="44"/>
      <c r="E409" s="44"/>
      <c r="F409" s="44"/>
      <c r="G409" s="44"/>
      <c r="I409" s="61"/>
      <c r="J409" s="59"/>
    </row>
    <row r="410" spans="2:10">
      <c r="B410" s="50"/>
      <c r="D410" s="44"/>
      <c r="E410" s="44"/>
      <c r="F410" s="44"/>
      <c r="G410" s="44"/>
      <c r="I410" s="61"/>
      <c r="J410" s="59"/>
    </row>
    <row r="411" spans="2:10">
      <c r="B411" s="50"/>
      <c r="D411" s="44"/>
      <c r="E411" s="44"/>
      <c r="F411" s="44"/>
      <c r="G411" s="44"/>
      <c r="I411" s="61"/>
      <c r="J411" s="59"/>
    </row>
    <row r="412" spans="2:10">
      <c r="B412" s="50"/>
      <c r="D412" s="44"/>
      <c r="E412" s="44"/>
      <c r="F412" s="44"/>
      <c r="G412" s="44"/>
      <c r="I412" s="61"/>
      <c r="J412" s="59"/>
    </row>
    <row r="413" spans="2:10">
      <c r="B413" s="50"/>
      <c r="D413" s="44"/>
      <c r="E413" s="44"/>
      <c r="F413" s="44"/>
      <c r="G413" s="44"/>
      <c r="I413" s="61"/>
      <c r="J413" s="59"/>
    </row>
    <row r="414" spans="2:10">
      <c r="B414" s="50"/>
      <c r="D414" s="44"/>
      <c r="E414" s="44"/>
      <c r="F414" s="44"/>
      <c r="G414" s="44"/>
      <c r="I414" s="61"/>
      <c r="J414" s="59"/>
    </row>
    <row r="415" spans="2:10">
      <c r="B415" s="50"/>
      <c r="D415" s="44"/>
      <c r="E415" s="44"/>
      <c r="F415" s="44"/>
      <c r="G415" s="44"/>
      <c r="I415" s="61"/>
      <c r="J415" s="59"/>
    </row>
    <row r="416" spans="2:10">
      <c r="B416" s="50"/>
      <c r="D416" s="44"/>
      <c r="E416" s="44"/>
      <c r="F416" s="44"/>
      <c r="G416" s="44"/>
      <c r="I416" s="61"/>
      <c r="J416" s="59"/>
    </row>
    <row r="417" spans="2:10">
      <c r="B417" s="50"/>
      <c r="D417" s="44"/>
      <c r="E417" s="44"/>
      <c r="F417" s="44"/>
      <c r="G417" s="44"/>
      <c r="I417" s="61"/>
      <c r="J417" s="59"/>
    </row>
    <row r="418" spans="2:10">
      <c r="B418" s="50"/>
      <c r="D418" s="44"/>
      <c r="E418" s="44"/>
      <c r="F418" s="44"/>
      <c r="G418" s="44"/>
      <c r="I418" s="61"/>
      <c r="J418" s="59"/>
    </row>
    <row r="419" spans="2:10">
      <c r="B419" s="50"/>
      <c r="D419" s="44"/>
      <c r="E419" s="44"/>
      <c r="F419" s="44"/>
      <c r="G419" s="44"/>
      <c r="I419" s="61"/>
      <c r="J419" s="59"/>
    </row>
    <row r="420" spans="2:10">
      <c r="B420" s="50"/>
      <c r="D420" s="44"/>
      <c r="E420" s="44"/>
      <c r="F420" s="44"/>
      <c r="G420" s="44"/>
      <c r="I420" s="61"/>
      <c r="J420" s="59"/>
    </row>
    <row r="421" spans="2:10">
      <c r="B421" s="50"/>
      <c r="D421" s="44"/>
      <c r="E421" s="44"/>
      <c r="F421" s="44"/>
      <c r="G421" s="44"/>
      <c r="I421" s="61"/>
      <c r="J421" s="59"/>
    </row>
    <row r="422" spans="2:10">
      <c r="B422" s="50"/>
      <c r="D422" s="44"/>
      <c r="E422" s="44"/>
      <c r="F422" s="44"/>
      <c r="G422" s="44"/>
      <c r="I422" s="61"/>
      <c r="J422" s="59"/>
    </row>
    <row r="423" spans="2:10">
      <c r="B423" s="50"/>
      <c r="D423" s="44"/>
      <c r="E423" s="44"/>
      <c r="F423" s="44"/>
      <c r="G423" s="44"/>
      <c r="I423" s="61"/>
      <c r="J423" s="59"/>
    </row>
    <row r="424" spans="2:10">
      <c r="B424" s="50"/>
      <c r="D424" s="44"/>
      <c r="E424" s="44"/>
      <c r="F424" s="44"/>
      <c r="G424" s="44"/>
      <c r="I424" s="61"/>
      <c r="J424" s="59"/>
    </row>
    <row r="425" spans="2:10">
      <c r="B425" s="50"/>
      <c r="D425" s="44"/>
      <c r="E425" s="44"/>
      <c r="F425" s="44"/>
      <c r="G425" s="44"/>
      <c r="I425" s="61"/>
      <c r="J425" s="59"/>
    </row>
    <row r="426" spans="2:10">
      <c r="B426" s="50"/>
      <c r="D426" s="44"/>
      <c r="E426" s="44"/>
      <c r="F426" s="44"/>
      <c r="G426" s="44"/>
      <c r="I426" s="61"/>
      <c r="J426" s="59"/>
    </row>
    <row r="427" spans="2:10">
      <c r="B427" s="50"/>
      <c r="D427" s="44"/>
      <c r="E427" s="44"/>
      <c r="F427" s="44"/>
      <c r="G427" s="44"/>
      <c r="I427" s="61"/>
      <c r="J427" s="59"/>
    </row>
    <row r="428" spans="2:10">
      <c r="B428" s="50"/>
      <c r="D428" s="44"/>
      <c r="E428" s="44"/>
      <c r="F428" s="44"/>
      <c r="G428" s="44"/>
      <c r="I428" s="61"/>
      <c r="J428" s="59"/>
    </row>
    <row r="429" spans="2:10">
      <c r="B429" s="50"/>
      <c r="D429" s="44"/>
      <c r="E429" s="44"/>
      <c r="F429" s="44"/>
      <c r="G429" s="44"/>
      <c r="I429" s="61"/>
      <c r="J429" s="59"/>
    </row>
    <row r="430" spans="2:10">
      <c r="B430" s="50"/>
      <c r="D430" s="44"/>
      <c r="E430" s="44"/>
      <c r="F430" s="44"/>
      <c r="G430" s="44"/>
      <c r="I430" s="61"/>
      <c r="J430" s="59"/>
    </row>
    <row r="431" spans="2:10">
      <c r="B431" s="50"/>
      <c r="D431" s="44"/>
      <c r="E431" s="44"/>
      <c r="F431" s="44"/>
      <c r="G431" s="44"/>
      <c r="I431" s="61"/>
      <c r="J431" s="59"/>
    </row>
    <row r="432" spans="2:10">
      <c r="B432" s="50"/>
      <c r="D432" s="44"/>
      <c r="E432" s="44"/>
      <c r="F432" s="44"/>
      <c r="G432" s="44"/>
      <c r="I432" s="61"/>
      <c r="J432" s="59"/>
    </row>
    <row r="433" spans="2:10">
      <c r="B433" s="50"/>
      <c r="D433" s="44"/>
      <c r="E433" s="44"/>
      <c r="F433" s="44"/>
      <c r="G433" s="44"/>
      <c r="I433" s="61"/>
      <c r="J433" s="59"/>
    </row>
    <row r="434" spans="2:10">
      <c r="B434" s="50"/>
      <c r="D434" s="44"/>
      <c r="E434" s="44"/>
      <c r="F434" s="44"/>
      <c r="G434" s="44"/>
      <c r="I434" s="61"/>
      <c r="J434" s="59"/>
    </row>
    <row r="435" spans="2:10">
      <c r="B435" s="50"/>
      <c r="D435" s="44"/>
      <c r="E435" s="44"/>
      <c r="F435" s="44"/>
      <c r="G435" s="44"/>
      <c r="I435" s="61"/>
      <c r="J435" s="59"/>
    </row>
    <row r="436" spans="2:10">
      <c r="B436" s="50"/>
      <c r="D436" s="44"/>
      <c r="E436" s="44"/>
      <c r="F436" s="44"/>
      <c r="G436" s="44"/>
      <c r="I436" s="61"/>
      <c r="J436" s="59"/>
    </row>
    <row r="437" spans="2:10">
      <c r="B437" s="50"/>
      <c r="D437" s="44"/>
      <c r="E437" s="44"/>
      <c r="F437" s="44"/>
      <c r="G437" s="44"/>
      <c r="I437" s="61"/>
      <c r="J437" s="59"/>
    </row>
    <row r="438" spans="2:10">
      <c r="B438" s="50"/>
      <c r="D438" s="44"/>
      <c r="E438" s="44"/>
      <c r="F438" s="44"/>
      <c r="G438" s="44"/>
      <c r="I438" s="61"/>
      <c r="J438" s="59"/>
    </row>
    <row r="439" spans="2:10">
      <c r="D439" s="44"/>
      <c r="E439" s="44"/>
      <c r="F439" s="44"/>
      <c r="G439" s="44"/>
      <c r="I439" s="61"/>
      <c r="J439" s="59"/>
    </row>
    <row r="440" spans="2:10">
      <c r="D440" s="44"/>
      <c r="E440" s="44"/>
      <c r="F440" s="44"/>
      <c r="G440" s="44"/>
      <c r="I440" s="61"/>
      <c r="J440" s="59"/>
    </row>
    <row r="441" spans="2:10">
      <c r="D441" s="44"/>
      <c r="E441" s="44"/>
      <c r="F441" s="44"/>
      <c r="G441" s="44"/>
      <c r="I441" s="61"/>
      <c r="J441" s="59"/>
    </row>
    <row r="442" spans="2:10">
      <c r="D442" s="44"/>
      <c r="E442" s="44"/>
      <c r="F442" s="44"/>
      <c r="G442" s="44"/>
      <c r="I442" s="61"/>
      <c r="J442" s="59"/>
    </row>
    <row r="443" spans="2:10">
      <c r="D443" s="44"/>
      <c r="E443" s="44"/>
      <c r="F443" s="44"/>
      <c r="G443" s="44"/>
      <c r="I443" s="61"/>
      <c r="J443" s="59"/>
    </row>
    <row r="444" spans="2:10">
      <c r="D444" s="44"/>
      <c r="E444" s="44"/>
      <c r="F444" s="44"/>
      <c r="G444" s="44"/>
      <c r="I444" s="61"/>
      <c r="J444" s="59"/>
    </row>
    <row r="445" spans="2:10">
      <c r="D445" s="44"/>
      <c r="E445" s="44"/>
      <c r="F445" s="44"/>
      <c r="G445" s="44"/>
      <c r="I445" s="61"/>
      <c r="J445" s="59"/>
    </row>
    <row r="446" spans="2:10">
      <c r="D446" s="44"/>
      <c r="E446" s="44"/>
      <c r="F446" s="44"/>
      <c r="G446" s="44"/>
      <c r="I446" s="61"/>
      <c r="J446" s="59"/>
    </row>
    <row r="447" spans="2:10">
      <c r="D447" s="44"/>
      <c r="E447" s="44"/>
      <c r="F447" s="44"/>
      <c r="G447" s="44"/>
      <c r="I447" s="61"/>
      <c r="J447" s="59"/>
    </row>
    <row r="448" spans="2:10">
      <c r="D448" s="44"/>
      <c r="E448" s="44"/>
      <c r="F448" s="44"/>
      <c r="G448" s="44"/>
      <c r="I448" s="61"/>
      <c r="J448" s="59"/>
    </row>
    <row r="449" spans="4:10">
      <c r="D449" s="44"/>
      <c r="E449" s="44"/>
      <c r="F449" s="44"/>
      <c r="G449" s="44"/>
      <c r="I449" s="61"/>
      <c r="J449" s="59"/>
    </row>
    <row r="450" spans="4:10">
      <c r="D450" s="44"/>
      <c r="E450" s="44"/>
      <c r="F450" s="44"/>
      <c r="G450" s="44"/>
      <c r="I450" s="61"/>
      <c r="J450" s="59"/>
    </row>
    <row r="451" spans="4:10">
      <c r="D451" s="44"/>
      <c r="E451" s="44"/>
      <c r="F451" s="44"/>
      <c r="G451" s="44"/>
      <c r="I451" s="61"/>
      <c r="J451" s="59"/>
    </row>
    <row r="452" spans="4:10">
      <c r="D452" s="44"/>
      <c r="E452" s="44"/>
      <c r="F452" s="44"/>
      <c r="G452" s="44"/>
      <c r="I452" s="61"/>
      <c r="J452" s="59"/>
    </row>
    <row r="453" spans="4:10">
      <c r="D453" s="44"/>
      <c r="E453" s="44"/>
      <c r="F453" s="44"/>
      <c r="G453" s="44"/>
      <c r="I453" s="61"/>
      <c r="J453" s="59"/>
    </row>
    <row r="454" spans="4:10">
      <c r="D454" s="44"/>
      <c r="E454" s="44"/>
      <c r="F454" s="44"/>
      <c r="G454" s="44"/>
      <c r="I454" s="61"/>
      <c r="J454" s="59"/>
    </row>
    <row r="455" spans="4:10">
      <c r="D455" s="44"/>
      <c r="E455" s="44"/>
      <c r="F455" s="44"/>
      <c r="G455" s="44"/>
      <c r="I455" s="61"/>
      <c r="J455" s="59"/>
    </row>
    <row r="456" spans="4:10">
      <c r="D456" s="44"/>
      <c r="E456" s="44"/>
      <c r="F456" s="44"/>
      <c r="G456" s="44"/>
      <c r="I456" s="61"/>
      <c r="J456" s="59"/>
    </row>
    <row r="457" spans="4:10">
      <c r="D457" s="44"/>
      <c r="E457" s="44"/>
      <c r="F457" s="44"/>
      <c r="G457" s="44"/>
      <c r="I457" s="61"/>
      <c r="J457" s="59"/>
    </row>
    <row r="458" spans="4:10">
      <c r="D458" s="44"/>
      <c r="E458" s="44"/>
      <c r="F458" s="44"/>
      <c r="G458" s="44"/>
      <c r="I458" s="61"/>
      <c r="J458" s="59"/>
    </row>
    <row r="459" spans="4:10">
      <c r="D459" s="44"/>
      <c r="E459" s="44"/>
      <c r="F459" s="44"/>
      <c r="G459" s="44"/>
      <c r="I459" s="61"/>
      <c r="J459" s="59"/>
    </row>
    <row r="460" spans="4:10">
      <c r="D460" s="44"/>
      <c r="E460" s="44"/>
      <c r="F460" s="44"/>
      <c r="G460" s="44"/>
      <c r="I460" s="61"/>
      <c r="J460" s="59"/>
    </row>
    <row r="461" spans="4:10">
      <c r="D461" s="44"/>
      <c r="E461" s="44"/>
      <c r="F461" s="44"/>
      <c r="G461" s="44"/>
      <c r="I461" s="61"/>
      <c r="J461" s="59"/>
    </row>
    <row r="462" spans="4:10">
      <c r="D462" s="44"/>
      <c r="E462" s="44"/>
      <c r="F462" s="44"/>
      <c r="G462" s="44"/>
      <c r="I462" s="61"/>
      <c r="J462" s="59"/>
    </row>
    <row r="463" spans="4:10">
      <c r="D463" s="44"/>
      <c r="E463" s="44"/>
      <c r="F463" s="44"/>
      <c r="G463" s="44"/>
      <c r="I463" s="61"/>
      <c r="J463" s="59"/>
    </row>
    <row r="464" spans="4:10">
      <c r="D464" s="44"/>
      <c r="E464" s="44"/>
      <c r="F464" s="44"/>
      <c r="G464" s="44"/>
      <c r="I464" s="61"/>
      <c r="J464" s="59"/>
    </row>
    <row r="465" spans="4:10">
      <c r="D465" s="44"/>
      <c r="E465" s="44"/>
      <c r="F465" s="44"/>
      <c r="G465" s="44"/>
      <c r="I465" s="61"/>
      <c r="J465" s="59"/>
    </row>
    <row r="466" spans="4:10">
      <c r="D466" s="44"/>
      <c r="E466" s="44"/>
      <c r="F466" s="44"/>
      <c r="G466" s="44"/>
      <c r="I466" s="61"/>
      <c r="J466" s="59"/>
    </row>
    <row r="467" spans="4:10">
      <c r="D467" s="44"/>
      <c r="E467" s="44"/>
      <c r="F467" s="44"/>
      <c r="G467" s="44"/>
      <c r="I467" s="61"/>
      <c r="J467" s="59"/>
    </row>
    <row r="468" spans="4:10">
      <c r="D468" s="44"/>
      <c r="E468" s="44"/>
      <c r="F468" s="44"/>
      <c r="G468" s="44"/>
      <c r="I468" s="61"/>
      <c r="J468" s="59"/>
    </row>
    <row r="469" spans="4:10">
      <c r="D469" s="44"/>
      <c r="E469" s="44"/>
      <c r="F469" s="44"/>
      <c r="G469" s="44"/>
      <c r="I469" s="61"/>
      <c r="J469" s="59"/>
    </row>
    <row r="470" spans="4:10">
      <c r="D470" s="44"/>
      <c r="E470" s="44"/>
      <c r="F470" s="44"/>
      <c r="G470" s="44"/>
      <c r="I470" s="61"/>
      <c r="J470" s="59"/>
    </row>
    <row r="471" spans="4:10">
      <c r="D471" s="44"/>
      <c r="E471" s="44"/>
      <c r="F471" s="44"/>
      <c r="G471" s="44"/>
      <c r="I471" s="61"/>
      <c r="J471" s="59"/>
    </row>
    <row r="472" spans="4:10">
      <c r="D472" s="44"/>
      <c r="E472" s="44"/>
      <c r="F472" s="44"/>
      <c r="G472" s="44"/>
      <c r="I472" s="61"/>
      <c r="J472" s="59"/>
    </row>
    <row r="473" spans="4:10">
      <c r="D473" s="44"/>
      <c r="E473" s="44"/>
      <c r="F473" s="44"/>
      <c r="G473" s="44"/>
      <c r="I473" s="61"/>
      <c r="J473" s="59"/>
    </row>
    <row r="474" spans="4:10">
      <c r="D474" s="44"/>
      <c r="E474" s="44"/>
      <c r="F474" s="44"/>
      <c r="G474" s="44"/>
      <c r="I474" s="61"/>
      <c r="J474" s="59"/>
    </row>
    <row r="475" spans="4:10">
      <c r="D475" s="44"/>
      <c r="E475" s="44"/>
      <c r="F475" s="44"/>
      <c r="G475" s="44"/>
      <c r="I475" s="61"/>
      <c r="J475" s="59"/>
    </row>
    <row r="476" spans="4:10">
      <c r="D476" s="44"/>
      <c r="E476" s="44"/>
      <c r="F476" s="44"/>
      <c r="G476" s="44"/>
      <c r="I476" s="61"/>
      <c r="J476" s="59"/>
    </row>
    <row r="477" spans="4:10">
      <c r="D477" s="44"/>
      <c r="E477" s="44"/>
      <c r="F477" s="44"/>
      <c r="G477" s="44"/>
      <c r="I477" s="61"/>
      <c r="J477" s="59"/>
    </row>
    <row r="478" spans="4:10">
      <c r="D478" s="44"/>
      <c r="E478" s="44"/>
      <c r="F478" s="44"/>
      <c r="G478" s="44"/>
      <c r="I478" s="61"/>
      <c r="J478" s="59"/>
    </row>
    <row r="479" spans="4:10">
      <c r="D479" s="44"/>
      <c r="E479" s="44"/>
      <c r="F479" s="44"/>
      <c r="G479" s="44"/>
      <c r="I479" s="61"/>
      <c r="J479" s="59"/>
    </row>
    <row r="480" spans="4:10">
      <c r="D480" s="44"/>
      <c r="E480" s="44"/>
      <c r="F480" s="44"/>
      <c r="G480" s="44"/>
      <c r="I480" s="61"/>
      <c r="J480" s="59"/>
    </row>
    <row r="481" spans="4:10">
      <c r="D481" s="44"/>
      <c r="E481" s="44"/>
      <c r="F481" s="44"/>
      <c r="G481" s="44"/>
      <c r="I481" s="61"/>
      <c r="J481" s="59"/>
    </row>
    <row r="482" spans="4:10">
      <c r="D482" s="44"/>
      <c r="E482" s="44"/>
      <c r="F482" s="44"/>
      <c r="G482" s="44"/>
      <c r="I482" s="61"/>
      <c r="J482" s="59"/>
    </row>
    <row r="483" spans="4:10">
      <c r="D483" s="44"/>
      <c r="E483" s="44"/>
      <c r="F483" s="44"/>
      <c r="G483" s="44"/>
      <c r="I483" s="61"/>
      <c r="J483" s="59"/>
    </row>
    <row r="484" spans="4:10">
      <c r="D484" s="44"/>
      <c r="E484" s="44"/>
      <c r="F484" s="44"/>
      <c r="G484" s="44"/>
      <c r="I484" s="61"/>
      <c r="J484" s="59"/>
    </row>
    <row r="485" spans="4:10">
      <c r="D485" s="44"/>
      <c r="E485" s="44"/>
      <c r="F485" s="44"/>
      <c r="G485" s="44"/>
      <c r="I485" s="61"/>
      <c r="J485" s="59"/>
    </row>
    <row r="486" spans="4:10">
      <c r="D486" s="44"/>
      <c r="E486" s="44"/>
      <c r="F486" s="44"/>
      <c r="G486" s="44"/>
      <c r="I486" s="61"/>
      <c r="J486" s="59"/>
    </row>
    <row r="487" spans="4:10">
      <c r="D487" s="44"/>
      <c r="E487" s="44"/>
      <c r="F487" s="44"/>
      <c r="G487" s="44"/>
      <c r="I487" s="61"/>
      <c r="J487" s="59"/>
    </row>
    <row r="488" spans="4:10">
      <c r="D488" s="44"/>
      <c r="E488" s="44"/>
      <c r="F488" s="44"/>
      <c r="G488" s="44"/>
      <c r="I488" s="61"/>
      <c r="J488" s="59"/>
    </row>
    <row r="489" spans="4:10">
      <c r="D489" s="44"/>
      <c r="E489" s="44"/>
      <c r="F489" s="44"/>
      <c r="G489" s="44"/>
      <c r="I489" s="61"/>
      <c r="J489" s="59"/>
    </row>
    <row r="490" spans="4:10">
      <c r="D490" s="44"/>
      <c r="E490" s="44"/>
      <c r="F490" s="44"/>
      <c r="G490" s="44"/>
      <c r="I490" s="61"/>
      <c r="J490" s="59"/>
    </row>
    <row r="491" spans="4:10">
      <c r="D491" s="44"/>
      <c r="E491" s="44"/>
      <c r="F491" s="44"/>
      <c r="G491" s="44"/>
      <c r="I491" s="61"/>
      <c r="J491" s="59"/>
    </row>
    <row r="492" spans="4:10">
      <c r="D492" s="44"/>
      <c r="E492" s="44"/>
      <c r="F492" s="44"/>
      <c r="G492" s="44"/>
      <c r="I492" s="61"/>
      <c r="J492" s="59"/>
    </row>
    <row r="493" spans="4:10">
      <c r="D493" s="44"/>
      <c r="E493" s="44"/>
      <c r="F493" s="44"/>
      <c r="G493" s="44"/>
      <c r="I493" s="61"/>
      <c r="J493" s="59"/>
    </row>
    <row r="494" spans="4:10">
      <c r="D494" s="44"/>
      <c r="E494" s="44"/>
      <c r="F494" s="44"/>
      <c r="G494" s="44"/>
      <c r="I494" s="61"/>
      <c r="J494" s="59"/>
    </row>
    <row r="495" spans="4:10">
      <c r="D495" s="44"/>
      <c r="E495" s="44"/>
      <c r="F495" s="44"/>
      <c r="G495" s="44"/>
      <c r="I495" s="61"/>
      <c r="J495" s="59"/>
    </row>
    <row r="496" spans="4:10">
      <c r="D496" s="44"/>
      <c r="E496" s="44"/>
      <c r="F496" s="44"/>
      <c r="G496" s="44"/>
      <c r="I496" s="61"/>
      <c r="J496" s="59"/>
    </row>
    <row r="497" spans="4:10">
      <c r="D497" s="44"/>
      <c r="E497" s="44"/>
      <c r="F497" s="44"/>
      <c r="G497" s="44"/>
      <c r="I497" s="61"/>
      <c r="J497" s="59"/>
    </row>
    <row r="498" spans="4:10">
      <c r="D498" s="44"/>
      <c r="E498" s="44"/>
      <c r="F498" s="44"/>
      <c r="G498" s="44"/>
      <c r="I498" s="61"/>
      <c r="J498" s="59"/>
    </row>
    <row r="499" spans="4:10">
      <c r="D499" s="44"/>
      <c r="E499" s="44"/>
      <c r="F499" s="44"/>
      <c r="G499" s="44"/>
      <c r="I499" s="61"/>
      <c r="J499" s="59"/>
    </row>
    <row r="500" spans="4:10">
      <c r="D500" s="44"/>
      <c r="E500" s="44"/>
      <c r="F500" s="44"/>
      <c r="G500" s="44"/>
      <c r="I500" s="61"/>
      <c r="J500" s="59"/>
    </row>
    <row r="501" spans="4:10">
      <c r="D501" s="44"/>
      <c r="E501" s="44"/>
      <c r="F501" s="44"/>
      <c r="G501" s="44"/>
      <c r="I501" s="61"/>
      <c r="J501" s="59"/>
    </row>
    <row r="502" spans="4:10">
      <c r="D502" s="44"/>
      <c r="E502" s="44"/>
      <c r="F502" s="44"/>
      <c r="G502" s="44"/>
      <c r="I502" s="61"/>
      <c r="J502" s="59"/>
    </row>
    <row r="503" spans="4:10">
      <c r="D503" s="44"/>
      <c r="E503" s="44"/>
      <c r="F503" s="44"/>
      <c r="G503" s="44"/>
      <c r="I503" s="61"/>
      <c r="J503" s="59"/>
    </row>
    <row r="504" spans="4:10">
      <c r="D504" s="44"/>
      <c r="E504" s="44"/>
      <c r="F504" s="44"/>
      <c r="G504" s="44"/>
      <c r="I504" s="61"/>
      <c r="J504" s="59"/>
    </row>
    <row r="505" spans="4:10">
      <c r="D505" s="44"/>
      <c r="E505" s="44"/>
      <c r="F505" s="44"/>
      <c r="G505" s="44"/>
      <c r="I505" s="61"/>
      <c r="J505" s="59"/>
    </row>
    <row r="506" spans="4:10">
      <c r="D506" s="44"/>
      <c r="E506" s="44"/>
      <c r="F506" s="44"/>
      <c r="G506" s="44"/>
      <c r="I506" s="61"/>
      <c r="J506" s="59"/>
    </row>
    <row r="507" spans="4:10">
      <c r="D507" s="44"/>
      <c r="E507" s="44"/>
      <c r="F507" s="44"/>
      <c r="G507" s="44"/>
      <c r="I507" s="61"/>
      <c r="J507" s="59"/>
    </row>
    <row r="508" spans="4:10">
      <c r="D508" s="44"/>
      <c r="E508" s="44"/>
      <c r="F508" s="44"/>
      <c r="G508" s="44"/>
      <c r="I508" s="61"/>
      <c r="J508" s="59"/>
    </row>
    <row r="509" spans="4:10">
      <c r="D509" s="44"/>
      <c r="E509" s="44"/>
      <c r="F509" s="44"/>
      <c r="G509" s="44"/>
      <c r="I509" s="61"/>
      <c r="J509" s="59"/>
    </row>
    <row r="510" spans="4:10">
      <c r="D510" s="44"/>
      <c r="E510" s="44"/>
      <c r="F510" s="44"/>
      <c r="G510" s="44"/>
      <c r="I510" s="61"/>
      <c r="J510" s="59"/>
    </row>
    <row r="511" spans="4:10">
      <c r="D511" s="44"/>
      <c r="E511" s="44"/>
      <c r="F511" s="44"/>
      <c r="G511" s="44"/>
      <c r="I511" s="61"/>
      <c r="J511" s="59"/>
    </row>
    <row r="512" spans="4:10">
      <c r="D512" s="44"/>
      <c r="E512" s="44"/>
      <c r="F512" s="44"/>
      <c r="G512" s="44"/>
      <c r="I512" s="61"/>
      <c r="J512" s="59"/>
    </row>
    <row r="513" spans="4:10">
      <c r="D513" s="44"/>
      <c r="E513" s="44"/>
      <c r="F513" s="44"/>
      <c r="G513" s="44"/>
      <c r="I513" s="61"/>
      <c r="J513" s="59"/>
    </row>
    <row r="514" spans="4:10">
      <c r="D514" s="44"/>
      <c r="E514" s="44"/>
      <c r="F514" s="44"/>
      <c r="G514" s="44"/>
      <c r="I514" s="61"/>
      <c r="J514" s="59"/>
    </row>
    <row r="515" spans="4:10">
      <c r="D515" s="44"/>
      <c r="E515" s="44"/>
      <c r="F515" s="44"/>
      <c r="G515" s="44"/>
      <c r="I515" s="61"/>
      <c r="J515" s="59"/>
    </row>
    <row r="516" spans="4:10">
      <c r="D516" s="44"/>
      <c r="E516" s="44"/>
      <c r="F516" s="44"/>
      <c r="G516" s="44"/>
      <c r="I516" s="61"/>
      <c r="J516" s="59"/>
    </row>
    <row r="517" spans="4:10">
      <c r="D517" s="44"/>
      <c r="E517" s="44"/>
      <c r="F517" s="44"/>
      <c r="G517" s="44"/>
      <c r="I517" s="61"/>
      <c r="J517" s="59"/>
    </row>
    <row r="518" spans="4:10">
      <c r="D518" s="44"/>
      <c r="E518" s="44"/>
      <c r="F518" s="44"/>
      <c r="G518" s="44"/>
      <c r="I518" s="61"/>
      <c r="J518" s="59"/>
    </row>
    <row r="519" spans="4:10">
      <c r="D519" s="44"/>
      <c r="E519" s="44"/>
      <c r="F519" s="44"/>
      <c r="G519" s="44"/>
      <c r="I519" s="61"/>
      <c r="J519" s="59"/>
    </row>
    <row r="520" spans="4:10">
      <c r="D520" s="44"/>
      <c r="E520" s="44"/>
      <c r="F520" s="44"/>
      <c r="G520" s="44"/>
      <c r="I520" s="61"/>
      <c r="J520" s="59"/>
    </row>
    <row r="521" spans="4:10">
      <c r="D521" s="44"/>
      <c r="E521" s="44"/>
      <c r="F521" s="44"/>
      <c r="G521" s="44"/>
      <c r="I521" s="61"/>
      <c r="J521" s="59"/>
    </row>
    <row r="522" spans="4:10">
      <c r="D522" s="44"/>
      <c r="E522" s="44"/>
      <c r="F522" s="44"/>
      <c r="G522" s="44"/>
      <c r="I522" s="61"/>
      <c r="J522" s="59"/>
    </row>
    <row r="523" spans="4:10">
      <c r="D523" s="44"/>
      <c r="E523" s="44"/>
      <c r="F523" s="44"/>
      <c r="G523" s="44"/>
      <c r="I523" s="61"/>
      <c r="J523" s="59"/>
    </row>
    <row r="524" spans="4:10">
      <c r="D524" s="44"/>
      <c r="E524" s="44"/>
      <c r="F524" s="44"/>
      <c r="G524" s="44"/>
      <c r="I524" s="61"/>
      <c r="J524" s="59"/>
    </row>
    <row r="525" spans="4:10">
      <c r="D525" s="44"/>
      <c r="E525" s="44"/>
      <c r="F525" s="44"/>
      <c r="G525" s="44"/>
      <c r="I525" s="61"/>
      <c r="J525" s="59"/>
    </row>
    <row r="526" spans="4:10">
      <c r="D526" s="44"/>
      <c r="E526" s="44"/>
      <c r="F526" s="44"/>
      <c r="G526" s="44"/>
      <c r="I526" s="61"/>
      <c r="J526" s="59"/>
    </row>
    <row r="527" spans="4:10">
      <c r="D527" s="44"/>
      <c r="E527" s="44"/>
      <c r="F527" s="44"/>
      <c r="G527" s="44"/>
      <c r="I527" s="61"/>
      <c r="J527" s="59"/>
    </row>
    <row r="528" spans="4:10">
      <c r="D528" s="44"/>
      <c r="E528" s="44"/>
      <c r="F528" s="44"/>
      <c r="G528" s="44"/>
      <c r="I528" s="61"/>
      <c r="J528" s="59"/>
    </row>
    <row r="529" spans="4:10">
      <c r="D529" s="44"/>
      <c r="E529" s="44"/>
      <c r="F529" s="44"/>
      <c r="G529" s="44"/>
      <c r="I529" s="61"/>
      <c r="J529" s="59"/>
    </row>
    <row r="530" spans="4:10">
      <c r="D530" s="44"/>
      <c r="E530" s="44"/>
      <c r="F530" s="44"/>
      <c r="G530" s="44"/>
      <c r="I530" s="61"/>
      <c r="J530" s="59"/>
    </row>
    <row r="531" spans="4:10">
      <c r="D531" s="44"/>
      <c r="E531" s="44"/>
      <c r="F531" s="44"/>
      <c r="G531" s="44"/>
      <c r="I531" s="61"/>
      <c r="J531" s="59"/>
    </row>
    <row r="532" spans="4:10">
      <c r="D532" s="44"/>
      <c r="E532" s="44"/>
      <c r="F532" s="44"/>
      <c r="G532" s="44"/>
      <c r="I532" s="61"/>
      <c r="J532" s="59"/>
    </row>
    <row r="533" spans="4:10">
      <c r="D533" s="44"/>
      <c r="E533" s="44"/>
      <c r="F533" s="44"/>
      <c r="G533" s="44"/>
      <c r="I533" s="61"/>
      <c r="J533" s="59"/>
    </row>
    <row r="534" spans="4:10">
      <c r="D534" s="44"/>
      <c r="E534" s="44"/>
      <c r="F534" s="44"/>
      <c r="G534" s="44"/>
      <c r="I534" s="61"/>
      <c r="J534" s="59"/>
    </row>
    <row r="535" spans="4:10">
      <c r="D535" s="44"/>
      <c r="E535" s="44"/>
      <c r="F535" s="44"/>
      <c r="G535" s="44"/>
      <c r="I535" s="61"/>
      <c r="J535" s="59"/>
    </row>
    <row r="536" spans="4:10">
      <c r="D536" s="44"/>
      <c r="E536" s="44"/>
      <c r="F536" s="44"/>
      <c r="G536" s="44"/>
      <c r="I536" s="61"/>
      <c r="J536" s="59"/>
    </row>
    <row r="537" spans="4:10">
      <c r="D537" s="44"/>
      <c r="E537" s="44"/>
      <c r="F537" s="44"/>
      <c r="G537" s="44"/>
      <c r="I537" s="61"/>
      <c r="J537" s="59"/>
    </row>
    <row r="538" spans="4:10">
      <c r="D538" s="44"/>
      <c r="E538" s="44"/>
      <c r="F538" s="44"/>
      <c r="G538" s="44"/>
      <c r="I538" s="61"/>
      <c r="J538" s="59"/>
    </row>
    <row r="539" spans="4:10">
      <c r="D539" s="44"/>
      <c r="E539" s="44"/>
      <c r="F539" s="44"/>
      <c r="G539" s="44"/>
      <c r="I539" s="61"/>
      <c r="J539" s="59"/>
    </row>
    <row r="540" spans="4:10">
      <c r="D540" s="44"/>
      <c r="E540" s="44"/>
      <c r="F540" s="44"/>
      <c r="G540" s="44"/>
      <c r="I540" s="61"/>
      <c r="J540" s="59"/>
    </row>
    <row r="541" spans="4:10">
      <c r="D541" s="44"/>
      <c r="E541" s="44"/>
      <c r="F541" s="44"/>
      <c r="G541" s="44"/>
      <c r="I541" s="61"/>
      <c r="J541" s="59"/>
    </row>
    <row r="542" spans="4:10">
      <c r="D542" s="44"/>
      <c r="E542" s="44"/>
      <c r="F542" s="44"/>
      <c r="G542" s="44"/>
      <c r="I542" s="61"/>
      <c r="J542" s="59"/>
    </row>
    <row r="543" spans="4:10">
      <c r="D543" s="44">
        <f t="shared" ref="D543:D606" si="7">C543-H543</f>
        <v>0</v>
      </c>
      <c r="E543" s="44"/>
      <c r="F543" s="44"/>
      <c r="G543" s="44"/>
      <c r="I543" s="61">
        <f t="shared" ref="I543:I606" si="8">H543*10%</f>
        <v>0</v>
      </c>
      <c r="J543" s="59">
        <f t="shared" ref="J543:J606" si="9">H543*90%</f>
        <v>0</v>
      </c>
    </row>
    <row r="544" spans="4:10">
      <c r="D544" s="44">
        <f t="shared" si="7"/>
        <v>0</v>
      </c>
      <c r="E544" s="44"/>
      <c r="F544" s="44"/>
      <c r="G544" s="44"/>
      <c r="I544" s="61">
        <f t="shared" si="8"/>
        <v>0</v>
      </c>
      <c r="J544" s="59">
        <f t="shared" si="9"/>
        <v>0</v>
      </c>
    </row>
    <row r="545" spans="4:10">
      <c r="D545" s="44">
        <f t="shared" si="7"/>
        <v>0</v>
      </c>
      <c r="E545" s="44"/>
      <c r="F545" s="44"/>
      <c r="G545" s="44"/>
      <c r="I545" s="61">
        <f t="shared" si="8"/>
        <v>0</v>
      </c>
      <c r="J545" s="59">
        <f t="shared" si="9"/>
        <v>0</v>
      </c>
    </row>
    <row r="546" spans="4:10">
      <c r="D546" s="44">
        <f t="shared" si="7"/>
        <v>0</v>
      </c>
      <c r="E546" s="44"/>
      <c r="F546" s="44"/>
      <c r="G546" s="44"/>
      <c r="I546" s="61">
        <f t="shared" si="8"/>
        <v>0</v>
      </c>
      <c r="J546" s="59">
        <f t="shared" si="9"/>
        <v>0</v>
      </c>
    </row>
    <row r="547" spans="4:10">
      <c r="D547" s="44">
        <f t="shared" si="7"/>
        <v>0</v>
      </c>
      <c r="E547" s="44"/>
      <c r="F547" s="44"/>
      <c r="G547" s="44"/>
      <c r="I547" s="61">
        <f t="shared" si="8"/>
        <v>0</v>
      </c>
      <c r="J547" s="59">
        <f t="shared" si="9"/>
        <v>0</v>
      </c>
    </row>
    <row r="548" spans="4:10">
      <c r="D548" s="44">
        <f t="shared" si="7"/>
        <v>0</v>
      </c>
      <c r="E548" s="44"/>
      <c r="F548" s="44"/>
      <c r="G548" s="44"/>
      <c r="I548" s="61">
        <f t="shared" si="8"/>
        <v>0</v>
      </c>
      <c r="J548" s="59">
        <f t="shared" si="9"/>
        <v>0</v>
      </c>
    </row>
    <row r="549" spans="4:10">
      <c r="D549" s="44">
        <f t="shared" si="7"/>
        <v>0</v>
      </c>
      <c r="E549" s="44"/>
      <c r="F549" s="44"/>
      <c r="G549" s="44"/>
      <c r="I549" s="61">
        <f t="shared" si="8"/>
        <v>0</v>
      </c>
      <c r="J549" s="59">
        <f t="shared" si="9"/>
        <v>0</v>
      </c>
    </row>
    <row r="550" spans="4:10">
      <c r="D550" s="44">
        <f t="shared" si="7"/>
        <v>0</v>
      </c>
      <c r="E550" s="44"/>
      <c r="F550" s="44"/>
      <c r="G550" s="44"/>
      <c r="I550" s="61">
        <f t="shared" si="8"/>
        <v>0</v>
      </c>
      <c r="J550" s="59">
        <f t="shared" si="9"/>
        <v>0</v>
      </c>
    </row>
    <row r="551" spans="4:10">
      <c r="D551" s="44">
        <f t="shared" si="7"/>
        <v>0</v>
      </c>
      <c r="E551" s="44"/>
      <c r="F551" s="44"/>
      <c r="G551" s="44"/>
      <c r="I551" s="61">
        <f t="shared" si="8"/>
        <v>0</v>
      </c>
      <c r="J551" s="59">
        <f t="shared" si="9"/>
        <v>0</v>
      </c>
    </row>
    <row r="552" spans="4:10">
      <c r="D552" s="44">
        <f t="shared" si="7"/>
        <v>0</v>
      </c>
      <c r="E552" s="44"/>
      <c r="F552" s="44"/>
      <c r="G552" s="44"/>
      <c r="I552" s="61">
        <f t="shared" si="8"/>
        <v>0</v>
      </c>
      <c r="J552" s="59">
        <f t="shared" si="9"/>
        <v>0</v>
      </c>
    </row>
    <row r="553" spans="4:10">
      <c r="D553" s="44">
        <f t="shared" si="7"/>
        <v>0</v>
      </c>
      <c r="E553" s="44"/>
      <c r="F553" s="44"/>
      <c r="G553" s="44"/>
      <c r="I553" s="61">
        <f t="shared" si="8"/>
        <v>0</v>
      </c>
      <c r="J553" s="59">
        <f t="shared" si="9"/>
        <v>0</v>
      </c>
    </row>
    <row r="554" spans="4:10">
      <c r="D554" s="44">
        <f t="shared" si="7"/>
        <v>0</v>
      </c>
      <c r="E554" s="44"/>
      <c r="F554" s="44"/>
      <c r="G554" s="44"/>
      <c r="I554" s="61">
        <f t="shared" si="8"/>
        <v>0</v>
      </c>
      <c r="J554" s="59">
        <f t="shared" si="9"/>
        <v>0</v>
      </c>
    </row>
    <row r="555" spans="4:10">
      <c r="D555" s="44">
        <f t="shared" si="7"/>
        <v>0</v>
      </c>
      <c r="E555" s="44"/>
      <c r="F555" s="44"/>
      <c r="G555" s="44"/>
      <c r="I555" s="61">
        <f t="shared" si="8"/>
        <v>0</v>
      </c>
      <c r="J555" s="59">
        <f t="shared" si="9"/>
        <v>0</v>
      </c>
    </row>
    <row r="556" spans="4:10">
      <c r="D556" s="44">
        <f t="shared" si="7"/>
        <v>0</v>
      </c>
      <c r="E556" s="44"/>
      <c r="F556" s="44"/>
      <c r="G556" s="44"/>
      <c r="I556" s="61">
        <f t="shared" si="8"/>
        <v>0</v>
      </c>
      <c r="J556" s="59">
        <f t="shared" si="9"/>
        <v>0</v>
      </c>
    </row>
    <row r="557" spans="4:10">
      <c r="D557" s="44">
        <f t="shared" si="7"/>
        <v>0</v>
      </c>
      <c r="E557" s="44"/>
      <c r="F557" s="44"/>
      <c r="G557" s="44"/>
      <c r="I557" s="61">
        <f t="shared" si="8"/>
        <v>0</v>
      </c>
      <c r="J557" s="59">
        <f t="shared" si="9"/>
        <v>0</v>
      </c>
    </row>
    <row r="558" spans="4:10">
      <c r="D558" s="44">
        <f t="shared" si="7"/>
        <v>0</v>
      </c>
      <c r="E558" s="44"/>
      <c r="F558" s="44"/>
      <c r="G558" s="44"/>
      <c r="I558" s="61">
        <f t="shared" si="8"/>
        <v>0</v>
      </c>
      <c r="J558" s="59">
        <f t="shared" si="9"/>
        <v>0</v>
      </c>
    </row>
    <row r="559" spans="4:10">
      <c r="D559" s="44">
        <f t="shared" si="7"/>
        <v>0</v>
      </c>
      <c r="E559" s="44"/>
      <c r="F559" s="44"/>
      <c r="G559" s="44"/>
      <c r="I559" s="61">
        <f t="shared" si="8"/>
        <v>0</v>
      </c>
      <c r="J559" s="59">
        <f t="shared" si="9"/>
        <v>0</v>
      </c>
    </row>
    <row r="560" spans="4:10">
      <c r="D560" s="44">
        <f t="shared" si="7"/>
        <v>0</v>
      </c>
      <c r="E560" s="44"/>
      <c r="F560" s="44"/>
      <c r="G560" s="44"/>
      <c r="I560" s="61">
        <f t="shared" si="8"/>
        <v>0</v>
      </c>
      <c r="J560" s="59">
        <f t="shared" si="9"/>
        <v>0</v>
      </c>
    </row>
    <row r="561" spans="4:10">
      <c r="D561" s="44">
        <f t="shared" si="7"/>
        <v>0</v>
      </c>
      <c r="E561" s="44"/>
      <c r="F561" s="44"/>
      <c r="G561" s="44"/>
      <c r="I561" s="61">
        <f t="shared" si="8"/>
        <v>0</v>
      </c>
      <c r="J561" s="59">
        <f t="shared" si="9"/>
        <v>0</v>
      </c>
    </row>
    <row r="562" spans="4:10">
      <c r="D562" s="44">
        <f t="shared" si="7"/>
        <v>0</v>
      </c>
      <c r="E562" s="44"/>
      <c r="F562" s="44"/>
      <c r="G562" s="44"/>
      <c r="I562" s="61">
        <f t="shared" si="8"/>
        <v>0</v>
      </c>
      <c r="J562" s="59">
        <f t="shared" si="9"/>
        <v>0</v>
      </c>
    </row>
    <row r="563" spans="4:10">
      <c r="D563" s="44">
        <f t="shared" si="7"/>
        <v>0</v>
      </c>
      <c r="E563" s="44"/>
      <c r="F563" s="44"/>
      <c r="G563" s="44"/>
      <c r="I563" s="61">
        <f t="shared" si="8"/>
        <v>0</v>
      </c>
      <c r="J563" s="59">
        <f t="shared" si="9"/>
        <v>0</v>
      </c>
    </row>
    <row r="564" spans="4:10">
      <c r="D564" s="44">
        <f t="shared" si="7"/>
        <v>0</v>
      </c>
      <c r="E564" s="44"/>
      <c r="F564" s="44"/>
      <c r="G564" s="44"/>
      <c r="I564" s="61">
        <f t="shared" si="8"/>
        <v>0</v>
      </c>
      <c r="J564" s="59">
        <f t="shared" si="9"/>
        <v>0</v>
      </c>
    </row>
    <row r="565" spans="4:10">
      <c r="D565" s="44">
        <f t="shared" si="7"/>
        <v>0</v>
      </c>
      <c r="E565" s="44"/>
      <c r="F565" s="44"/>
      <c r="G565" s="44"/>
      <c r="I565" s="61">
        <f t="shared" si="8"/>
        <v>0</v>
      </c>
      <c r="J565" s="59">
        <f t="shared" si="9"/>
        <v>0</v>
      </c>
    </row>
    <row r="566" spans="4:10">
      <c r="D566" s="44">
        <f t="shared" si="7"/>
        <v>0</v>
      </c>
      <c r="E566" s="44"/>
      <c r="F566" s="44"/>
      <c r="G566" s="44"/>
      <c r="I566" s="61">
        <f t="shared" si="8"/>
        <v>0</v>
      </c>
      <c r="J566" s="59">
        <f t="shared" si="9"/>
        <v>0</v>
      </c>
    </row>
    <row r="567" spans="4:10">
      <c r="D567" s="44">
        <f t="shared" si="7"/>
        <v>0</v>
      </c>
      <c r="E567" s="44"/>
      <c r="F567" s="44"/>
      <c r="G567" s="44"/>
      <c r="I567" s="61">
        <f t="shared" si="8"/>
        <v>0</v>
      </c>
      <c r="J567" s="59">
        <f t="shared" si="9"/>
        <v>0</v>
      </c>
    </row>
    <row r="568" spans="4:10">
      <c r="D568" s="44">
        <f t="shared" si="7"/>
        <v>0</v>
      </c>
      <c r="E568" s="44"/>
      <c r="F568" s="44"/>
      <c r="G568" s="44"/>
      <c r="I568" s="61">
        <f t="shared" si="8"/>
        <v>0</v>
      </c>
      <c r="J568" s="59">
        <f t="shared" si="9"/>
        <v>0</v>
      </c>
    </row>
    <row r="569" spans="4:10">
      <c r="D569" s="44">
        <f t="shared" si="7"/>
        <v>0</v>
      </c>
      <c r="E569" s="44"/>
      <c r="F569" s="44"/>
      <c r="G569" s="44"/>
      <c r="I569" s="61">
        <f t="shared" si="8"/>
        <v>0</v>
      </c>
      <c r="J569" s="59">
        <f t="shared" si="9"/>
        <v>0</v>
      </c>
    </row>
    <row r="570" spans="4:10">
      <c r="D570" s="44">
        <f t="shared" si="7"/>
        <v>0</v>
      </c>
      <c r="E570" s="44"/>
      <c r="F570" s="44"/>
      <c r="G570" s="44"/>
      <c r="I570" s="61">
        <f t="shared" si="8"/>
        <v>0</v>
      </c>
      <c r="J570" s="59">
        <f t="shared" si="9"/>
        <v>0</v>
      </c>
    </row>
    <row r="571" spans="4:10">
      <c r="D571" s="44">
        <f t="shared" si="7"/>
        <v>0</v>
      </c>
      <c r="E571" s="44"/>
      <c r="F571" s="44"/>
      <c r="G571" s="44"/>
      <c r="I571" s="61">
        <f t="shared" si="8"/>
        <v>0</v>
      </c>
      <c r="J571" s="59">
        <f t="shared" si="9"/>
        <v>0</v>
      </c>
    </row>
    <row r="572" spans="4:10">
      <c r="D572" s="44">
        <f t="shared" si="7"/>
        <v>0</v>
      </c>
      <c r="E572" s="44"/>
      <c r="F572" s="44"/>
      <c r="G572" s="44"/>
      <c r="I572" s="61">
        <f t="shared" si="8"/>
        <v>0</v>
      </c>
      <c r="J572" s="59">
        <f t="shared" si="9"/>
        <v>0</v>
      </c>
    </row>
    <row r="573" spans="4:10">
      <c r="D573" s="44">
        <f t="shared" si="7"/>
        <v>0</v>
      </c>
      <c r="E573" s="44"/>
      <c r="F573" s="44"/>
      <c r="G573" s="44"/>
      <c r="I573" s="61">
        <f t="shared" si="8"/>
        <v>0</v>
      </c>
      <c r="J573" s="59">
        <f t="shared" si="9"/>
        <v>0</v>
      </c>
    </row>
    <row r="574" spans="4:10">
      <c r="D574" s="44">
        <f t="shared" si="7"/>
        <v>0</v>
      </c>
      <c r="E574" s="44"/>
      <c r="F574" s="44"/>
      <c r="G574" s="44"/>
      <c r="I574" s="61">
        <f t="shared" si="8"/>
        <v>0</v>
      </c>
      <c r="J574" s="59">
        <f t="shared" si="9"/>
        <v>0</v>
      </c>
    </row>
    <row r="575" spans="4:10">
      <c r="D575" s="44">
        <f t="shared" si="7"/>
        <v>0</v>
      </c>
      <c r="E575" s="44"/>
      <c r="F575" s="44"/>
      <c r="G575" s="44"/>
      <c r="I575" s="61">
        <f t="shared" si="8"/>
        <v>0</v>
      </c>
      <c r="J575" s="59">
        <f t="shared" si="9"/>
        <v>0</v>
      </c>
    </row>
    <row r="576" spans="4:10">
      <c r="D576" s="44">
        <f t="shared" si="7"/>
        <v>0</v>
      </c>
      <c r="E576" s="44"/>
      <c r="F576" s="44"/>
      <c r="G576" s="44"/>
      <c r="I576" s="61">
        <f t="shared" si="8"/>
        <v>0</v>
      </c>
      <c r="J576" s="59">
        <f t="shared" si="9"/>
        <v>0</v>
      </c>
    </row>
    <row r="577" spans="4:10">
      <c r="D577" s="44">
        <f t="shared" si="7"/>
        <v>0</v>
      </c>
      <c r="E577" s="44"/>
      <c r="F577" s="44"/>
      <c r="G577" s="44"/>
      <c r="I577" s="61">
        <f t="shared" si="8"/>
        <v>0</v>
      </c>
      <c r="J577" s="59">
        <f t="shared" si="9"/>
        <v>0</v>
      </c>
    </row>
    <row r="578" spans="4:10">
      <c r="D578" s="44">
        <f t="shared" si="7"/>
        <v>0</v>
      </c>
      <c r="E578" s="44"/>
      <c r="F578" s="44"/>
      <c r="G578" s="44"/>
      <c r="I578" s="61">
        <f t="shared" si="8"/>
        <v>0</v>
      </c>
      <c r="J578" s="59">
        <f t="shared" si="9"/>
        <v>0</v>
      </c>
    </row>
    <row r="579" spans="4:10">
      <c r="D579" s="44">
        <f t="shared" si="7"/>
        <v>0</v>
      </c>
      <c r="E579" s="44"/>
      <c r="F579" s="44"/>
      <c r="G579" s="44"/>
      <c r="I579" s="61">
        <f t="shared" si="8"/>
        <v>0</v>
      </c>
      <c r="J579" s="59">
        <f t="shared" si="9"/>
        <v>0</v>
      </c>
    </row>
    <row r="580" spans="4:10">
      <c r="D580" s="44">
        <f t="shared" si="7"/>
        <v>0</v>
      </c>
      <c r="E580" s="44"/>
      <c r="F580" s="44"/>
      <c r="G580" s="44"/>
      <c r="I580" s="61">
        <f t="shared" si="8"/>
        <v>0</v>
      </c>
      <c r="J580" s="59">
        <f t="shared" si="9"/>
        <v>0</v>
      </c>
    </row>
    <row r="581" spans="4:10">
      <c r="D581" s="44">
        <f t="shared" si="7"/>
        <v>0</v>
      </c>
      <c r="E581" s="44"/>
      <c r="F581" s="44"/>
      <c r="G581" s="44"/>
      <c r="I581" s="61">
        <f t="shared" si="8"/>
        <v>0</v>
      </c>
      <c r="J581" s="59">
        <f t="shared" si="9"/>
        <v>0</v>
      </c>
    </row>
    <row r="582" spans="4:10">
      <c r="D582" s="44">
        <f t="shared" si="7"/>
        <v>0</v>
      </c>
      <c r="E582" s="44"/>
      <c r="F582" s="44"/>
      <c r="G582" s="44"/>
      <c r="I582" s="61">
        <f t="shared" si="8"/>
        <v>0</v>
      </c>
      <c r="J582" s="59">
        <f t="shared" si="9"/>
        <v>0</v>
      </c>
    </row>
    <row r="583" spans="4:10">
      <c r="D583" s="44">
        <f t="shared" si="7"/>
        <v>0</v>
      </c>
      <c r="E583" s="44"/>
      <c r="F583" s="44"/>
      <c r="G583" s="44"/>
      <c r="I583" s="61">
        <f t="shared" si="8"/>
        <v>0</v>
      </c>
      <c r="J583" s="59">
        <f t="shared" si="9"/>
        <v>0</v>
      </c>
    </row>
    <row r="584" spans="4:10">
      <c r="D584" s="44">
        <f t="shared" si="7"/>
        <v>0</v>
      </c>
      <c r="E584" s="44"/>
      <c r="F584" s="44"/>
      <c r="G584" s="44"/>
      <c r="I584" s="61">
        <f t="shared" si="8"/>
        <v>0</v>
      </c>
      <c r="J584" s="59">
        <f t="shared" si="9"/>
        <v>0</v>
      </c>
    </row>
    <row r="585" spans="4:10">
      <c r="D585" s="44">
        <f t="shared" si="7"/>
        <v>0</v>
      </c>
      <c r="E585" s="44"/>
      <c r="F585" s="44"/>
      <c r="G585" s="44"/>
      <c r="I585" s="61">
        <f t="shared" si="8"/>
        <v>0</v>
      </c>
      <c r="J585" s="59">
        <f t="shared" si="9"/>
        <v>0</v>
      </c>
    </row>
    <row r="586" spans="4:10">
      <c r="D586" s="44">
        <f t="shared" si="7"/>
        <v>0</v>
      </c>
      <c r="E586" s="44"/>
      <c r="F586" s="44"/>
      <c r="G586" s="44"/>
      <c r="I586" s="61">
        <f t="shared" si="8"/>
        <v>0</v>
      </c>
      <c r="J586" s="59">
        <f t="shared" si="9"/>
        <v>0</v>
      </c>
    </row>
    <row r="587" spans="4:10">
      <c r="D587" s="44">
        <f t="shared" si="7"/>
        <v>0</v>
      </c>
      <c r="E587" s="44"/>
      <c r="F587" s="44"/>
      <c r="G587" s="44"/>
      <c r="I587" s="61">
        <f t="shared" si="8"/>
        <v>0</v>
      </c>
      <c r="J587" s="59">
        <f t="shared" si="9"/>
        <v>0</v>
      </c>
    </row>
    <row r="588" spans="4:10">
      <c r="D588" s="44">
        <f t="shared" si="7"/>
        <v>0</v>
      </c>
      <c r="E588" s="44"/>
      <c r="F588" s="44"/>
      <c r="G588" s="44"/>
      <c r="I588" s="61">
        <f t="shared" si="8"/>
        <v>0</v>
      </c>
      <c r="J588" s="59">
        <f t="shared" si="9"/>
        <v>0</v>
      </c>
    </row>
    <row r="589" spans="4:10">
      <c r="D589" s="44">
        <f t="shared" si="7"/>
        <v>0</v>
      </c>
      <c r="E589" s="44"/>
      <c r="F589" s="44"/>
      <c r="G589" s="44"/>
      <c r="I589" s="61">
        <f t="shared" si="8"/>
        <v>0</v>
      </c>
      <c r="J589" s="59">
        <f t="shared" si="9"/>
        <v>0</v>
      </c>
    </row>
    <row r="590" spans="4:10">
      <c r="D590" s="44">
        <f t="shared" si="7"/>
        <v>0</v>
      </c>
      <c r="E590" s="44"/>
      <c r="F590" s="44"/>
      <c r="G590" s="44"/>
      <c r="I590" s="61">
        <f t="shared" si="8"/>
        <v>0</v>
      </c>
      <c r="J590" s="59">
        <f t="shared" si="9"/>
        <v>0</v>
      </c>
    </row>
    <row r="591" spans="4:10">
      <c r="D591" s="44">
        <f t="shared" si="7"/>
        <v>0</v>
      </c>
      <c r="E591" s="44"/>
      <c r="F591" s="44"/>
      <c r="G591" s="44"/>
      <c r="I591" s="61">
        <f t="shared" si="8"/>
        <v>0</v>
      </c>
      <c r="J591" s="59">
        <f t="shared" si="9"/>
        <v>0</v>
      </c>
    </row>
    <row r="592" spans="4:10">
      <c r="D592" s="44">
        <f t="shared" si="7"/>
        <v>0</v>
      </c>
      <c r="E592" s="44"/>
      <c r="F592" s="44"/>
      <c r="G592" s="44"/>
      <c r="I592" s="61">
        <f t="shared" si="8"/>
        <v>0</v>
      </c>
      <c r="J592" s="59">
        <f t="shared" si="9"/>
        <v>0</v>
      </c>
    </row>
    <row r="593" spans="4:10">
      <c r="D593" s="44">
        <f t="shared" si="7"/>
        <v>0</v>
      </c>
      <c r="E593" s="44"/>
      <c r="F593" s="44"/>
      <c r="G593" s="44"/>
      <c r="I593" s="61">
        <f t="shared" si="8"/>
        <v>0</v>
      </c>
      <c r="J593" s="59">
        <f t="shared" si="9"/>
        <v>0</v>
      </c>
    </row>
    <row r="594" spans="4:10">
      <c r="D594" s="44">
        <f t="shared" si="7"/>
        <v>0</v>
      </c>
      <c r="E594" s="44"/>
      <c r="F594" s="44"/>
      <c r="G594" s="44"/>
      <c r="I594" s="61">
        <f t="shared" si="8"/>
        <v>0</v>
      </c>
      <c r="J594" s="59">
        <f t="shared" si="9"/>
        <v>0</v>
      </c>
    </row>
    <row r="595" spans="4:10">
      <c r="D595" s="44">
        <f t="shared" si="7"/>
        <v>0</v>
      </c>
      <c r="E595" s="44"/>
      <c r="F595" s="44"/>
      <c r="G595" s="44"/>
      <c r="I595" s="61">
        <f t="shared" si="8"/>
        <v>0</v>
      </c>
      <c r="J595" s="59">
        <f t="shared" si="9"/>
        <v>0</v>
      </c>
    </row>
    <row r="596" spans="4:10">
      <c r="D596" s="44">
        <f t="shared" si="7"/>
        <v>0</v>
      </c>
      <c r="E596" s="44"/>
      <c r="F596" s="44"/>
      <c r="G596" s="44"/>
      <c r="I596" s="61">
        <f t="shared" si="8"/>
        <v>0</v>
      </c>
      <c r="J596" s="59">
        <f t="shared" si="9"/>
        <v>0</v>
      </c>
    </row>
    <row r="597" spans="4:10">
      <c r="D597" s="44">
        <f t="shared" si="7"/>
        <v>0</v>
      </c>
      <c r="E597" s="44"/>
      <c r="F597" s="44"/>
      <c r="G597" s="44"/>
      <c r="I597" s="61">
        <f t="shared" si="8"/>
        <v>0</v>
      </c>
      <c r="J597" s="59">
        <f t="shared" si="9"/>
        <v>0</v>
      </c>
    </row>
    <row r="598" spans="4:10">
      <c r="D598" s="44">
        <f t="shared" si="7"/>
        <v>0</v>
      </c>
      <c r="E598" s="44"/>
      <c r="F598" s="44"/>
      <c r="G598" s="44"/>
      <c r="I598" s="61">
        <f t="shared" si="8"/>
        <v>0</v>
      </c>
      <c r="J598" s="59">
        <f t="shared" si="9"/>
        <v>0</v>
      </c>
    </row>
    <row r="599" spans="4:10">
      <c r="D599" s="44">
        <f t="shared" si="7"/>
        <v>0</v>
      </c>
      <c r="E599" s="44"/>
      <c r="F599" s="44"/>
      <c r="G599" s="44"/>
      <c r="I599" s="61">
        <f t="shared" si="8"/>
        <v>0</v>
      </c>
      <c r="J599" s="59">
        <f t="shared" si="9"/>
        <v>0</v>
      </c>
    </row>
    <row r="600" spans="4:10">
      <c r="D600" s="44">
        <f t="shared" si="7"/>
        <v>0</v>
      </c>
      <c r="E600" s="44"/>
      <c r="F600" s="44"/>
      <c r="G600" s="44"/>
      <c r="I600" s="61">
        <f t="shared" si="8"/>
        <v>0</v>
      </c>
      <c r="J600" s="59">
        <f t="shared" si="9"/>
        <v>0</v>
      </c>
    </row>
    <row r="601" spans="4:10">
      <c r="D601" s="44">
        <f t="shared" si="7"/>
        <v>0</v>
      </c>
      <c r="E601" s="44"/>
      <c r="F601" s="44"/>
      <c r="G601" s="44"/>
      <c r="I601" s="61">
        <f t="shared" si="8"/>
        <v>0</v>
      </c>
      <c r="J601" s="59">
        <f t="shared" si="9"/>
        <v>0</v>
      </c>
    </row>
    <row r="602" spans="4:10">
      <c r="D602" s="44">
        <f t="shared" si="7"/>
        <v>0</v>
      </c>
      <c r="E602" s="44"/>
      <c r="F602" s="44"/>
      <c r="G602" s="44"/>
      <c r="I602" s="61">
        <f t="shared" si="8"/>
        <v>0</v>
      </c>
      <c r="J602" s="59">
        <f t="shared" si="9"/>
        <v>0</v>
      </c>
    </row>
    <row r="603" spans="4:10">
      <c r="D603" s="44">
        <f t="shared" si="7"/>
        <v>0</v>
      </c>
      <c r="E603" s="44"/>
      <c r="F603" s="44"/>
      <c r="G603" s="44"/>
      <c r="I603" s="61">
        <f t="shared" si="8"/>
        <v>0</v>
      </c>
      <c r="J603" s="59">
        <f t="shared" si="9"/>
        <v>0</v>
      </c>
    </row>
    <row r="604" spans="4:10">
      <c r="D604" s="44">
        <f t="shared" si="7"/>
        <v>0</v>
      </c>
      <c r="E604" s="44"/>
      <c r="F604" s="44"/>
      <c r="G604" s="44"/>
      <c r="I604" s="61">
        <f t="shared" si="8"/>
        <v>0</v>
      </c>
      <c r="J604" s="59">
        <f t="shared" si="9"/>
        <v>0</v>
      </c>
    </row>
    <row r="605" spans="4:10">
      <c r="D605" s="44">
        <f t="shared" si="7"/>
        <v>0</v>
      </c>
      <c r="E605" s="44"/>
      <c r="F605" s="44"/>
      <c r="G605" s="44"/>
      <c r="I605" s="61">
        <f t="shared" si="8"/>
        <v>0</v>
      </c>
      <c r="J605" s="59">
        <f t="shared" si="9"/>
        <v>0</v>
      </c>
    </row>
    <row r="606" spans="4:10">
      <c r="D606" s="44">
        <f t="shared" si="7"/>
        <v>0</v>
      </c>
      <c r="E606" s="44"/>
      <c r="F606" s="44"/>
      <c r="G606" s="44"/>
      <c r="I606" s="61">
        <f t="shared" si="8"/>
        <v>0</v>
      </c>
      <c r="J606" s="59">
        <f t="shared" si="9"/>
        <v>0</v>
      </c>
    </row>
    <row r="607" spans="4:10">
      <c r="D607" s="44">
        <f t="shared" ref="D607:D670" si="10">C607-H607</f>
        <v>0</v>
      </c>
      <c r="E607" s="44"/>
      <c r="F607" s="44"/>
      <c r="G607" s="44"/>
      <c r="I607" s="61">
        <f t="shared" ref="I607:I670" si="11">H607*10%</f>
        <v>0</v>
      </c>
      <c r="J607" s="59">
        <f t="shared" ref="J607:J670" si="12">H607*90%</f>
        <v>0</v>
      </c>
    </row>
    <row r="608" spans="4:10">
      <c r="D608" s="44">
        <f t="shared" si="10"/>
        <v>0</v>
      </c>
      <c r="E608" s="44"/>
      <c r="F608" s="44"/>
      <c r="G608" s="44"/>
      <c r="I608" s="61">
        <f t="shared" si="11"/>
        <v>0</v>
      </c>
      <c r="J608" s="59">
        <f t="shared" si="12"/>
        <v>0</v>
      </c>
    </row>
    <row r="609" spans="4:10">
      <c r="D609" s="44">
        <f t="shared" si="10"/>
        <v>0</v>
      </c>
      <c r="E609" s="44"/>
      <c r="F609" s="44"/>
      <c r="G609" s="44"/>
      <c r="I609" s="61">
        <f t="shared" si="11"/>
        <v>0</v>
      </c>
      <c r="J609" s="59">
        <f t="shared" si="12"/>
        <v>0</v>
      </c>
    </row>
    <row r="610" spans="4:10">
      <c r="D610" s="44">
        <f t="shared" si="10"/>
        <v>0</v>
      </c>
      <c r="E610" s="44"/>
      <c r="F610" s="44"/>
      <c r="G610" s="44"/>
      <c r="I610" s="61">
        <f t="shared" si="11"/>
        <v>0</v>
      </c>
      <c r="J610" s="59">
        <f t="shared" si="12"/>
        <v>0</v>
      </c>
    </row>
    <row r="611" spans="4:10">
      <c r="D611" s="44">
        <f t="shared" si="10"/>
        <v>0</v>
      </c>
      <c r="E611" s="44"/>
      <c r="F611" s="44"/>
      <c r="G611" s="44"/>
      <c r="I611" s="61">
        <f t="shared" si="11"/>
        <v>0</v>
      </c>
      <c r="J611" s="59">
        <f t="shared" si="12"/>
        <v>0</v>
      </c>
    </row>
    <row r="612" spans="4:10">
      <c r="D612" s="44">
        <f t="shared" si="10"/>
        <v>0</v>
      </c>
      <c r="E612" s="44"/>
      <c r="F612" s="44"/>
      <c r="G612" s="44"/>
      <c r="I612" s="61">
        <f t="shared" si="11"/>
        <v>0</v>
      </c>
      <c r="J612" s="59">
        <f t="shared" si="12"/>
        <v>0</v>
      </c>
    </row>
    <row r="613" spans="4:10">
      <c r="D613" s="44">
        <f t="shared" si="10"/>
        <v>0</v>
      </c>
      <c r="E613" s="44"/>
      <c r="F613" s="44"/>
      <c r="G613" s="44"/>
      <c r="I613" s="61">
        <f t="shared" si="11"/>
        <v>0</v>
      </c>
      <c r="J613" s="59">
        <f t="shared" si="12"/>
        <v>0</v>
      </c>
    </row>
    <row r="614" spans="4:10">
      <c r="D614" s="44">
        <f t="shared" si="10"/>
        <v>0</v>
      </c>
      <c r="E614" s="44"/>
      <c r="F614" s="44"/>
      <c r="G614" s="44"/>
      <c r="I614" s="61">
        <f t="shared" si="11"/>
        <v>0</v>
      </c>
      <c r="J614" s="59">
        <f t="shared" si="12"/>
        <v>0</v>
      </c>
    </row>
    <row r="615" spans="4:10">
      <c r="D615" s="44">
        <f t="shared" si="10"/>
        <v>0</v>
      </c>
      <c r="E615" s="44"/>
      <c r="F615" s="44"/>
      <c r="G615" s="44"/>
      <c r="I615" s="61">
        <f t="shared" si="11"/>
        <v>0</v>
      </c>
      <c r="J615" s="59">
        <f t="shared" si="12"/>
        <v>0</v>
      </c>
    </row>
    <row r="616" spans="4:10">
      <c r="D616" s="44">
        <f t="shared" si="10"/>
        <v>0</v>
      </c>
      <c r="E616" s="44"/>
      <c r="F616" s="44"/>
      <c r="G616" s="44"/>
      <c r="I616" s="61">
        <f t="shared" si="11"/>
        <v>0</v>
      </c>
      <c r="J616" s="59">
        <f t="shared" si="12"/>
        <v>0</v>
      </c>
    </row>
    <row r="617" spans="4:10">
      <c r="D617" s="44">
        <f t="shared" si="10"/>
        <v>0</v>
      </c>
      <c r="E617" s="44"/>
      <c r="F617" s="44"/>
      <c r="G617" s="44"/>
      <c r="I617" s="61">
        <f t="shared" si="11"/>
        <v>0</v>
      </c>
      <c r="J617" s="59">
        <f t="shared" si="12"/>
        <v>0</v>
      </c>
    </row>
    <row r="618" spans="4:10">
      <c r="D618" s="44">
        <f t="shared" si="10"/>
        <v>0</v>
      </c>
      <c r="E618" s="44"/>
      <c r="F618" s="44"/>
      <c r="G618" s="44"/>
      <c r="I618" s="61">
        <f t="shared" si="11"/>
        <v>0</v>
      </c>
      <c r="J618" s="59">
        <f t="shared" si="12"/>
        <v>0</v>
      </c>
    </row>
    <row r="619" spans="4:10">
      <c r="D619" s="44">
        <f t="shared" si="10"/>
        <v>0</v>
      </c>
      <c r="E619" s="44"/>
      <c r="F619" s="44"/>
      <c r="G619" s="44"/>
      <c r="I619" s="61">
        <f t="shared" si="11"/>
        <v>0</v>
      </c>
      <c r="J619" s="59">
        <f t="shared" si="12"/>
        <v>0</v>
      </c>
    </row>
    <row r="620" spans="4:10">
      <c r="D620" s="44">
        <f t="shared" si="10"/>
        <v>0</v>
      </c>
      <c r="E620" s="44"/>
      <c r="F620" s="44"/>
      <c r="G620" s="44"/>
      <c r="I620" s="61">
        <f t="shared" si="11"/>
        <v>0</v>
      </c>
      <c r="J620" s="59">
        <f t="shared" si="12"/>
        <v>0</v>
      </c>
    </row>
    <row r="621" spans="4:10">
      <c r="D621" s="44">
        <f t="shared" si="10"/>
        <v>0</v>
      </c>
      <c r="E621" s="44"/>
      <c r="F621" s="44"/>
      <c r="G621" s="44"/>
      <c r="I621" s="61">
        <f t="shared" si="11"/>
        <v>0</v>
      </c>
      <c r="J621" s="59">
        <f t="shared" si="12"/>
        <v>0</v>
      </c>
    </row>
    <row r="622" spans="4:10">
      <c r="D622" s="44">
        <f t="shared" si="10"/>
        <v>0</v>
      </c>
      <c r="E622" s="44"/>
      <c r="F622" s="44"/>
      <c r="G622" s="44"/>
      <c r="I622" s="61">
        <f t="shared" si="11"/>
        <v>0</v>
      </c>
      <c r="J622" s="59">
        <f t="shared" si="12"/>
        <v>0</v>
      </c>
    </row>
    <row r="623" spans="4:10">
      <c r="D623" s="44">
        <f t="shared" si="10"/>
        <v>0</v>
      </c>
      <c r="E623" s="44"/>
      <c r="F623" s="44"/>
      <c r="G623" s="44"/>
      <c r="I623" s="61">
        <f t="shared" si="11"/>
        <v>0</v>
      </c>
      <c r="J623" s="59">
        <f t="shared" si="12"/>
        <v>0</v>
      </c>
    </row>
    <row r="624" spans="4:10">
      <c r="D624" s="44">
        <f t="shared" si="10"/>
        <v>0</v>
      </c>
      <c r="E624" s="44"/>
      <c r="F624" s="44"/>
      <c r="G624" s="44"/>
      <c r="I624" s="61">
        <f t="shared" si="11"/>
        <v>0</v>
      </c>
      <c r="J624" s="59">
        <f t="shared" si="12"/>
        <v>0</v>
      </c>
    </row>
    <row r="625" spans="4:10">
      <c r="D625" s="44">
        <f t="shared" si="10"/>
        <v>0</v>
      </c>
      <c r="E625" s="44"/>
      <c r="F625" s="44"/>
      <c r="G625" s="44"/>
      <c r="I625" s="61">
        <f t="shared" si="11"/>
        <v>0</v>
      </c>
      <c r="J625" s="59">
        <f t="shared" si="12"/>
        <v>0</v>
      </c>
    </row>
    <row r="626" spans="4:10">
      <c r="D626" s="44">
        <f t="shared" si="10"/>
        <v>0</v>
      </c>
      <c r="E626" s="44"/>
      <c r="F626" s="44"/>
      <c r="G626" s="44"/>
      <c r="I626" s="61">
        <f t="shared" si="11"/>
        <v>0</v>
      </c>
      <c r="J626" s="59">
        <f t="shared" si="12"/>
        <v>0</v>
      </c>
    </row>
    <row r="627" spans="4:10">
      <c r="D627" s="44">
        <f t="shared" si="10"/>
        <v>0</v>
      </c>
      <c r="E627" s="44"/>
      <c r="F627" s="44"/>
      <c r="G627" s="44"/>
      <c r="I627" s="61">
        <f t="shared" si="11"/>
        <v>0</v>
      </c>
      <c r="J627" s="59">
        <f t="shared" si="12"/>
        <v>0</v>
      </c>
    </row>
    <row r="628" spans="4:10">
      <c r="D628" s="44">
        <f t="shared" si="10"/>
        <v>0</v>
      </c>
      <c r="E628" s="44"/>
      <c r="F628" s="44"/>
      <c r="G628" s="44"/>
      <c r="I628" s="61">
        <f t="shared" si="11"/>
        <v>0</v>
      </c>
      <c r="J628" s="59">
        <f t="shared" si="12"/>
        <v>0</v>
      </c>
    </row>
    <row r="629" spans="4:10">
      <c r="D629" s="44">
        <f t="shared" si="10"/>
        <v>0</v>
      </c>
      <c r="E629" s="44"/>
      <c r="F629" s="44"/>
      <c r="G629" s="44"/>
      <c r="I629" s="61">
        <f t="shared" si="11"/>
        <v>0</v>
      </c>
      <c r="J629" s="59">
        <f t="shared" si="12"/>
        <v>0</v>
      </c>
    </row>
    <row r="630" spans="4:10">
      <c r="D630" s="44">
        <f t="shared" si="10"/>
        <v>0</v>
      </c>
      <c r="E630" s="44"/>
      <c r="F630" s="44"/>
      <c r="G630" s="44"/>
      <c r="I630" s="61">
        <f t="shared" si="11"/>
        <v>0</v>
      </c>
      <c r="J630" s="59">
        <f t="shared" si="12"/>
        <v>0</v>
      </c>
    </row>
    <row r="631" spans="4:10">
      <c r="D631" s="44">
        <f t="shared" si="10"/>
        <v>0</v>
      </c>
      <c r="E631" s="44"/>
      <c r="F631" s="44"/>
      <c r="G631" s="44"/>
      <c r="I631" s="61">
        <f t="shared" si="11"/>
        <v>0</v>
      </c>
      <c r="J631" s="59">
        <f t="shared" si="12"/>
        <v>0</v>
      </c>
    </row>
    <row r="632" spans="4:10">
      <c r="D632" s="44">
        <f t="shared" si="10"/>
        <v>0</v>
      </c>
      <c r="E632" s="44"/>
      <c r="F632" s="44"/>
      <c r="G632" s="44"/>
      <c r="I632" s="61">
        <f t="shared" si="11"/>
        <v>0</v>
      </c>
      <c r="J632" s="59">
        <f t="shared" si="12"/>
        <v>0</v>
      </c>
    </row>
    <row r="633" spans="4:10">
      <c r="D633" s="44">
        <f t="shared" si="10"/>
        <v>0</v>
      </c>
      <c r="E633" s="44"/>
      <c r="F633" s="44"/>
      <c r="G633" s="44"/>
      <c r="I633" s="61">
        <f t="shared" si="11"/>
        <v>0</v>
      </c>
      <c r="J633" s="59">
        <f t="shared" si="12"/>
        <v>0</v>
      </c>
    </row>
    <row r="634" spans="4:10">
      <c r="D634" s="44">
        <f t="shared" si="10"/>
        <v>0</v>
      </c>
      <c r="E634" s="44"/>
      <c r="F634" s="44"/>
      <c r="G634" s="44"/>
      <c r="I634" s="61">
        <f t="shared" si="11"/>
        <v>0</v>
      </c>
      <c r="J634" s="59">
        <f t="shared" si="12"/>
        <v>0</v>
      </c>
    </row>
    <row r="635" spans="4:10">
      <c r="D635" s="44">
        <f t="shared" si="10"/>
        <v>0</v>
      </c>
      <c r="E635" s="44"/>
      <c r="F635" s="44"/>
      <c r="G635" s="44"/>
      <c r="I635" s="61">
        <f t="shared" si="11"/>
        <v>0</v>
      </c>
      <c r="J635" s="59">
        <f t="shared" si="12"/>
        <v>0</v>
      </c>
    </row>
    <row r="636" spans="4:10">
      <c r="D636" s="44">
        <f t="shared" si="10"/>
        <v>0</v>
      </c>
      <c r="E636" s="44"/>
      <c r="F636" s="44"/>
      <c r="G636" s="44"/>
      <c r="I636" s="61">
        <f t="shared" si="11"/>
        <v>0</v>
      </c>
      <c r="J636" s="59">
        <f t="shared" si="12"/>
        <v>0</v>
      </c>
    </row>
    <row r="637" spans="4:10">
      <c r="D637" s="44">
        <f t="shared" si="10"/>
        <v>0</v>
      </c>
      <c r="E637" s="44"/>
      <c r="F637" s="44"/>
      <c r="G637" s="44"/>
      <c r="I637" s="61">
        <f t="shared" si="11"/>
        <v>0</v>
      </c>
      <c r="J637" s="59">
        <f t="shared" si="12"/>
        <v>0</v>
      </c>
    </row>
    <row r="638" spans="4:10">
      <c r="D638" s="44">
        <f t="shared" si="10"/>
        <v>0</v>
      </c>
      <c r="E638" s="44"/>
      <c r="F638" s="44"/>
      <c r="G638" s="44"/>
      <c r="I638" s="61">
        <f t="shared" si="11"/>
        <v>0</v>
      </c>
      <c r="J638" s="59">
        <f t="shared" si="12"/>
        <v>0</v>
      </c>
    </row>
    <row r="639" spans="4:10">
      <c r="D639" s="44">
        <f t="shared" si="10"/>
        <v>0</v>
      </c>
      <c r="E639" s="44"/>
      <c r="F639" s="44"/>
      <c r="G639" s="44"/>
      <c r="I639" s="61">
        <f t="shared" si="11"/>
        <v>0</v>
      </c>
      <c r="J639" s="59">
        <f t="shared" si="12"/>
        <v>0</v>
      </c>
    </row>
    <row r="640" spans="4:10">
      <c r="D640" s="44">
        <f t="shared" si="10"/>
        <v>0</v>
      </c>
      <c r="E640" s="44"/>
      <c r="F640" s="44"/>
      <c r="G640" s="44"/>
      <c r="I640" s="61">
        <f t="shared" si="11"/>
        <v>0</v>
      </c>
      <c r="J640" s="59">
        <f t="shared" si="12"/>
        <v>0</v>
      </c>
    </row>
    <row r="641" spans="4:10">
      <c r="D641" s="44">
        <f t="shared" si="10"/>
        <v>0</v>
      </c>
      <c r="E641" s="44"/>
      <c r="F641" s="44"/>
      <c r="G641" s="44"/>
      <c r="I641" s="61">
        <f t="shared" si="11"/>
        <v>0</v>
      </c>
      <c r="J641" s="59">
        <f t="shared" si="12"/>
        <v>0</v>
      </c>
    </row>
    <row r="642" spans="4:10">
      <c r="D642" s="44">
        <f t="shared" si="10"/>
        <v>0</v>
      </c>
      <c r="E642" s="44"/>
      <c r="F642" s="44"/>
      <c r="G642" s="44"/>
      <c r="I642" s="61">
        <f t="shared" si="11"/>
        <v>0</v>
      </c>
      <c r="J642" s="59">
        <f t="shared" si="12"/>
        <v>0</v>
      </c>
    </row>
    <row r="643" spans="4:10">
      <c r="D643" s="44">
        <f t="shared" si="10"/>
        <v>0</v>
      </c>
      <c r="E643" s="44"/>
      <c r="F643" s="44"/>
      <c r="G643" s="44"/>
      <c r="I643" s="61">
        <f t="shared" si="11"/>
        <v>0</v>
      </c>
      <c r="J643" s="59">
        <f t="shared" si="12"/>
        <v>0</v>
      </c>
    </row>
    <row r="644" spans="4:10">
      <c r="D644" s="44">
        <f t="shared" si="10"/>
        <v>0</v>
      </c>
      <c r="E644" s="44"/>
      <c r="F644" s="44"/>
      <c r="G644" s="44"/>
      <c r="I644" s="61">
        <f t="shared" si="11"/>
        <v>0</v>
      </c>
      <c r="J644" s="59">
        <f t="shared" si="12"/>
        <v>0</v>
      </c>
    </row>
    <row r="645" spans="4:10">
      <c r="D645" s="44">
        <f t="shared" si="10"/>
        <v>0</v>
      </c>
      <c r="E645" s="44"/>
      <c r="F645" s="44"/>
      <c r="G645" s="44"/>
      <c r="I645" s="61">
        <f t="shared" si="11"/>
        <v>0</v>
      </c>
      <c r="J645" s="59">
        <f t="shared" si="12"/>
        <v>0</v>
      </c>
    </row>
    <row r="646" spans="4:10">
      <c r="D646" s="44">
        <f t="shared" si="10"/>
        <v>0</v>
      </c>
      <c r="E646" s="44"/>
      <c r="F646" s="44"/>
      <c r="G646" s="44"/>
      <c r="I646" s="61">
        <f t="shared" si="11"/>
        <v>0</v>
      </c>
      <c r="J646" s="59">
        <f t="shared" si="12"/>
        <v>0</v>
      </c>
    </row>
    <row r="647" spans="4:10">
      <c r="D647" s="44">
        <f t="shared" si="10"/>
        <v>0</v>
      </c>
      <c r="E647" s="44"/>
      <c r="F647" s="44"/>
      <c r="G647" s="44"/>
      <c r="I647" s="61">
        <f t="shared" si="11"/>
        <v>0</v>
      </c>
      <c r="J647" s="59">
        <f t="shared" si="12"/>
        <v>0</v>
      </c>
    </row>
    <row r="648" spans="4:10">
      <c r="D648" s="44">
        <f t="shared" si="10"/>
        <v>0</v>
      </c>
      <c r="E648" s="44"/>
      <c r="F648" s="44"/>
      <c r="G648" s="44"/>
      <c r="I648" s="61">
        <f t="shared" si="11"/>
        <v>0</v>
      </c>
      <c r="J648" s="59">
        <f t="shared" si="12"/>
        <v>0</v>
      </c>
    </row>
    <row r="649" spans="4:10">
      <c r="D649" s="44">
        <f t="shared" si="10"/>
        <v>0</v>
      </c>
      <c r="E649" s="44"/>
      <c r="F649" s="44"/>
      <c r="G649" s="44"/>
      <c r="I649" s="61">
        <f t="shared" si="11"/>
        <v>0</v>
      </c>
      <c r="J649" s="59">
        <f t="shared" si="12"/>
        <v>0</v>
      </c>
    </row>
    <row r="650" spans="4:10">
      <c r="D650" s="44">
        <f t="shared" si="10"/>
        <v>0</v>
      </c>
      <c r="E650" s="44"/>
      <c r="F650" s="44"/>
      <c r="G650" s="44"/>
      <c r="I650" s="61">
        <f t="shared" si="11"/>
        <v>0</v>
      </c>
      <c r="J650" s="59">
        <f t="shared" si="12"/>
        <v>0</v>
      </c>
    </row>
    <row r="651" spans="4:10">
      <c r="D651" s="44">
        <f t="shared" si="10"/>
        <v>0</v>
      </c>
      <c r="E651" s="44"/>
      <c r="F651" s="44"/>
      <c r="G651" s="44"/>
      <c r="I651" s="61">
        <f t="shared" si="11"/>
        <v>0</v>
      </c>
      <c r="J651" s="59">
        <f t="shared" si="12"/>
        <v>0</v>
      </c>
    </row>
    <row r="652" spans="4:10">
      <c r="D652" s="44">
        <f t="shared" si="10"/>
        <v>0</v>
      </c>
      <c r="E652" s="44"/>
      <c r="F652" s="44"/>
      <c r="G652" s="44"/>
      <c r="I652" s="61">
        <f t="shared" si="11"/>
        <v>0</v>
      </c>
      <c r="J652" s="59">
        <f t="shared" si="12"/>
        <v>0</v>
      </c>
    </row>
    <row r="653" spans="4:10">
      <c r="D653" s="44">
        <f t="shared" si="10"/>
        <v>0</v>
      </c>
      <c r="E653" s="44"/>
      <c r="F653" s="44"/>
      <c r="G653" s="44"/>
      <c r="I653" s="61">
        <f t="shared" si="11"/>
        <v>0</v>
      </c>
      <c r="J653" s="59">
        <f t="shared" si="12"/>
        <v>0</v>
      </c>
    </row>
    <row r="654" spans="4:10">
      <c r="D654" s="44">
        <f t="shared" si="10"/>
        <v>0</v>
      </c>
      <c r="E654" s="44"/>
      <c r="F654" s="44"/>
      <c r="G654" s="44"/>
      <c r="I654" s="61">
        <f t="shared" si="11"/>
        <v>0</v>
      </c>
      <c r="J654" s="59">
        <f t="shared" si="12"/>
        <v>0</v>
      </c>
    </row>
    <row r="655" spans="4:10">
      <c r="D655" s="44">
        <f t="shared" si="10"/>
        <v>0</v>
      </c>
      <c r="E655" s="44"/>
      <c r="F655" s="44"/>
      <c r="G655" s="44"/>
      <c r="I655" s="61">
        <f t="shared" si="11"/>
        <v>0</v>
      </c>
      <c r="J655" s="59">
        <f t="shared" si="12"/>
        <v>0</v>
      </c>
    </row>
    <row r="656" spans="4:10">
      <c r="D656" s="44">
        <f t="shared" si="10"/>
        <v>0</v>
      </c>
      <c r="E656" s="44"/>
      <c r="F656" s="44"/>
      <c r="G656" s="44"/>
      <c r="I656" s="61">
        <f t="shared" si="11"/>
        <v>0</v>
      </c>
      <c r="J656" s="59">
        <f t="shared" si="12"/>
        <v>0</v>
      </c>
    </row>
    <row r="657" spans="4:10">
      <c r="D657" s="44">
        <f t="shared" si="10"/>
        <v>0</v>
      </c>
      <c r="E657" s="44"/>
      <c r="F657" s="44"/>
      <c r="G657" s="44"/>
      <c r="I657" s="61">
        <f t="shared" si="11"/>
        <v>0</v>
      </c>
      <c r="J657" s="59">
        <f t="shared" si="12"/>
        <v>0</v>
      </c>
    </row>
    <row r="658" spans="4:10">
      <c r="D658" s="44">
        <f t="shared" si="10"/>
        <v>0</v>
      </c>
      <c r="E658" s="44"/>
      <c r="F658" s="44"/>
      <c r="G658" s="44"/>
      <c r="I658" s="61">
        <f t="shared" si="11"/>
        <v>0</v>
      </c>
      <c r="J658" s="59">
        <f t="shared" si="12"/>
        <v>0</v>
      </c>
    </row>
    <row r="659" spans="4:10">
      <c r="D659" s="44">
        <f t="shared" si="10"/>
        <v>0</v>
      </c>
      <c r="E659" s="44"/>
      <c r="F659" s="44"/>
      <c r="G659" s="44"/>
      <c r="I659" s="61">
        <f t="shared" si="11"/>
        <v>0</v>
      </c>
      <c r="J659" s="59">
        <f t="shared" si="12"/>
        <v>0</v>
      </c>
    </row>
    <row r="660" spans="4:10">
      <c r="D660" s="44">
        <f t="shared" si="10"/>
        <v>0</v>
      </c>
      <c r="E660" s="44"/>
      <c r="F660" s="44"/>
      <c r="G660" s="44"/>
      <c r="I660" s="61">
        <f t="shared" si="11"/>
        <v>0</v>
      </c>
      <c r="J660" s="59">
        <f t="shared" si="12"/>
        <v>0</v>
      </c>
    </row>
    <row r="661" spans="4:10">
      <c r="D661" s="44">
        <f t="shared" si="10"/>
        <v>0</v>
      </c>
      <c r="E661" s="44"/>
      <c r="F661" s="44"/>
      <c r="G661" s="44"/>
      <c r="I661" s="61">
        <f t="shared" si="11"/>
        <v>0</v>
      </c>
      <c r="J661" s="59">
        <f t="shared" si="12"/>
        <v>0</v>
      </c>
    </row>
    <row r="662" spans="4:10">
      <c r="D662" s="44">
        <f t="shared" si="10"/>
        <v>0</v>
      </c>
      <c r="E662" s="44"/>
      <c r="F662" s="44"/>
      <c r="G662" s="44"/>
      <c r="I662" s="61">
        <f t="shared" si="11"/>
        <v>0</v>
      </c>
      <c r="J662" s="59">
        <f t="shared" si="12"/>
        <v>0</v>
      </c>
    </row>
    <row r="663" spans="4:10">
      <c r="D663" s="44">
        <f t="shared" si="10"/>
        <v>0</v>
      </c>
      <c r="E663" s="44"/>
      <c r="F663" s="44"/>
      <c r="G663" s="44"/>
      <c r="I663" s="61">
        <f t="shared" si="11"/>
        <v>0</v>
      </c>
      <c r="J663" s="59">
        <f t="shared" si="12"/>
        <v>0</v>
      </c>
    </row>
    <row r="664" spans="4:10">
      <c r="D664" s="44">
        <f t="shared" si="10"/>
        <v>0</v>
      </c>
      <c r="E664" s="44"/>
      <c r="F664" s="44"/>
      <c r="G664" s="44"/>
      <c r="I664" s="61">
        <f t="shared" si="11"/>
        <v>0</v>
      </c>
      <c r="J664" s="59">
        <f t="shared" si="12"/>
        <v>0</v>
      </c>
    </row>
    <row r="665" spans="4:10">
      <c r="D665" s="44">
        <f t="shared" si="10"/>
        <v>0</v>
      </c>
      <c r="E665" s="44"/>
      <c r="F665" s="44"/>
      <c r="G665" s="44"/>
      <c r="I665" s="61">
        <f t="shared" si="11"/>
        <v>0</v>
      </c>
      <c r="J665" s="59">
        <f t="shared" si="12"/>
        <v>0</v>
      </c>
    </row>
    <row r="666" spans="4:10">
      <c r="D666" s="44">
        <f t="shared" si="10"/>
        <v>0</v>
      </c>
      <c r="E666" s="44"/>
      <c r="F666" s="44"/>
      <c r="G666" s="44"/>
      <c r="I666" s="61">
        <f t="shared" si="11"/>
        <v>0</v>
      </c>
      <c r="J666" s="59">
        <f t="shared" si="12"/>
        <v>0</v>
      </c>
    </row>
    <row r="667" spans="4:10">
      <c r="D667" s="44">
        <f t="shared" si="10"/>
        <v>0</v>
      </c>
      <c r="E667" s="44"/>
      <c r="F667" s="44"/>
      <c r="G667" s="44"/>
      <c r="I667" s="61">
        <f t="shared" si="11"/>
        <v>0</v>
      </c>
      <c r="J667" s="59">
        <f t="shared" si="12"/>
        <v>0</v>
      </c>
    </row>
    <row r="668" spans="4:10">
      <c r="D668" s="44">
        <f t="shared" si="10"/>
        <v>0</v>
      </c>
      <c r="E668" s="44"/>
      <c r="F668" s="44"/>
      <c r="G668" s="44"/>
      <c r="I668" s="61">
        <f t="shared" si="11"/>
        <v>0</v>
      </c>
      <c r="J668" s="59">
        <f t="shared" si="12"/>
        <v>0</v>
      </c>
    </row>
    <row r="669" spans="4:10">
      <c r="D669" s="44">
        <f t="shared" si="10"/>
        <v>0</v>
      </c>
      <c r="E669" s="44"/>
      <c r="F669" s="44"/>
      <c r="G669" s="44"/>
      <c r="I669" s="61">
        <f t="shared" si="11"/>
        <v>0</v>
      </c>
      <c r="J669" s="59">
        <f t="shared" si="12"/>
        <v>0</v>
      </c>
    </row>
    <row r="670" spans="4:10">
      <c r="D670" s="44">
        <f t="shared" si="10"/>
        <v>0</v>
      </c>
      <c r="E670" s="44"/>
      <c r="F670" s="44"/>
      <c r="G670" s="44"/>
      <c r="I670" s="61">
        <f t="shared" si="11"/>
        <v>0</v>
      </c>
      <c r="J670" s="59">
        <f t="shared" si="12"/>
        <v>0</v>
      </c>
    </row>
    <row r="671" spans="4:10">
      <c r="D671" s="44">
        <f t="shared" ref="D671:D734" si="13">C671-H671</f>
        <v>0</v>
      </c>
      <c r="E671" s="44"/>
      <c r="F671" s="44"/>
      <c r="G671" s="44"/>
      <c r="I671" s="61">
        <f t="shared" ref="I671:I734" si="14">H671*10%</f>
        <v>0</v>
      </c>
      <c r="J671" s="59">
        <f t="shared" ref="J671:J734" si="15">H671*90%</f>
        <v>0</v>
      </c>
    </row>
    <row r="672" spans="4:10">
      <c r="D672" s="44">
        <f t="shared" si="13"/>
        <v>0</v>
      </c>
      <c r="E672" s="44"/>
      <c r="F672" s="44"/>
      <c r="G672" s="44"/>
      <c r="I672" s="61">
        <f t="shared" si="14"/>
        <v>0</v>
      </c>
      <c r="J672" s="59">
        <f t="shared" si="15"/>
        <v>0</v>
      </c>
    </row>
    <row r="673" spans="4:10">
      <c r="D673" s="44">
        <f t="shared" si="13"/>
        <v>0</v>
      </c>
      <c r="E673" s="44"/>
      <c r="F673" s="44"/>
      <c r="G673" s="44"/>
      <c r="I673" s="61">
        <f t="shared" si="14"/>
        <v>0</v>
      </c>
      <c r="J673" s="59">
        <f t="shared" si="15"/>
        <v>0</v>
      </c>
    </row>
    <row r="674" spans="4:10">
      <c r="D674" s="44">
        <f t="shared" si="13"/>
        <v>0</v>
      </c>
      <c r="E674" s="44"/>
      <c r="F674" s="44"/>
      <c r="G674" s="44"/>
      <c r="I674" s="61">
        <f t="shared" si="14"/>
        <v>0</v>
      </c>
      <c r="J674" s="59">
        <f t="shared" si="15"/>
        <v>0</v>
      </c>
    </row>
    <row r="675" spans="4:10">
      <c r="D675" s="44">
        <f t="shared" si="13"/>
        <v>0</v>
      </c>
      <c r="E675" s="44"/>
      <c r="F675" s="44"/>
      <c r="G675" s="44"/>
      <c r="I675" s="61">
        <f t="shared" si="14"/>
        <v>0</v>
      </c>
      <c r="J675" s="59">
        <f t="shared" si="15"/>
        <v>0</v>
      </c>
    </row>
    <row r="676" spans="4:10">
      <c r="D676" s="44">
        <f t="shared" si="13"/>
        <v>0</v>
      </c>
      <c r="E676" s="44"/>
      <c r="F676" s="44"/>
      <c r="G676" s="44"/>
      <c r="I676" s="61">
        <f t="shared" si="14"/>
        <v>0</v>
      </c>
      <c r="J676" s="59">
        <f t="shared" si="15"/>
        <v>0</v>
      </c>
    </row>
    <row r="677" spans="4:10">
      <c r="D677" s="44">
        <f t="shared" si="13"/>
        <v>0</v>
      </c>
      <c r="E677" s="44"/>
      <c r="F677" s="44"/>
      <c r="G677" s="44"/>
      <c r="I677" s="61">
        <f t="shared" si="14"/>
        <v>0</v>
      </c>
      <c r="J677" s="59">
        <f t="shared" si="15"/>
        <v>0</v>
      </c>
    </row>
    <row r="678" spans="4:10">
      <c r="D678" s="44">
        <f t="shared" si="13"/>
        <v>0</v>
      </c>
      <c r="E678" s="44"/>
      <c r="F678" s="44"/>
      <c r="G678" s="44"/>
      <c r="I678" s="61">
        <f t="shared" si="14"/>
        <v>0</v>
      </c>
      <c r="J678" s="59">
        <f t="shared" si="15"/>
        <v>0</v>
      </c>
    </row>
    <row r="679" spans="4:10">
      <c r="D679" s="44">
        <f t="shared" si="13"/>
        <v>0</v>
      </c>
      <c r="E679" s="44"/>
      <c r="F679" s="44"/>
      <c r="G679" s="44"/>
      <c r="I679" s="61">
        <f t="shared" si="14"/>
        <v>0</v>
      </c>
      <c r="J679" s="59">
        <f t="shared" si="15"/>
        <v>0</v>
      </c>
    </row>
    <row r="680" spans="4:10">
      <c r="D680" s="44">
        <f t="shared" si="13"/>
        <v>0</v>
      </c>
      <c r="E680" s="44"/>
      <c r="F680" s="44"/>
      <c r="G680" s="44"/>
      <c r="I680" s="61">
        <f t="shared" si="14"/>
        <v>0</v>
      </c>
      <c r="J680" s="59">
        <f t="shared" si="15"/>
        <v>0</v>
      </c>
    </row>
    <row r="681" spans="4:10">
      <c r="D681" s="44">
        <f t="shared" si="13"/>
        <v>0</v>
      </c>
      <c r="E681" s="44"/>
      <c r="F681" s="44"/>
      <c r="G681" s="44"/>
      <c r="I681" s="61">
        <f t="shared" si="14"/>
        <v>0</v>
      </c>
      <c r="J681" s="59">
        <f t="shared" si="15"/>
        <v>0</v>
      </c>
    </row>
    <row r="682" spans="4:10">
      <c r="D682" s="44">
        <f t="shared" si="13"/>
        <v>0</v>
      </c>
      <c r="E682" s="44"/>
      <c r="F682" s="44"/>
      <c r="G682" s="44"/>
      <c r="I682" s="61">
        <f t="shared" si="14"/>
        <v>0</v>
      </c>
      <c r="J682" s="59">
        <f t="shared" si="15"/>
        <v>0</v>
      </c>
    </row>
    <row r="683" spans="4:10">
      <c r="D683" s="44">
        <f t="shared" si="13"/>
        <v>0</v>
      </c>
      <c r="E683" s="44"/>
      <c r="F683" s="44"/>
      <c r="G683" s="44"/>
      <c r="I683" s="61">
        <f t="shared" si="14"/>
        <v>0</v>
      </c>
      <c r="J683" s="59">
        <f t="shared" si="15"/>
        <v>0</v>
      </c>
    </row>
    <row r="684" spans="4:10">
      <c r="D684" s="44">
        <f t="shared" si="13"/>
        <v>0</v>
      </c>
      <c r="E684" s="44"/>
      <c r="F684" s="44"/>
      <c r="G684" s="44"/>
      <c r="I684" s="61">
        <f t="shared" si="14"/>
        <v>0</v>
      </c>
      <c r="J684" s="59">
        <f t="shared" si="15"/>
        <v>0</v>
      </c>
    </row>
    <row r="685" spans="4:10">
      <c r="D685" s="44">
        <f t="shared" si="13"/>
        <v>0</v>
      </c>
      <c r="E685" s="44"/>
      <c r="F685" s="44"/>
      <c r="G685" s="44"/>
      <c r="I685" s="61">
        <f t="shared" si="14"/>
        <v>0</v>
      </c>
      <c r="J685" s="59">
        <f t="shared" si="15"/>
        <v>0</v>
      </c>
    </row>
    <row r="686" spans="4:10">
      <c r="D686" s="44">
        <f t="shared" si="13"/>
        <v>0</v>
      </c>
      <c r="E686" s="44"/>
      <c r="F686" s="44"/>
      <c r="G686" s="44"/>
      <c r="I686" s="61">
        <f t="shared" si="14"/>
        <v>0</v>
      </c>
      <c r="J686" s="59">
        <f t="shared" si="15"/>
        <v>0</v>
      </c>
    </row>
    <row r="687" spans="4:10">
      <c r="D687" s="44">
        <f t="shared" si="13"/>
        <v>0</v>
      </c>
      <c r="E687" s="44"/>
      <c r="F687" s="44"/>
      <c r="G687" s="44"/>
      <c r="I687" s="61">
        <f t="shared" si="14"/>
        <v>0</v>
      </c>
      <c r="J687" s="59">
        <f t="shared" si="15"/>
        <v>0</v>
      </c>
    </row>
    <row r="688" spans="4:10">
      <c r="D688" s="44">
        <f t="shared" si="13"/>
        <v>0</v>
      </c>
      <c r="E688" s="44"/>
      <c r="F688" s="44"/>
      <c r="G688" s="44"/>
      <c r="I688" s="61">
        <f t="shared" si="14"/>
        <v>0</v>
      </c>
      <c r="J688" s="59">
        <f t="shared" si="15"/>
        <v>0</v>
      </c>
    </row>
    <row r="689" spans="4:10">
      <c r="D689" s="44">
        <f t="shared" si="13"/>
        <v>0</v>
      </c>
      <c r="E689" s="44"/>
      <c r="F689" s="44"/>
      <c r="G689" s="44"/>
      <c r="I689" s="61">
        <f t="shared" si="14"/>
        <v>0</v>
      </c>
      <c r="J689" s="59">
        <f t="shared" si="15"/>
        <v>0</v>
      </c>
    </row>
    <row r="690" spans="4:10">
      <c r="D690" s="44">
        <f t="shared" si="13"/>
        <v>0</v>
      </c>
      <c r="E690" s="44"/>
      <c r="F690" s="44"/>
      <c r="G690" s="44"/>
      <c r="I690" s="61">
        <f t="shared" si="14"/>
        <v>0</v>
      </c>
      <c r="J690" s="59">
        <f t="shared" si="15"/>
        <v>0</v>
      </c>
    </row>
    <row r="691" spans="4:10">
      <c r="D691" s="44">
        <f t="shared" si="13"/>
        <v>0</v>
      </c>
      <c r="E691" s="44"/>
      <c r="F691" s="44"/>
      <c r="G691" s="44"/>
      <c r="I691" s="61">
        <f t="shared" si="14"/>
        <v>0</v>
      </c>
      <c r="J691" s="59">
        <f t="shared" si="15"/>
        <v>0</v>
      </c>
    </row>
    <row r="692" spans="4:10">
      <c r="D692" s="44">
        <f t="shared" si="13"/>
        <v>0</v>
      </c>
      <c r="E692" s="44"/>
      <c r="F692" s="44"/>
      <c r="G692" s="44"/>
      <c r="I692" s="61">
        <f t="shared" si="14"/>
        <v>0</v>
      </c>
      <c r="J692" s="59">
        <f t="shared" si="15"/>
        <v>0</v>
      </c>
    </row>
    <row r="693" spans="4:10">
      <c r="D693" s="44">
        <f t="shared" si="13"/>
        <v>0</v>
      </c>
      <c r="E693" s="44"/>
      <c r="F693" s="44"/>
      <c r="G693" s="44"/>
      <c r="I693" s="61">
        <f t="shared" si="14"/>
        <v>0</v>
      </c>
      <c r="J693" s="59">
        <f t="shared" si="15"/>
        <v>0</v>
      </c>
    </row>
    <row r="694" spans="4:10">
      <c r="D694" s="44">
        <f t="shared" si="13"/>
        <v>0</v>
      </c>
      <c r="E694" s="44"/>
      <c r="F694" s="44"/>
      <c r="G694" s="44"/>
      <c r="I694" s="61">
        <f t="shared" si="14"/>
        <v>0</v>
      </c>
      <c r="J694" s="59">
        <f t="shared" si="15"/>
        <v>0</v>
      </c>
    </row>
    <row r="695" spans="4:10">
      <c r="D695" s="44">
        <f t="shared" si="13"/>
        <v>0</v>
      </c>
      <c r="E695" s="44"/>
      <c r="F695" s="44"/>
      <c r="G695" s="44"/>
      <c r="I695" s="61">
        <f t="shared" si="14"/>
        <v>0</v>
      </c>
      <c r="J695" s="59">
        <f t="shared" si="15"/>
        <v>0</v>
      </c>
    </row>
    <row r="696" spans="4:10">
      <c r="D696" s="44">
        <f t="shared" si="13"/>
        <v>0</v>
      </c>
      <c r="E696" s="44"/>
      <c r="F696" s="44"/>
      <c r="G696" s="44"/>
      <c r="I696" s="61">
        <f t="shared" si="14"/>
        <v>0</v>
      </c>
      <c r="J696" s="59">
        <f t="shared" si="15"/>
        <v>0</v>
      </c>
    </row>
    <row r="697" spans="4:10">
      <c r="D697" s="44">
        <f t="shared" si="13"/>
        <v>0</v>
      </c>
      <c r="E697" s="44"/>
      <c r="F697" s="44"/>
      <c r="G697" s="44"/>
      <c r="I697" s="61">
        <f t="shared" si="14"/>
        <v>0</v>
      </c>
      <c r="J697" s="59">
        <f t="shared" si="15"/>
        <v>0</v>
      </c>
    </row>
    <row r="698" spans="4:10">
      <c r="D698" s="44">
        <f t="shared" si="13"/>
        <v>0</v>
      </c>
      <c r="E698" s="44"/>
      <c r="F698" s="44"/>
      <c r="G698" s="44"/>
      <c r="I698" s="61">
        <f t="shared" si="14"/>
        <v>0</v>
      </c>
      <c r="J698" s="59">
        <f t="shared" si="15"/>
        <v>0</v>
      </c>
    </row>
    <row r="699" spans="4:10">
      <c r="D699" s="44">
        <f t="shared" si="13"/>
        <v>0</v>
      </c>
      <c r="E699" s="44"/>
      <c r="F699" s="44"/>
      <c r="G699" s="44"/>
      <c r="I699" s="61">
        <f t="shared" si="14"/>
        <v>0</v>
      </c>
      <c r="J699" s="59">
        <f t="shared" si="15"/>
        <v>0</v>
      </c>
    </row>
    <row r="700" spans="4:10">
      <c r="D700" s="44">
        <f t="shared" si="13"/>
        <v>0</v>
      </c>
      <c r="E700" s="44"/>
      <c r="F700" s="44"/>
      <c r="G700" s="44"/>
      <c r="I700" s="61">
        <f t="shared" si="14"/>
        <v>0</v>
      </c>
      <c r="J700" s="59">
        <f t="shared" si="15"/>
        <v>0</v>
      </c>
    </row>
    <row r="701" spans="4:10">
      <c r="D701" s="44">
        <f t="shared" si="13"/>
        <v>0</v>
      </c>
      <c r="E701" s="44"/>
      <c r="F701" s="44"/>
      <c r="G701" s="44"/>
      <c r="I701" s="61">
        <f t="shared" si="14"/>
        <v>0</v>
      </c>
      <c r="J701" s="59">
        <f t="shared" si="15"/>
        <v>0</v>
      </c>
    </row>
    <row r="702" spans="4:10">
      <c r="D702" s="44">
        <f t="shared" si="13"/>
        <v>0</v>
      </c>
      <c r="E702" s="44"/>
      <c r="F702" s="44"/>
      <c r="G702" s="44"/>
      <c r="I702" s="61">
        <f t="shared" si="14"/>
        <v>0</v>
      </c>
      <c r="J702" s="59">
        <f t="shared" si="15"/>
        <v>0</v>
      </c>
    </row>
    <row r="703" spans="4:10">
      <c r="D703" s="44">
        <f t="shared" si="13"/>
        <v>0</v>
      </c>
      <c r="E703" s="44"/>
      <c r="F703" s="44"/>
      <c r="G703" s="44"/>
      <c r="I703" s="61">
        <f t="shared" si="14"/>
        <v>0</v>
      </c>
      <c r="J703" s="59">
        <f t="shared" si="15"/>
        <v>0</v>
      </c>
    </row>
    <row r="704" spans="4:10">
      <c r="D704" s="44">
        <f t="shared" si="13"/>
        <v>0</v>
      </c>
      <c r="E704" s="44"/>
      <c r="F704" s="44"/>
      <c r="G704" s="44"/>
      <c r="I704" s="61">
        <f t="shared" si="14"/>
        <v>0</v>
      </c>
      <c r="J704" s="59">
        <f t="shared" si="15"/>
        <v>0</v>
      </c>
    </row>
    <row r="705" spans="4:10">
      <c r="D705" s="44">
        <f t="shared" si="13"/>
        <v>0</v>
      </c>
      <c r="E705" s="44"/>
      <c r="F705" s="44"/>
      <c r="G705" s="44"/>
      <c r="I705" s="61">
        <f t="shared" si="14"/>
        <v>0</v>
      </c>
      <c r="J705" s="59">
        <f t="shared" si="15"/>
        <v>0</v>
      </c>
    </row>
    <row r="706" spans="4:10">
      <c r="D706" s="44">
        <f t="shared" si="13"/>
        <v>0</v>
      </c>
      <c r="E706" s="44"/>
      <c r="F706" s="44"/>
      <c r="G706" s="44"/>
      <c r="I706" s="61">
        <f t="shared" si="14"/>
        <v>0</v>
      </c>
      <c r="J706" s="59">
        <f t="shared" si="15"/>
        <v>0</v>
      </c>
    </row>
    <row r="707" spans="4:10">
      <c r="D707" s="44">
        <f t="shared" si="13"/>
        <v>0</v>
      </c>
      <c r="E707" s="44"/>
      <c r="F707" s="44"/>
      <c r="G707" s="44"/>
      <c r="I707" s="61">
        <f t="shared" si="14"/>
        <v>0</v>
      </c>
      <c r="J707" s="59">
        <f t="shared" si="15"/>
        <v>0</v>
      </c>
    </row>
    <row r="708" spans="4:10">
      <c r="D708" s="44">
        <f t="shared" si="13"/>
        <v>0</v>
      </c>
      <c r="E708" s="44"/>
      <c r="F708" s="44"/>
      <c r="G708" s="44"/>
      <c r="I708" s="61">
        <f t="shared" si="14"/>
        <v>0</v>
      </c>
      <c r="J708" s="59">
        <f t="shared" si="15"/>
        <v>0</v>
      </c>
    </row>
    <row r="709" spans="4:10">
      <c r="D709" s="44">
        <f t="shared" si="13"/>
        <v>0</v>
      </c>
      <c r="E709" s="44"/>
      <c r="F709" s="44"/>
      <c r="G709" s="44"/>
      <c r="I709" s="61">
        <f t="shared" si="14"/>
        <v>0</v>
      </c>
      <c r="J709" s="59">
        <f t="shared" si="15"/>
        <v>0</v>
      </c>
    </row>
    <row r="710" spans="4:10">
      <c r="D710" s="44">
        <f t="shared" si="13"/>
        <v>0</v>
      </c>
      <c r="E710" s="44"/>
      <c r="F710" s="44"/>
      <c r="G710" s="44"/>
      <c r="I710" s="61">
        <f t="shared" si="14"/>
        <v>0</v>
      </c>
      <c r="J710" s="59">
        <f t="shared" si="15"/>
        <v>0</v>
      </c>
    </row>
    <row r="711" spans="4:10">
      <c r="D711" s="44">
        <f t="shared" si="13"/>
        <v>0</v>
      </c>
      <c r="E711" s="44"/>
      <c r="F711" s="44"/>
      <c r="G711" s="44"/>
      <c r="I711" s="61">
        <f t="shared" si="14"/>
        <v>0</v>
      </c>
      <c r="J711" s="59">
        <f t="shared" si="15"/>
        <v>0</v>
      </c>
    </row>
    <row r="712" spans="4:10">
      <c r="D712" s="44">
        <f t="shared" si="13"/>
        <v>0</v>
      </c>
      <c r="E712" s="44"/>
      <c r="F712" s="44"/>
      <c r="G712" s="44"/>
      <c r="I712" s="61">
        <f t="shared" si="14"/>
        <v>0</v>
      </c>
      <c r="J712" s="59">
        <f t="shared" si="15"/>
        <v>0</v>
      </c>
    </row>
    <row r="713" spans="4:10">
      <c r="D713" s="44">
        <f t="shared" si="13"/>
        <v>0</v>
      </c>
      <c r="E713" s="44"/>
      <c r="F713" s="44"/>
      <c r="G713" s="44"/>
      <c r="I713" s="61">
        <f t="shared" si="14"/>
        <v>0</v>
      </c>
      <c r="J713" s="59">
        <f t="shared" si="15"/>
        <v>0</v>
      </c>
    </row>
    <row r="714" spans="4:10">
      <c r="D714" s="44">
        <f t="shared" si="13"/>
        <v>0</v>
      </c>
      <c r="E714" s="44"/>
      <c r="F714" s="44"/>
      <c r="G714" s="44"/>
      <c r="I714" s="61">
        <f t="shared" si="14"/>
        <v>0</v>
      </c>
      <c r="J714" s="59">
        <f t="shared" si="15"/>
        <v>0</v>
      </c>
    </row>
    <row r="715" spans="4:10">
      <c r="D715" s="44">
        <f t="shared" si="13"/>
        <v>0</v>
      </c>
      <c r="E715" s="44"/>
      <c r="F715" s="44"/>
      <c r="G715" s="44"/>
      <c r="I715" s="61">
        <f t="shared" si="14"/>
        <v>0</v>
      </c>
      <c r="J715" s="59">
        <f t="shared" si="15"/>
        <v>0</v>
      </c>
    </row>
    <row r="716" spans="4:10">
      <c r="D716" s="44">
        <f t="shared" si="13"/>
        <v>0</v>
      </c>
      <c r="E716" s="44"/>
      <c r="F716" s="44"/>
      <c r="G716" s="44"/>
      <c r="I716" s="61">
        <f t="shared" si="14"/>
        <v>0</v>
      </c>
      <c r="J716" s="59">
        <f t="shared" si="15"/>
        <v>0</v>
      </c>
    </row>
    <row r="717" spans="4:10">
      <c r="D717" s="44">
        <f t="shared" si="13"/>
        <v>0</v>
      </c>
      <c r="E717" s="44"/>
      <c r="F717" s="44"/>
      <c r="G717" s="44"/>
      <c r="I717" s="61">
        <f t="shared" si="14"/>
        <v>0</v>
      </c>
      <c r="J717" s="59">
        <f t="shared" si="15"/>
        <v>0</v>
      </c>
    </row>
    <row r="718" spans="4:10">
      <c r="D718" s="44">
        <f t="shared" si="13"/>
        <v>0</v>
      </c>
      <c r="E718" s="44"/>
      <c r="F718" s="44"/>
      <c r="G718" s="44"/>
      <c r="I718" s="61">
        <f t="shared" si="14"/>
        <v>0</v>
      </c>
      <c r="J718" s="59">
        <f t="shared" si="15"/>
        <v>0</v>
      </c>
    </row>
    <row r="719" spans="4:10">
      <c r="D719" s="44">
        <f t="shared" si="13"/>
        <v>0</v>
      </c>
      <c r="E719" s="44"/>
      <c r="F719" s="44"/>
      <c r="G719" s="44"/>
      <c r="I719" s="61">
        <f t="shared" si="14"/>
        <v>0</v>
      </c>
      <c r="J719" s="59">
        <f t="shared" si="15"/>
        <v>0</v>
      </c>
    </row>
    <row r="720" spans="4:10">
      <c r="D720" s="44">
        <f t="shared" si="13"/>
        <v>0</v>
      </c>
      <c r="E720" s="44"/>
      <c r="F720" s="44"/>
      <c r="G720" s="44"/>
      <c r="I720" s="61">
        <f t="shared" si="14"/>
        <v>0</v>
      </c>
      <c r="J720" s="59">
        <f t="shared" si="15"/>
        <v>0</v>
      </c>
    </row>
    <row r="721" spans="4:10">
      <c r="D721" s="44">
        <f t="shared" si="13"/>
        <v>0</v>
      </c>
      <c r="E721" s="44"/>
      <c r="F721" s="44"/>
      <c r="G721" s="44"/>
      <c r="I721" s="61">
        <f t="shared" si="14"/>
        <v>0</v>
      </c>
      <c r="J721" s="59">
        <f t="shared" si="15"/>
        <v>0</v>
      </c>
    </row>
    <row r="722" spans="4:10">
      <c r="D722" s="44">
        <f t="shared" si="13"/>
        <v>0</v>
      </c>
      <c r="E722" s="44"/>
      <c r="F722" s="44"/>
      <c r="G722" s="44"/>
      <c r="I722" s="61">
        <f t="shared" si="14"/>
        <v>0</v>
      </c>
      <c r="J722" s="59">
        <f t="shared" si="15"/>
        <v>0</v>
      </c>
    </row>
    <row r="723" spans="4:10">
      <c r="D723" s="44">
        <f t="shared" si="13"/>
        <v>0</v>
      </c>
      <c r="E723" s="44"/>
      <c r="F723" s="44"/>
      <c r="G723" s="44"/>
      <c r="I723" s="61">
        <f t="shared" si="14"/>
        <v>0</v>
      </c>
      <c r="J723" s="59">
        <f t="shared" si="15"/>
        <v>0</v>
      </c>
    </row>
    <row r="724" spans="4:10">
      <c r="D724" s="44">
        <f t="shared" si="13"/>
        <v>0</v>
      </c>
      <c r="E724" s="44"/>
      <c r="F724" s="44"/>
      <c r="G724" s="44"/>
      <c r="I724" s="61">
        <f t="shared" si="14"/>
        <v>0</v>
      </c>
      <c r="J724" s="59">
        <f t="shared" si="15"/>
        <v>0</v>
      </c>
    </row>
    <row r="725" spans="4:10">
      <c r="D725" s="44">
        <f t="shared" si="13"/>
        <v>0</v>
      </c>
      <c r="E725" s="44"/>
      <c r="F725" s="44"/>
      <c r="G725" s="44"/>
      <c r="I725" s="61">
        <f t="shared" si="14"/>
        <v>0</v>
      </c>
      <c r="J725" s="59">
        <f t="shared" si="15"/>
        <v>0</v>
      </c>
    </row>
    <row r="726" spans="4:10">
      <c r="D726" s="44">
        <f t="shared" si="13"/>
        <v>0</v>
      </c>
      <c r="E726" s="44"/>
      <c r="F726" s="44"/>
      <c r="G726" s="44"/>
      <c r="I726" s="61">
        <f t="shared" si="14"/>
        <v>0</v>
      </c>
      <c r="J726" s="59">
        <f t="shared" si="15"/>
        <v>0</v>
      </c>
    </row>
    <row r="727" spans="4:10">
      <c r="D727" s="44">
        <f t="shared" si="13"/>
        <v>0</v>
      </c>
      <c r="E727" s="44"/>
      <c r="F727" s="44"/>
      <c r="G727" s="44"/>
      <c r="I727" s="61">
        <f t="shared" si="14"/>
        <v>0</v>
      </c>
      <c r="J727" s="59">
        <f t="shared" si="15"/>
        <v>0</v>
      </c>
    </row>
    <row r="728" spans="4:10">
      <c r="D728" s="44">
        <f t="shared" si="13"/>
        <v>0</v>
      </c>
      <c r="E728" s="44"/>
      <c r="F728" s="44"/>
      <c r="G728" s="44"/>
      <c r="I728" s="61">
        <f t="shared" si="14"/>
        <v>0</v>
      </c>
      <c r="J728" s="59">
        <f t="shared" si="15"/>
        <v>0</v>
      </c>
    </row>
    <row r="729" spans="4:10">
      <c r="D729" s="44">
        <f t="shared" si="13"/>
        <v>0</v>
      </c>
      <c r="E729" s="44"/>
      <c r="F729" s="44"/>
      <c r="G729" s="44"/>
      <c r="I729" s="61">
        <f t="shared" si="14"/>
        <v>0</v>
      </c>
      <c r="J729" s="59">
        <f t="shared" si="15"/>
        <v>0</v>
      </c>
    </row>
    <row r="730" spans="4:10">
      <c r="D730" s="44">
        <f t="shared" si="13"/>
        <v>0</v>
      </c>
      <c r="E730" s="44"/>
      <c r="F730" s="44"/>
      <c r="G730" s="44"/>
      <c r="I730" s="61">
        <f t="shared" si="14"/>
        <v>0</v>
      </c>
      <c r="J730" s="59">
        <f t="shared" si="15"/>
        <v>0</v>
      </c>
    </row>
    <row r="731" spans="4:10">
      <c r="D731" s="44">
        <f t="shared" si="13"/>
        <v>0</v>
      </c>
      <c r="E731" s="44"/>
      <c r="F731" s="44"/>
      <c r="G731" s="44"/>
      <c r="I731" s="61">
        <f t="shared" si="14"/>
        <v>0</v>
      </c>
      <c r="J731" s="59">
        <f t="shared" si="15"/>
        <v>0</v>
      </c>
    </row>
    <row r="732" spans="4:10">
      <c r="D732" s="44">
        <f t="shared" si="13"/>
        <v>0</v>
      </c>
      <c r="E732" s="44"/>
      <c r="F732" s="44"/>
      <c r="G732" s="44"/>
      <c r="I732" s="61">
        <f t="shared" si="14"/>
        <v>0</v>
      </c>
      <c r="J732" s="59">
        <f t="shared" si="15"/>
        <v>0</v>
      </c>
    </row>
    <row r="733" spans="4:10">
      <c r="D733" s="44">
        <f t="shared" si="13"/>
        <v>0</v>
      </c>
      <c r="E733" s="44"/>
      <c r="F733" s="44"/>
      <c r="G733" s="44"/>
      <c r="I733" s="61">
        <f t="shared" si="14"/>
        <v>0</v>
      </c>
      <c r="J733" s="59">
        <f t="shared" si="15"/>
        <v>0</v>
      </c>
    </row>
    <row r="734" spans="4:10">
      <c r="D734" s="44">
        <f t="shared" si="13"/>
        <v>0</v>
      </c>
      <c r="E734" s="44"/>
      <c r="F734" s="44"/>
      <c r="G734" s="44"/>
      <c r="I734" s="61">
        <f t="shared" si="14"/>
        <v>0</v>
      </c>
      <c r="J734" s="59">
        <f t="shared" si="15"/>
        <v>0</v>
      </c>
    </row>
    <row r="735" spans="4:10">
      <c r="D735" s="44">
        <f t="shared" ref="D735:D798" si="16">C735-H735</f>
        <v>0</v>
      </c>
      <c r="E735" s="44"/>
      <c r="F735" s="44"/>
      <c r="G735" s="44"/>
      <c r="I735" s="61">
        <f t="shared" ref="I735:I798" si="17">H735*10%</f>
        <v>0</v>
      </c>
      <c r="J735" s="59">
        <f t="shared" ref="J735:J798" si="18">H735*90%</f>
        <v>0</v>
      </c>
    </row>
    <row r="736" spans="4:10">
      <c r="D736" s="44">
        <f t="shared" si="16"/>
        <v>0</v>
      </c>
      <c r="E736" s="44"/>
      <c r="F736" s="44"/>
      <c r="G736" s="44"/>
      <c r="I736" s="61">
        <f t="shared" si="17"/>
        <v>0</v>
      </c>
      <c r="J736" s="59">
        <f t="shared" si="18"/>
        <v>0</v>
      </c>
    </row>
    <row r="737" spans="4:10">
      <c r="D737" s="44">
        <f t="shared" si="16"/>
        <v>0</v>
      </c>
      <c r="E737" s="44"/>
      <c r="F737" s="44"/>
      <c r="G737" s="44"/>
      <c r="I737" s="61">
        <f t="shared" si="17"/>
        <v>0</v>
      </c>
      <c r="J737" s="59">
        <f t="shared" si="18"/>
        <v>0</v>
      </c>
    </row>
    <row r="738" spans="4:10">
      <c r="D738" s="44">
        <f t="shared" si="16"/>
        <v>0</v>
      </c>
      <c r="E738" s="44"/>
      <c r="F738" s="44"/>
      <c r="G738" s="44"/>
      <c r="I738" s="61">
        <f t="shared" si="17"/>
        <v>0</v>
      </c>
      <c r="J738" s="59">
        <f t="shared" si="18"/>
        <v>0</v>
      </c>
    </row>
    <row r="739" spans="4:10">
      <c r="D739" s="44">
        <f t="shared" si="16"/>
        <v>0</v>
      </c>
      <c r="E739" s="44"/>
      <c r="F739" s="44"/>
      <c r="G739" s="44"/>
      <c r="I739" s="61">
        <f t="shared" si="17"/>
        <v>0</v>
      </c>
      <c r="J739" s="59">
        <f t="shared" si="18"/>
        <v>0</v>
      </c>
    </row>
    <row r="740" spans="4:10">
      <c r="D740" s="44">
        <f t="shared" si="16"/>
        <v>0</v>
      </c>
      <c r="E740" s="44"/>
      <c r="F740" s="44"/>
      <c r="G740" s="44"/>
      <c r="I740" s="61">
        <f t="shared" si="17"/>
        <v>0</v>
      </c>
      <c r="J740" s="59">
        <f t="shared" si="18"/>
        <v>0</v>
      </c>
    </row>
    <row r="741" spans="4:10">
      <c r="D741" s="44">
        <f t="shared" si="16"/>
        <v>0</v>
      </c>
      <c r="E741" s="44"/>
      <c r="F741" s="44"/>
      <c r="G741" s="44"/>
      <c r="I741" s="61">
        <f t="shared" si="17"/>
        <v>0</v>
      </c>
      <c r="J741" s="59">
        <f t="shared" si="18"/>
        <v>0</v>
      </c>
    </row>
    <row r="742" spans="4:10">
      <c r="D742" s="44">
        <f t="shared" si="16"/>
        <v>0</v>
      </c>
      <c r="E742" s="44"/>
      <c r="F742" s="44"/>
      <c r="G742" s="44"/>
      <c r="I742" s="61">
        <f t="shared" si="17"/>
        <v>0</v>
      </c>
      <c r="J742" s="59">
        <f t="shared" si="18"/>
        <v>0</v>
      </c>
    </row>
    <row r="743" spans="4:10">
      <c r="D743" s="44">
        <f t="shared" si="16"/>
        <v>0</v>
      </c>
      <c r="E743" s="44"/>
      <c r="F743" s="44"/>
      <c r="G743" s="44"/>
      <c r="I743" s="61">
        <f t="shared" si="17"/>
        <v>0</v>
      </c>
      <c r="J743" s="59">
        <f t="shared" si="18"/>
        <v>0</v>
      </c>
    </row>
    <row r="744" spans="4:10">
      <c r="D744" s="44">
        <f t="shared" si="16"/>
        <v>0</v>
      </c>
      <c r="E744" s="44"/>
      <c r="F744" s="44"/>
      <c r="G744" s="44"/>
      <c r="I744" s="61">
        <f t="shared" si="17"/>
        <v>0</v>
      </c>
      <c r="J744" s="59">
        <f t="shared" si="18"/>
        <v>0</v>
      </c>
    </row>
    <row r="745" spans="4:10">
      <c r="D745" s="44">
        <f t="shared" si="16"/>
        <v>0</v>
      </c>
      <c r="E745" s="44"/>
      <c r="F745" s="44"/>
      <c r="G745" s="44"/>
      <c r="I745" s="61">
        <f t="shared" si="17"/>
        <v>0</v>
      </c>
      <c r="J745" s="59">
        <f t="shared" si="18"/>
        <v>0</v>
      </c>
    </row>
    <row r="746" spans="4:10">
      <c r="D746" s="44">
        <f t="shared" si="16"/>
        <v>0</v>
      </c>
      <c r="E746" s="44"/>
      <c r="F746" s="44"/>
      <c r="G746" s="44"/>
      <c r="I746" s="61">
        <f t="shared" si="17"/>
        <v>0</v>
      </c>
      <c r="J746" s="59">
        <f t="shared" si="18"/>
        <v>0</v>
      </c>
    </row>
    <row r="747" spans="4:10">
      <c r="D747" s="44">
        <f t="shared" si="16"/>
        <v>0</v>
      </c>
      <c r="E747" s="44"/>
      <c r="F747" s="44"/>
      <c r="G747" s="44"/>
      <c r="I747" s="61">
        <f t="shared" si="17"/>
        <v>0</v>
      </c>
      <c r="J747" s="59">
        <f t="shared" si="18"/>
        <v>0</v>
      </c>
    </row>
    <row r="748" spans="4:10">
      <c r="D748" s="44">
        <f t="shared" si="16"/>
        <v>0</v>
      </c>
      <c r="E748" s="44"/>
      <c r="F748" s="44"/>
      <c r="G748" s="44"/>
      <c r="I748" s="61">
        <f t="shared" si="17"/>
        <v>0</v>
      </c>
      <c r="J748" s="59">
        <f t="shared" si="18"/>
        <v>0</v>
      </c>
    </row>
    <row r="749" spans="4:10">
      <c r="D749" s="44">
        <f t="shared" si="16"/>
        <v>0</v>
      </c>
      <c r="E749" s="44"/>
      <c r="F749" s="44"/>
      <c r="G749" s="44"/>
      <c r="I749" s="61">
        <f t="shared" si="17"/>
        <v>0</v>
      </c>
      <c r="J749" s="59">
        <f t="shared" si="18"/>
        <v>0</v>
      </c>
    </row>
    <row r="750" spans="4:10">
      <c r="D750" s="44">
        <f t="shared" si="16"/>
        <v>0</v>
      </c>
      <c r="E750" s="44"/>
      <c r="F750" s="44"/>
      <c r="G750" s="44"/>
      <c r="I750" s="61">
        <f t="shared" si="17"/>
        <v>0</v>
      </c>
      <c r="J750" s="59">
        <f t="shared" si="18"/>
        <v>0</v>
      </c>
    </row>
    <row r="751" spans="4:10">
      <c r="D751" s="44">
        <f t="shared" si="16"/>
        <v>0</v>
      </c>
      <c r="E751" s="44"/>
      <c r="F751" s="44"/>
      <c r="G751" s="44"/>
      <c r="I751" s="61">
        <f t="shared" si="17"/>
        <v>0</v>
      </c>
      <c r="J751" s="59">
        <f t="shared" si="18"/>
        <v>0</v>
      </c>
    </row>
    <row r="752" spans="4:10">
      <c r="D752" s="44">
        <f t="shared" si="16"/>
        <v>0</v>
      </c>
      <c r="E752" s="44"/>
      <c r="F752" s="44"/>
      <c r="G752" s="44"/>
      <c r="I752" s="61">
        <f t="shared" si="17"/>
        <v>0</v>
      </c>
      <c r="J752" s="59">
        <f t="shared" si="18"/>
        <v>0</v>
      </c>
    </row>
    <row r="753" spans="4:10">
      <c r="D753" s="44">
        <f t="shared" si="16"/>
        <v>0</v>
      </c>
      <c r="E753" s="44"/>
      <c r="F753" s="44"/>
      <c r="G753" s="44"/>
      <c r="I753" s="61">
        <f t="shared" si="17"/>
        <v>0</v>
      </c>
      <c r="J753" s="59">
        <f t="shared" si="18"/>
        <v>0</v>
      </c>
    </row>
    <row r="754" spans="4:10">
      <c r="D754" s="44">
        <f t="shared" si="16"/>
        <v>0</v>
      </c>
      <c r="E754" s="44"/>
      <c r="F754" s="44"/>
      <c r="G754" s="44"/>
      <c r="I754" s="61">
        <f t="shared" si="17"/>
        <v>0</v>
      </c>
      <c r="J754" s="59">
        <f t="shared" si="18"/>
        <v>0</v>
      </c>
    </row>
    <row r="755" spans="4:10">
      <c r="D755" s="44">
        <f t="shared" si="16"/>
        <v>0</v>
      </c>
      <c r="E755" s="44"/>
      <c r="F755" s="44"/>
      <c r="G755" s="44"/>
      <c r="I755" s="61">
        <f t="shared" si="17"/>
        <v>0</v>
      </c>
      <c r="J755" s="59">
        <f t="shared" si="18"/>
        <v>0</v>
      </c>
    </row>
    <row r="756" spans="4:10">
      <c r="D756" s="44">
        <f t="shared" si="16"/>
        <v>0</v>
      </c>
      <c r="E756" s="44"/>
      <c r="F756" s="44"/>
      <c r="G756" s="44"/>
      <c r="I756" s="61">
        <f t="shared" si="17"/>
        <v>0</v>
      </c>
      <c r="J756" s="59">
        <f t="shared" si="18"/>
        <v>0</v>
      </c>
    </row>
    <row r="757" spans="4:10">
      <c r="D757" s="44">
        <f t="shared" si="16"/>
        <v>0</v>
      </c>
      <c r="E757" s="44"/>
      <c r="F757" s="44"/>
      <c r="G757" s="44"/>
      <c r="I757" s="61">
        <f t="shared" si="17"/>
        <v>0</v>
      </c>
      <c r="J757" s="59">
        <f t="shared" si="18"/>
        <v>0</v>
      </c>
    </row>
    <row r="758" spans="4:10">
      <c r="D758" s="44">
        <f t="shared" si="16"/>
        <v>0</v>
      </c>
      <c r="E758" s="44"/>
      <c r="F758" s="44"/>
      <c r="G758" s="44"/>
      <c r="I758" s="61">
        <f t="shared" si="17"/>
        <v>0</v>
      </c>
      <c r="J758" s="59">
        <f t="shared" si="18"/>
        <v>0</v>
      </c>
    </row>
    <row r="759" spans="4:10">
      <c r="D759" s="44">
        <f t="shared" si="16"/>
        <v>0</v>
      </c>
      <c r="E759" s="44"/>
      <c r="F759" s="44"/>
      <c r="G759" s="44"/>
      <c r="I759" s="61">
        <f t="shared" si="17"/>
        <v>0</v>
      </c>
      <c r="J759" s="59">
        <f t="shared" si="18"/>
        <v>0</v>
      </c>
    </row>
    <row r="760" spans="4:10">
      <c r="D760" s="44">
        <f t="shared" si="16"/>
        <v>0</v>
      </c>
      <c r="E760" s="44"/>
      <c r="F760" s="44"/>
      <c r="G760" s="44"/>
      <c r="I760" s="61">
        <f t="shared" si="17"/>
        <v>0</v>
      </c>
      <c r="J760" s="59">
        <f t="shared" si="18"/>
        <v>0</v>
      </c>
    </row>
    <row r="761" spans="4:10">
      <c r="D761" s="44">
        <f t="shared" si="16"/>
        <v>0</v>
      </c>
      <c r="E761" s="44"/>
      <c r="F761" s="44"/>
      <c r="G761" s="44"/>
      <c r="I761" s="61">
        <f t="shared" si="17"/>
        <v>0</v>
      </c>
      <c r="J761" s="59">
        <f t="shared" si="18"/>
        <v>0</v>
      </c>
    </row>
    <row r="762" spans="4:10">
      <c r="D762" s="44">
        <f t="shared" si="16"/>
        <v>0</v>
      </c>
      <c r="E762" s="44"/>
      <c r="F762" s="44"/>
      <c r="G762" s="44"/>
      <c r="I762" s="61">
        <f t="shared" si="17"/>
        <v>0</v>
      </c>
      <c r="J762" s="59">
        <f t="shared" si="18"/>
        <v>0</v>
      </c>
    </row>
    <row r="763" spans="4:10">
      <c r="D763" s="44">
        <f t="shared" si="16"/>
        <v>0</v>
      </c>
      <c r="E763" s="44"/>
      <c r="F763" s="44"/>
      <c r="G763" s="44"/>
      <c r="I763" s="61">
        <f t="shared" si="17"/>
        <v>0</v>
      </c>
      <c r="J763" s="59">
        <f t="shared" si="18"/>
        <v>0</v>
      </c>
    </row>
    <row r="764" spans="4:10">
      <c r="D764" s="44">
        <f t="shared" si="16"/>
        <v>0</v>
      </c>
      <c r="E764" s="44"/>
      <c r="F764" s="44"/>
      <c r="G764" s="44"/>
      <c r="I764" s="61">
        <f t="shared" si="17"/>
        <v>0</v>
      </c>
      <c r="J764" s="59">
        <f t="shared" si="18"/>
        <v>0</v>
      </c>
    </row>
    <row r="765" spans="4:10">
      <c r="D765" s="44">
        <f t="shared" si="16"/>
        <v>0</v>
      </c>
      <c r="E765" s="44"/>
      <c r="F765" s="44"/>
      <c r="G765" s="44"/>
      <c r="I765" s="61">
        <f t="shared" si="17"/>
        <v>0</v>
      </c>
      <c r="J765" s="59">
        <f t="shared" si="18"/>
        <v>0</v>
      </c>
    </row>
    <row r="766" spans="4:10">
      <c r="D766" s="44">
        <f t="shared" si="16"/>
        <v>0</v>
      </c>
      <c r="E766" s="44"/>
      <c r="F766" s="44"/>
      <c r="G766" s="44"/>
      <c r="I766" s="61">
        <f t="shared" si="17"/>
        <v>0</v>
      </c>
      <c r="J766" s="59">
        <f t="shared" si="18"/>
        <v>0</v>
      </c>
    </row>
    <row r="767" spans="4:10">
      <c r="D767" s="44">
        <f t="shared" si="16"/>
        <v>0</v>
      </c>
      <c r="E767" s="44"/>
      <c r="F767" s="44"/>
      <c r="G767" s="44"/>
      <c r="I767" s="61">
        <f t="shared" si="17"/>
        <v>0</v>
      </c>
      <c r="J767" s="59">
        <f t="shared" si="18"/>
        <v>0</v>
      </c>
    </row>
    <row r="768" spans="4:10">
      <c r="D768" s="44">
        <f t="shared" si="16"/>
        <v>0</v>
      </c>
      <c r="E768" s="44"/>
      <c r="F768" s="44"/>
      <c r="G768" s="44"/>
      <c r="I768" s="61">
        <f t="shared" si="17"/>
        <v>0</v>
      </c>
      <c r="J768" s="59">
        <f t="shared" si="18"/>
        <v>0</v>
      </c>
    </row>
    <row r="769" spans="4:10">
      <c r="D769" s="44">
        <f t="shared" si="16"/>
        <v>0</v>
      </c>
      <c r="E769" s="44"/>
      <c r="F769" s="44"/>
      <c r="G769" s="44"/>
      <c r="I769" s="61">
        <f t="shared" si="17"/>
        <v>0</v>
      </c>
      <c r="J769" s="59">
        <f t="shared" si="18"/>
        <v>0</v>
      </c>
    </row>
    <row r="770" spans="4:10">
      <c r="D770" s="44">
        <f t="shared" si="16"/>
        <v>0</v>
      </c>
      <c r="E770" s="44"/>
      <c r="F770" s="44"/>
      <c r="G770" s="44"/>
      <c r="I770" s="61">
        <f t="shared" si="17"/>
        <v>0</v>
      </c>
      <c r="J770" s="59">
        <f t="shared" si="18"/>
        <v>0</v>
      </c>
    </row>
    <row r="771" spans="4:10">
      <c r="D771" s="44">
        <f t="shared" si="16"/>
        <v>0</v>
      </c>
      <c r="E771" s="44"/>
      <c r="F771" s="44"/>
      <c r="G771" s="44"/>
      <c r="I771" s="61">
        <f t="shared" si="17"/>
        <v>0</v>
      </c>
      <c r="J771" s="59">
        <f t="shared" si="18"/>
        <v>0</v>
      </c>
    </row>
    <row r="772" spans="4:10">
      <c r="D772" s="44">
        <f t="shared" si="16"/>
        <v>0</v>
      </c>
      <c r="E772" s="44"/>
      <c r="F772" s="44"/>
      <c r="G772" s="44"/>
      <c r="I772" s="61">
        <f t="shared" si="17"/>
        <v>0</v>
      </c>
      <c r="J772" s="59">
        <f t="shared" si="18"/>
        <v>0</v>
      </c>
    </row>
    <row r="773" spans="4:10">
      <c r="D773" s="44">
        <f t="shared" si="16"/>
        <v>0</v>
      </c>
      <c r="E773" s="44"/>
      <c r="F773" s="44"/>
      <c r="G773" s="44"/>
      <c r="I773" s="61">
        <f t="shared" si="17"/>
        <v>0</v>
      </c>
      <c r="J773" s="59">
        <f t="shared" si="18"/>
        <v>0</v>
      </c>
    </row>
    <row r="774" spans="4:10">
      <c r="D774" s="44">
        <f t="shared" si="16"/>
        <v>0</v>
      </c>
      <c r="E774" s="44"/>
      <c r="F774" s="44"/>
      <c r="G774" s="44"/>
      <c r="I774" s="61">
        <f t="shared" si="17"/>
        <v>0</v>
      </c>
      <c r="J774" s="59">
        <f t="shared" si="18"/>
        <v>0</v>
      </c>
    </row>
    <row r="775" spans="4:10">
      <c r="D775" s="44">
        <f t="shared" si="16"/>
        <v>0</v>
      </c>
      <c r="E775" s="44"/>
      <c r="F775" s="44"/>
      <c r="G775" s="44"/>
      <c r="I775" s="61">
        <f t="shared" si="17"/>
        <v>0</v>
      </c>
      <c r="J775" s="59">
        <f t="shared" si="18"/>
        <v>0</v>
      </c>
    </row>
    <row r="776" spans="4:10">
      <c r="D776" s="44">
        <f t="shared" si="16"/>
        <v>0</v>
      </c>
      <c r="E776" s="44"/>
      <c r="F776" s="44"/>
      <c r="G776" s="44"/>
      <c r="I776" s="61">
        <f t="shared" si="17"/>
        <v>0</v>
      </c>
      <c r="J776" s="59">
        <f t="shared" si="18"/>
        <v>0</v>
      </c>
    </row>
    <row r="777" spans="4:10">
      <c r="D777" s="44">
        <f t="shared" si="16"/>
        <v>0</v>
      </c>
      <c r="E777" s="44"/>
      <c r="F777" s="44"/>
      <c r="G777" s="44"/>
      <c r="I777" s="61">
        <f t="shared" si="17"/>
        <v>0</v>
      </c>
      <c r="J777" s="59">
        <f t="shared" si="18"/>
        <v>0</v>
      </c>
    </row>
    <row r="778" spans="4:10">
      <c r="D778" s="44">
        <f t="shared" si="16"/>
        <v>0</v>
      </c>
      <c r="E778" s="44"/>
      <c r="F778" s="44"/>
      <c r="G778" s="44"/>
      <c r="I778" s="61">
        <f t="shared" si="17"/>
        <v>0</v>
      </c>
      <c r="J778" s="59">
        <f t="shared" si="18"/>
        <v>0</v>
      </c>
    </row>
    <row r="779" spans="4:10">
      <c r="D779" s="44">
        <f t="shared" si="16"/>
        <v>0</v>
      </c>
      <c r="E779" s="44"/>
      <c r="F779" s="44"/>
      <c r="G779" s="44"/>
      <c r="I779" s="61">
        <f t="shared" si="17"/>
        <v>0</v>
      </c>
      <c r="J779" s="59">
        <f t="shared" si="18"/>
        <v>0</v>
      </c>
    </row>
    <row r="780" spans="4:10">
      <c r="D780" s="44">
        <f t="shared" si="16"/>
        <v>0</v>
      </c>
      <c r="E780" s="44"/>
      <c r="F780" s="44"/>
      <c r="G780" s="44"/>
      <c r="I780" s="61">
        <f t="shared" si="17"/>
        <v>0</v>
      </c>
      <c r="J780" s="59">
        <f t="shared" si="18"/>
        <v>0</v>
      </c>
    </row>
    <row r="781" spans="4:10">
      <c r="D781" s="44">
        <f t="shared" si="16"/>
        <v>0</v>
      </c>
      <c r="E781" s="44"/>
      <c r="F781" s="44"/>
      <c r="G781" s="44"/>
      <c r="I781" s="61">
        <f t="shared" si="17"/>
        <v>0</v>
      </c>
      <c r="J781" s="59">
        <f t="shared" si="18"/>
        <v>0</v>
      </c>
    </row>
    <row r="782" spans="4:10">
      <c r="D782" s="44">
        <f t="shared" si="16"/>
        <v>0</v>
      </c>
      <c r="E782" s="44"/>
      <c r="F782" s="44"/>
      <c r="G782" s="44"/>
      <c r="I782" s="61">
        <f t="shared" si="17"/>
        <v>0</v>
      </c>
      <c r="J782" s="59">
        <f t="shared" si="18"/>
        <v>0</v>
      </c>
    </row>
    <row r="783" spans="4:10">
      <c r="D783" s="44">
        <f t="shared" si="16"/>
        <v>0</v>
      </c>
      <c r="E783" s="44"/>
      <c r="F783" s="44"/>
      <c r="G783" s="44"/>
      <c r="I783" s="61">
        <f t="shared" si="17"/>
        <v>0</v>
      </c>
      <c r="J783" s="59">
        <f t="shared" si="18"/>
        <v>0</v>
      </c>
    </row>
    <row r="784" spans="4:10">
      <c r="D784" s="44">
        <f t="shared" si="16"/>
        <v>0</v>
      </c>
      <c r="E784" s="44"/>
      <c r="F784" s="44"/>
      <c r="G784" s="44"/>
      <c r="I784" s="61">
        <f t="shared" si="17"/>
        <v>0</v>
      </c>
      <c r="J784" s="59">
        <f t="shared" si="18"/>
        <v>0</v>
      </c>
    </row>
    <row r="785" spans="4:10">
      <c r="D785" s="44">
        <f t="shared" si="16"/>
        <v>0</v>
      </c>
      <c r="E785" s="44"/>
      <c r="F785" s="44"/>
      <c r="G785" s="44"/>
      <c r="I785" s="61">
        <f t="shared" si="17"/>
        <v>0</v>
      </c>
      <c r="J785" s="59">
        <f t="shared" si="18"/>
        <v>0</v>
      </c>
    </row>
    <row r="786" spans="4:10">
      <c r="D786" s="44">
        <f t="shared" si="16"/>
        <v>0</v>
      </c>
      <c r="E786" s="44"/>
      <c r="F786" s="44"/>
      <c r="G786" s="44"/>
      <c r="I786" s="61">
        <f t="shared" si="17"/>
        <v>0</v>
      </c>
      <c r="J786" s="59">
        <f t="shared" si="18"/>
        <v>0</v>
      </c>
    </row>
    <row r="787" spans="4:10">
      <c r="D787" s="44">
        <f t="shared" si="16"/>
        <v>0</v>
      </c>
      <c r="E787" s="44"/>
      <c r="F787" s="44"/>
      <c r="G787" s="44"/>
      <c r="I787" s="61">
        <f t="shared" si="17"/>
        <v>0</v>
      </c>
      <c r="J787" s="59">
        <f t="shared" si="18"/>
        <v>0</v>
      </c>
    </row>
    <row r="788" spans="4:10">
      <c r="D788" s="44">
        <f t="shared" si="16"/>
        <v>0</v>
      </c>
      <c r="E788" s="44"/>
      <c r="F788" s="44"/>
      <c r="G788" s="44"/>
      <c r="I788" s="61">
        <f t="shared" si="17"/>
        <v>0</v>
      </c>
      <c r="J788" s="59">
        <f t="shared" si="18"/>
        <v>0</v>
      </c>
    </row>
    <row r="789" spans="4:10">
      <c r="D789" s="44">
        <f t="shared" si="16"/>
        <v>0</v>
      </c>
      <c r="E789" s="44"/>
      <c r="F789" s="44"/>
      <c r="G789" s="44"/>
      <c r="I789" s="61">
        <f t="shared" si="17"/>
        <v>0</v>
      </c>
      <c r="J789" s="59">
        <f t="shared" si="18"/>
        <v>0</v>
      </c>
    </row>
    <row r="790" spans="4:10">
      <c r="D790" s="44">
        <f t="shared" si="16"/>
        <v>0</v>
      </c>
      <c r="E790" s="44"/>
      <c r="F790" s="44"/>
      <c r="G790" s="44"/>
      <c r="I790" s="61">
        <f t="shared" si="17"/>
        <v>0</v>
      </c>
      <c r="J790" s="59">
        <f t="shared" si="18"/>
        <v>0</v>
      </c>
    </row>
    <row r="791" spans="4:10">
      <c r="D791" s="44">
        <f t="shared" si="16"/>
        <v>0</v>
      </c>
      <c r="E791" s="44"/>
      <c r="F791" s="44"/>
      <c r="G791" s="44"/>
      <c r="I791" s="61">
        <f t="shared" si="17"/>
        <v>0</v>
      </c>
      <c r="J791" s="59">
        <f t="shared" si="18"/>
        <v>0</v>
      </c>
    </row>
    <row r="792" spans="4:10">
      <c r="D792" s="44">
        <f t="shared" si="16"/>
        <v>0</v>
      </c>
      <c r="E792" s="44"/>
      <c r="F792" s="44"/>
      <c r="G792" s="44"/>
      <c r="I792" s="61">
        <f t="shared" si="17"/>
        <v>0</v>
      </c>
      <c r="J792" s="59">
        <f t="shared" si="18"/>
        <v>0</v>
      </c>
    </row>
    <row r="793" spans="4:10">
      <c r="D793" s="44">
        <f t="shared" si="16"/>
        <v>0</v>
      </c>
      <c r="E793" s="44"/>
      <c r="F793" s="44"/>
      <c r="G793" s="44"/>
      <c r="I793" s="61">
        <f t="shared" si="17"/>
        <v>0</v>
      </c>
      <c r="J793" s="59">
        <f t="shared" si="18"/>
        <v>0</v>
      </c>
    </row>
    <row r="794" spans="4:10">
      <c r="D794" s="44">
        <f t="shared" si="16"/>
        <v>0</v>
      </c>
      <c r="E794" s="44"/>
      <c r="F794" s="44"/>
      <c r="G794" s="44"/>
      <c r="I794" s="61">
        <f t="shared" si="17"/>
        <v>0</v>
      </c>
      <c r="J794" s="59">
        <f t="shared" si="18"/>
        <v>0</v>
      </c>
    </row>
    <row r="795" spans="4:10">
      <c r="D795" s="44">
        <f t="shared" si="16"/>
        <v>0</v>
      </c>
      <c r="E795" s="44"/>
      <c r="F795" s="44"/>
      <c r="G795" s="44"/>
      <c r="I795" s="61">
        <f t="shared" si="17"/>
        <v>0</v>
      </c>
      <c r="J795" s="59">
        <f t="shared" si="18"/>
        <v>0</v>
      </c>
    </row>
    <row r="796" spans="4:10">
      <c r="D796" s="44">
        <f t="shared" si="16"/>
        <v>0</v>
      </c>
      <c r="E796" s="44"/>
      <c r="F796" s="44"/>
      <c r="G796" s="44"/>
      <c r="I796" s="61">
        <f t="shared" si="17"/>
        <v>0</v>
      </c>
      <c r="J796" s="59">
        <f t="shared" si="18"/>
        <v>0</v>
      </c>
    </row>
    <row r="797" spans="4:10">
      <c r="D797" s="44">
        <f t="shared" si="16"/>
        <v>0</v>
      </c>
      <c r="E797" s="44"/>
      <c r="F797" s="44"/>
      <c r="G797" s="44"/>
      <c r="I797" s="61">
        <f t="shared" si="17"/>
        <v>0</v>
      </c>
      <c r="J797" s="59">
        <f t="shared" si="18"/>
        <v>0</v>
      </c>
    </row>
    <row r="798" spans="4:10">
      <c r="D798" s="44">
        <f t="shared" si="16"/>
        <v>0</v>
      </c>
      <c r="E798" s="44"/>
      <c r="F798" s="44"/>
      <c r="G798" s="44"/>
      <c r="I798" s="61">
        <f t="shared" si="17"/>
        <v>0</v>
      </c>
      <c r="J798" s="59">
        <f t="shared" si="18"/>
        <v>0</v>
      </c>
    </row>
    <row r="799" spans="4:10">
      <c r="D799" s="44">
        <f t="shared" ref="D799:D862" si="19">C799-H799</f>
        <v>0</v>
      </c>
      <c r="E799" s="44"/>
      <c r="F799" s="44"/>
      <c r="G799" s="44"/>
      <c r="I799" s="61">
        <f t="shared" ref="I799:I862" si="20">H799*10%</f>
        <v>0</v>
      </c>
      <c r="J799" s="59">
        <f t="shared" ref="J799:J862" si="21">H799*90%</f>
        <v>0</v>
      </c>
    </row>
    <row r="800" spans="4:10">
      <c r="D800" s="44">
        <f t="shared" si="19"/>
        <v>0</v>
      </c>
      <c r="E800" s="44"/>
      <c r="F800" s="44"/>
      <c r="G800" s="44"/>
      <c r="I800" s="61">
        <f t="shared" si="20"/>
        <v>0</v>
      </c>
      <c r="J800" s="59">
        <f t="shared" si="21"/>
        <v>0</v>
      </c>
    </row>
    <row r="801" spans="4:10">
      <c r="D801" s="44">
        <f t="shared" si="19"/>
        <v>0</v>
      </c>
      <c r="E801" s="44"/>
      <c r="F801" s="44"/>
      <c r="G801" s="44"/>
      <c r="I801" s="61">
        <f t="shared" si="20"/>
        <v>0</v>
      </c>
      <c r="J801" s="59">
        <f t="shared" si="21"/>
        <v>0</v>
      </c>
    </row>
    <row r="802" spans="4:10">
      <c r="D802" s="44">
        <f t="shared" si="19"/>
        <v>0</v>
      </c>
      <c r="E802" s="44"/>
      <c r="F802" s="44"/>
      <c r="G802" s="44"/>
      <c r="I802" s="61">
        <f t="shared" si="20"/>
        <v>0</v>
      </c>
      <c r="J802" s="59">
        <f t="shared" si="21"/>
        <v>0</v>
      </c>
    </row>
    <row r="803" spans="4:10">
      <c r="D803" s="44">
        <f t="shared" si="19"/>
        <v>0</v>
      </c>
      <c r="E803" s="44"/>
      <c r="F803" s="44"/>
      <c r="G803" s="44"/>
      <c r="I803" s="61">
        <f t="shared" si="20"/>
        <v>0</v>
      </c>
      <c r="J803" s="59">
        <f t="shared" si="21"/>
        <v>0</v>
      </c>
    </row>
    <row r="804" spans="4:10">
      <c r="D804" s="44">
        <f t="shared" si="19"/>
        <v>0</v>
      </c>
      <c r="E804" s="44"/>
      <c r="F804" s="44"/>
      <c r="G804" s="44"/>
      <c r="I804" s="61">
        <f t="shared" si="20"/>
        <v>0</v>
      </c>
      <c r="J804" s="59">
        <f t="shared" si="21"/>
        <v>0</v>
      </c>
    </row>
    <row r="805" spans="4:10">
      <c r="D805" s="44">
        <f t="shared" si="19"/>
        <v>0</v>
      </c>
      <c r="E805" s="44"/>
      <c r="F805" s="44"/>
      <c r="G805" s="44"/>
      <c r="I805" s="61">
        <f t="shared" si="20"/>
        <v>0</v>
      </c>
      <c r="J805" s="59">
        <f t="shared" si="21"/>
        <v>0</v>
      </c>
    </row>
    <row r="806" spans="4:10">
      <c r="D806" s="44">
        <f t="shared" si="19"/>
        <v>0</v>
      </c>
      <c r="E806" s="44"/>
      <c r="F806" s="44"/>
      <c r="G806" s="44"/>
      <c r="I806" s="61">
        <f t="shared" si="20"/>
        <v>0</v>
      </c>
      <c r="J806" s="59">
        <f t="shared" si="21"/>
        <v>0</v>
      </c>
    </row>
    <row r="807" spans="4:10">
      <c r="D807" s="44">
        <f t="shared" si="19"/>
        <v>0</v>
      </c>
      <c r="E807" s="44"/>
      <c r="F807" s="44"/>
      <c r="G807" s="44"/>
      <c r="I807" s="61">
        <f t="shared" si="20"/>
        <v>0</v>
      </c>
      <c r="J807" s="59">
        <f t="shared" si="21"/>
        <v>0</v>
      </c>
    </row>
    <row r="808" spans="4:10">
      <c r="D808" s="44">
        <f t="shared" si="19"/>
        <v>0</v>
      </c>
      <c r="E808" s="44"/>
      <c r="F808" s="44"/>
      <c r="G808" s="44"/>
      <c r="I808" s="61">
        <f t="shared" si="20"/>
        <v>0</v>
      </c>
      <c r="J808" s="59">
        <f t="shared" si="21"/>
        <v>0</v>
      </c>
    </row>
    <row r="809" spans="4:10">
      <c r="D809" s="44">
        <f t="shared" si="19"/>
        <v>0</v>
      </c>
      <c r="E809" s="44"/>
      <c r="F809" s="44"/>
      <c r="G809" s="44"/>
      <c r="I809" s="61">
        <f t="shared" si="20"/>
        <v>0</v>
      </c>
      <c r="J809" s="59">
        <f t="shared" si="21"/>
        <v>0</v>
      </c>
    </row>
    <row r="810" spans="4:10">
      <c r="D810" s="44">
        <f t="shared" si="19"/>
        <v>0</v>
      </c>
      <c r="E810" s="44"/>
      <c r="F810" s="44"/>
      <c r="G810" s="44"/>
      <c r="I810" s="61">
        <f t="shared" si="20"/>
        <v>0</v>
      </c>
      <c r="J810" s="59">
        <f t="shared" si="21"/>
        <v>0</v>
      </c>
    </row>
    <row r="811" spans="4:10">
      <c r="D811" s="44">
        <f t="shared" si="19"/>
        <v>0</v>
      </c>
      <c r="E811" s="44"/>
      <c r="F811" s="44"/>
      <c r="G811" s="44"/>
      <c r="I811" s="61">
        <f t="shared" si="20"/>
        <v>0</v>
      </c>
      <c r="J811" s="59">
        <f t="shared" si="21"/>
        <v>0</v>
      </c>
    </row>
    <row r="812" spans="4:10">
      <c r="D812" s="44">
        <f t="shared" si="19"/>
        <v>0</v>
      </c>
      <c r="E812" s="44"/>
      <c r="F812" s="44"/>
      <c r="G812" s="44"/>
      <c r="I812" s="61">
        <f t="shared" si="20"/>
        <v>0</v>
      </c>
      <c r="J812" s="59">
        <f t="shared" si="21"/>
        <v>0</v>
      </c>
    </row>
    <row r="813" spans="4:10">
      <c r="D813" s="44">
        <f t="shared" si="19"/>
        <v>0</v>
      </c>
      <c r="E813" s="44"/>
      <c r="F813" s="44"/>
      <c r="G813" s="44"/>
      <c r="I813" s="61">
        <f t="shared" si="20"/>
        <v>0</v>
      </c>
      <c r="J813" s="59">
        <f t="shared" si="21"/>
        <v>0</v>
      </c>
    </row>
    <row r="814" spans="4:10">
      <c r="D814" s="44">
        <f t="shared" si="19"/>
        <v>0</v>
      </c>
      <c r="E814" s="44"/>
      <c r="F814" s="44"/>
      <c r="G814" s="44"/>
      <c r="I814" s="61">
        <f t="shared" si="20"/>
        <v>0</v>
      </c>
      <c r="J814" s="59">
        <f t="shared" si="21"/>
        <v>0</v>
      </c>
    </row>
    <row r="815" spans="4:10">
      <c r="D815" s="44">
        <f t="shared" si="19"/>
        <v>0</v>
      </c>
      <c r="E815" s="44"/>
      <c r="F815" s="44"/>
      <c r="G815" s="44"/>
      <c r="I815" s="61">
        <f t="shared" si="20"/>
        <v>0</v>
      </c>
      <c r="J815" s="59">
        <f t="shared" si="21"/>
        <v>0</v>
      </c>
    </row>
    <row r="816" spans="4:10">
      <c r="D816" s="44">
        <f t="shared" si="19"/>
        <v>0</v>
      </c>
      <c r="E816" s="44"/>
      <c r="F816" s="44"/>
      <c r="G816" s="44"/>
      <c r="I816" s="61">
        <f t="shared" si="20"/>
        <v>0</v>
      </c>
      <c r="J816" s="59">
        <f t="shared" si="21"/>
        <v>0</v>
      </c>
    </row>
    <row r="817" spans="4:10">
      <c r="D817" s="44">
        <f t="shared" si="19"/>
        <v>0</v>
      </c>
      <c r="E817" s="44"/>
      <c r="F817" s="44"/>
      <c r="G817" s="44"/>
      <c r="I817" s="61">
        <f t="shared" si="20"/>
        <v>0</v>
      </c>
      <c r="J817" s="59">
        <f t="shared" si="21"/>
        <v>0</v>
      </c>
    </row>
    <row r="818" spans="4:10">
      <c r="D818" s="44">
        <f t="shared" si="19"/>
        <v>0</v>
      </c>
      <c r="E818" s="44"/>
      <c r="F818" s="44"/>
      <c r="G818" s="44"/>
      <c r="I818" s="61">
        <f t="shared" si="20"/>
        <v>0</v>
      </c>
      <c r="J818" s="59">
        <f t="shared" si="21"/>
        <v>0</v>
      </c>
    </row>
    <row r="819" spans="4:10">
      <c r="D819" s="44">
        <f t="shared" si="19"/>
        <v>0</v>
      </c>
      <c r="E819" s="44"/>
      <c r="F819" s="44"/>
      <c r="G819" s="44"/>
      <c r="I819" s="61">
        <f t="shared" si="20"/>
        <v>0</v>
      </c>
      <c r="J819" s="59">
        <f t="shared" si="21"/>
        <v>0</v>
      </c>
    </row>
    <row r="820" spans="4:10">
      <c r="D820" s="44">
        <f t="shared" si="19"/>
        <v>0</v>
      </c>
      <c r="E820" s="44"/>
      <c r="F820" s="44"/>
      <c r="G820" s="44"/>
      <c r="I820" s="61">
        <f t="shared" si="20"/>
        <v>0</v>
      </c>
      <c r="J820" s="59">
        <f t="shared" si="21"/>
        <v>0</v>
      </c>
    </row>
    <row r="821" spans="4:10">
      <c r="D821" s="44">
        <f t="shared" si="19"/>
        <v>0</v>
      </c>
      <c r="E821" s="44"/>
      <c r="F821" s="44"/>
      <c r="G821" s="44"/>
      <c r="I821" s="61">
        <f t="shared" si="20"/>
        <v>0</v>
      </c>
      <c r="J821" s="59">
        <f t="shared" si="21"/>
        <v>0</v>
      </c>
    </row>
    <row r="822" spans="4:10">
      <c r="D822" s="44">
        <f t="shared" si="19"/>
        <v>0</v>
      </c>
      <c r="E822" s="44"/>
      <c r="F822" s="44"/>
      <c r="G822" s="44"/>
      <c r="I822" s="61">
        <f t="shared" si="20"/>
        <v>0</v>
      </c>
      <c r="J822" s="59">
        <f t="shared" si="21"/>
        <v>0</v>
      </c>
    </row>
    <row r="823" spans="4:10">
      <c r="D823" s="44">
        <f t="shared" si="19"/>
        <v>0</v>
      </c>
      <c r="E823" s="44"/>
      <c r="F823" s="44"/>
      <c r="G823" s="44"/>
      <c r="I823" s="61">
        <f t="shared" si="20"/>
        <v>0</v>
      </c>
      <c r="J823" s="59">
        <f t="shared" si="21"/>
        <v>0</v>
      </c>
    </row>
    <row r="824" spans="4:10">
      <c r="D824" s="44">
        <f t="shared" si="19"/>
        <v>0</v>
      </c>
      <c r="E824" s="44"/>
      <c r="F824" s="44"/>
      <c r="G824" s="44"/>
      <c r="I824" s="61">
        <f t="shared" si="20"/>
        <v>0</v>
      </c>
      <c r="J824" s="59">
        <f t="shared" si="21"/>
        <v>0</v>
      </c>
    </row>
    <row r="825" spans="4:10">
      <c r="D825" s="44">
        <f t="shared" si="19"/>
        <v>0</v>
      </c>
      <c r="E825" s="44"/>
      <c r="F825" s="44"/>
      <c r="G825" s="44"/>
      <c r="I825" s="61">
        <f t="shared" si="20"/>
        <v>0</v>
      </c>
      <c r="J825" s="59">
        <f t="shared" si="21"/>
        <v>0</v>
      </c>
    </row>
    <row r="826" spans="4:10">
      <c r="D826" s="44">
        <f t="shared" si="19"/>
        <v>0</v>
      </c>
      <c r="E826" s="44"/>
      <c r="F826" s="44"/>
      <c r="G826" s="44"/>
      <c r="I826" s="61">
        <f t="shared" si="20"/>
        <v>0</v>
      </c>
      <c r="J826" s="59">
        <f t="shared" si="21"/>
        <v>0</v>
      </c>
    </row>
    <row r="827" spans="4:10">
      <c r="D827" s="44">
        <f t="shared" si="19"/>
        <v>0</v>
      </c>
      <c r="E827" s="44"/>
      <c r="F827" s="44"/>
      <c r="G827" s="44"/>
      <c r="I827" s="61">
        <f t="shared" si="20"/>
        <v>0</v>
      </c>
      <c r="J827" s="59">
        <f t="shared" si="21"/>
        <v>0</v>
      </c>
    </row>
    <row r="828" spans="4:10">
      <c r="D828" s="44">
        <f t="shared" si="19"/>
        <v>0</v>
      </c>
      <c r="E828" s="44"/>
      <c r="F828" s="44"/>
      <c r="G828" s="44"/>
      <c r="I828" s="61">
        <f t="shared" si="20"/>
        <v>0</v>
      </c>
      <c r="J828" s="59">
        <f t="shared" si="21"/>
        <v>0</v>
      </c>
    </row>
    <row r="829" spans="4:10">
      <c r="D829" s="44">
        <f t="shared" si="19"/>
        <v>0</v>
      </c>
      <c r="E829" s="44"/>
      <c r="F829" s="44"/>
      <c r="G829" s="44"/>
      <c r="I829" s="61">
        <f t="shared" si="20"/>
        <v>0</v>
      </c>
      <c r="J829" s="59">
        <f t="shared" si="21"/>
        <v>0</v>
      </c>
    </row>
    <row r="830" spans="4:10">
      <c r="D830" s="44">
        <f t="shared" si="19"/>
        <v>0</v>
      </c>
      <c r="E830" s="44"/>
      <c r="F830" s="44"/>
      <c r="G830" s="44"/>
      <c r="I830" s="61">
        <f t="shared" si="20"/>
        <v>0</v>
      </c>
      <c r="J830" s="59">
        <f t="shared" si="21"/>
        <v>0</v>
      </c>
    </row>
    <row r="831" spans="4:10">
      <c r="D831" s="44">
        <f t="shared" si="19"/>
        <v>0</v>
      </c>
      <c r="E831" s="44"/>
      <c r="F831" s="44"/>
      <c r="G831" s="44"/>
      <c r="I831" s="61">
        <f t="shared" si="20"/>
        <v>0</v>
      </c>
      <c r="J831" s="59">
        <f t="shared" si="21"/>
        <v>0</v>
      </c>
    </row>
    <row r="832" spans="4:10">
      <c r="D832" s="44">
        <f t="shared" si="19"/>
        <v>0</v>
      </c>
      <c r="E832" s="44"/>
      <c r="F832" s="44"/>
      <c r="G832" s="44"/>
      <c r="I832" s="61">
        <f t="shared" si="20"/>
        <v>0</v>
      </c>
      <c r="J832" s="59">
        <f t="shared" si="21"/>
        <v>0</v>
      </c>
    </row>
    <row r="833" spans="4:10">
      <c r="D833" s="44">
        <f t="shared" si="19"/>
        <v>0</v>
      </c>
      <c r="E833" s="44"/>
      <c r="F833" s="44"/>
      <c r="G833" s="44"/>
      <c r="I833" s="61">
        <f t="shared" si="20"/>
        <v>0</v>
      </c>
      <c r="J833" s="59">
        <f t="shared" si="21"/>
        <v>0</v>
      </c>
    </row>
    <row r="834" spans="4:10">
      <c r="D834" s="44">
        <f t="shared" si="19"/>
        <v>0</v>
      </c>
      <c r="E834" s="44"/>
      <c r="F834" s="44"/>
      <c r="G834" s="44"/>
      <c r="I834" s="61">
        <f t="shared" si="20"/>
        <v>0</v>
      </c>
      <c r="J834" s="59">
        <f t="shared" si="21"/>
        <v>0</v>
      </c>
    </row>
    <row r="835" spans="4:10">
      <c r="D835" s="44">
        <f t="shared" si="19"/>
        <v>0</v>
      </c>
      <c r="E835" s="44"/>
      <c r="F835" s="44"/>
      <c r="G835" s="44"/>
      <c r="I835" s="61">
        <f t="shared" si="20"/>
        <v>0</v>
      </c>
      <c r="J835" s="59">
        <f t="shared" si="21"/>
        <v>0</v>
      </c>
    </row>
    <row r="836" spans="4:10">
      <c r="D836" s="44">
        <f t="shared" si="19"/>
        <v>0</v>
      </c>
      <c r="E836" s="44"/>
      <c r="F836" s="44"/>
      <c r="G836" s="44"/>
      <c r="I836" s="61">
        <f t="shared" si="20"/>
        <v>0</v>
      </c>
      <c r="J836" s="59">
        <f t="shared" si="21"/>
        <v>0</v>
      </c>
    </row>
    <row r="837" spans="4:10">
      <c r="D837" s="44">
        <f t="shared" si="19"/>
        <v>0</v>
      </c>
      <c r="E837" s="44"/>
      <c r="F837" s="44"/>
      <c r="G837" s="44"/>
      <c r="I837" s="61">
        <f t="shared" si="20"/>
        <v>0</v>
      </c>
      <c r="J837" s="59">
        <f t="shared" si="21"/>
        <v>0</v>
      </c>
    </row>
    <row r="838" spans="4:10">
      <c r="D838" s="44">
        <f t="shared" si="19"/>
        <v>0</v>
      </c>
      <c r="E838" s="44"/>
      <c r="F838" s="44"/>
      <c r="G838" s="44"/>
      <c r="I838" s="61">
        <f t="shared" si="20"/>
        <v>0</v>
      </c>
      <c r="J838" s="59">
        <f t="shared" si="21"/>
        <v>0</v>
      </c>
    </row>
    <row r="839" spans="4:10">
      <c r="D839" s="44">
        <f t="shared" si="19"/>
        <v>0</v>
      </c>
      <c r="E839" s="44"/>
      <c r="F839" s="44"/>
      <c r="G839" s="44"/>
      <c r="I839" s="61">
        <f t="shared" si="20"/>
        <v>0</v>
      </c>
      <c r="J839" s="59">
        <f t="shared" si="21"/>
        <v>0</v>
      </c>
    </row>
    <row r="840" spans="4:10">
      <c r="D840" s="44">
        <f t="shared" si="19"/>
        <v>0</v>
      </c>
      <c r="E840" s="44"/>
      <c r="F840" s="44"/>
      <c r="G840" s="44"/>
      <c r="I840" s="61">
        <f t="shared" si="20"/>
        <v>0</v>
      </c>
      <c r="J840" s="59">
        <f t="shared" si="21"/>
        <v>0</v>
      </c>
    </row>
    <row r="841" spans="4:10">
      <c r="D841" s="44">
        <f t="shared" si="19"/>
        <v>0</v>
      </c>
      <c r="E841" s="44"/>
      <c r="F841" s="44"/>
      <c r="G841" s="44"/>
      <c r="I841" s="61">
        <f t="shared" si="20"/>
        <v>0</v>
      </c>
      <c r="J841" s="59">
        <f t="shared" si="21"/>
        <v>0</v>
      </c>
    </row>
    <row r="842" spans="4:10">
      <c r="D842" s="44">
        <f t="shared" si="19"/>
        <v>0</v>
      </c>
      <c r="E842" s="44"/>
      <c r="F842" s="44"/>
      <c r="G842" s="44"/>
      <c r="I842" s="61">
        <f t="shared" si="20"/>
        <v>0</v>
      </c>
      <c r="J842" s="59">
        <f t="shared" si="21"/>
        <v>0</v>
      </c>
    </row>
    <row r="843" spans="4:10">
      <c r="D843" s="44">
        <f t="shared" si="19"/>
        <v>0</v>
      </c>
      <c r="E843" s="44"/>
      <c r="F843" s="44"/>
      <c r="G843" s="44"/>
      <c r="I843" s="61">
        <f t="shared" si="20"/>
        <v>0</v>
      </c>
      <c r="J843" s="59">
        <f t="shared" si="21"/>
        <v>0</v>
      </c>
    </row>
    <row r="844" spans="4:10">
      <c r="D844" s="44">
        <f t="shared" si="19"/>
        <v>0</v>
      </c>
      <c r="E844" s="44"/>
      <c r="F844" s="44"/>
      <c r="G844" s="44"/>
      <c r="I844" s="61">
        <f t="shared" si="20"/>
        <v>0</v>
      </c>
      <c r="J844" s="59">
        <f t="shared" si="21"/>
        <v>0</v>
      </c>
    </row>
    <row r="845" spans="4:10">
      <c r="D845" s="44">
        <f t="shared" si="19"/>
        <v>0</v>
      </c>
      <c r="E845" s="44"/>
      <c r="F845" s="44"/>
      <c r="G845" s="44"/>
      <c r="I845" s="61">
        <f t="shared" si="20"/>
        <v>0</v>
      </c>
      <c r="J845" s="59">
        <f t="shared" si="21"/>
        <v>0</v>
      </c>
    </row>
    <row r="846" spans="4:10">
      <c r="D846" s="44">
        <f t="shared" si="19"/>
        <v>0</v>
      </c>
      <c r="E846" s="44"/>
      <c r="F846" s="44"/>
      <c r="G846" s="44"/>
      <c r="I846" s="61">
        <f t="shared" si="20"/>
        <v>0</v>
      </c>
      <c r="J846" s="59">
        <f t="shared" si="21"/>
        <v>0</v>
      </c>
    </row>
    <row r="847" spans="4:10">
      <c r="D847" s="44">
        <f t="shared" si="19"/>
        <v>0</v>
      </c>
      <c r="E847" s="44"/>
      <c r="F847" s="44"/>
      <c r="G847" s="44"/>
      <c r="I847" s="61">
        <f t="shared" si="20"/>
        <v>0</v>
      </c>
      <c r="J847" s="59">
        <f t="shared" si="21"/>
        <v>0</v>
      </c>
    </row>
    <row r="848" spans="4:10">
      <c r="D848" s="44">
        <f t="shared" si="19"/>
        <v>0</v>
      </c>
      <c r="E848" s="44"/>
      <c r="F848" s="44"/>
      <c r="G848" s="44"/>
      <c r="I848" s="61">
        <f t="shared" si="20"/>
        <v>0</v>
      </c>
      <c r="J848" s="59">
        <f t="shared" si="21"/>
        <v>0</v>
      </c>
    </row>
    <row r="849" spans="4:10">
      <c r="D849" s="44">
        <f t="shared" si="19"/>
        <v>0</v>
      </c>
      <c r="E849" s="44"/>
      <c r="F849" s="44"/>
      <c r="G849" s="44"/>
      <c r="I849" s="61">
        <f t="shared" si="20"/>
        <v>0</v>
      </c>
      <c r="J849" s="59">
        <f t="shared" si="21"/>
        <v>0</v>
      </c>
    </row>
    <row r="850" spans="4:10">
      <c r="D850" s="44">
        <f t="shared" si="19"/>
        <v>0</v>
      </c>
      <c r="E850" s="44"/>
      <c r="F850" s="44"/>
      <c r="G850" s="44"/>
      <c r="I850" s="61">
        <f t="shared" si="20"/>
        <v>0</v>
      </c>
      <c r="J850" s="59">
        <f t="shared" si="21"/>
        <v>0</v>
      </c>
    </row>
    <row r="851" spans="4:10">
      <c r="D851" s="44">
        <f t="shared" si="19"/>
        <v>0</v>
      </c>
      <c r="E851" s="44"/>
      <c r="F851" s="44"/>
      <c r="G851" s="44"/>
      <c r="I851" s="61">
        <f t="shared" si="20"/>
        <v>0</v>
      </c>
      <c r="J851" s="59">
        <f t="shared" si="21"/>
        <v>0</v>
      </c>
    </row>
    <row r="852" spans="4:10">
      <c r="D852" s="44">
        <f t="shared" si="19"/>
        <v>0</v>
      </c>
      <c r="E852" s="44"/>
      <c r="F852" s="44"/>
      <c r="G852" s="44"/>
      <c r="I852" s="61">
        <f t="shared" si="20"/>
        <v>0</v>
      </c>
      <c r="J852" s="59">
        <f t="shared" si="21"/>
        <v>0</v>
      </c>
    </row>
    <row r="853" spans="4:10">
      <c r="D853" s="44">
        <f t="shared" si="19"/>
        <v>0</v>
      </c>
      <c r="E853" s="44"/>
      <c r="F853" s="44"/>
      <c r="G853" s="44"/>
      <c r="I853" s="61">
        <f t="shared" si="20"/>
        <v>0</v>
      </c>
      <c r="J853" s="59">
        <f t="shared" si="21"/>
        <v>0</v>
      </c>
    </row>
    <row r="854" spans="4:10">
      <c r="D854" s="44">
        <f t="shared" si="19"/>
        <v>0</v>
      </c>
      <c r="E854" s="44"/>
      <c r="F854" s="44"/>
      <c r="G854" s="44"/>
      <c r="I854" s="61">
        <f t="shared" si="20"/>
        <v>0</v>
      </c>
      <c r="J854" s="59">
        <f t="shared" si="21"/>
        <v>0</v>
      </c>
    </row>
    <row r="855" spans="4:10">
      <c r="D855" s="44">
        <f t="shared" si="19"/>
        <v>0</v>
      </c>
      <c r="E855" s="44"/>
      <c r="F855" s="44"/>
      <c r="G855" s="44"/>
      <c r="I855" s="61">
        <f t="shared" si="20"/>
        <v>0</v>
      </c>
      <c r="J855" s="59">
        <f t="shared" si="21"/>
        <v>0</v>
      </c>
    </row>
    <row r="856" spans="4:10">
      <c r="D856" s="44">
        <f t="shared" si="19"/>
        <v>0</v>
      </c>
      <c r="E856" s="44"/>
      <c r="F856" s="44"/>
      <c r="G856" s="44"/>
      <c r="I856" s="61">
        <f t="shared" si="20"/>
        <v>0</v>
      </c>
      <c r="J856" s="59">
        <f t="shared" si="21"/>
        <v>0</v>
      </c>
    </row>
    <row r="857" spans="4:10">
      <c r="D857" s="44">
        <f t="shared" si="19"/>
        <v>0</v>
      </c>
      <c r="E857" s="44"/>
      <c r="F857" s="44"/>
      <c r="G857" s="44"/>
      <c r="I857" s="61">
        <f t="shared" si="20"/>
        <v>0</v>
      </c>
      <c r="J857" s="59">
        <f t="shared" si="21"/>
        <v>0</v>
      </c>
    </row>
    <row r="858" spans="4:10">
      <c r="D858" s="44">
        <f t="shared" si="19"/>
        <v>0</v>
      </c>
      <c r="E858" s="44"/>
      <c r="F858" s="44"/>
      <c r="G858" s="44"/>
      <c r="I858" s="61">
        <f t="shared" si="20"/>
        <v>0</v>
      </c>
      <c r="J858" s="59">
        <f t="shared" si="21"/>
        <v>0</v>
      </c>
    </row>
    <row r="859" spans="4:10">
      <c r="D859" s="44">
        <f t="shared" si="19"/>
        <v>0</v>
      </c>
      <c r="E859" s="44"/>
      <c r="F859" s="44"/>
      <c r="G859" s="44"/>
      <c r="I859" s="61">
        <f t="shared" si="20"/>
        <v>0</v>
      </c>
      <c r="J859" s="59">
        <f t="shared" si="21"/>
        <v>0</v>
      </c>
    </row>
    <row r="860" spans="4:10">
      <c r="D860" s="44">
        <f t="shared" si="19"/>
        <v>0</v>
      </c>
      <c r="E860" s="44"/>
      <c r="F860" s="44"/>
      <c r="G860" s="44"/>
      <c r="I860" s="61">
        <f t="shared" si="20"/>
        <v>0</v>
      </c>
      <c r="J860" s="59">
        <f t="shared" si="21"/>
        <v>0</v>
      </c>
    </row>
    <row r="861" spans="4:10">
      <c r="D861" s="44">
        <f t="shared" si="19"/>
        <v>0</v>
      </c>
      <c r="E861" s="44"/>
      <c r="F861" s="44"/>
      <c r="G861" s="44"/>
      <c r="I861" s="61">
        <f t="shared" si="20"/>
        <v>0</v>
      </c>
      <c r="J861" s="59">
        <f t="shared" si="21"/>
        <v>0</v>
      </c>
    </row>
    <row r="862" spans="4:10">
      <c r="D862" s="44">
        <f t="shared" si="19"/>
        <v>0</v>
      </c>
      <c r="E862" s="44"/>
      <c r="F862" s="44"/>
      <c r="G862" s="44"/>
      <c r="I862" s="61">
        <f t="shared" si="20"/>
        <v>0</v>
      </c>
      <c r="J862" s="59">
        <f t="shared" si="21"/>
        <v>0</v>
      </c>
    </row>
    <row r="863" spans="4:10">
      <c r="D863" s="44">
        <f t="shared" ref="D863:D926" si="22">C863-H863</f>
        <v>0</v>
      </c>
      <c r="E863" s="44"/>
      <c r="F863" s="44"/>
      <c r="G863" s="44"/>
      <c r="I863" s="61">
        <f t="shared" ref="I863:I926" si="23">H863*10%</f>
        <v>0</v>
      </c>
      <c r="J863" s="59">
        <f t="shared" ref="J863:J926" si="24">H863*90%</f>
        <v>0</v>
      </c>
    </row>
    <row r="864" spans="4:10">
      <c r="D864" s="44">
        <f t="shared" si="22"/>
        <v>0</v>
      </c>
      <c r="E864" s="44"/>
      <c r="F864" s="44"/>
      <c r="G864" s="44"/>
      <c r="I864" s="61">
        <f t="shared" si="23"/>
        <v>0</v>
      </c>
      <c r="J864" s="59">
        <f t="shared" si="24"/>
        <v>0</v>
      </c>
    </row>
    <row r="865" spans="4:10">
      <c r="D865" s="44">
        <f t="shared" si="22"/>
        <v>0</v>
      </c>
      <c r="E865" s="44"/>
      <c r="F865" s="44"/>
      <c r="G865" s="44"/>
      <c r="I865" s="61">
        <f t="shared" si="23"/>
        <v>0</v>
      </c>
      <c r="J865" s="59">
        <f t="shared" si="24"/>
        <v>0</v>
      </c>
    </row>
    <row r="866" spans="4:10">
      <c r="D866" s="44">
        <f t="shared" si="22"/>
        <v>0</v>
      </c>
      <c r="E866" s="44"/>
      <c r="F866" s="44"/>
      <c r="G866" s="44"/>
      <c r="I866" s="61">
        <f t="shared" si="23"/>
        <v>0</v>
      </c>
      <c r="J866" s="59">
        <f t="shared" si="24"/>
        <v>0</v>
      </c>
    </row>
    <row r="867" spans="4:10">
      <c r="D867" s="44">
        <f t="shared" si="22"/>
        <v>0</v>
      </c>
      <c r="E867" s="44"/>
      <c r="F867" s="44"/>
      <c r="G867" s="44"/>
      <c r="I867" s="61">
        <f t="shared" si="23"/>
        <v>0</v>
      </c>
      <c r="J867" s="59">
        <f t="shared" si="24"/>
        <v>0</v>
      </c>
    </row>
    <row r="868" spans="4:10">
      <c r="D868" s="44">
        <f t="shared" si="22"/>
        <v>0</v>
      </c>
      <c r="E868" s="44"/>
      <c r="F868" s="44"/>
      <c r="G868" s="44"/>
      <c r="I868" s="61">
        <f t="shared" si="23"/>
        <v>0</v>
      </c>
      <c r="J868" s="59">
        <f t="shared" si="24"/>
        <v>0</v>
      </c>
    </row>
    <row r="869" spans="4:10">
      <c r="D869" s="44">
        <f t="shared" si="22"/>
        <v>0</v>
      </c>
      <c r="E869" s="44"/>
      <c r="F869" s="44"/>
      <c r="G869" s="44"/>
      <c r="I869" s="61">
        <f t="shared" si="23"/>
        <v>0</v>
      </c>
      <c r="J869" s="59">
        <f t="shared" si="24"/>
        <v>0</v>
      </c>
    </row>
    <row r="870" spans="4:10">
      <c r="D870" s="44">
        <f t="shared" si="22"/>
        <v>0</v>
      </c>
      <c r="E870" s="44"/>
      <c r="F870" s="44"/>
      <c r="G870" s="44"/>
      <c r="I870" s="61">
        <f t="shared" si="23"/>
        <v>0</v>
      </c>
      <c r="J870" s="59">
        <f t="shared" si="24"/>
        <v>0</v>
      </c>
    </row>
    <row r="871" spans="4:10">
      <c r="D871" s="44">
        <f t="shared" si="22"/>
        <v>0</v>
      </c>
      <c r="E871" s="44"/>
      <c r="F871" s="44"/>
      <c r="G871" s="44"/>
      <c r="I871" s="61">
        <f t="shared" si="23"/>
        <v>0</v>
      </c>
      <c r="J871" s="59">
        <f t="shared" si="24"/>
        <v>0</v>
      </c>
    </row>
    <row r="872" spans="4:10">
      <c r="D872" s="44">
        <f t="shared" si="22"/>
        <v>0</v>
      </c>
      <c r="E872" s="44"/>
      <c r="F872" s="44"/>
      <c r="G872" s="44"/>
      <c r="I872" s="61">
        <f t="shared" si="23"/>
        <v>0</v>
      </c>
      <c r="J872" s="59">
        <f t="shared" si="24"/>
        <v>0</v>
      </c>
    </row>
    <row r="873" spans="4:10">
      <c r="D873" s="44">
        <f t="shared" si="22"/>
        <v>0</v>
      </c>
      <c r="E873" s="44"/>
      <c r="F873" s="44"/>
      <c r="G873" s="44"/>
      <c r="I873" s="61">
        <f t="shared" si="23"/>
        <v>0</v>
      </c>
      <c r="J873" s="59">
        <f t="shared" si="24"/>
        <v>0</v>
      </c>
    </row>
    <row r="874" spans="4:10">
      <c r="D874" s="44">
        <f t="shared" si="22"/>
        <v>0</v>
      </c>
      <c r="E874" s="44"/>
      <c r="F874" s="44"/>
      <c r="G874" s="44"/>
      <c r="I874" s="61">
        <f t="shared" si="23"/>
        <v>0</v>
      </c>
      <c r="J874" s="59">
        <f t="shared" si="24"/>
        <v>0</v>
      </c>
    </row>
    <row r="875" spans="4:10">
      <c r="D875" s="44">
        <f t="shared" si="22"/>
        <v>0</v>
      </c>
      <c r="E875" s="44"/>
      <c r="F875" s="44"/>
      <c r="G875" s="44"/>
      <c r="I875" s="61">
        <f t="shared" si="23"/>
        <v>0</v>
      </c>
      <c r="J875" s="59">
        <f t="shared" si="24"/>
        <v>0</v>
      </c>
    </row>
    <row r="876" spans="4:10">
      <c r="D876" s="44">
        <f t="shared" si="22"/>
        <v>0</v>
      </c>
      <c r="E876" s="44"/>
      <c r="F876" s="44"/>
      <c r="G876" s="44"/>
      <c r="I876" s="61">
        <f t="shared" si="23"/>
        <v>0</v>
      </c>
      <c r="J876" s="59">
        <f t="shared" si="24"/>
        <v>0</v>
      </c>
    </row>
    <row r="877" spans="4:10">
      <c r="D877" s="44">
        <f t="shared" si="22"/>
        <v>0</v>
      </c>
      <c r="E877" s="44"/>
      <c r="F877" s="44"/>
      <c r="G877" s="44"/>
      <c r="I877" s="61">
        <f t="shared" si="23"/>
        <v>0</v>
      </c>
      <c r="J877" s="59">
        <f t="shared" si="24"/>
        <v>0</v>
      </c>
    </row>
    <row r="878" spans="4:10">
      <c r="D878" s="44">
        <f t="shared" si="22"/>
        <v>0</v>
      </c>
      <c r="E878" s="44"/>
      <c r="F878" s="44"/>
      <c r="G878" s="44"/>
      <c r="I878" s="61">
        <f t="shared" si="23"/>
        <v>0</v>
      </c>
      <c r="J878" s="59">
        <f t="shared" si="24"/>
        <v>0</v>
      </c>
    </row>
    <row r="879" spans="4:10">
      <c r="D879" s="44">
        <f t="shared" si="22"/>
        <v>0</v>
      </c>
      <c r="E879" s="44"/>
      <c r="F879" s="44"/>
      <c r="G879" s="44"/>
      <c r="I879" s="61">
        <f t="shared" si="23"/>
        <v>0</v>
      </c>
      <c r="J879" s="59">
        <f t="shared" si="24"/>
        <v>0</v>
      </c>
    </row>
    <row r="880" spans="4:10">
      <c r="D880" s="44">
        <f t="shared" si="22"/>
        <v>0</v>
      </c>
      <c r="E880" s="44"/>
      <c r="F880" s="44"/>
      <c r="G880" s="44"/>
      <c r="I880" s="61">
        <f t="shared" si="23"/>
        <v>0</v>
      </c>
      <c r="J880" s="59">
        <f t="shared" si="24"/>
        <v>0</v>
      </c>
    </row>
    <row r="881" spans="4:10">
      <c r="D881" s="44">
        <f t="shared" si="22"/>
        <v>0</v>
      </c>
      <c r="E881" s="44"/>
      <c r="F881" s="44"/>
      <c r="G881" s="44"/>
      <c r="I881" s="61">
        <f t="shared" si="23"/>
        <v>0</v>
      </c>
      <c r="J881" s="59">
        <f t="shared" si="24"/>
        <v>0</v>
      </c>
    </row>
    <row r="882" spans="4:10">
      <c r="D882" s="44">
        <f t="shared" si="22"/>
        <v>0</v>
      </c>
      <c r="E882" s="44"/>
      <c r="F882" s="44"/>
      <c r="G882" s="44"/>
      <c r="I882" s="61">
        <f t="shared" si="23"/>
        <v>0</v>
      </c>
      <c r="J882" s="59">
        <f t="shared" si="24"/>
        <v>0</v>
      </c>
    </row>
    <row r="883" spans="4:10">
      <c r="D883" s="44">
        <f t="shared" si="22"/>
        <v>0</v>
      </c>
      <c r="E883" s="44"/>
      <c r="F883" s="44"/>
      <c r="G883" s="44"/>
      <c r="I883" s="61">
        <f t="shared" si="23"/>
        <v>0</v>
      </c>
      <c r="J883" s="59">
        <f t="shared" si="24"/>
        <v>0</v>
      </c>
    </row>
    <row r="884" spans="4:10">
      <c r="D884" s="44">
        <f t="shared" si="22"/>
        <v>0</v>
      </c>
      <c r="E884" s="44"/>
      <c r="F884" s="44"/>
      <c r="G884" s="44"/>
      <c r="I884" s="61">
        <f t="shared" si="23"/>
        <v>0</v>
      </c>
      <c r="J884" s="59">
        <f t="shared" si="24"/>
        <v>0</v>
      </c>
    </row>
    <row r="885" spans="4:10">
      <c r="D885" s="44">
        <f t="shared" si="22"/>
        <v>0</v>
      </c>
      <c r="E885" s="44"/>
      <c r="F885" s="44"/>
      <c r="G885" s="44"/>
      <c r="I885" s="61">
        <f t="shared" si="23"/>
        <v>0</v>
      </c>
      <c r="J885" s="59">
        <f t="shared" si="24"/>
        <v>0</v>
      </c>
    </row>
    <row r="886" spans="4:10">
      <c r="D886" s="44">
        <f t="shared" si="22"/>
        <v>0</v>
      </c>
      <c r="E886" s="44"/>
      <c r="F886" s="44"/>
      <c r="G886" s="44"/>
      <c r="I886" s="61">
        <f t="shared" si="23"/>
        <v>0</v>
      </c>
      <c r="J886" s="59">
        <f t="shared" si="24"/>
        <v>0</v>
      </c>
    </row>
    <row r="887" spans="4:10">
      <c r="D887" s="44">
        <f t="shared" si="22"/>
        <v>0</v>
      </c>
      <c r="E887" s="44"/>
      <c r="F887" s="44"/>
      <c r="G887" s="44"/>
      <c r="I887" s="61">
        <f t="shared" si="23"/>
        <v>0</v>
      </c>
      <c r="J887" s="59">
        <f t="shared" si="24"/>
        <v>0</v>
      </c>
    </row>
    <row r="888" spans="4:10">
      <c r="D888" s="44">
        <f t="shared" si="22"/>
        <v>0</v>
      </c>
      <c r="E888" s="44"/>
      <c r="F888" s="44"/>
      <c r="G888" s="44"/>
      <c r="I888" s="61">
        <f t="shared" si="23"/>
        <v>0</v>
      </c>
      <c r="J888" s="59">
        <f t="shared" si="24"/>
        <v>0</v>
      </c>
    </row>
    <row r="889" spans="4:10">
      <c r="D889" s="44">
        <f t="shared" si="22"/>
        <v>0</v>
      </c>
      <c r="E889" s="44"/>
      <c r="F889" s="44"/>
      <c r="G889" s="44"/>
      <c r="I889" s="61">
        <f t="shared" si="23"/>
        <v>0</v>
      </c>
      <c r="J889" s="59">
        <f t="shared" si="24"/>
        <v>0</v>
      </c>
    </row>
    <row r="890" spans="4:10">
      <c r="D890" s="44">
        <f t="shared" si="22"/>
        <v>0</v>
      </c>
      <c r="E890" s="44"/>
      <c r="F890" s="44"/>
      <c r="G890" s="44"/>
      <c r="I890" s="61">
        <f t="shared" si="23"/>
        <v>0</v>
      </c>
      <c r="J890" s="59">
        <f t="shared" si="24"/>
        <v>0</v>
      </c>
    </row>
    <row r="891" spans="4:10">
      <c r="D891" s="44">
        <f t="shared" si="22"/>
        <v>0</v>
      </c>
      <c r="E891" s="44"/>
      <c r="F891" s="44"/>
      <c r="G891" s="44"/>
      <c r="I891" s="61">
        <f t="shared" si="23"/>
        <v>0</v>
      </c>
      <c r="J891" s="59">
        <f t="shared" si="24"/>
        <v>0</v>
      </c>
    </row>
    <row r="892" spans="4:10">
      <c r="D892" s="44">
        <f t="shared" si="22"/>
        <v>0</v>
      </c>
      <c r="E892" s="44"/>
      <c r="F892" s="44"/>
      <c r="G892" s="44"/>
      <c r="I892" s="61">
        <f t="shared" si="23"/>
        <v>0</v>
      </c>
      <c r="J892" s="59">
        <f t="shared" si="24"/>
        <v>0</v>
      </c>
    </row>
    <row r="893" spans="4:10">
      <c r="D893" s="44">
        <f t="shared" si="22"/>
        <v>0</v>
      </c>
      <c r="E893" s="44"/>
      <c r="F893" s="44"/>
      <c r="G893" s="44"/>
      <c r="I893" s="61">
        <f t="shared" si="23"/>
        <v>0</v>
      </c>
      <c r="J893" s="59">
        <f t="shared" si="24"/>
        <v>0</v>
      </c>
    </row>
    <row r="894" spans="4:10">
      <c r="D894" s="44">
        <f t="shared" si="22"/>
        <v>0</v>
      </c>
      <c r="E894" s="44"/>
      <c r="F894" s="44"/>
      <c r="G894" s="44"/>
      <c r="I894" s="61">
        <f t="shared" si="23"/>
        <v>0</v>
      </c>
      <c r="J894" s="59">
        <f t="shared" si="24"/>
        <v>0</v>
      </c>
    </row>
    <row r="895" spans="4:10">
      <c r="D895" s="44">
        <f t="shared" si="22"/>
        <v>0</v>
      </c>
      <c r="E895" s="44"/>
      <c r="F895" s="44"/>
      <c r="G895" s="44"/>
      <c r="I895" s="61">
        <f t="shared" si="23"/>
        <v>0</v>
      </c>
      <c r="J895" s="59">
        <f t="shared" si="24"/>
        <v>0</v>
      </c>
    </row>
    <row r="896" spans="4:10">
      <c r="D896" s="44">
        <f t="shared" si="22"/>
        <v>0</v>
      </c>
      <c r="E896" s="44"/>
      <c r="F896" s="44"/>
      <c r="G896" s="44"/>
      <c r="I896" s="61">
        <f t="shared" si="23"/>
        <v>0</v>
      </c>
      <c r="J896" s="59">
        <f t="shared" si="24"/>
        <v>0</v>
      </c>
    </row>
    <row r="897" spans="4:10">
      <c r="D897" s="44">
        <f t="shared" si="22"/>
        <v>0</v>
      </c>
      <c r="E897" s="44"/>
      <c r="F897" s="44"/>
      <c r="G897" s="44"/>
      <c r="I897" s="61">
        <f t="shared" si="23"/>
        <v>0</v>
      </c>
      <c r="J897" s="59">
        <f t="shared" si="24"/>
        <v>0</v>
      </c>
    </row>
    <row r="898" spans="4:10">
      <c r="D898" s="44">
        <f t="shared" si="22"/>
        <v>0</v>
      </c>
      <c r="E898" s="44"/>
      <c r="F898" s="44"/>
      <c r="G898" s="44"/>
      <c r="I898" s="61">
        <f t="shared" si="23"/>
        <v>0</v>
      </c>
      <c r="J898" s="59">
        <f t="shared" si="24"/>
        <v>0</v>
      </c>
    </row>
    <row r="899" spans="4:10">
      <c r="D899" s="44">
        <f t="shared" si="22"/>
        <v>0</v>
      </c>
      <c r="E899" s="44"/>
      <c r="F899" s="44"/>
      <c r="G899" s="44"/>
      <c r="I899" s="61">
        <f t="shared" si="23"/>
        <v>0</v>
      </c>
      <c r="J899" s="59">
        <f t="shared" si="24"/>
        <v>0</v>
      </c>
    </row>
    <row r="900" spans="4:10">
      <c r="D900" s="44">
        <f t="shared" si="22"/>
        <v>0</v>
      </c>
      <c r="E900" s="44"/>
      <c r="F900" s="44"/>
      <c r="G900" s="44"/>
      <c r="I900" s="61">
        <f t="shared" si="23"/>
        <v>0</v>
      </c>
      <c r="J900" s="59">
        <f t="shared" si="24"/>
        <v>0</v>
      </c>
    </row>
    <row r="901" spans="4:10">
      <c r="D901" s="44">
        <f t="shared" si="22"/>
        <v>0</v>
      </c>
      <c r="E901" s="44"/>
      <c r="F901" s="44"/>
      <c r="G901" s="44"/>
      <c r="I901" s="61">
        <f t="shared" si="23"/>
        <v>0</v>
      </c>
      <c r="J901" s="59">
        <f t="shared" si="24"/>
        <v>0</v>
      </c>
    </row>
    <row r="902" spans="4:10">
      <c r="D902" s="44">
        <f t="shared" si="22"/>
        <v>0</v>
      </c>
      <c r="E902" s="44"/>
      <c r="F902" s="44"/>
      <c r="G902" s="44"/>
      <c r="I902" s="61">
        <f t="shared" si="23"/>
        <v>0</v>
      </c>
      <c r="J902" s="59">
        <f t="shared" si="24"/>
        <v>0</v>
      </c>
    </row>
    <row r="903" spans="4:10">
      <c r="D903" s="44">
        <f t="shared" si="22"/>
        <v>0</v>
      </c>
      <c r="E903" s="44"/>
      <c r="F903" s="44"/>
      <c r="G903" s="44"/>
      <c r="I903" s="61">
        <f t="shared" si="23"/>
        <v>0</v>
      </c>
      <c r="J903" s="59">
        <f t="shared" si="24"/>
        <v>0</v>
      </c>
    </row>
    <row r="904" spans="4:10">
      <c r="D904" s="44">
        <f t="shared" si="22"/>
        <v>0</v>
      </c>
      <c r="E904" s="44"/>
      <c r="F904" s="44"/>
      <c r="G904" s="44"/>
      <c r="I904" s="61">
        <f t="shared" si="23"/>
        <v>0</v>
      </c>
      <c r="J904" s="59">
        <f t="shared" si="24"/>
        <v>0</v>
      </c>
    </row>
    <row r="905" spans="4:10">
      <c r="D905" s="44">
        <f t="shared" si="22"/>
        <v>0</v>
      </c>
      <c r="E905" s="44"/>
      <c r="F905" s="44"/>
      <c r="G905" s="44"/>
      <c r="I905" s="61">
        <f t="shared" si="23"/>
        <v>0</v>
      </c>
      <c r="J905" s="59">
        <f t="shared" si="24"/>
        <v>0</v>
      </c>
    </row>
    <row r="906" spans="4:10">
      <c r="D906" s="44">
        <f t="shared" si="22"/>
        <v>0</v>
      </c>
      <c r="E906" s="44"/>
      <c r="F906" s="44"/>
      <c r="G906" s="44"/>
      <c r="I906" s="61">
        <f t="shared" si="23"/>
        <v>0</v>
      </c>
      <c r="J906" s="59">
        <f t="shared" si="24"/>
        <v>0</v>
      </c>
    </row>
    <row r="907" spans="4:10">
      <c r="D907" s="44">
        <f t="shared" si="22"/>
        <v>0</v>
      </c>
      <c r="E907" s="44"/>
      <c r="F907" s="44"/>
      <c r="G907" s="44"/>
      <c r="I907" s="61">
        <f t="shared" si="23"/>
        <v>0</v>
      </c>
      <c r="J907" s="59">
        <f t="shared" si="24"/>
        <v>0</v>
      </c>
    </row>
    <row r="908" spans="4:10">
      <c r="D908" s="44">
        <f t="shared" si="22"/>
        <v>0</v>
      </c>
      <c r="E908" s="44"/>
      <c r="F908" s="44"/>
      <c r="G908" s="44"/>
      <c r="I908" s="61">
        <f t="shared" si="23"/>
        <v>0</v>
      </c>
      <c r="J908" s="59">
        <f t="shared" si="24"/>
        <v>0</v>
      </c>
    </row>
    <row r="909" spans="4:10">
      <c r="D909" s="44">
        <f t="shared" si="22"/>
        <v>0</v>
      </c>
      <c r="E909" s="44"/>
      <c r="F909" s="44"/>
      <c r="G909" s="44"/>
      <c r="I909" s="61">
        <f t="shared" si="23"/>
        <v>0</v>
      </c>
      <c r="J909" s="59">
        <f t="shared" si="24"/>
        <v>0</v>
      </c>
    </row>
    <row r="910" spans="4:10">
      <c r="D910" s="44">
        <f t="shared" si="22"/>
        <v>0</v>
      </c>
      <c r="E910" s="44"/>
      <c r="F910" s="44"/>
      <c r="G910" s="44"/>
      <c r="I910" s="61">
        <f t="shared" si="23"/>
        <v>0</v>
      </c>
      <c r="J910" s="59">
        <f t="shared" si="24"/>
        <v>0</v>
      </c>
    </row>
    <row r="911" spans="4:10">
      <c r="D911" s="44">
        <f t="shared" si="22"/>
        <v>0</v>
      </c>
      <c r="E911" s="44"/>
      <c r="F911" s="44"/>
      <c r="G911" s="44"/>
      <c r="I911" s="61">
        <f t="shared" si="23"/>
        <v>0</v>
      </c>
      <c r="J911" s="59">
        <f t="shared" si="24"/>
        <v>0</v>
      </c>
    </row>
    <row r="912" spans="4:10">
      <c r="D912" s="44">
        <f t="shared" si="22"/>
        <v>0</v>
      </c>
      <c r="E912" s="44"/>
      <c r="F912" s="44"/>
      <c r="G912" s="44"/>
      <c r="I912" s="61">
        <f t="shared" si="23"/>
        <v>0</v>
      </c>
      <c r="J912" s="59">
        <f t="shared" si="24"/>
        <v>0</v>
      </c>
    </row>
    <row r="913" spans="4:10">
      <c r="D913" s="44">
        <f t="shared" si="22"/>
        <v>0</v>
      </c>
      <c r="E913" s="44"/>
      <c r="F913" s="44"/>
      <c r="G913" s="44"/>
      <c r="I913" s="61">
        <f t="shared" si="23"/>
        <v>0</v>
      </c>
      <c r="J913" s="59">
        <f t="shared" si="24"/>
        <v>0</v>
      </c>
    </row>
    <row r="914" spans="4:10">
      <c r="D914" s="44">
        <f t="shared" si="22"/>
        <v>0</v>
      </c>
      <c r="E914" s="44"/>
      <c r="F914" s="44"/>
      <c r="G914" s="44"/>
      <c r="I914" s="61">
        <f t="shared" si="23"/>
        <v>0</v>
      </c>
      <c r="J914" s="59">
        <f t="shared" si="24"/>
        <v>0</v>
      </c>
    </row>
    <row r="915" spans="4:10">
      <c r="D915" s="44">
        <f t="shared" si="22"/>
        <v>0</v>
      </c>
      <c r="E915" s="44"/>
      <c r="F915" s="44"/>
      <c r="G915" s="44"/>
      <c r="I915" s="61">
        <f t="shared" si="23"/>
        <v>0</v>
      </c>
      <c r="J915" s="59">
        <f t="shared" si="24"/>
        <v>0</v>
      </c>
    </row>
    <row r="916" spans="4:10">
      <c r="D916" s="44">
        <f t="shared" si="22"/>
        <v>0</v>
      </c>
      <c r="E916" s="44"/>
      <c r="F916" s="44"/>
      <c r="G916" s="44"/>
      <c r="I916" s="61">
        <f t="shared" si="23"/>
        <v>0</v>
      </c>
      <c r="J916" s="59">
        <f t="shared" si="24"/>
        <v>0</v>
      </c>
    </row>
    <row r="917" spans="4:10">
      <c r="D917" s="44">
        <f t="shared" si="22"/>
        <v>0</v>
      </c>
      <c r="E917" s="44"/>
      <c r="F917" s="44"/>
      <c r="G917" s="44"/>
      <c r="I917" s="61">
        <f t="shared" si="23"/>
        <v>0</v>
      </c>
      <c r="J917" s="59">
        <f t="shared" si="24"/>
        <v>0</v>
      </c>
    </row>
    <row r="918" spans="4:10">
      <c r="D918" s="44">
        <f t="shared" si="22"/>
        <v>0</v>
      </c>
      <c r="E918" s="44"/>
      <c r="F918" s="44"/>
      <c r="G918" s="44"/>
      <c r="I918" s="61">
        <f t="shared" si="23"/>
        <v>0</v>
      </c>
      <c r="J918" s="59">
        <f t="shared" si="24"/>
        <v>0</v>
      </c>
    </row>
    <row r="919" spans="4:10">
      <c r="D919" s="44">
        <f t="shared" si="22"/>
        <v>0</v>
      </c>
      <c r="E919" s="44"/>
      <c r="F919" s="44"/>
      <c r="G919" s="44"/>
      <c r="I919" s="61">
        <f t="shared" si="23"/>
        <v>0</v>
      </c>
      <c r="J919" s="59">
        <f t="shared" si="24"/>
        <v>0</v>
      </c>
    </row>
    <row r="920" spans="4:10">
      <c r="D920" s="44">
        <f t="shared" si="22"/>
        <v>0</v>
      </c>
      <c r="E920" s="44"/>
      <c r="F920" s="44"/>
      <c r="G920" s="44"/>
      <c r="I920" s="61">
        <f t="shared" si="23"/>
        <v>0</v>
      </c>
      <c r="J920" s="59">
        <f t="shared" si="24"/>
        <v>0</v>
      </c>
    </row>
    <row r="921" spans="4:10">
      <c r="D921" s="44">
        <f t="shared" si="22"/>
        <v>0</v>
      </c>
      <c r="E921" s="44"/>
      <c r="F921" s="44"/>
      <c r="G921" s="44"/>
      <c r="I921" s="61">
        <f t="shared" si="23"/>
        <v>0</v>
      </c>
      <c r="J921" s="59">
        <f t="shared" si="24"/>
        <v>0</v>
      </c>
    </row>
    <row r="922" spans="4:10">
      <c r="D922" s="44">
        <f t="shared" si="22"/>
        <v>0</v>
      </c>
      <c r="E922" s="44"/>
      <c r="F922" s="44"/>
      <c r="G922" s="44"/>
      <c r="I922" s="61">
        <f t="shared" si="23"/>
        <v>0</v>
      </c>
      <c r="J922" s="59">
        <f t="shared" si="24"/>
        <v>0</v>
      </c>
    </row>
    <row r="923" spans="4:10">
      <c r="D923" s="44">
        <f t="shared" si="22"/>
        <v>0</v>
      </c>
      <c r="E923" s="44"/>
      <c r="F923" s="44"/>
      <c r="G923" s="44"/>
      <c r="I923" s="61">
        <f t="shared" si="23"/>
        <v>0</v>
      </c>
      <c r="J923" s="59">
        <f t="shared" si="24"/>
        <v>0</v>
      </c>
    </row>
    <row r="924" spans="4:10">
      <c r="D924" s="44">
        <f t="shared" si="22"/>
        <v>0</v>
      </c>
      <c r="E924" s="44"/>
      <c r="F924" s="44"/>
      <c r="G924" s="44"/>
      <c r="I924" s="61">
        <f t="shared" si="23"/>
        <v>0</v>
      </c>
      <c r="J924" s="59">
        <f t="shared" si="24"/>
        <v>0</v>
      </c>
    </row>
    <row r="925" spans="4:10">
      <c r="D925" s="44">
        <f t="shared" si="22"/>
        <v>0</v>
      </c>
      <c r="E925" s="44"/>
      <c r="F925" s="44"/>
      <c r="G925" s="44"/>
      <c r="I925" s="61">
        <f t="shared" si="23"/>
        <v>0</v>
      </c>
      <c r="J925" s="59">
        <f t="shared" si="24"/>
        <v>0</v>
      </c>
    </row>
    <row r="926" spans="4:10">
      <c r="D926" s="44">
        <f t="shared" si="22"/>
        <v>0</v>
      </c>
      <c r="E926" s="44"/>
      <c r="F926" s="44"/>
      <c r="G926" s="44"/>
      <c r="I926" s="61">
        <f t="shared" si="23"/>
        <v>0</v>
      </c>
      <c r="J926" s="59">
        <f t="shared" si="24"/>
        <v>0</v>
      </c>
    </row>
    <row r="927" spans="4:10">
      <c r="D927" s="44">
        <f t="shared" ref="D927:D961" si="25">C927-H927</f>
        <v>0</v>
      </c>
      <c r="E927" s="44"/>
      <c r="F927" s="44"/>
      <c r="G927" s="44"/>
      <c r="I927" s="61">
        <f t="shared" ref="I927:I962" si="26">H927*10%</f>
        <v>0</v>
      </c>
      <c r="J927" s="59">
        <f t="shared" ref="J927:J962" si="27">H927*90%</f>
        <v>0</v>
      </c>
    </row>
    <row r="928" spans="4:10">
      <c r="D928" s="44">
        <f t="shared" si="25"/>
        <v>0</v>
      </c>
      <c r="E928" s="44"/>
      <c r="F928" s="44"/>
      <c r="G928" s="44"/>
      <c r="I928" s="61">
        <f t="shared" si="26"/>
        <v>0</v>
      </c>
      <c r="J928" s="59">
        <f t="shared" si="27"/>
        <v>0</v>
      </c>
    </row>
    <row r="929" spans="4:10">
      <c r="D929" s="44">
        <f t="shared" si="25"/>
        <v>0</v>
      </c>
      <c r="E929" s="44"/>
      <c r="F929" s="44"/>
      <c r="G929" s="44"/>
      <c r="I929" s="61">
        <f t="shared" si="26"/>
        <v>0</v>
      </c>
      <c r="J929" s="59">
        <f t="shared" si="27"/>
        <v>0</v>
      </c>
    </row>
    <row r="930" spans="4:10">
      <c r="D930" s="44">
        <f t="shared" si="25"/>
        <v>0</v>
      </c>
      <c r="E930" s="44"/>
      <c r="F930" s="44"/>
      <c r="G930" s="44"/>
      <c r="I930" s="61">
        <f t="shared" si="26"/>
        <v>0</v>
      </c>
      <c r="J930" s="59">
        <f t="shared" si="27"/>
        <v>0</v>
      </c>
    </row>
    <row r="931" spans="4:10">
      <c r="D931" s="44">
        <f t="shared" si="25"/>
        <v>0</v>
      </c>
      <c r="E931" s="44"/>
      <c r="F931" s="44"/>
      <c r="G931" s="44"/>
      <c r="I931" s="61">
        <f t="shared" si="26"/>
        <v>0</v>
      </c>
      <c r="J931" s="59">
        <f t="shared" si="27"/>
        <v>0</v>
      </c>
    </row>
    <row r="932" spans="4:10">
      <c r="D932" s="44">
        <f t="shared" si="25"/>
        <v>0</v>
      </c>
      <c r="E932" s="44"/>
      <c r="F932" s="44"/>
      <c r="G932" s="44"/>
      <c r="I932" s="61">
        <f t="shared" si="26"/>
        <v>0</v>
      </c>
      <c r="J932" s="59">
        <f t="shared" si="27"/>
        <v>0</v>
      </c>
    </row>
    <row r="933" spans="4:10">
      <c r="D933" s="44">
        <f t="shared" si="25"/>
        <v>0</v>
      </c>
      <c r="E933" s="44"/>
      <c r="F933" s="44"/>
      <c r="G933" s="44"/>
      <c r="I933" s="61">
        <f t="shared" si="26"/>
        <v>0</v>
      </c>
      <c r="J933" s="59">
        <f t="shared" si="27"/>
        <v>0</v>
      </c>
    </row>
    <row r="934" spans="4:10">
      <c r="D934" s="44">
        <f t="shared" si="25"/>
        <v>0</v>
      </c>
      <c r="E934" s="44"/>
      <c r="F934" s="44"/>
      <c r="G934" s="44"/>
      <c r="I934" s="61">
        <f t="shared" si="26"/>
        <v>0</v>
      </c>
      <c r="J934" s="59">
        <f t="shared" si="27"/>
        <v>0</v>
      </c>
    </row>
    <row r="935" spans="4:10">
      <c r="D935" s="44">
        <f t="shared" si="25"/>
        <v>0</v>
      </c>
      <c r="E935" s="44"/>
      <c r="F935" s="44"/>
      <c r="G935" s="44"/>
      <c r="I935" s="61">
        <f t="shared" si="26"/>
        <v>0</v>
      </c>
      <c r="J935" s="59">
        <f t="shared" si="27"/>
        <v>0</v>
      </c>
    </row>
    <row r="936" spans="4:10">
      <c r="D936" s="44">
        <f t="shared" si="25"/>
        <v>0</v>
      </c>
      <c r="E936" s="44"/>
      <c r="F936" s="44"/>
      <c r="G936" s="44"/>
      <c r="I936" s="61">
        <f t="shared" si="26"/>
        <v>0</v>
      </c>
      <c r="J936" s="59">
        <f t="shared" si="27"/>
        <v>0</v>
      </c>
    </row>
    <row r="937" spans="4:10">
      <c r="D937" s="44">
        <f t="shared" si="25"/>
        <v>0</v>
      </c>
      <c r="E937" s="44"/>
      <c r="F937" s="44"/>
      <c r="G937" s="44"/>
      <c r="I937" s="61">
        <f t="shared" si="26"/>
        <v>0</v>
      </c>
      <c r="J937" s="59">
        <f t="shared" si="27"/>
        <v>0</v>
      </c>
    </row>
    <row r="938" spans="4:10">
      <c r="D938" s="44">
        <f t="shared" si="25"/>
        <v>0</v>
      </c>
      <c r="E938" s="44"/>
      <c r="F938" s="44"/>
      <c r="G938" s="44"/>
      <c r="I938" s="61">
        <f t="shared" si="26"/>
        <v>0</v>
      </c>
      <c r="J938" s="59">
        <f t="shared" si="27"/>
        <v>0</v>
      </c>
    </row>
    <row r="939" spans="4:10">
      <c r="D939" s="44">
        <f t="shared" si="25"/>
        <v>0</v>
      </c>
      <c r="E939" s="44"/>
      <c r="F939" s="44"/>
      <c r="G939" s="44"/>
      <c r="I939" s="61">
        <f t="shared" si="26"/>
        <v>0</v>
      </c>
      <c r="J939" s="59">
        <f t="shared" si="27"/>
        <v>0</v>
      </c>
    </row>
    <row r="940" spans="4:10">
      <c r="D940" s="44">
        <f t="shared" si="25"/>
        <v>0</v>
      </c>
      <c r="E940" s="44"/>
      <c r="F940" s="44"/>
      <c r="G940" s="44"/>
      <c r="I940" s="61">
        <f t="shared" si="26"/>
        <v>0</v>
      </c>
      <c r="J940" s="59">
        <f t="shared" si="27"/>
        <v>0</v>
      </c>
    </row>
    <row r="941" spans="4:10">
      <c r="D941" s="44">
        <f t="shared" si="25"/>
        <v>0</v>
      </c>
      <c r="E941" s="44"/>
      <c r="F941" s="44"/>
      <c r="G941" s="44"/>
      <c r="I941" s="61">
        <f t="shared" si="26"/>
        <v>0</v>
      </c>
      <c r="J941" s="59">
        <f t="shared" si="27"/>
        <v>0</v>
      </c>
    </row>
    <row r="942" spans="4:10">
      <c r="D942" s="44">
        <f t="shared" si="25"/>
        <v>0</v>
      </c>
      <c r="E942" s="44"/>
      <c r="F942" s="44"/>
      <c r="G942" s="44"/>
      <c r="I942" s="61">
        <f t="shared" si="26"/>
        <v>0</v>
      </c>
      <c r="J942" s="59">
        <f t="shared" si="27"/>
        <v>0</v>
      </c>
    </row>
    <row r="943" spans="4:10">
      <c r="D943" s="44">
        <f t="shared" si="25"/>
        <v>0</v>
      </c>
      <c r="E943" s="44"/>
      <c r="F943" s="44"/>
      <c r="G943" s="44"/>
      <c r="I943" s="61">
        <f t="shared" si="26"/>
        <v>0</v>
      </c>
      <c r="J943" s="59">
        <f t="shared" si="27"/>
        <v>0</v>
      </c>
    </row>
    <row r="944" spans="4:10">
      <c r="D944" s="44">
        <f t="shared" si="25"/>
        <v>0</v>
      </c>
      <c r="E944" s="44"/>
      <c r="F944" s="44"/>
      <c r="G944" s="44"/>
      <c r="I944" s="61">
        <f t="shared" si="26"/>
        <v>0</v>
      </c>
      <c r="J944" s="59">
        <f t="shared" si="27"/>
        <v>0</v>
      </c>
    </row>
    <row r="945" spans="4:10">
      <c r="D945" s="44">
        <f t="shared" si="25"/>
        <v>0</v>
      </c>
      <c r="E945" s="44"/>
      <c r="F945" s="44"/>
      <c r="G945" s="44"/>
      <c r="I945" s="61">
        <f t="shared" si="26"/>
        <v>0</v>
      </c>
      <c r="J945" s="59">
        <f t="shared" si="27"/>
        <v>0</v>
      </c>
    </row>
    <row r="946" spans="4:10">
      <c r="D946" s="44">
        <f t="shared" si="25"/>
        <v>0</v>
      </c>
      <c r="E946" s="44"/>
      <c r="F946" s="44"/>
      <c r="G946" s="44"/>
      <c r="I946" s="61">
        <f t="shared" si="26"/>
        <v>0</v>
      </c>
      <c r="J946" s="59">
        <f t="shared" si="27"/>
        <v>0</v>
      </c>
    </row>
    <row r="947" spans="4:10">
      <c r="D947" s="44">
        <f t="shared" si="25"/>
        <v>0</v>
      </c>
      <c r="E947" s="44"/>
      <c r="F947" s="44"/>
      <c r="G947" s="44"/>
      <c r="I947" s="61">
        <f t="shared" si="26"/>
        <v>0</v>
      </c>
      <c r="J947" s="59">
        <f t="shared" si="27"/>
        <v>0</v>
      </c>
    </row>
    <row r="948" spans="4:10">
      <c r="D948" s="44">
        <f t="shared" si="25"/>
        <v>0</v>
      </c>
      <c r="E948" s="44"/>
      <c r="F948" s="44"/>
      <c r="G948" s="44"/>
      <c r="I948" s="61">
        <f t="shared" si="26"/>
        <v>0</v>
      </c>
      <c r="J948" s="59">
        <f t="shared" si="27"/>
        <v>0</v>
      </c>
    </row>
    <row r="949" spans="4:10">
      <c r="D949" s="44">
        <f t="shared" si="25"/>
        <v>0</v>
      </c>
      <c r="E949" s="44"/>
      <c r="F949" s="44"/>
      <c r="G949" s="44"/>
      <c r="I949" s="61">
        <f t="shared" si="26"/>
        <v>0</v>
      </c>
      <c r="J949" s="59">
        <f t="shared" si="27"/>
        <v>0</v>
      </c>
    </row>
    <row r="950" spans="4:10">
      <c r="D950" s="44">
        <f t="shared" si="25"/>
        <v>0</v>
      </c>
      <c r="E950" s="44"/>
      <c r="F950" s="44"/>
      <c r="G950" s="44"/>
      <c r="I950" s="61">
        <f t="shared" si="26"/>
        <v>0</v>
      </c>
      <c r="J950" s="59">
        <f t="shared" si="27"/>
        <v>0</v>
      </c>
    </row>
    <row r="951" spans="4:10">
      <c r="D951" s="44">
        <f t="shared" si="25"/>
        <v>0</v>
      </c>
      <c r="E951" s="44"/>
      <c r="F951" s="44"/>
      <c r="G951" s="44"/>
      <c r="I951" s="61">
        <f t="shared" si="26"/>
        <v>0</v>
      </c>
      <c r="J951" s="59">
        <f t="shared" si="27"/>
        <v>0</v>
      </c>
    </row>
    <row r="952" spans="4:10">
      <c r="D952" s="44">
        <f t="shared" si="25"/>
        <v>0</v>
      </c>
      <c r="E952" s="44"/>
      <c r="F952" s="44"/>
      <c r="G952" s="44"/>
      <c r="I952" s="61">
        <f t="shared" si="26"/>
        <v>0</v>
      </c>
      <c r="J952" s="59">
        <f t="shared" si="27"/>
        <v>0</v>
      </c>
    </row>
    <row r="953" spans="4:10">
      <c r="D953" s="44">
        <f t="shared" si="25"/>
        <v>0</v>
      </c>
      <c r="E953" s="44"/>
      <c r="F953" s="44"/>
      <c r="G953" s="44"/>
      <c r="I953" s="61">
        <f t="shared" si="26"/>
        <v>0</v>
      </c>
      <c r="J953" s="59">
        <f t="shared" si="27"/>
        <v>0</v>
      </c>
    </row>
    <row r="954" spans="4:10">
      <c r="D954" s="44">
        <f t="shared" si="25"/>
        <v>0</v>
      </c>
      <c r="E954" s="44"/>
      <c r="F954" s="44"/>
      <c r="G954" s="44"/>
      <c r="I954" s="61">
        <f t="shared" si="26"/>
        <v>0</v>
      </c>
      <c r="J954" s="59">
        <f t="shared" si="27"/>
        <v>0</v>
      </c>
    </row>
    <row r="955" spans="4:10">
      <c r="D955" s="44">
        <f t="shared" si="25"/>
        <v>0</v>
      </c>
      <c r="E955" s="44"/>
      <c r="F955" s="44"/>
      <c r="G955" s="44"/>
      <c r="I955" s="61">
        <f t="shared" si="26"/>
        <v>0</v>
      </c>
      <c r="J955" s="59">
        <f t="shared" si="27"/>
        <v>0</v>
      </c>
    </row>
    <row r="956" spans="4:10">
      <c r="D956" s="44">
        <f t="shared" si="25"/>
        <v>0</v>
      </c>
      <c r="E956" s="44"/>
      <c r="F956" s="44"/>
      <c r="G956" s="44"/>
      <c r="I956" s="61">
        <f t="shared" si="26"/>
        <v>0</v>
      </c>
      <c r="J956" s="59">
        <f t="shared" si="27"/>
        <v>0</v>
      </c>
    </row>
    <row r="957" spans="4:10">
      <c r="D957" s="44">
        <f t="shared" si="25"/>
        <v>0</v>
      </c>
      <c r="E957" s="44"/>
      <c r="F957" s="44"/>
      <c r="G957" s="44"/>
      <c r="I957" s="61">
        <f t="shared" si="26"/>
        <v>0</v>
      </c>
      <c r="J957" s="59">
        <f t="shared" si="27"/>
        <v>0</v>
      </c>
    </row>
    <row r="958" spans="4:10">
      <c r="D958" s="44">
        <f t="shared" si="25"/>
        <v>0</v>
      </c>
      <c r="E958" s="44"/>
      <c r="F958" s="44"/>
      <c r="G958" s="44"/>
      <c r="I958" s="61">
        <f t="shared" si="26"/>
        <v>0</v>
      </c>
      <c r="J958" s="59">
        <f t="shared" si="27"/>
        <v>0</v>
      </c>
    </row>
    <row r="959" spans="4:10">
      <c r="D959" s="44">
        <f t="shared" si="25"/>
        <v>0</v>
      </c>
      <c r="E959" s="44"/>
      <c r="F959" s="44"/>
      <c r="G959" s="44"/>
      <c r="I959" s="61">
        <f t="shared" si="26"/>
        <v>0</v>
      </c>
      <c r="J959" s="59">
        <f t="shared" si="27"/>
        <v>0</v>
      </c>
    </row>
    <row r="960" spans="4:10">
      <c r="D960" s="44">
        <f t="shared" si="25"/>
        <v>0</v>
      </c>
      <c r="E960" s="44"/>
      <c r="F960" s="44"/>
      <c r="G960" s="44"/>
      <c r="I960" s="61">
        <f t="shared" si="26"/>
        <v>0</v>
      </c>
      <c r="J960" s="59">
        <f t="shared" si="27"/>
        <v>0</v>
      </c>
    </row>
    <row r="961" spans="4:10">
      <c r="D961" s="44">
        <f t="shared" si="25"/>
        <v>0</v>
      </c>
      <c r="E961" s="44"/>
      <c r="F961" s="44"/>
      <c r="G961" s="44"/>
      <c r="I961" s="61">
        <f t="shared" si="26"/>
        <v>0</v>
      </c>
      <c r="J961" s="59">
        <f t="shared" si="27"/>
        <v>0</v>
      </c>
    </row>
    <row r="962" spans="4:10">
      <c r="D962" s="44"/>
      <c r="E962" s="44"/>
      <c r="F962" s="44"/>
      <c r="G962" s="44"/>
      <c r="I962" s="61">
        <f t="shared" si="26"/>
        <v>0</v>
      </c>
      <c r="J962" s="59">
        <f t="shared" si="27"/>
        <v>0</v>
      </c>
    </row>
  </sheetData>
  <mergeCells count="6">
    <mergeCell ref="K4:K5"/>
    <mergeCell ref="D4:G4"/>
    <mergeCell ref="B4:B5"/>
    <mergeCell ref="H4:H5"/>
    <mergeCell ref="I4:I5"/>
    <mergeCell ref="J4:J5"/>
  </mergeCells>
  <phoneticPr fontId="37" type="noConversion"/>
  <pageMargins left="0.25" right="0.25" top="0.75" bottom="0.75" header="0.3" footer="0.3"/>
  <pageSetup paperSize="9" scale="77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tabColor theme="0"/>
    <pageSetUpPr fitToPage="1"/>
  </sheetPr>
  <dimension ref="A2:M960"/>
  <sheetViews>
    <sheetView topLeftCell="A15" zoomScaleNormal="100" workbookViewId="0">
      <selection activeCell="E20" sqref="E20"/>
    </sheetView>
  </sheetViews>
  <sheetFormatPr defaultColWidth="8.69921875" defaultRowHeight="17.399999999999999"/>
  <cols>
    <col min="1" max="1" width="8.69921875" style="23"/>
    <col min="2" max="2" width="35.69921875" style="15" customWidth="1"/>
    <col min="3" max="3" width="15.3984375" style="40" bestFit="1" customWidth="1"/>
    <col min="4" max="7" width="13.3984375" style="40" customWidth="1"/>
    <col min="8" max="8" width="17.09765625" style="40" customWidth="1"/>
    <col min="9" max="10" width="17.69921875" style="40" customWidth="1"/>
    <col min="11" max="11" width="15.09765625" style="23" customWidth="1"/>
    <col min="12" max="16384" width="8.69921875" style="23"/>
  </cols>
  <sheetData>
    <row r="2" spans="1:13">
      <c r="A2" s="43"/>
      <c r="B2" s="48" t="s">
        <v>80</v>
      </c>
      <c r="C2" s="44"/>
      <c r="D2" s="44"/>
      <c r="E2" s="44"/>
      <c r="F2" s="44"/>
      <c r="G2" s="44"/>
      <c r="H2" s="44"/>
      <c r="I2" s="44"/>
      <c r="J2" s="44"/>
      <c r="K2" s="43"/>
      <c r="L2" s="43"/>
      <c r="M2" s="43"/>
    </row>
    <row r="3" spans="1:13">
      <c r="A3" s="43"/>
      <c r="B3" s="49"/>
      <c r="C3" s="44"/>
      <c r="D3" s="44"/>
      <c r="E3" s="44"/>
      <c r="F3" s="44"/>
      <c r="G3" s="44"/>
      <c r="H3" s="59"/>
      <c r="I3" s="71">
        <v>0.15</v>
      </c>
      <c r="J3" s="71">
        <v>0.85</v>
      </c>
      <c r="K3" s="43"/>
      <c r="L3" s="43"/>
      <c r="M3" s="43"/>
    </row>
    <row r="4" spans="1:13" ht="26.25" customHeight="1">
      <c r="A4" s="43"/>
      <c r="B4" s="161" t="s">
        <v>153</v>
      </c>
      <c r="C4" s="88" t="s">
        <v>62</v>
      </c>
      <c r="D4" s="165" t="s">
        <v>4</v>
      </c>
      <c r="E4" s="166"/>
      <c r="F4" s="166"/>
      <c r="G4" s="166"/>
      <c r="H4" s="162" t="s">
        <v>28</v>
      </c>
      <c r="I4" s="162" t="s">
        <v>27</v>
      </c>
      <c r="J4" s="162" t="s">
        <v>26</v>
      </c>
      <c r="K4" s="156" t="s">
        <v>8</v>
      </c>
      <c r="L4" s="43"/>
      <c r="M4" s="43"/>
    </row>
    <row r="5" spans="1:13" ht="36.75" customHeight="1">
      <c r="A5" s="43"/>
      <c r="B5" s="157"/>
      <c r="C5" s="82" t="s">
        <v>60</v>
      </c>
      <c r="D5" s="89" t="s">
        <v>61</v>
      </c>
      <c r="E5" s="89" t="s">
        <v>63</v>
      </c>
      <c r="F5" s="89" t="s">
        <v>64</v>
      </c>
      <c r="G5" s="89" t="s">
        <v>65</v>
      </c>
      <c r="H5" s="163"/>
      <c r="I5" s="163"/>
      <c r="J5" s="163"/>
      <c r="K5" s="157"/>
      <c r="L5" s="43"/>
      <c r="M5" s="43"/>
    </row>
    <row r="6" spans="1:13">
      <c r="B6" s="56" t="s">
        <v>15</v>
      </c>
      <c r="C6" s="47">
        <f t="shared" ref="C6:J6" si="0">ROUND(SUM(C7:C1980),0)</f>
        <v>2615229</v>
      </c>
      <c r="D6" s="47">
        <f t="shared" si="0"/>
        <v>783069</v>
      </c>
      <c r="E6" s="47">
        <f t="shared" si="0"/>
        <v>6756635</v>
      </c>
      <c r="F6" s="47">
        <f t="shared" si="0"/>
        <v>6142395</v>
      </c>
      <c r="G6" s="47">
        <f t="shared" si="0"/>
        <v>3071198</v>
      </c>
      <c r="H6" s="47">
        <f t="shared" si="0"/>
        <v>3071198</v>
      </c>
      <c r="I6" s="47">
        <f t="shared" si="0"/>
        <v>460680</v>
      </c>
      <c r="J6" s="47">
        <f t="shared" si="0"/>
        <v>2610518</v>
      </c>
      <c r="K6" s="41"/>
    </row>
    <row r="7" spans="1:13">
      <c r="B7" s="90" t="s">
        <v>81</v>
      </c>
      <c r="C7" s="91">
        <f>54500+10500+43500</f>
        <v>108500</v>
      </c>
      <c r="D7" s="92">
        <f>C7*0.3</f>
        <v>32550</v>
      </c>
      <c r="E7" s="141">
        <f>74288+30527+67350</f>
        <v>172165</v>
      </c>
      <c r="F7" s="92">
        <f>E7/1.1</f>
        <v>156513.63636363635</v>
      </c>
      <c r="G7" s="92">
        <f>(F7/2)</f>
        <v>78256.818181818177</v>
      </c>
      <c r="H7" s="92">
        <f>G7</f>
        <v>78256.818181818177</v>
      </c>
      <c r="I7" s="93">
        <f>H7*15%</f>
        <v>11738.522727272726</v>
      </c>
      <c r="J7" s="92">
        <f>H7*85%</f>
        <v>66518.295454545441</v>
      </c>
      <c r="K7" s="92"/>
      <c r="L7" s="52"/>
    </row>
    <row r="8" spans="1:13">
      <c r="B8" s="90" t="s">
        <v>82</v>
      </c>
      <c r="C8" s="91">
        <v>0</v>
      </c>
      <c r="D8" s="92">
        <f>C8*0.3</f>
        <v>0</v>
      </c>
      <c r="E8" s="92">
        <v>12234</v>
      </c>
      <c r="F8" s="92">
        <f>E8/1.1</f>
        <v>11121.81818181818</v>
      </c>
      <c r="G8" s="118">
        <f t="shared" ref="G8:G45" si="1">(F8/2)</f>
        <v>5560.9090909090901</v>
      </c>
      <c r="H8" s="118">
        <f t="shared" ref="H8:H53" si="2">G8</f>
        <v>5560.9090909090901</v>
      </c>
      <c r="I8" s="93">
        <f>H8*15%</f>
        <v>834.13636363636351</v>
      </c>
      <c r="J8" s="92">
        <f>H8*85%</f>
        <v>4726.7727272727261</v>
      </c>
      <c r="K8" s="164"/>
      <c r="L8" s="52"/>
    </row>
    <row r="9" spans="1:13">
      <c r="B9" s="90" t="s">
        <v>83</v>
      </c>
      <c r="C9" s="91">
        <v>22000</v>
      </c>
      <c r="D9" s="92">
        <f t="shared" ref="D9:D29" si="3">C9*0.3</f>
        <v>6600</v>
      </c>
      <c r="E9" s="92">
        <v>73108</v>
      </c>
      <c r="F9" s="92">
        <f t="shared" ref="F9:F29" si="4">E9/1.1</f>
        <v>66461.818181818177</v>
      </c>
      <c r="G9" s="118">
        <f t="shared" si="1"/>
        <v>33230.909090909088</v>
      </c>
      <c r="H9" s="118">
        <f t="shared" si="2"/>
        <v>33230.909090909088</v>
      </c>
      <c r="I9" s="93">
        <f t="shared" ref="I9:I29" si="5">H9*15%</f>
        <v>4984.6363636363631</v>
      </c>
      <c r="J9" s="92">
        <f t="shared" ref="J9:J29" si="6">H9*85%</f>
        <v>28246.272727272724</v>
      </c>
      <c r="K9" s="164"/>
      <c r="L9" s="52"/>
    </row>
    <row r="10" spans="1:13">
      <c r="B10" s="90" t="s">
        <v>84</v>
      </c>
      <c r="C10" s="91">
        <v>2500</v>
      </c>
      <c r="D10" s="92">
        <f t="shared" si="3"/>
        <v>750</v>
      </c>
      <c r="E10" s="92">
        <v>11726</v>
      </c>
      <c r="F10" s="92">
        <f t="shared" si="4"/>
        <v>10660</v>
      </c>
      <c r="G10" s="118">
        <f t="shared" si="1"/>
        <v>5330</v>
      </c>
      <c r="H10" s="118">
        <f t="shared" si="2"/>
        <v>5330</v>
      </c>
      <c r="I10" s="93">
        <f t="shared" si="5"/>
        <v>799.5</v>
      </c>
      <c r="J10" s="92">
        <f t="shared" si="6"/>
        <v>4530.5</v>
      </c>
      <c r="K10" s="164"/>
      <c r="L10" s="52"/>
    </row>
    <row r="11" spans="1:13">
      <c r="B11" s="90" t="s">
        <v>127</v>
      </c>
      <c r="C11" s="91">
        <v>326417</v>
      </c>
      <c r="D11" s="108">
        <f t="shared" si="3"/>
        <v>97925.099999999991</v>
      </c>
      <c r="E11" s="108">
        <v>1119194</v>
      </c>
      <c r="F11" s="108">
        <f t="shared" si="4"/>
        <v>1017449.0909090908</v>
      </c>
      <c r="G11" s="118">
        <f t="shared" si="1"/>
        <v>508724.54545454541</v>
      </c>
      <c r="H11" s="118">
        <f t="shared" si="2"/>
        <v>508724.54545454541</v>
      </c>
      <c r="I11" s="93">
        <f>H11*15%</f>
        <v>76308.681818181809</v>
      </c>
      <c r="J11" s="108">
        <f>H11*85%</f>
        <v>432415.86363636359</v>
      </c>
      <c r="K11" s="164"/>
      <c r="L11" s="52"/>
    </row>
    <row r="12" spans="1:13">
      <c r="B12" s="90" t="s">
        <v>85</v>
      </c>
      <c r="C12" s="91">
        <v>5000</v>
      </c>
      <c r="D12" s="135">
        <f t="shared" si="3"/>
        <v>1500</v>
      </c>
      <c r="E12" s="92">
        <v>23104</v>
      </c>
      <c r="F12" s="92">
        <f t="shared" si="4"/>
        <v>21003.63636363636</v>
      </c>
      <c r="G12" s="118">
        <f t="shared" si="1"/>
        <v>10501.81818181818</v>
      </c>
      <c r="H12" s="118">
        <f t="shared" si="2"/>
        <v>10501.81818181818</v>
      </c>
      <c r="I12" s="93">
        <f t="shared" si="5"/>
        <v>1575.272727272727</v>
      </c>
      <c r="J12" s="92">
        <f t="shared" si="6"/>
        <v>8926.5454545454522</v>
      </c>
      <c r="K12" s="164"/>
      <c r="L12" s="52"/>
    </row>
    <row r="13" spans="1:13">
      <c r="B13" s="90" t="s">
        <v>86</v>
      </c>
      <c r="C13" s="91">
        <v>24500</v>
      </c>
      <c r="D13" s="92">
        <f t="shared" si="3"/>
        <v>7350</v>
      </c>
      <c r="E13" s="92">
        <v>71248</v>
      </c>
      <c r="F13" s="92">
        <f t="shared" si="4"/>
        <v>64770.909090909088</v>
      </c>
      <c r="G13" s="118">
        <f t="shared" si="1"/>
        <v>32385.454545454544</v>
      </c>
      <c r="H13" s="118">
        <f t="shared" si="2"/>
        <v>32385.454545454544</v>
      </c>
      <c r="I13" s="93">
        <f t="shared" si="5"/>
        <v>4857.8181818181811</v>
      </c>
      <c r="J13" s="92">
        <f t="shared" si="6"/>
        <v>27527.63636363636</v>
      </c>
      <c r="K13" s="92"/>
      <c r="L13" s="52"/>
    </row>
    <row r="14" spans="1:13">
      <c r="B14" s="90" t="s">
        <v>87</v>
      </c>
      <c r="C14" s="91">
        <v>153000</v>
      </c>
      <c r="D14" s="92">
        <f t="shared" si="3"/>
        <v>45900</v>
      </c>
      <c r="E14" s="92">
        <v>262963</v>
      </c>
      <c r="F14" s="92">
        <f t="shared" si="4"/>
        <v>239057.27272727271</v>
      </c>
      <c r="G14" s="118">
        <f t="shared" si="1"/>
        <v>119528.63636363635</v>
      </c>
      <c r="H14" s="118">
        <f t="shared" si="2"/>
        <v>119528.63636363635</v>
      </c>
      <c r="I14" s="93">
        <f t="shared" si="5"/>
        <v>17929.295454545452</v>
      </c>
      <c r="J14" s="92">
        <f t="shared" si="6"/>
        <v>101599.3409090909</v>
      </c>
      <c r="K14" s="164"/>
      <c r="L14" s="52"/>
    </row>
    <row r="15" spans="1:13">
      <c r="B15" s="90" t="s">
        <v>88</v>
      </c>
      <c r="C15" s="91">
        <v>5500</v>
      </c>
      <c r="D15" s="92">
        <f t="shared" si="3"/>
        <v>1650</v>
      </c>
      <c r="E15" s="92">
        <v>36632</v>
      </c>
      <c r="F15" s="92">
        <f t="shared" si="4"/>
        <v>33301.818181818177</v>
      </c>
      <c r="G15" s="118">
        <f t="shared" si="1"/>
        <v>16650.909090909088</v>
      </c>
      <c r="H15" s="118">
        <f t="shared" si="2"/>
        <v>16650.909090909088</v>
      </c>
      <c r="I15" s="93">
        <f t="shared" si="5"/>
        <v>2497.6363636363631</v>
      </c>
      <c r="J15" s="92">
        <f t="shared" si="6"/>
        <v>14153.272727272724</v>
      </c>
      <c r="K15" s="164"/>
      <c r="L15" s="52"/>
    </row>
    <row r="16" spans="1:13">
      <c r="B16" s="90" t="s">
        <v>89</v>
      </c>
      <c r="C16" s="91">
        <v>550502</v>
      </c>
      <c r="D16" s="92">
        <f t="shared" si="3"/>
        <v>165150.6</v>
      </c>
      <c r="E16" s="92">
        <v>1150528</v>
      </c>
      <c r="F16" s="92">
        <f t="shared" si="4"/>
        <v>1045934.5454545454</v>
      </c>
      <c r="G16" s="118">
        <f t="shared" si="1"/>
        <v>522967.27272727271</v>
      </c>
      <c r="H16" s="118">
        <f t="shared" si="2"/>
        <v>522967.27272727271</v>
      </c>
      <c r="I16" s="93">
        <f t="shared" si="5"/>
        <v>78445.090909090897</v>
      </c>
      <c r="J16" s="92">
        <f t="shared" si="6"/>
        <v>444522.18181818177</v>
      </c>
      <c r="K16" s="164"/>
      <c r="L16" s="52"/>
    </row>
    <row r="17" spans="2:12">
      <c r="B17" s="90" t="s">
        <v>128</v>
      </c>
      <c r="C17" s="91">
        <v>74500</v>
      </c>
      <c r="D17" s="92">
        <f t="shared" si="3"/>
        <v>22350</v>
      </c>
      <c r="E17" s="92">
        <v>109448</v>
      </c>
      <c r="F17" s="92">
        <f t="shared" si="4"/>
        <v>99498.181818181809</v>
      </c>
      <c r="G17" s="118">
        <f t="shared" si="1"/>
        <v>49749.090909090904</v>
      </c>
      <c r="H17" s="118">
        <f t="shared" si="2"/>
        <v>49749.090909090904</v>
      </c>
      <c r="I17" s="93">
        <f t="shared" si="5"/>
        <v>7462.3636363636351</v>
      </c>
      <c r="J17" s="92">
        <f t="shared" si="6"/>
        <v>42286.727272727265</v>
      </c>
      <c r="K17" s="164"/>
      <c r="L17" s="52"/>
    </row>
    <row r="18" spans="2:12">
      <c r="B18" s="90" t="s">
        <v>129</v>
      </c>
      <c r="C18" s="91">
        <v>0</v>
      </c>
      <c r="D18" s="92">
        <f t="shared" si="3"/>
        <v>0</v>
      </c>
      <c r="E18" s="92">
        <v>10868</v>
      </c>
      <c r="F18" s="92">
        <f t="shared" si="4"/>
        <v>9880</v>
      </c>
      <c r="G18" s="118">
        <f t="shared" si="1"/>
        <v>4940</v>
      </c>
      <c r="H18" s="118">
        <f t="shared" si="2"/>
        <v>4940</v>
      </c>
      <c r="I18" s="93">
        <f t="shared" si="5"/>
        <v>741</v>
      </c>
      <c r="J18" s="92">
        <f t="shared" si="6"/>
        <v>4199</v>
      </c>
      <c r="K18" s="164"/>
      <c r="L18" s="52"/>
    </row>
    <row r="19" spans="2:12">
      <c r="B19" s="90" t="s">
        <v>90</v>
      </c>
      <c r="C19" s="91">
        <v>43145</v>
      </c>
      <c r="D19" s="92">
        <f t="shared" si="3"/>
        <v>12943.5</v>
      </c>
      <c r="E19" s="92">
        <v>60273</v>
      </c>
      <c r="F19" s="92">
        <f t="shared" si="4"/>
        <v>54793.63636363636</v>
      </c>
      <c r="G19" s="118">
        <f t="shared" si="1"/>
        <v>27396.81818181818</v>
      </c>
      <c r="H19" s="118">
        <f t="shared" si="2"/>
        <v>27396.81818181818</v>
      </c>
      <c r="I19" s="93">
        <f t="shared" si="5"/>
        <v>4109.522727272727</v>
      </c>
      <c r="J19" s="92">
        <f t="shared" si="6"/>
        <v>23287.295454545452</v>
      </c>
      <c r="K19" s="164"/>
      <c r="L19" s="52"/>
    </row>
    <row r="20" spans="2:12">
      <c r="B20" s="90" t="s">
        <v>91</v>
      </c>
      <c r="C20" s="91">
        <v>12500</v>
      </c>
      <c r="D20" s="92">
        <f t="shared" si="3"/>
        <v>3750</v>
      </c>
      <c r="E20" s="92">
        <v>65849</v>
      </c>
      <c r="F20" s="92">
        <f t="shared" si="4"/>
        <v>59862.727272727265</v>
      </c>
      <c r="G20" s="118">
        <f t="shared" si="1"/>
        <v>29931.363636363632</v>
      </c>
      <c r="H20" s="118">
        <f t="shared" si="2"/>
        <v>29931.363636363632</v>
      </c>
      <c r="I20" s="93">
        <f t="shared" si="5"/>
        <v>4489.704545454545</v>
      </c>
      <c r="J20" s="92">
        <f t="shared" si="6"/>
        <v>25441.659090909088</v>
      </c>
      <c r="K20" s="92"/>
      <c r="L20" s="52"/>
    </row>
    <row r="21" spans="2:12">
      <c r="B21" s="90" t="s">
        <v>92</v>
      </c>
      <c r="C21" s="91">
        <v>5000</v>
      </c>
      <c r="D21" s="140">
        <f t="shared" si="3"/>
        <v>1500</v>
      </c>
      <c r="E21" s="92">
        <v>18092</v>
      </c>
      <c r="F21" s="92">
        <f t="shared" si="4"/>
        <v>16447.272727272724</v>
      </c>
      <c r="G21" s="118">
        <f t="shared" si="1"/>
        <v>8223.6363636363621</v>
      </c>
      <c r="H21" s="118">
        <f t="shared" si="2"/>
        <v>8223.6363636363621</v>
      </c>
      <c r="I21" s="93">
        <f t="shared" si="5"/>
        <v>1233.5454545454543</v>
      </c>
      <c r="J21" s="92">
        <f t="shared" si="6"/>
        <v>6990.0909090909072</v>
      </c>
      <c r="K21" s="92"/>
      <c r="L21" s="52"/>
    </row>
    <row r="22" spans="2:12">
      <c r="B22" s="90" t="s">
        <v>93</v>
      </c>
      <c r="C22" s="91">
        <v>272081</v>
      </c>
      <c r="D22" s="92">
        <f t="shared" si="3"/>
        <v>81624.3</v>
      </c>
      <c r="E22" s="92">
        <v>656207</v>
      </c>
      <c r="F22" s="92">
        <f t="shared" si="4"/>
        <v>596551.81818181812</v>
      </c>
      <c r="G22" s="118">
        <f t="shared" si="1"/>
        <v>298275.90909090906</v>
      </c>
      <c r="H22" s="118">
        <f t="shared" si="2"/>
        <v>298275.90909090906</v>
      </c>
      <c r="I22" s="93">
        <f t="shared" si="5"/>
        <v>44741.38636363636</v>
      </c>
      <c r="J22" s="92">
        <f t="shared" si="6"/>
        <v>253534.52272727271</v>
      </c>
      <c r="K22" s="164"/>
      <c r="L22" s="52"/>
    </row>
    <row r="23" spans="2:12">
      <c r="B23" s="90" t="s">
        <v>94</v>
      </c>
      <c r="C23" s="94">
        <v>71000</v>
      </c>
      <c r="D23" s="95">
        <f t="shared" si="3"/>
        <v>21300</v>
      </c>
      <c r="E23" s="95">
        <v>253678</v>
      </c>
      <c r="F23" s="95">
        <f t="shared" si="4"/>
        <v>230616.36363636362</v>
      </c>
      <c r="G23" s="118">
        <f t="shared" si="1"/>
        <v>115308.18181818181</v>
      </c>
      <c r="H23" s="118">
        <f t="shared" si="2"/>
        <v>115308.18181818181</v>
      </c>
      <c r="I23" s="96">
        <f t="shared" si="5"/>
        <v>17296.227272727272</v>
      </c>
      <c r="J23" s="95">
        <f t="shared" si="6"/>
        <v>98011.95454545453</v>
      </c>
      <c r="K23" s="164"/>
      <c r="L23" s="52"/>
    </row>
    <row r="24" spans="2:12" ht="15" customHeight="1">
      <c r="B24" s="90" t="s">
        <v>95</v>
      </c>
      <c r="C24" s="94">
        <v>5000</v>
      </c>
      <c r="D24" s="95">
        <v>0</v>
      </c>
      <c r="E24" s="95">
        <v>7321</v>
      </c>
      <c r="F24" s="95">
        <f t="shared" si="4"/>
        <v>6655.454545454545</v>
      </c>
      <c r="G24" s="118">
        <f t="shared" si="1"/>
        <v>3327.7272727272725</v>
      </c>
      <c r="H24" s="118">
        <f t="shared" si="2"/>
        <v>3327.7272727272725</v>
      </c>
      <c r="I24" s="96">
        <f t="shared" si="5"/>
        <v>499.15909090909088</v>
      </c>
      <c r="J24" s="95">
        <f t="shared" si="6"/>
        <v>2828.5681818181815</v>
      </c>
      <c r="K24" s="99"/>
      <c r="L24" s="52"/>
    </row>
    <row r="25" spans="2:12">
      <c r="B25" s="90" t="s">
        <v>96</v>
      </c>
      <c r="C25" s="94">
        <v>5000</v>
      </c>
      <c r="D25" s="95">
        <f t="shared" si="3"/>
        <v>1500</v>
      </c>
      <c r="E25" s="95">
        <v>58093</v>
      </c>
      <c r="F25" s="95">
        <f t="shared" si="4"/>
        <v>52811.818181818177</v>
      </c>
      <c r="G25" s="118">
        <f t="shared" si="1"/>
        <v>26405.909090909088</v>
      </c>
      <c r="H25" s="118">
        <f t="shared" si="2"/>
        <v>26405.909090909088</v>
      </c>
      <c r="I25" s="96">
        <f t="shared" si="5"/>
        <v>3960.8863636363631</v>
      </c>
      <c r="J25" s="95">
        <f t="shared" si="6"/>
        <v>22445.022727272724</v>
      </c>
      <c r="K25" s="164"/>
      <c r="L25" s="52"/>
    </row>
    <row r="26" spans="2:12">
      <c r="B26" s="90" t="s">
        <v>97</v>
      </c>
      <c r="C26" s="94">
        <v>0</v>
      </c>
      <c r="D26" s="95">
        <f t="shared" si="3"/>
        <v>0</v>
      </c>
      <c r="E26" s="95">
        <v>5261</v>
      </c>
      <c r="F26" s="95">
        <f t="shared" si="4"/>
        <v>4782.7272727272721</v>
      </c>
      <c r="G26" s="118">
        <f t="shared" si="1"/>
        <v>2391.363636363636</v>
      </c>
      <c r="H26" s="118">
        <f t="shared" si="2"/>
        <v>2391.363636363636</v>
      </c>
      <c r="I26" s="96">
        <f t="shared" si="5"/>
        <v>358.70454545454538</v>
      </c>
      <c r="J26" s="95">
        <f t="shared" si="6"/>
        <v>2032.6590909090905</v>
      </c>
      <c r="K26" s="164"/>
      <c r="L26" s="52"/>
    </row>
    <row r="27" spans="2:12">
      <c r="B27" s="90" t="s">
        <v>98</v>
      </c>
      <c r="C27" s="94">
        <v>12500</v>
      </c>
      <c r="D27" s="95">
        <f t="shared" si="3"/>
        <v>3750</v>
      </c>
      <c r="E27" s="95">
        <v>33640</v>
      </c>
      <c r="F27" s="95">
        <f t="shared" si="4"/>
        <v>30581.81818181818</v>
      </c>
      <c r="G27" s="118">
        <f t="shared" si="1"/>
        <v>15290.90909090909</v>
      </c>
      <c r="H27" s="118">
        <f t="shared" si="2"/>
        <v>15290.90909090909</v>
      </c>
      <c r="I27" s="96">
        <f t="shared" si="5"/>
        <v>2293.6363636363635</v>
      </c>
      <c r="J27" s="95">
        <f t="shared" si="6"/>
        <v>12997.272727272726</v>
      </c>
      <c r="K27" s="164"/>
      <c r="L27" s="52"/>
    </row>
    <row r="28" spans="2:12">
      <c r="B28" s="90" t="s">
        <v>99</v>
      </c>
      <c r="C28" s="94">
        <v>5000</v>
      </c>
      <c r="D28" s="95">
        <f t="shared" si="3"/>
        <v>1500</v>
      </c>
      <c r="E28" s="95">
        <v>32509</v>
      </c>
      <c r="F28" s="95">
        <f t="shared" si="4"/>
        <v>29553.63636363636</v>
      </c>
      <c r="G28" s="118">
        <f t="shared" si="1"/>
        <v>14776.81818181818</v>
      </c>
      <c r="H28" s="118">
        <f t="shared" si="2"/>
        <v>14776.81818181818</v>
      </c>
      <c r="I28" s="96">
        <f t="shared" si="5"/>
        <v>2216.522727272727</v>
      </c>
      <c r="J28" s="95">
        <f t="shared" si="6"/>
        <v>12560.295454545452</v>
      </c>
      <c r="K28" s="92"/>
      <c r="L28" s="52"/>
    </row>
    <row r="29" spans="2:12">
      <c r="B29" s="90" t="s">
        <v>100</v>
      </c>
      <c r="C29" s="94">
        <v>61000</v>
      </c>
      <c r="D29" s="95">
        <f t="shared" si="3"/>
        <v>18300</v>
      </c>
      <c r="E29" s="95">
        <v>387253</v>
      </c>
      <c r="F29" s="95">
        <f t="shared" si="4"/>
        <v>352048.18181818177</v>
      </c>
      <c r="G29" s="118">
        <f t="shared" si="1"/>
        <v>176024.09090909088</v>
      </c>
      <c r="H29" s="118">
        <f t="shared" si="2"/>
        <v>176024.09090909088</v>
      </c>
      <c r="I29" s="96">
        <f t="shared" si="5"/>
        <v>26403.613636363632</v>
      </c>
      <c r="J29" s="95">
        <f t="shared" si="6"/>
        <v>149620.47727272724</v>
      </c>
      <c r="K29" s="92"/>
      <c r="L29" s="52"/>
    </row>
    <row r="30" spans="2:12">
      <c r="B30" s="90" t="s">
        <v>145</v>
      </c>
      <c r="C30" s="94">
        <v>653099</v>
      </c>
      <c r="D30" s="95">
        <f t="shared" ref="D30:D41" si="7">C30*0.3</f>
        <v>195929.69999999998</v>
      </c>
      <c r="E30" s="95">
        <v>1235167</v>
      </c>
      <c r="F30" s="95">
        <f t="shared" ref="F30:F41" si="8">E30/1.1</f>
        <v>1122879.0909090908</v>
      </c>
      <c r="G30" s="118">
        <f t="shared" si="1"/>
        <v>561439.54545454541</v>
      </c>
      <c r="H30" s="118">
        <f t="shared" si="2"/>
        <v>561439.54545454541</v>
      </c>
      <c r="I30" s="96">
        <f t="shared" ref="I30:I41" si="9">H30*15%</f>
        <v>84215.931818181809</v>
      </c>
      <c r="J30" s="95">
        <f t="shared" ref="J30:J41" si="10">H30*85%</f>
        <v>477223.61363636359</v>
      </c>
      <c r="K30" s="92"/>
      <c r="L30" s="52"/>
    </row>
    <row r="31" spans="2:12">
      <c r="B31" s="90" t="s">
        <v>101</v>
      </c>
      <c r="C31" s="94">
        <v>5500</v>
      </c>
      <c r="D31" s="95">
        <f t="shared" si="7"/>
        <v>1650</v>
      </c>
      <c r="E31" s="95">
        <v>40327</v>
      </c>
      <c r="F31" s="95">
        <f t="shared" si="8"/>
        <v>36660.909090909088</v>
      </c>
      <c r="G31" s="118">
        <f t="shared" si="1"/>
        <v>18330.454545454544</v>
      </c>
      <c r="H31" s="118">
        <f t="shared" si="2"/>
        <v>18330.454545454544</v>
      </c>
      <c r="I31" s="96">
        <f t="shared" si="9"/>
        <v>2749.5681818181815</v>
      </c>
      <c r="J31" s="95">
        <f t="shared" si="10"/>
        <v>15580.886363636362</v>
      </c>
      <c r="K31" s="164"/>
      <c r="L31" s="52"/>
    </row>
    <row r="32" spans="2:12">
      <c r="B32" s="90" t="s">
        <v>102</v>
      </c>
      <c r="C32" s="94">
        <v>17985</v>
      </c>
      <c r="D32" s="95">
        <f t="shared" si="7"/>
        <v>5395.5</v>
      </c>
      <c r="E32" s="95">
        <v>40458</v>
      </c>
      <c r="F32" s="95">
        <f t="shared" si="8"/>
        <v>36780</v>
      </c>
      <c r="G32" s="118">
        <f t="shared" si="1"/>
        <v>18390</v>
      </c>
      <c r="H32" s="118">
        <f t="shared" si="2"/>
        <v>18390</v>
      </c>
      <c r="I32" s="96">
        <f t="shared" si="9"/>
        <v>2758.5</v>
      </c>
      <c r="J32" s="95">
        <f t="shared" si="10"/>
        <v>15631.5</v>
      </c>
      <c r="K32" s="164"/>
      <c r="L32" s="52"/>
    </row>
    <row r="33" spans="2:12">
      <c r="B33" s="90" t="s">
        <v>103</v>
      </c>
      <c r="C33" s="94">
        <v>7500</v>
      </c>
      <c r="D33" s="95">
        <f t="shared" si="7"/>
        <v>2250</v>
      </c>
      <c r="E33" s="95">
        <v>87662</v>
      </c>
      <c r="F33" s="95">
        <f t="shared" si="8"/>
        <v>79692.727272727265</v>
      </c>
      <c r="G33" s="118">
        <f t="shared" si="1"/>
        <v>39846.363636363632</v>
      </c>
      <c r="H33" s="118">
        <f t="shared" si="2"/>
        <v>39846.363636363632</v>
      </c>
      <c r="I33" s="96">
        <f t="shared" si="9"/>
        <v>5976.954545454545</v>
      </c>
      <c r="J33" s="95">
        <f t="shared" si="10"/>
        <v>33869.409090909088</v>
      </c>
      <c r="K33" s="164"/>
      <c r="L33" s="52"/>
    </row>
    <row r="34" spans="2:12">
      <c r="B34" s="90" t="s">
        <v>104</v>
      </c>
      <c r="C34" s="94">
        <v>5500</v>
      </c>
      <c r="D34" s="95">
        <f t="shared" si="7"/>
        <v>1650</v>
      </c>
      <c r="E34" s="95">
        <v>46482</v>
      </c>
      <c r="F34" s="95">
        <f t="shared" si="8"/>
        <v>42256.363636363632</v>
      </c>
      <c r="G34" s="118">
        <f t="shared" si="1"/>
        <v>21128.181818181816</v>
      </c>
      <c r="H34" s="118">
        <f t="shared" si="2"/>
        <v>21128.181818181816</v>
      </c>
      <c r="I34" s="96">
        <f t="shared" si="9"/>
        <v>3169.2272727272725</v>
      </c>
      <c r="J34" s="95">
        <f t="shared" si="10"/>
        <v>17958.954545454544</v>
      </c>
      <c r="K34" s="164"/>
      <c r="L34" s="52"/>
    </row>
    <row r="35" spans="2:12">
      <c r="B35" s="90" t="s">
        <v>105</v>
      </c>
      <c r="C35" s="94">
        <v>2500</v>
      </c>
      <c r="D35" s="95">
        <f t="shared" si="7"/>
        <v>750</v>
      </c>
      <c r="E35" s="95">
        <v>11131</v>
      </c>
      <c r="F35" s="95">
        <f t="shared" si="8"/>
        <v>10119.090909090908</v>
      </c>
      <c r="G35" s="118">
        <f t="shared" si="1"/>
        <v>5059.545454545454</v>
      </c>
      <c r="H35" s="118">
        <f t="shared" si="2"/>
        <v>5059.545454545454</v>
      </c>
      <c r="I35" s="96">
        <f t="shared" si="9"/>
        <v>758.93181818181813</v>
      </c>
      <c r="J35" s="95">
        <f t="shared" si="10"/>
        <v>4300.613636363636</v>
      </c>
      <c r="K35" s="164"/>
      <c r="L35" s="52"/>
    </row>
    <row r="36" spans="2:12">
      <c r="B36" s="90" t="s">
        <v>106</v>
      </c>
      <c r="C36" s="94">
        <v>101500</v>
      </c>
      <c r="D36" s="95">
        <f t="shared" si="7"/>
        <v>30450</v>
      </c>
      <c r="E36" s="95">
        <v>190123</v>
      </c>
      <c r="F36" s="95">
        <f t="shared" si="8"/>
        <v>172839.09090909088</v>
      </c>
      <c r="G36" s="118">
        <f t="shared" si="1"/>
        <v>86419.545454545441</v>
      </c>
      <c r="H36" s="118">
        <f t="shared" si="2"/>
        <v>86419.545454545441</v>
      </c>
      <c r="I36" s="96">
        <f t="shared" si="9"/>
        <v>12962.931818181816</v>
      </c>
      <c r="J36" s="95">
        <f t="shared" si="10"/>
        <v>73456.613636363618</v>
      </c>
      <c r="K36" s="164"/>
      <c r="L36" s="52"/>
    </row>
    <row r="37" spans="2:12">
      <c r="B37" s="90" t="s">
        <v>107</v>
      </c>
      <c r="C37" s="94">
        <v>0</v>
      </c>
      <c r="D37" s="95">
        <f t="shared" si="7"/>
        <v>0</v>
      </c>
      <c r="E37" s="95">
        <v>7196</v>
      </c>
      <c r="F37" s="95">
        <f t="shared" si="8"/>
        <v>6541.8181818181811</v>
      </c>
      <c r="G37" s="118">
        <f t="shared" si="1"/>
        <v>3270.9090909090905</v>
      </c>
      <c r="H37" s="118">
        <f t="shared" si="2"/>
        <v>3270.9090909090905</v>
      </c>
      <c r="I37" s="96">
        <f t="shared" si="9"/>
        <v>490.63636363636357</v>
      </c>
      <c r="J37" s="95">
        <f t="shared" si="10"/>
        <v>2780.272727272727</v>
      </c>
      <c r="K37" s="100"/>
      <c r="L37" s="52"/>
    </row>
    <row r="38" spans="2:12">
      <c r="B38" s="90" t="s">
        <v>108</v>
      </c>
      <c r="C38" s="94">
        <v>7500</v>
      </c>
      <c r="D38" s="95">
        <f t="shared" si="7"/>
        <v>2250</v>
      </c>
      <c r="E38" s="95">
        <v>18501</v>
      </c>
      <c r="F38" s="95">
        <f t="shared" si="8"/>
        <v>16819.090909090908</v>
      </c>
      <c r="G38" s="118">
        <f t="shared" si="1"/>
        <v>8409.545454545454</v>
      </c>
      <c r="H38" s="118">
        <f t="shared" si="2"/>
        <v>8409.545454545454</v>
      </c>
      <c r="I38" s="96">
        <f t="shared" si="9"/>
        <v>1261.431818181818</v>
      </c>
      <c r="J38" s="95">
        <f t="shared" si="10"/>
        <v>7148.113636363636</v>
      </c>
      <c r="K38" s="99"/>
      <c r="L38" s="52"/>
    </row>
    <row r="39" spans="2:12">
      <c r="B39" s="90" t="s">
        <v>109</v>
      </c>
      <c r="C39" s="94">
        <v>41500</v>
      </c>
      <c r="D39" s="95">
        <f t="shared" si="7"/>
        <v>12450</v>
      </c>
      <c r="E39" s="95">
        <v>412989</v>
      </c>
      <c r="F39" s="95">
        <f t="shared" si="8"/>
        <v>375444.54545454541</v>
      </c>
      <c r="G39" s="118">
        <f t="shared" si="1"/>
        <v>187722.27272727271</v>
      </c>
      <c r="H39" s="118">
        <f t="shared" si="2"/>
        <v>187722.27272727271</v>
      </c>
      <c r="I39" s="96">
        <f t="shared" si="9"/>
        <v>28158.340909090904</v>
      </c>
      <c r="J39" s="95">
        <f t="shared" si="10"/>
        <v>159563.93181818179</v>
      </c>
      <c r="K39" s="100"/>
      <c r="L39" s="52"/>
    </row>
    <row r="40" spans="2:12">
      <c r="B40" s="90" t="s">
        <v>110</v>
      </c>
      <c r="C40" s="94">
        <v>8000</v>
      </c>
      <c r="D40" s="95">
        <f t="shared" si="7"/>
        <v>2400</v>
      </c>
      <c r="E40" s="95">
        <v>35205</v>
      </c>
      <c r="F40" s="95">
        <f t="shared" si="8"/>
        <v>32004.545454545452</v>
      </c>
      <c r="G40" s="118">
        <f t="shared" si="1"/>
        <v>16002.272727272726</v>
      </c>
      <c r="H40" s="118">
        <f t="shared" si="2"/>
        <v>16002.272727272726</v>
      </c>
      <c r="I40" s="96">
        <f t="shared" si="9"/>
        <v>2400.340909090909</v>
      </c>
      <c r="J40" s="95">
        <f t="shared" si="10"/>
        <v>13601.931818181816</v>
      </c>
      <c r="K40" s="100"/>
      <c r="L40" s="52"/>
    </row>
    <row r="41" spans="2:12">
      <c r="B41" s="90"/>
      <c r="C41" s="94"/>
      <c r="D41" s="95">
        <f t="shared" si="7"/>
        <v>0</v>
      </c>
      <c r="E41" s="95"/>
      <c r="F41" s="95">
        <f t="shared" si="8"/>
        <v>0</v>
      </c>
      <c r="G41" s="118">
        <f t="shared" si="1"/>
        <v>0</v>
      </c>
      <c r="H41" s="118">
        <f t="shared" si="2"/>
        <v>0</v>
      </c>
      <c r="I41" s="96">
        <f t="shared" si="9"/>
        <v>0</v>
      </c>
      <c r="J41" s="95">
        <f t="shared" si="10"/>
        <v>0</v>
      </c>
      <c r="K41" s="58"/>
      <c r="L41" s="52"/>
    </row>
    <row r="42" spans="2:12">
      <c r="B42" s="50"/>
      <c r="C42" s="94"/>
      <c r="D42" s="95"/>
      <c r="E42" s="95"/>
      <c r="F42" s="95"/>
      <c r="G42" s="118">
        <f t="shared" si="1"/>
        <v>0</v>
      </c>
      <c r="H42" s="118">
        <f t="shared" si="2"/>
        <v>0</v>
      </c>
      <c r="I42" s="96"/>
      <c r="J42" s="98"/>
      <c r="K42" s="58"/>
      <c r="L42" s="52"/>
    </row>
    <row r="43" spans="2:12">
      <c r="B43" s="50"/>
      <c r="C43" s="94"/>
      <c r="D43" s="95"/>
      <c r="E43" s="95"/>
      <c r="F43" s="95"/>
      <c r="G43" s="118">
        <f t="shared" si="1"/>
        <v>0</v>
      </c>
      <c r="H43" s="118">
        <f t="shared" si="2"/>
        <v>0</v>
      </c>
      <c r="I43" s="96"/>
      <c r="J43" s="98"/>
      <c r="K43" s="58"/>
      <c r="L43" s="52"/>
    </row>
    <row r="44" spans="2:12">
      <c r="B44" s="50"/>
      <c r="C44" s="97"/>
      <c r="D44" s="95"/>
      <c r="E44" s="95"/>
      <c r="F44" s="95"/>
      <c r="G44" s="118">
        <f t="shared" si="1"/>
        <v>0</v>
      </c>
      <c r="H44" s="118">
        <f t="shared" si="2"/>
        <v>0</v>
      </c>
      <c r="I44" s="96"/>
      <c r="J44" s="98"/>
      <c r="K44" s="58"/>
      <c r="L44" s="52"/>
    </row>
    <row r="45" spans="2:12">
      <c r="B45" s="50"/>
      <c r="C45" s="97"/>
      <c r="D45" s="95"/>
      <c r="E45" s="95"/>
      <c r="F45" s="95"/>
      <c r="G45" s="118">
        <f t="shared" si="1"/>
        <v>0</v>
      </c>
      <c r="H45" s="118">
        <f t="shared" si="2"/>
        <v>0</v>
      </c>
      <c r="I45" s="96"/>
      <c r="J45" s="98"/>
      <c r="K45" s="58"/>
      <c r="L45" s="52"/>
    </row>
    <row r="46" spans="2:12">
      <c r="B46" s="50"/>
      <c r="C46" s="97"/>
      <c r="D46" s="95"/>
      <c r="E46" s="95"/>
      <c r="F46" s="95"/>
      <c r="G46" s="118">
        <f>(F46*0.5)</f>
        <v>0</v>
      </c>
      <c r="H46" s="118">
        <f t="shared" si="2"/>
        <v>0</v>
      </c>
      <c r="I46" s="96"/>
      <c r="J46" s="98"/>
      <c r="K46" s="58"/>
      <c r="L46" s="52"/>
    </row>
    <row r="47" spans="2:12">
      <c r="B47" s="50"/>
      <c r="C47" s="97"/>
      <c r="D47" s="95"/>
      <c r="E47" s="95"/>
      <c r="F47" s="95"/>
      <c r="G47" s="118">
        <f>(F47*0.5)</f>
        <v>0</v>
      </c>
      <c r="H47" s="118">
        <f>G47</f>
        <v>0</v>
      </c>
      <c r="I47" s="96"/>
      <c r="J47" s="98"/>
      <c r="K47" s="58"/>
      <c r="L47" s="52"/>
    </row>
    <row r="48" spans="2:12">
      <c r="B48" s="50"/>
      <c r="C48" s="97"/>
      <c r="D48" s="95"/>
      <c r="E48" s="95"/>
      <c r="F48" s="95"/>
      <c r="G48" s="118">
        <f>(F48*0.5)</f>
        <v>0</v>
      </c>
      <c r="H48" s="118">
        <f t="shared" si="2"/>
        <v>0</v>
      </c>
      <c r="I48" s="96"/>
      <c r="J48" s="98"/>
      <c r="K48" s="58"/>
      <c r="L48" s="52"/>
    </row>
    <row r="49" spans="2:12">
      <c r="B49" s="50"/>
      <c r="C49" s="97"/>
      <c r="D49" s="95"/>
      <c r="E49" s="95"/>
      <c r="F49" s="95"/>
      <c r="G49" s="95"/>
      <c r="H49" s="118">
        <f t="shared" si="2"/>
        <v>0</v>
      </c>
      <c r="I49" s="96"/>
      <c r="J49" s="98"/>
      <c r="K49" s="58"/>
      <c r="L49" s="52"/>
    </row>
    <row r="50" spans="2:12">
      <c r="B50" s="50"/>
      <c r="C50" s="97"/>
      <c r="D50" s="95"/>
      <c r="E50" s="95"/>
      <c r="F50" s="95"/>
      <c r="G50" s="95"/>
      <c r="H50" s="118">
        <f t="shared" si="2"/>
        <v>0</v>
      </c>
      <c r="I50" s="96"/>
      <c r="J50" s="98"/>
      <c r="K50" s="58"/>
      <c r="L50" s="52"/>
    </row>
    <row r="51" spans="2:12">
      <c r="B51" s="50"/>
      <c r="C51" s="97"/>
      <c r="D51" s="95"/>
      <c r="E51" s="95"/>
      <c r="F51" s="95"/>
      <c r="G51" s="95"/>
      <c r="H51" s="118">
        <f t="shared" si="2"/>
        <v>0</v>
      </c>
      <c r="I51" s="96"/>
      <c r="J51" s="98"/>
      <c r="K51" s="58"/>
      <c r="L51" s="52"/>
    </row>
    <row r="52" spans="2:12">
      <c r="B52" s="50"/>
      <c r="C52" s="97"/>
      <c r="D52" s="95"/>
      <c r="E52" s="95"/>
      <c r="F52" s="95"/>
      <c r="G52" s="95"/>
      <c r="H52" s="118">
        <f t="shared" si="2"/>
        <v>0</v>
      </c>
      <c r="I52" s="96"/>
      <c r="J52" s="98"/>
      <c r="K52" s="58"/>
      <c r="L52" s="52"/>
    </row>
    <row r="53" spans="2:12">
      <c r="B53" s="50"/>
      <c r="C53" s="97"/>
      <c r="D53" s="95"/>
      <c r="E53" s="95"/>
      <c r="F53" s="95"/>
      <c r="G53" s="95"/>
      <c r="H53" s="118">
        <f t="shared" si="2"/>
        <v>0</v>
      </c>
      <c r="I53" s="96"/>
      <c r="J53" s="98"/>
      <c r="K53" s="58"/>
      <c r="L53" s="52"/>
    </row>
    <row r="54" spans="2:12">
      <c r="B54" s="50"/>
      <c r="C54" s="97"/>
      <c r="D54" s="95"/>
      <c r="E54" s="95"/>
      <c r="F54" s="95"/>
      <c r="G54" s="95"/>
      <c r="H54" s="95"/>
      <c r="I54" s="96"/>
      <c r="J54" s="98"/>
      <c r="K54" s="58"/>
      <c r="L54" s="52"/>
    </row>
    <row r="55" spans="2:12">
      <c r="B55" s="50"/>
      <c r="C55" s="97"/>
      <c r="D55" s="95"/>
      <c r="E55" s="95"/>
      <c r="F55" s="95"/>
      <c r="G55" s="95"/>
      <c r="H55" s="95"/>
      <c r="I55" s="96"/>
      <c r="J55" s="98"/>
      <c r="K55" s="58"/>
      <c r="L55" s="52"/>
    </row>
    <row r="56" spans="2:12">
      <c r="B56" s="50"/>
      <c r="C56" s="97"/>
      <c r="D56" s="95"/>
      <c r="E56" s="95"/>
      <c r="F56" s="95"/>
      <c r="G56" s="95"/>
      <c r="H56" s="95"/>
      <c r="I56" s="96"/>
      <c r="J56" s="98"/>
      <c r="K56" s="58"/>
      <c r="L56" s="52"/>
    </row>
    <row r="57" spans="2:12">
      <c r="B57" s="50"/>
      <c r="C57" s="97"/>
      <c r="D57" s="95"/>
      <c r="E57" s="95"/>
      <c r="F57" s="95"/>
      <c r="G57" s="95"/>
      <c r="H57" s="95"/>
      <c r="I57" s="96"/>
      <c r="J57" s="98"/>
      <c r="K57" s="58"/>
      <c r="L57" s="52"/>
    </row>
    <row r="58" spans="2:12">
      <c r="B58" s="50"/>
      <c r="C58" s="97"/>
      <c r="D58" s="95"/>
      <c r="E58" s="95"/>
      <c r="F58" s="95"/>
      <c r="G58" s="95"/>
      <c r="H58" s="95"/>
      <c r="I58" s="96"/>
      <c r="J58" s="98"/>
      <c r="K58" s="58"/>
      <c r="L58" s="52"/>
    </row>
    <row r="59" spans="2:12">
      <c r="B59" s="50"/>
      <c r="C59" s="97"/>
      <c r="D59" s="95"/>
      <c r="E59" s="95"/>
      <c r="F59" s="95"/>
      <c r="G59" s="95"/>
      <c r="H59" s="95"/>
      <c r="I59" s="96"/>
      <c r="J59" s="98"/>
      <c r="K59" s="58"/>
      <c r="L59" s="52"/>
    </row>
    <row r="60" spans="2:12">
      <c r="B60" s="50"/>
      <c r="C60" s="97"/>
      <c r="D60" s="95"/>
      <c r="E60" s="95"/>
      <c r="F60" s="95"/>
      <c r="G60" s="95"/>
      <c r="H60" s="95"/>
      <c r="I60" s="96"/>
      <c r="J60" s="98"/>
      <c r="K60" s="58"/>
      <c r="L60" s="52"/>
    </row>
    <row r="61" spans="2:12">
      <c r="B61" s="50"/>
      <c r="C61" s="97"/>
      <c r="D61" s="95"/>
      <c r="E61" s="95"/>
      <c r="F61" s="95"/>
      <c r="G61" s="95"/>
      <c r="H61" s="95"/>
      <c r="I61" s="96"/>
      <c r="J61" s="98"/>
      <c r="K61" s="58"/>
      <c r="L61" s="52"/>
    </row>
    <row r="62" spans="2:12">
      <c r="B62" s="50"/>
      <c r="C62" s="97"/>
      <c r="D62" s="95"/>
      <c r="E62" s="95"/>
      <c r="F62" s="95"/>
      <c r="G62" s="95"/>
      <c r="H62" s="95"/>
      <c r="I62" s="96"/>
      <c r="J62" s="98"/>
      <c r="K62" s="58"/>
      <c r="L62" s="52"/>
    </row>
    <row r="63" spans="2:12">
      <c r="B63" s="50"/>
      <c r="C63" s="97"/>
      <c r="D63" s="95"/>
      <c r="E63" s="95"/>
      <c r="F63" s="95"/>
      <c r="G63" s="95"/>
      <c r="H63" s="95"/>
      <c r="I63" s="96"/>
      <c r="J63" s="98"/>
      <c r="K63" s="58"/>
      <c r="L63" s="52"/>
    </row>
    <row r="64" spans="2:12">
      <c r="B64" s="50"/>
      <c r="C64" s="97"/>
      <c r="D64" s="95"/>
      <c r="E64" s="95"/>
      <c r="F64" s="95"/>
      <c r="G64" s="95"/>
      <c r="H64" s="95"/>
      <c r="I64" s="96"/>
      <c r="J64" s="98"/>
      <c r="K64" s="58"/>
      <c r="L64" s="52"/>
    </row>
    <row r="65" spans="2:12">
      <c r="B65" s="50"/>
      <c r="C65" s="97"/>
      <c r="D65" s="95"/>
      <c r="E65" s="95"/>
      <c r="F65" s="95"/>
      <c r="G65" s="95"/>
      <c r="H65" s="95"/>
      <c r="I65" s="96"/>
      <c r="J65" s="98"/>
      <c r="K65" s="58"/>
      <c r="L65" s="52"/>
    </row>
    <row r="66" spans="2:12">
      <c r="B66" s="50"/>
      <c r="C66" s="97"/>
      <c r="D66" s="95"/>
      <c r="E66" s="95"/>
      <c r="F66" s="95"/>
      <c r="G66" s="95"/>
      <c r="H66" s="95"/>
      <c r="I66" s="96"/>
      <c r="J66" s="98"/>
      <c r="K66" s="58"/>
      <c r="L66" s="52"/>
    </row>
    <row r="67" spans="2:12">
      <c r="B67" s="50"/>
      <c r="C67" s="97"/>
      <c r="D67" s="95"/>
      <c r="E67" s="95"/>
      <c r="F67" s="95"/>
      <c r="G67" s="95"/>
      <c r="H67" s="95"/>
      <c r="I67" s="96"/>
      <c r="J67" s="98"/>
      <c r="K67" s="58"/>
      <c r="L67" s="52"/>
    </row>
    <row r="68" spans="2:12">
      <c r="B68" s="50"/>
      <c r="C68" s="97"/>
      <c r="D68" s="95"/>
      <c r="E68" s="95"/>
      <c r="F68" s="95"/>
      <c r="G68" s="95"/>
      <c r="H68" s="95"/>
      <c r="I68" s="96"/>
      <c r="J68" s="98"/>
      <c r="K68" s="58"/>
      <c r="L68" s="52"/>
    </row>
    <row r="69" spans="2:12">
      <c r="B69" s="50"/>
      <c r="C69" s="97"/>
      <c r="D69" s="95"/>
      <c r="E69" s="95"/>
      <c r="F69" s="95"/>
      <c r="G69" s="95"/>
      <c r="H69" s="95"/>
      <c r="I69" s="96"/>
      <c r="J69" s="98"/>
      <c r="K69" s="58"/>
      <c r="L69" s="52"/>
    </row>
    <row r="70" spans="2:12">
      <c r="B70" s="50"/>
      <c r="C70" s="97"/>
      <c r="D70" s="95"/>
      <c r="E70" s="95"/>
      <c r="F70" s="95"/>
      <c r="G70" s="95"/>
      <c r="H70" s="95"/>
      <c r="I70" s="96"/>
      <c r="J70" s="98"/>
      <c r="K70" s="58"/>
      <c r="L70" s="52"/>
    </row>
    <row r="71" spans="2:12">
      <c r="B71" s="50"/>
      <c r="C71" s="97"/>
      <c r="D71" s="95"/>
      <c r="E71" s="95"/>
      <c r="F71" s="95"/>
      <c r="G71" s="95"/>
      <c r="H71" s="95"/>
      <c r="I71" s="96"/>
      <c r="J71" s="98"/>
      <c r="K71" s="58"/>
      <c r="L71" s="52"/>
    </row>
    <row r="72" spans="2:12">
      <c r="B72" s="50"/>
      <c r="C72" s="97"/>
      <c r="D72" s="95"/>
      <c r="E72" s="95"/>
      <c r="F72" s="95"/>
      <c r="G72" s="95"/>
      <c r="H72" s="95"/>
      <c r="I72" s="96"/>
      <c r="J72" s="98"/>
      <c r="K72" s="58"/>
      <c r="L72" s="52"/>
    </row>
    <row r="73" spans="2:12">
      <c r="B73" s="50"/>
      <c r="C73" s="97"/>
      <c r="D73" s="95"/>
      <c r="E73" s="95"/>
      <c r="F73" s="95"/>
      <c r="G73" s="95"/>
      <c r="H73" s="95"/>
      <c r="I73" s="96"/>
      <c r="J73" s="98"/>
      <c r="K73" s="58"/>
      <c r="L73" s="52"/>
    </row>
    <row r="74" spans="2:12">
      <c r="B74" s="50"/>
      <c r="C74" s="97"/>
      <c r="D74" s="95"/>
      <c r="E74" s="95"/>
      <c r="F74" s="95"/>
      <c r="G74" s="95"/>
      <c r="H74" s="95"/>
      <c r="I74" s="96"/>
      <c r="J74" s="98"/>
      <c r="K74" s="58"/>
      <c r="L74" s="52"/>
    </row>
    <row r="75" spans="2:12">
      <c r="B75" s="50"/>
      <c r="C75" s="97"/>
      <c r="D75" s="95"/>
      <c r="E75" s="95"/>
      <c r="F75" s="95"/>
      <c r="G75" s="95"/>
      <c r="H75" s="95"/>
      <c r="I75" s="96"/>
      <c r="J75" s="98"/>
      <c r="K75" s="58"/>
      <c r="L75" s="52"/>
    </row>
    <row r="76" spans="2:12">
      <c r="B76" s="50"/>
      <c r="C76" s="97"/>
      <c r="D76" s="95"/>
      <c r="E76" s="95"/>
      <c r="F76" s="95"/>
      <c r="G76" s="95"/>
      <c r="H76" s="95"/>
      <c r="I76" s="96"/>
      <c r="J76" s="98"/>
      <c r="K76" s="58"/>
      <c r="L76" s="52"/>
    </row>
    <row r="77" spans="2:12">
      <c r="B77" s="50"/>
      <c r="C77" s="97"/>
      <c r="D77" s="95"/>
      <c r="E77" s="95"/>
      <c r="F77" s="95"/>
      <c r="G77" s="95"/>
      <c r="H77" s="95"/>
      <c r="I77" s="96"/>
      <c r="J77" s="98"/>
      <c r="K77" s="58"/>
      <c r="L77" s="52"/>
    </row>
    <row r="78" spans="2:12">
      <c r="B78" s="50"/>
      <c r="C78" s="97"/>
      <c r="D78" s="95"/>
      <c r="E78" s="95"/>
      <c r="F78" s="95"/>
      <c r="G78" s="95"/>
      <c r="H78" s="95"/>
      <c r="I78" s="96"/>
      <c r="J78" s="98"/>
      <c r="K78" s="58"/>
      <c r="L78" s="52"/>
    </row>
    <row r="79" spans="2:12">
      <c r="B79" s="50"/>
      <c r="C79" s="97"/>
      <c r="D79" s="95"/>
      <c r="E79" s="95"/>
      <c r="F79" s="95"/>
      <c r="G79" s="95"/>
      <c r="H79" s="95"/>
      <c r="I79" s="96"/>
      <c r="J79" s="98"/>
      <c r="K79" s="58"/>
      <c r="L79" s="52"/>
    </row>
    <row r="80" spans="2:12">
      <c r="B80" s="50"/>
      <c r="C80" s="97"/>
      <c r="D80" s="95"/>
      <c r="E80" s="95"/>
      <c r="F80" s="95"/>
      <c r="G80" s="95"/>
      <c r="H80" s="95"/>
      <c r="I80" s="96"/>
      <c r="J80" s="98"/>
      <c r="K80" s="58"/>
      <c r="L80" s="52"/>
    </row>
    <row r="81" spans="2:12">
      <c r="B81" s="50"/>
      <c r="C81" s="97"/>
      <c r="D81" s="95"/>
      <c r="E81" s="95"/>
      <c r="F81" s="95"/>
      <c r="G81" s="95"/>
      <c r="H81" s="95"/>
      <c r="I81" s="96"/>
      <c r="J81" s="98"/>
      <c r="K81" s="58"/>
      <c r="L81" s="52"/>
    </row>
    <row r="82" spans="2:12">
      <c r="B82" s="50"/>
      <c r="C82" s="97"/>
      <c r="D82" s="95"/>
      <c r="E82" s="95"/>
      <c r="F82" s="95"/>
      <c r="G82" s="95"/>
      <c r="H82" s="95"/>
      <c r="I82" s="96"/>
      <c r="J82" s="98"/>
      <c r="K82" s="58"/>
      <c r="L82" s="52"/>
    </row>
    <row r="83" spans="2:12">
      <c r="B83" s="50"/>
      <c r="C83" s="97"/>
      <c r="D83" s="95"/>
      <c r="E83" s="95"/>
      <c r="F83" s="95"/>
      <c r="G83" s="95"/>
      <c r="H83" s="95"/>
      <c r="I83" s="96"/>
      <c r="J83" s="98"/>
      <c r="K83" s="58"/>
      <c r="L83" s="52"/>
    </row>
    <row r="84" spans="2:12">
      <c r="B84" s="50"/>
      <c r="C84" s="97"/>
      <c r="D84" s="95"/>
      <c r="E84" s="95"/>
      <c r="F84" s="95"/>
      <c r="G84" s="95"/>
      <c r="H84" s="95"/>
      <c r="I84" s="96"/>
      <c r="J84" s="98"/>
      <c r="K84" s="58"/>
      <c r="L84" s="52"/>
    </row>
    <row r="85" spans="2:12">
      <c r="B85" s="50"/>
      <c r="C85" s="97"/>
      <c r="D85" s="95"/>
      <c r="E85" s="95"/>
      <c r="F85" s="95"/>
      <c r="G85" s="95"/>
      <c r="H85" s="95"/>
      <c r="I85" s="96"/>
      <c r="J85" s="98"/>
      <c r="K85" s="58"/>
      <c r="L85" s="52"/>
    </row>
    <row r="86" spans="2:12">
      <c r="B86" s="50"/>
      <c r="C86" s="97"/>
      <c r="D86" s="95"/>
      <c r="E86" s="95"/>
      <c r="F86" s="95"/>
      <c r="G86" s="95"/>
      <c r="H86" s="95"/>
      <c r="I86" s="96"/>
      <c r="J86" s="98"/>
      <c r="K86" s="58"/>
      <c r="L86" s="52"/>
    </row>
    <row r="87" spans="2:12">
      <c r="B87" s="50"/>
      <c r="C87" s="97"/>
      <c r="D87" s="95"/>
      <c r="E87" s="95"/>
      <c r="F87" s="95"/>
      <c r="G87" s="95"/>
      <c r="H87" s="95"/>
      <c r="I87" s="96"/>
      <c r="J87" s="98"/>
      <c r="K87" s="58"/>
      <c r="L87" s="52"/>
    </row>
    <row r="88" spans="2:12">
      <c r="B88" s="50"/>
      <c r="C88" s="97"/>
      <c r="D88" s="95"/>
      <c r="E88" s="95"/>
      <c r="F88" s="95"/>
      <c r="G88" s="95"/>
      <c r="H88" s="95"/>
      <c r="I88" s="96"/>
      <c r="J88" s="98"/>
      <c r="K88" s="58"/>
      <c r="L88" s="52"/>
    </row>
    <row r="89" spans="2:12">
      <c r="B89" s="50"/>
      <c r="C89" s="97"/>
      <c r="D89" s="95"/>
      <c r="E89" s="95"/>
      <c r="F89" s="95"/>
      <c r="G89" s="95"/>
      <c r="H89" s="95"/>
      <c r="I89" s="96"/>
      <c r="J89" s="98"/>
      <c r="K89" s="58"/>
      <c r="L89" s="52"/>
    </row>
    <row r="90" spans="2:12">
      <c r="B90" s="50"/>
      <c r="C90" s="97"/>
      <c r="D90" s="95"/>
      <c r="E90" s="95"/>
      <c r="F90" s="95"/>
      <c r="G90" s="95"/>
      <c r="H90" s="95"/>
      <c r="I90" s="96"/>
      <c r="J90" s="98"/>
      <c r="K90" s="58"/>
      <c r="L90" s="52"/>
    </row>
    <row r="91" spans="2:12">
      <c r="B91" s="50"/>
      <c r="C91" s="97"/>
      <c r="D91" s="95"/>
      <c r="E91" s="95"/>
      <c r="F91" s="95"/>
      <c r="G91" s="95"/>
      <c r="H91" s="95"/>
      <c r="I91" s="96"/>
      <c r="J91" s="98"/>
      <c r="K91" s="58"/>
      <c r="L91" s="52"/>
    </row>
    <row r="92" spans="2:12">
      <c r="B92" s="50"/>
      <c r="C92" s="97"/>
      <c r="D92" s="95"/>
      <c r="E92" s="95"/>
      <c r="F92" s="95"/>
      <c r="G92" s="95"/>
      <c r="H92" s="95"/>
      <c r="I92" s="96"/>
      <c r="J92" s="98"/>
      <c r="K92" s="58"/>
      <c r="L92" s="52"/>
    </row>
    <row r="93" spans="2:12">
      <c r="B93" s="50"/>
      <c r="C93" s="97"/>
      <c r="D93" s="95"/>
      <c r="E93" s="95"/>
      <c r="F93" s="95"/>
      <c r="G93" s="95"/>
      <c r="H93" s="95"/>
      <c r="I93" s="96"/>
      <c r="J93" s="98"/>
      <c r="K93" s="58"/>
      <c r="L93" s="52"/>
    </row>
    <row r="94" spans="2:12">
      <c r="B94" s="50"/>
      <c r="C94" s="97"/>
      <c r="D94" s="95"/>
      <c r="E94" s="95"/>
      <c r="F94" s="95"/>
      <c r="G94" s="95"/>
      <c r="H94" s="95"/>
      <c r="I94" s="96"/>
      <c r="J94" s="98"/>
      <c r="K94" s="58"/>
      <c r="L94" s="52"/>
    </row>
    <row r="95" spans="2:12">
      <c r="B95" s="50"/>
      <c r="C95" s="97"/>
      <c r="D95" s="95"/>
      <c r="E95" s="95"/>
      <c r="F95" s="95"/>
      <c r="G95" s="95"/>
      <c r="H95" s="95"/>
      <c r="I95" s="96"/>
      <c r="J95" s="98"/>
      <c r="K95" s="58"/>
      <c r="L95" s="52"/>
    </row>
    <row r="96" spans="2:12">
      <c r="B96" s="50"/>
      <c r="C96" s="97"/>
      <c r="D96" s="95"/>
      <c r="E96" s="95"/>
      <c r="F96" s="95"/>
      <c r="G96" s="95"/>
      <c r="H96" s="95"/>
      <c r="I96" s="96"/>
      <c r="J96" s="98"/>
      <c r="K96" s="58"/>
      <c r="L96" s="52"/>
    </row>
    <row r="97" spans="2:12">
      <c r="B97" s="50"/>
      <c r="C97" s="97"/>
      <c r="D97" s="95"/>
      <c r="E97" s="95"/>
      <c r="F97" s="95"/>
      <c r="G97" s="95"/>
      <c r="H97" s="95"/>
      <c r="I97" s="96"/>
      <c r="J97" s="98"/>
      <c r="K97" s="58"/>
      <c r="L97" s="52"/>
    </row>
    <row r="98" spans="2:12">
      <c r="B98" s="50"/>
      <c r="C98" s="97"/>
      <c r="D98" s="95"/>
      <c r="E98" s="95"/>
      <c r="F98" s="95"/>
      <c r="G98" s="95"/>
      <c r="H98" s="95"/>
      <c r="I98" s="96"/>
      <c r="J98" s="98"/>
      <c r="K98" s="58"/>
      <c r="L98" s="52"/>
    </row>
    <row r="99" spans="2:12">
      <c r="B99" s="50"/>
      <c r="C99" s="97"/>
      <c r="D99" s="95"/>
      <c r="E99" s="95"/>
      <c r="F99" s="95"/>
      <c r="G99" s="95"/>
      <c r="H99" s="95"/>
      <c r="I99" s="96"/>
      <c r="J99" s="98"/>
      <c r="K99" s="58"/>
      <c r="L99" s="52"/>
    </row>
    <row r="100" spans="2:12">
      <c r="B100" s="50"/>
      <c r="C100" s="97"/>
      <c r="D100" s="95"/>
      <c r="E100" s="95"/>
      <c r="F100" s="95"/>
      <c r="G100" s="95"/>
      <c r="H100" s="95"/>
      <c r="I100" s="96"/>
      <c r="J100" s="98"/>
      <c r="K100" s="58"/>
      <c r="L100" s="52"/>
    </row>
    <row r="101" spans="2:12">
      <c r="B101" s="50"/>
      <c r="C101" s="97"/>
      <c r="D101" s="95"/>
      <c r="E101" s="95"/>
      <c r="F101" s="95"/>
      <c r="G101" s="95"/>
      <c r="H101" s="95"/>
      <c r="I101" s="96"/>
      <c r="J101" s="98"/>
      <c r="K101" s="58"/>
      <c r="L101" s="52"/>
    </row>
    <row r="102" spans="2:12">
      <c r="B102" s="50"/>
      <c r="C102" s="97"/>
      <c r="D102" s="95"/>
      <c r="E102" s="95"/>
      <c r="F102" s="95"/>
      <c r="G102" s="95"/>
      <c r="H102" s="95"/>
      <c r="I102" s="96"/>
      <c r="J102" s="98"/>
      <c r="K102" s="58"/>
      <c r="L102" s="52"/>
    </row>
    <row r="103" spans="2:12">
      <c r="B103" s="50"/>
      <c r="C103" s="97"/>
      <c r="D103" s="95"/>
      <c r="E103" s="95"/>
      <c r="F103" s="95"/>
      <c r="G103" s="95"/>
      <c r="H103" s="95"/>
      <c r="I103" s="96"/>
      <c r="J103" s="98"/>
      <c r="K103" s="58"/>
      <c r="L103" s="52"/>
    </row>
    <row r="104" spans="2:12">
      <c r="B104" s="50"/>
      <c r="C104" s="97"/>
      <c r="D104" s="95"/>
      <c r="E104" s="95"/>
      <c r="F104" s="95"/>
      <c r="G104" s="95"/>
      <c r="H104" s="95"/>
      <c r="I104" s="96"/>
      <c r="J104" s="98"/>
      <c r="K104" s="58"/>
      <c r="L104" s="52"/>
    </row>
    <row r="105" spans="2:12">
      <c r="B105" s="50"/>
      <c r="C105" s="97"/>
      <c r="D105" s="95"/>
      <c r="E105" s="95"/>
      <c r="F105" s="95"/>
      <c r="G105" s="95"/>
      <c r="H105" s="95"/>
      <c r="I105" s="96"/>
      <c r="J105" s="98"/>
      <c r="K105" s="58"/>
      <c r="L105" s="52"/>
    </row>
    <row r="106" spans="2:12">
      <c r="B106" s="50"/>
      <c r="C106" s="97"/>
      <c r="D106" s="95"/>
      <c r="E106" s="95"/>
      <c r="F106" s="95"/>
      <c r="G106" s="95"/>
      <c r="H106" s="95"/>
      <c r="I106" s="96"/>
      <c r="J106" s="98"/>
      <c r="K106" s="58"/>
      <c r="L106" s="52"/>
    </row>
    <row r="107" spans="2:12">
      <c r="B107" s="50"/>
      <c r="C107" s="97"/>
      <c r="D107" s="95"/>
      <c r="E107" s="95"/>
      <c r="F107" s="95"/>
      <c r="G107" s="95"/>
      <c r="H107" s="95"/>
      <c r="I107" s="96"/>
      <c r="J107" s="98"/>
      <c r="K107" s="58"/>
      <c r="L107" s="52"/>
    </row>
    <row r="108" spans="2:12">
      <c r="B108" s="50"/>
      <c r="C108" s="97"/>
      <c r="D108" s="95"/>
      <c r="E108" s="95"/>
      <c r="F108" s="95"/>
      <c r="G108" s="95"/>
      <c r="H108" s="95"/>
      <c r="I108" s="96"/>
      <c r="J108" s="98"/>
      <c r="K108" s="58"/>
      <c r="L108" s="52"/>
    </row>
    <row r="109" spans="2:12">
      <c r="B109" s="50"/>
      <c r="C109" s="97"/>
      <c r="D109" s="95"/>
      <c r="E109" s="95"/>
      <c r="F109" s="95"/>
      <c r="G109" s="95"/>
      <c r="H109" s="95"/>
      <c r="I109" s="96"/>
      <c r="J109" s="98"/>
      <c r="K109" s="58"/>
      <c r="L109" s="52"/>
    </row>
    <row r="110" spans="2:12">
      <c r="B110" s="50"/>
      <c r="C110" s="97"/>
      <c r="D110" s="95"/>
      <c r="E110" s="95"/>
      <c r="F110" s="95"/>
      <c r="G110" s="95"/>
      <c r="H110" s="95"/>
      <c r="I110" s="96"/>
      <c r="J110" s="98"/>
      <c r="K110" s="58"/>
      <c r="L110" s="52"/>
    </row>
    <row r="111" spans="2:12">
      <c r="B111" s="50"/>
      <c r="C111" s="97"/>
      <c r="D111" s="95"/>
      <c r="E111" s="95"/>
      <c r="F111" s="95"/>
      <c r="G111" s="95"/>
      <c r="H111" s="95"/>
      <c r="I111" s="96"/>
      <c r="J111" s="98"/>
      <c r="K111" s="58"/>
      <c r="L111" s="52"/>
    </row>
    <row r="112" spans="2:12">
      <c r="B112" s="50"/>
      <c r="C112" s="97"/>
      <c r="D112" s="95"/>
      <c r="E112" s="95"/>
      <c r="F112" s="95"/>
      <c r="G112" s="95"/>
      <c r="H112" s="95"/>
      <c r="I112" s="96"/>
      <c r="J112" s="98"/>
      <c r="K112" s="58"/>
      <c r="L112" s="52"/>
    </row>
    <row r="113" spans="2:12">
      <c r="B113" s="50"/>
      <c r="C113" s="97"/>
      <c r="D113" s="95"/>
      <c r="E113" s="95"/>
      <c r="F113" s="95"/>
      <c r="G113" s="95"/>
      <c r="H113" s="95"/>
      <c r="I113" s="96"/>
      <c r="J113" s="98"/>
      <c r="K113" s="58"/>
      <c r="L113" s="52"/>
    </row>
    <row r="114" spans="2:12">
      <c r="B114" s="50"/>
      <c r="C114" s="97"/>
      <c r="D114" s="95"/>
      <c r="E114" s="95"/>
      <c r="F114" s="95"/>
      <c r="G114" s="95"/>
      <c r="H114" s="95"/>
      <c r="I114" s="96"/>
      <c r="J114" s="98"/>
      <c r="K114" s="58"/>
      <c r="L114" s="52"/>
    </row>
    <row r="115" spans="2:12">
      <c r="B115" s="50"/>
      <c r="C115" s="97"/>
      <c r="D115" s="95"/>
      <c r="E115" s="95"/>
      <c r="F115" s="95"/>
      <c r="G115" s="95"/>
      <c r="H115" s="95"/>
      <c r="I115" s="96"/>
      <c r="J115" s="98"/>
      <c r="K115" s="58"/>
      <c r="L115" s="52"/>
    </row>
    <row r="116" spans="2:12">
      <c r="B116" s="50"/>
      <c r="C116" s="97"/>
      <c r="D116" s="95"/>
      <c r="E116" s="95"/>
      <c r="F116" s="95"/>
      <c r="G116" s="95"/>
      <c r="H116" s="95"/>
      <c r="I116" s="96"/>
      <c r="J116" s="98"/>
      <c r="K116" s="58"/>
      <c r="L116" s="52"/>
    </row>
    <row r="117" spans="2:12">
      <c r="B117" s="50"/>
      <c r="C117" s="97"/>
      <c r="D117" s="95"/>
      <c r="E117" s="95"/>
      <c r="F117" s="95"/>
      <c r="G117" s="95"/>
      <c r="H117" s="95"/>
      <c r="I117" s="96"/>
      <c r="J117" s="98"/>
      <c r="K117" s="58"/>
      <c r="L117" s="52"/>
    </row>
    <row r="118" spans="2:12">
      <c r="B118" s="50"/>
      <c r="C118" s="51"/>
      <c r="D118" s="44"/>
      <c r="E118" s="44"/>
      <c r="F118" s="44"/>
      <c r="G118" s="44"/>
      <c r="H118" s="44"/>
      <c r="I118" s="61"/>
      <c r="J118" s="59"/>
      <c r="K118" s="58"/>
      <c r="L118" s="52"/>
    </row>
    <row r="119" spans="2:12">
      <c r="B119" s="50"/>
      <c r="C119" s="51"/>
      <c r="D119" s="44"/>
      <c r="E119" s="44"/>
      <c r="F119" s="44"/>
      <c r="G119" s="44"/>
      <c r="H119" s="44"/>
      <c r="I119" s="61"/>
      <c r="J119" s="59"/>
      <c r="K119" s="58"/>
      <c r="L119" s="52"/>
    </row>
    <row r="120" spans="2:12">
      <c r="B120" s="50"/>
      <c r="C120" s="51"/>
      <c r="D120" s="44"/>
      <c r="E120" s="44"/>
      <c r="F120" s="44"/>
      <c r="G120" s="44"/>
      <c r="H120" s="44"/>
      <c r="I120" s="61"/>
      <c r="J120" s="59"/>
      <c r="K120" s="58"/>
      <c r="L120" s="52"/>
    </row>
    <row r="121" spans="2:12">
      <c r="B121" s="50"/>
      <c r="C121" s="51"/>
      <c r="D121" s="44"/>
      <c r="E121" s="44"/>
      <c r="F121" s="44"/>
      <c r="G121" s="44"/>
      <c r="H121" s="44"/>
      <c r="I121" s="61"/>
      <c r="J121" s="59"/>
      <c r="K121" s="58"/>
      <c r="L121" s="52"/>
    </row>
    <row r="122" spans="2:12">
      <c r="B122" s="50"/>
      <c r="C122" s="51"/>
      <c r="D122" s="44"/>
      <c r="E122" s="44"/>
      <c r="F122" s="44"/>
      <c r="G122" s="44"/>
      <c r="H122" s="44"/>
      <c r="I122" s="61"/>
      <c r="J122" s="59"/>
      <c r="K122" s="58"/>
      <c r="L122" s="52"/>
    </row>
    <row r="123" spans="2:12">
      <c r="B123" s="50"/>
      <c r="C123" s="51"/>
      <c r="D123" s="44"/>
      <c r="E123" s="44"/>
      <c r="F123" s="44"/>
      <c r="G123" s="44"/>
      <c r="H123" s="44"/>
      <c r="I123" s="61"/>
      <c r="J123" s="59"/>
      <c r="K123" s="58"/>
      <c r="L123" s="52"/>
    </row>
    <row r="124" spans="2:12">
      <c r="B124" s="50"/>
      <c r="C124" s="51"/>
      <c r="D124" s="44"/>
      <c r="E124" s="44"/>
      <c r="F124" s="44"/>
      <c r="G124" s="44"/>
      <c r="H124" s="44"/>
      <c r="I124" s="61"/>
      <c r="J124" s="59"/>
      <c r="K124" s="58"/>
      <c r="L124" s="52"/>
    </row>
    <row r="125" spans="2:12">
      <c r="B125" s="50"/>
      <c r="C125" s="51"/>
      <c r="D125" s="44"/>
      <c r="E125" s="44"/>
      <c r="F125" s="44"/>
      <c r="G125" s="44"/>
      <c r="H125" s="44"/>
      <c r="I125" s="61"/>
      <c r="J125" s="59"/>
      <c r="K125" s="58"/>
      <c r="L125" s="52"/>
    </row>
    <row r="126" spans="2:12">
      <c r="B126" s="50"/>
      <c r="C126" s="51"/>
      <c r="D126" s="44"/>
      <c r="E126" s="44"/>
      <c r="F126" s="44"/>
      <c r="G126" s="44"/>
      <c r="H126" s="44"/>
      <c r="I126" s="61"/>
      <c r="J126" s="59"/>
      <c r="K126" s="58"/>
      <c r="L126" s="52"/>
    </row>
    <row r="127" spans="2:12">
      <c r="B127" s="50"/>
      <c r="C127" s="51"/>
      <c r="D127" s="44"/>
      <c r="E127" s="44"/>
      <c r="F127" s="44"/>
      <c r="G127" s="44"/>
      <c r="H127" s="44"/>
      <c r="I127" s="61"/>
      <c r="J127" s="59"/>
      <c r="K127" s="58"/>
      <c r="L127" s="52"/>
    </row>
    <row r="128" spans="2:12">
      <c r="B128" s="50"/>
      <c r="C128" s="51"/>
      <c r="D128" s="44"/>
      <c r="E128" s="44"/>
      <c r="F128" s="44"/>
      <c r="G128" s="44"/>
      <c r="H128" s="44"/>
      <c r="I128" s="61"/>
      <c r="J128" s="59"/>
      <c r="K128" s="58"/>
      <c r="L128" s="52"/>
    </row>
    <row r="129" spans="2:12">
      <c r="B129" s="50"/>
      <c r="C129" s="51"/>
      <c r="D129" s="44"/>
      <c r="E129" s="44"/>
      <c r="F129" s="44"/>
      <c r="G129" s="44"/>
      <c r="H129" s="44"/>
      <c r="I129" s="61"/>
      <c r="J129" s="59"/>
      <c r="K129" s="58"/>
      <c r="L129" s="52"/>
    </row>
    <row r="130" spans="2:12">
      <c r="B130" s="50"/>
      <c r="C130" s="51"/>
      <c r="D130" s="44"/>
      <c r="E130" s="44"/>
      <c r="F130" s="44"/>
      <c r="G130" s="44"/>
      <c r="H130" s="44"/>
      <c r="I130" s="61"/>
      <c r="J130" s="59"/>
      <c r="K130" s="58"/>
      <c r="L130" s="52"/>
    </row>
    <row r="131" spans="2:12">
      <c r="B131" s="50"/>
      <c r="C131" s="51"/>
      <c r="D131" s="44"/>
      <c r="E131" s="44"/>
      <c r="F131" s="44"/>
      <c r="G131" s="44"/>
      <c r="H131" s="44"/>
      <c r="I131" s="61"/>
      <c r="J131" s="59"/>
      <c r="K131" s="58"/>
      <c r="L131" s="52"/>
    </row>
    <row r="132" spans="2:12">
      <c r="B132" s="50"/>
      <c r="C132" s="51"/>
      <c r="D132" s="44"/>
      <c r="E132" s="44"/>
      <c r="F132" s="44"/>
      <c r="G132" s="44"/>
      <c r="H132" s="44"/>
      <c r="I132" s="61"/>
      <c r="J132" s="59"/>
      <c r="K132" s="58"/>
      <c r="L132" s="52"/>
    </row>
    <row r="133" spans="2:12">
      <c r="B133" s="50"/>
      <c r="C133" s="51"/>
      <c r="D133" s="44"/>
      <c r="E133" s="44"/>
      <c r="F133" s="44"/>
      <c r="G133" s="44"/>
      <c r="H133" s="44"/>
      <c r="I133" s="61"/>
      <c r="J133" s="59"/>
      <c r="K133" s="58"/>
      <c r="L133" s="52"/>
    </row>
    <row r="134" spans="2:12">
      <c r="B134" s="50"/>
      <c r="C134" s="51"/>
      <c r="D134" s="44"/>
      <c r="E134" s="44"/>
      <c r="F134" s="44"/>
      <c r="G134" s="44"/>
      <c r="H134" s="44"/>
      <c r="I134" s="61"/>
      <c r="J134" s="59"/>
      <c r="K134" s="58"/>
      <c r="L134" s="52"/>
    </row>
    <row r="135" spans="2:12">
      <c r="B135" s="50"/>
      <c r="C135" s="51"/>
      <c r="D135" s="44"/>
      <c r="E135" s="44"/>
      <c r="F135" s="44"/>
      <c r="G135" s="44"/>
      <c r="H135" s="44"/>
      <c r="I135" s="61"/>
      <c r="J135" s="59"/>
      <c r="K135" s="58"/>
      <c r="L135" s="52"/>
    </row>
    <row r="136" spans="2:12">
      <c r="B136" s="50"/>
      <c r="C136" s="51"/>
      <c r="D136" s="44"/>
      <c r="E136" s="44"/>
      <c r="F136" s="44"/>
      <c r="G136" s="44"/>
      <c r="H136" s="44"/>
      <c r="I136" s="61"/>
      <c r="J136" s="59"/>
      <c r="K136" s="58"/>
      <c r="L136" s="52"/>
    </row>
    <row r="137" spans="2:12">
      <c r="B137" s="50"/>
      <c r="C137" s="51"/>
      <c r="D137" s="44"/>
      <c r="E137" s="44"/>
      <c r="F137" s="44"/>
      <c r="G137" s="44"/>
      <c r="H137" s="44"/>
      <c r="I137" s="61"/>
      <c r="J137" s="59"/>
      <c r="K137" s="58"/>
      <c r="L137" s="52"/>
    </row>
    <row r="138" spans="2:12">
      <c r="B138" s="50"/>
      <c r="C138" s="51"/>
      <c r="D138" s="44"/>
      <c r="E138" s="44"/>
      <c r="F138" s="44"/>
      <c r="G138" s="44"/>
      <c r="H138" s="44"/>
      <c r="I138" s="61"/>
      <c r="J138" s="59"/>
      <c r="K138" s="58"/>
      <c r="L138" s="52"/>
    </row>
    <row r="139" spans="2:12">
      <c r="B139" s="50"/>
      <c r="C139" s="51"/>
      <c r="D139" s="44"/>
      <c r="E139" s="44"/>
      <c r="F139" s="44"/>
      <c r="G139" s="44"/>
      <c r="H139" s="44"/>
      <c r="I139" s="61"/>
      <c r="J139" s="59"/>
      <c r="K139" s="58"/>
      <c r="L139" s="52"/>
    </row>
    <row r="140" spans="2:12">
      <c r="B140" s="50"/>
      <c r="C140" s="51"/>
      <c r="D140" s="44"/>
      <c r="E140" s="44"/>
      <c r="F140" s="44"/>
      <c r="G140" s="44"/>
      <c r="H140" s="44"/>
      <c r="I140" s="61"/>
      <c r="J140" s="59"/>
      <c r="K140" s="58"/>
      <c r="L140" s="52"/>
    </row>
    <row r="141" spans="2:12">
      <c r="B141" s="50"/>
      <c r="C141" s="51"/>
      <c r="D141" s="44"/>
      <c r="E141" s="44"/>
      <c r="F141" s="44"/>
      <c r="G141" s="44"/>
      <c r="H141" s="44"/>
      <c r="I141" s="61"/>
      <c r="J141" s="59"/>
      <c r="K141" s="58"/>
      <c r="L141" s="52"/>
    </row>
    <row r="142" spans="2:12">
      <c r="B142" s="50"/>
      <c r="C142" s="51"/>
      <c r="D142" s="44"/>
      <c r="E142" s="44"/>
      <c r="F142" s="44"/>
      <c r="G142" s="44"/>
      <c r="H142" s="44"/>
      <c r="I142" s="61"/>
      <c r="J142" s="59"/>
      <c r="K142" s="58"/>
      <c r="L142" s="52"/>
    </row>
    <row r="143" spans="2:12">
      <c r="B143" s="50"/>
      <c r="C143" s="51"/>
      <c r="D143" s="44"/>
      <c r="E143" s="44"/>
      <c r="F143" s="44"/>
      <c r="G143" s="44"/>
      <c r="H143" s="44"/>
      <c r="I143" s="61"/>
      <c r="J143" s="59"/>
      <c r="K143" s="58"/>
      <c r="L143" s="52"/>
    </row>
    <row r="144" spans="2:12">
      <c r="B144" s="50"/>
      <c r="C144" s="51"/>
      <c r="D144" s="44"/>
      <c r="E144" s="44"/>
      <c r="F144" s="44"/>
      <c r="G144" s="44"/>
      <c r="H144" s="44"/>
      <c r="I144" s="61"/>
      <c r="J144" s="59"/>
      <c r="K144" s="58"/>
      <c r="L144" s="52"/>
    </row>
    <row r="145" spans="2:12">
      <c r="B145" s="50"/>
      <c r="C145" s="51"/>
      <c r="D145" s="44"/>
      <c r="E145" s="44"/>
      <c r="F145" s="44"/>
      <c r="G145" s="44"/>
      <c r="H145" s="44"/>
      <c r="I145" s="61"/>
      <c r="J145" s="59"/>
      <c r="K145" s="58"/>
      <c r="L145" s="52"/>
    </row>
    <row r="146" spans="2:12">
      <c r="B146" s="50"/>
      <c r="C146" s="51"/>
      <c r="D146" s="44"/>
      <c r="E146" s="44"/>
      <c r="F146" s="44"/>
      <c r="G146" s="44"/>
      <c r="H146" s="44"/>
      <c r="I146" s="61"/>
      <c r="J146" s="59"/>
      <c r="K146" s="58"/>
      <c r="L146" s="52"/>
    </row>
    <row r="147" spans="2:12">
      <c r="B147" s="50"/>
      <c r="C147" s="51"/>
      <c r="D147" s="44"/>
      <c r="E147" s="44"/>
      <c r="F147" s="44"/>
      <c r="G147" s="44"/>
      <c r="H147" s="44"/>
      <c r="I147" s="61"/>
      <c r="J147" s="59"/>
      <c r="K147" s="58"/>
      <c r="L147" s="52"/>
    </row>
    <row r="148" spans="2:12">
      <c r="B148" s="50"/>
      <c r="C148" s="51"/>
      <c r="D148" s="44"/>
      <c r="E148" s="44"/>
      <c r="F148" s="44"/>
      <c r="G148" s="44"/>
      <c r="H148" s="44"/>
      <c r="I148" s="61"/>
      <c r="J148" s="59"/>
      <c r="K148" s="58"/>
      <c r="L148" s="52"/>
    </row>
    <row r="149" spans="2:12">
      <c r="B149" s="50"/>
      <c r="C149" s="51"/>
      <c r="D149" s="44"/>
      <c r="E149" s="44"/>
      <c r="F149" s="44"/>
      <c r="G149" s="44"/>
      <c r="H149" s="44"/>
      <c r="I149" s="61"/>
      <c r="J149" s="59"/>
      <c r="K149" s="58"/>
      <c r="L149" s="52"/>
    </row>
    <row r="150" spans="2:12">
      <c r="B150" s="50"/>
      <c r="C150" s="51"/>
      <c r="D150" s="44"/>
      <c r="E150" s="44"/>
      <c r="F150" s="44"/>
      <c r="G150" s="44"/>
      <c r="H150" s="44"/>
      <c r="I150" s="61"/>
      <c r="J150" s="59"/>
      <c r="K150" s="58"/>
      <c r="L150" s="52"/>
    </row>
    <row r="151" spans="2:12">
      <c r="B151" s="50"/>
      <c r="C151" s="51"/>
      <c r="D151" s="44"/>
      <c r="E151" s="44"/>
      <c r="F151" s="44"/>
      <c r="G151" s="44"/>
      <c r="H151" s="44"/>
      <c r="I151" s="61"/>
      <c r="J151" s="59"/>
      <c r="K151" s="58"/>
      <c r="L151" s="52"/>
    </row>
    <row r="152" spans="2:12">
      <c r="B152" s="50"/>
      <c r="C152" s="51"/>
      <c r="D152" s="44"/>
      <c r="E152" s="44"/>
      <c r="F152" s="44"/>
      <c r="G152" s="44"/>
      <c r="H152" s="44"/>
      <c r="I152" s="61"/>
      <c r="J152" s="59"/>
      <c r="K152" s="58"/>
      <c r="L152" s="52"/>
    </row>
    <row r="153" spans="2:12">
      <c r="B153" s="50"/>
      <c r="C153" s="51"/>
      <c r="D153" s="44"/>
      <c r="E153" s="44"/>
      <c r="F153" s="44"/>
      <c r="G153" s="44"/>
      <c r="H153" s="44"/>
      <c r="I153" s="61"/>
      <c r="J153" s="59"/>
      <c r="K153" s="58"/>
      <c r="L153" s="52"/>
    </row>
    <row r="154" spans="2:12">
      <c r="B154" s="50"/>
      <c r="C154" s="51"/>
      <c r="D154" s="44"/>
      <c r="E154" s="44"/>
      <c r="F154" s="44"/>
      <c r="G154" s="44"/>
      <c r="H154" s="44"/>
      <c r="I154" s="61"/>
      <c r="J154" s="59"/>
      <c r="K154" s="58"/>
      <c r="L154" s="52"/>
    </row>
    <row r="155" spans="2:12">
      <c r="B155" s="50"/>
      <c r="C155" s="51"/>
      <c r="D155" s="44"/>
      <c r="E155" s="44"/>
      <c r="F155" s="44"/>
      <c r="G155" s="44"/>
      <c r="H155" s="44"/>
      <c r="I155" s="61"/>
      <c r="J155" s="59"/>
      <c r="K155" s="58"/>
      <c r="L155" s="52"/>
    </row>
    <row r="156" spans="2:12">
      <c r="B156" s="50"/>
      <c r="C156" s="51"/>
      <c r="D156" s="44"/>
      <c r="E156" s="44"/>
      <c r="F156" s="44"/>
      <c r="G156" s="44"/>
      <c r="H156" s="44"/>
      <c r="I156" s="61"/>
      <c r="J156" s="59"/>
      <c r="K156" s="58"/>
      <c r="L156" s="52"/>
    </row>
    <row r="157" spans="2:12">
      <c r="B157" s="50"/>
      <c r="C157" s="51"/>
      <c r="D157" s="44"/>
      <c r="E157" s="44"/>
      <c r="F157" s="44"/>
      <c r="G157" s="44"/>
      <c r="H157" s="44"/>
      <c r="I157" s="61"/>
      <c r="J157" s="59"/>
      <c r="K157" s="58"/>
      <c r="L157" s="52"/>
    </row>
    <row r="158" spans="2:12">
      <c r="B158" s="50"/>
      <c r="C158" s="51"/>
      <c r="D158" s="44"/>
      <c r="E158" s="44"/>
      <c r="F158" s="44"/>
      <c r="G158" s="44"/>
      <c r="H158" s="44"/>
      <c r="I158" s="61"/>
      <c r="J158" s="59"/>
      <c r="K158" s="58"/>
      <c r="L158" s="52"/>
    </row>
    <row r="159" spans="2:12">
      <c r="B159" s="50"/>
      <c r="C159" s="51"/>
      <c r="D159" s="44"/>
      <c r="E159" s="44"/>
      <c r="F159" s="44"/>
      <c r="G159" s="44"/>
      <c r="H159" s="44"/>
      <c r="I159" s="61"/>
      <c r="J159" s="59"/>
      <c r="K159" s="58"/>
      <c r="L159" s="52"/>
    </row>
    <row r="160" spans="2:12">
      <c r="B160" s="50"/>
      <c r="C160" s="51"/>
      <c r="D160" s="44"/>
      <c r="E160" s="44"/>
      <c r="F160" s="44"/>
      <c r="G160" s="44"/>
      <c r="H160" s="44"/>
      <c r="I160" s="61"/>
      <c r="J160" s="59"/>
      <c r="K160" s="58"/>
      <c r="L160" s="52"/>
    </row>
    <row r="161" spans="2:12">
      <c r="B161" s="50"/>
      <c r="C161" s="51"/>
      <c r="D161" s="44"/>
      <c r="E161" s="44"/>
      <c r="F161" s="44"/>
      <c r="G161" s="44"/>
      <c r="H161" s="44"/>
      <c r="I161" s="61"/>
      <c r="J161" s="59"/>
      <c r="K161" s="58"/>
      <c r="L161" s="52"/>
    </row>
    <row r="162" spans="2:12">
      <c r="B162" s="50"/>
      <c r="C162" s="51"/>
      <c r="D162" s="44"/>
      <c r="E162" s="44"/>
      <c r="F162" s="44"/>
      <c r="G162" s="44"/>
      <c r="H162" s="44"/>
      <c r="I162" s="61"/>
      <c r="J162" s="59"/>
      <c r="K162" s="58"/>
      <c r="L162" s="52"/>
    </row>
    <row r="163" spans="2:12">
      <c r="B163" s="50"/>
      <c r="C163" s="51"/>
      <c r="D163" s="44"/>
      <c r="E163" s="44"/>
      <c r="F163" s="44"/>
      <c r="G163" s="44"/>
      <c r="H163" s="44"/>
      <c r="I163" s="61"/>
      <c r="J163" s="59"/>
      <c r="K163" s="58"/>
      <c r="L163" s="52"/>
    </row>
    <row r="164" spans="2:12">
      <c r="B164" s="50"/>
      <c r="C164" s="51"/>
      <c r="D164" s="44"/>
      <c r="E164" s="44"/>
      <c r="F164" s="44"/>
      <c r="G164" s="44"/>
      <c r="H164" s="44"/>
      <c r="I164" s="61"/>
      <c r="J164" s="59"/>
      <c r="K164" s="58"/>
      <c r="L164" s="52"/>
    </row>
    <row r="165" spans="2:12">
      <c r="B165" s="50"/>
      <c r="C165" s="51"/>
      <c r="D165" s="44"/>
      <c r="E165" s="44"/>
      <c r="F165" s="44"/>
      <c r="G165" s="44"/>
      <c r="H165" s="44"/>
      <c r="I165" s="61"/>
      <c r="J165" s="59"/>
      <c r="K165" s="58"/>
      <c r="L165" s="52"/>
    </row>
    <row r="166" spans="2:12">
      <c r="B166" s="50"/>
      <c r="C166" s="51"/>
      <c r="D166" s="44"/>
      <c r="E166" s="44"/>
      <c r="F166" s="44"/>
      <c r="G166" s="44"/>
      <c r="H166" s="44"/>
      <c r="I166" s="61"/>
      <c r="J166" s="59"/>
      <c r="K166" s="58"/>
      <c r="L166" s="52"/>
    </row>
    <row r="167" spans="2:12">
      <c r="B167" s="50"/>
      <c r="C167" s="51"/>
      <c r="D167" s="44"/>
      <c r="E167" s="44"/>
      <c r="F167" s="44"/>
      <c r="G167" s="44"/>
      <c r="H167" s="44"/>
      <c r="I167" s="61"/>
      <c r="J167" s="59"/>
      <c r="K167" s="58"/>
      <c r="L167" s="52"/>
    </row>
    <row r="168" spans="2:12">
      <c r="B168" s="50"/>
      <c r="C168" s="51"/>
      <c r="D168" s="44"/>
      <c r="E168" s="44"/>
      <c r="F168" s="44"/>
      <c r="G168" s="44"/>
      <c r="H168" s="44"/>
      <c r="I168" s="61"/>
      <c r="J168" s="59"/>
      <c r="K168" s="58"/>
      <c r="L168" s="52"/>
    </row>
    <row r="169" spans="2:12">
      <c r="B169" s="50"/>
      <c r="C169" s="51"/>
      <c r="D169" s="44"/>
      <c r="E169" s="44"/>
      <c r="F169" s="44"/>
      <c r="G169" s="44"/>
      <c r="H169" s="44"/>
      <c r="I169" s="61"/>
      <c r="J169" s="59"/>
      <c r="K169" s="58"/>
      <c r="L169" s="52"/>
    </row>
    <row r="170" spans="2:12">
      <c r="B170" s="50"/>
      <c r="C170" s="51"/>
      <c r="D170" s="44"/>
      <c r="E170" s="44"/>
      <c r="F170" s="44"/>
      <c r="G170" s="44"/>
      <c r="H170" s="44"/>
      <c r="I170" s="61"/>
      <c r="J170" s="59"/>
      <c r="K170" s="58"/>
      <c r="L170" s="52"/>
    </row>
    <row r="171" spans="2:12">
      <c r="B171" s="50"/>
      <c r="C171" s="51"/>
      <c r="D171" s="44"/>
      <c r="E171" s="44"/>
      <c r="F171" s="44"/>
      <c r="G171" s="44"/>
      <c r="H171" s="44"/>
      <c r="I171" s="61"/>
      <c r="J171" s="59"/>
      <c r="K171" s="58"/>
      <c r="L171" s="52"/>
    </row>
    <row r="172" spans="2:12">
      <c r="B172" s="50"/>
      <c r="C172" s="51"/>
      <c r="D172" s="44"/>
      <c r="E172" s="44"/>
      <c r="F172" s="44"/>
      <c r="G172" s="44"/>
      <c r="H172" s="44"/>
      <c r="I172" s="61"/>
      <c r="J172" s="59"/>
      <c r="K172" s="58"/>
      <c r="L172" s="52"/>
    </row>
    <row r="173" spans="2:12">
      <c r="B173" s="50"/>
      <c r="C173" s="51"/>
      <c r="D173" s="44"/>
      <c r="E173" s="44"/>
      <c r="F173" s="44"/>
      <c r="G173" s="44"/>
      <c r="H173" s="44"/>
      <c r="I173" s="61"/>
      <c r="J173" s="59"/>
      <c r="K173" s="58"/>
      <c r="L173" s="52"/>
    </row>
    <row r="174" spans="2:12">
      <c r="B174" s="50"/>
      <c r="C174" s="51"/>
      <c r="D174" s="44"/>
      <c r="E174" s="44"/>
      <c r="F174" s="44"/>
      <c r="G174" s="44"/>
      <c r="H174" s="44"/>
      <c r="I174" s="61"/>
      <c r="J174" s="59"/>
      <c r="K174" s="58"/>
      <c r="L174" s="52"/>
    </row>
    <row r="175" spans="2:12">
      <c r="B175" s="50"/>
      <c r="C175" s="51"/>
      <c r="D175" s="44"/>
      <c r="E175" s="44"/>
      <c r="F175" s="44"/>
      <c r="G175" s="44"/>
      <c r="H175" s="44"/>
      <c r="I175" s="61"/>
      <c r="J175" s="59"/>
      <c r="K175" s="58"/>
      <c r="L175" s="52"/>
    </row>
    <row r="176" spans="2:12">
      <c r="B176" s="50"/>
      <c r="C176" s="51"/>
      <c r="D176" s="44"/>
      <c r="E176" s="44"/>
      <c r="F176" s="44"/>
      <c r="G176" s="44"/>
      <c r="H176" s="44"/>
      <c r="I176" s="61"/>
      <c r="J176" s="59"/>
      <c r="K176" s="58"/>
      <c r="L176" s="52"/>
    </row>
    <row r="177" spans="2:12">
      <c r="B177" s="50"/>
      <c r="C177" s="51"/>
      <c r="D177" s="44"/>
      <c r="E177" s="44"/>
      <c r="F177" s="44"/>
      <c r="G177" s="44"/>
      <c r="H177" s="44"/>
      <c r="I177" s="61"/>
      <c r="J177" s="59"/>
      <c r="K177" s="58"/>
      <c r="L177" s="52"/>
    </row>
    <row r="178" spans="2:12">
      <c r="B178" s="50"/>
      <c r="C178" s="51"/>
      <c r="D178" s="44"/>
      <c r="E178" s="44"/>
      <c r="F178" s="44"/>
      <c r="G178" s="44"/>
      <c r="H178" s="44"/>
      <c r="I178" s="61"/>
      <c r="J178" s="59"/>
      <c r="K178" s="58"/>
      <c r="L178" s="52"/>
    </row>
    <row r="179" spans="2:12">
      <c r="B179" s="50"/>
      <c r="C179" s="51"/>
      <c r="D179" s="44"/>
      <c r="E179" s="44"/>
      <c r="F179" s="44"/>
      <c r="G179" s="44"/>
      <c r="H179" s="44"/>
      <c r="I179" s="61"/>
      <c r="J179" s="59"/>
      <c r="K179" s="58"/>
      <c r="L179" s="52"/>
    </row>
    <row r="180" spans="2:12">
      <c r="B180" s="50"/>
      <c r="C180" s="51"/>
      <c r="D180" s="44"/>
      <c r="E180" s="44"/>
      <c r="F180" s="44"/>
      <c r="G180" s="44"/>
      <c r="H180" s="44"/>
      <c r="I180" s="61"/>
      <c r="J180" s="59"/>
      <c r="K180" s="58"/>
      <c r="L180" s="52"/>
    </row>
    <row r="181" spans="2:12">
      <c r="B181" s="50"/>
      <c r="C181" s="51"/>
      <c r="D181" s="44"/>
      <c r="E181" s="44"/>
      <c r="F181" s="44"/>
      <c r="G181" s="44"/>
      <c r="H181" s="44"/>
      <c r="I181" s="61"/>
      <c r="J181" s="59"/>
      <c r="K181" s="58"/>
      <c r="L181" s="52"/>
    </row>
    <row r="182" spans="2:12">
      <c r="B182" s="50"/>
      <c r="C182" s="51"/>
      <c r="D182" s="44"/>
      <c r="E182" s="44"/>
      <c r="F182" s="44"/>
      <c r="G182" s="44"/>
      <c r="H182" s="44"/>
      <c r="I182" s="61"/>
      <c r="J182" s="59"/>
      <c r="K182" s="58"/>
      <c r="L182" s="52"/>
    </row>
    <row r="183" spans="2:12">
      <c r="B183" s="50"/>
      <c r="C183" s="51"/>
      <c r="D183" s="44"/>
      <c r="E183" s="44"/>
      <c r="F183" s="44"/>
      <c r="G183" s="44"/>
      <c r="H183" s="44"/>
      <c r="I183" s="61"/>
      <c r="J183" s="59"/>
      <c r="K183" s="58"/>
      <c r="L183" s="52"/>
    </row>
    <row r="184" spans="2:12">
      <c r="B184" s="50"/>
      <c r="C184" s="51"/>
      <c r="D184" s="44"/>
      <c r="E184" s="44"/>
      <c r="F184" s="44"/>
      <c r="G184" s="44"/>
      <c r="H184" s="44"/>
      <c r="I184" s="61"/>
      <c r="J184" s="59"/>
      <c r="K184" s="58"/>
      <c r="L184" s="52"/>
    </row>
    <row r="185" spans="2:12">
      <c r="B185" s="50"/>
      <c r="C185" s="51"/>
      <c r="D185" s="44"/>
      <c r="E185" s="44"/>
      <c r="F185" s="44"/>
      <c r="G185" s="44"/>
      <c r="H185" s="44"/>
      <c r="I185" s="61"/>
      <c r="J185" s="59"/>
      <c r="K185" s="58"/>
      <c r="L185" s="52"/>
    </row>
    <row r="186" spans="2:12">
      <c r="B186" s="50"/>
      <c r="C186" s="51"/>
      <c r="D186" s="44"/>
      <c r="E186" s="44"/>
      <c r="F186" s="44"/>
      <c r="G186" s="44"/>
      <c r="H186" s="44"/>
      <c r="I186" s="61"/>
      <c r="J186" s="59"/>
      <c r="K186" s="58"/>
      <c r="L186" s="52"/>
    </row>
    <row r="187" spans="2:12">
      <c r="B187" s="50"/>
      <c r="C187" s="51"/>
      <c r="D187" s="44"/>
      <c r="E187" s="44"/>
      <c r="F187" s="44"/>
      <c r="G187" s="44"/>
      <c r="H187" s="44"/>
      <c r="I187" s="61"/>
      <c r="J187" s="59"/>
      <c r="K187" s="58"/>
      <c r="L187" s="52"/>
    </row>
    <row r="188" spans="2:12">
      <c r="B188" s="50"/>
      <c r="C188" s="51"/>
      <c r="D188" s="44"/>
      <c r="E188" s="44"/>
      <c r="F188" s="44"/>
      <c r="G188" s="44"/>
      <c r="H188" s="44"/>
      <c r="I188" s="61"/>
      <c r="J188" s="59"/>
      <c r="K188" s="58"/>
      <c r="L188" s="52"/>
    </row>
    <row r="189" spans="2:12">
      <c r="B189" s="50"/>
      <c r="C189" s="51"/>
      <c r="D189" s="44"/>
      <c r="E189" s="44"/>
      <c r="F189" s="44"/>
      <c r="G189" s="44"/>
      <c r="H189" s="44"/>
      <c r="I189" s="61"/>
      <c r="J189" s="59"/>
      <c r="K189" s="58"/>
      <c r="L189" s="52"/>
    </row>
    <row r="190" spans="2:12">
      <c r="B190" s="50"/>
      <c r="C190" s="51"/>
      <c r="D190" s="44"/>
      <c r="E190" s="44"/>
      <c r="F190" s="44"/>
      <c r="G190" s="44"/>
      <c r="H190" s="44"/>
      <c r="I190" s="61"/>
      <c r="J190" s="59"/>
      <c r="K190" s="58"/>
      <c r="L190" s="52"/>
    </row>
    <row r="191" spans="2:12">
      <c r="B191" s="50"/>
      <c r="C191" s="51"/>
      <c r="D191" s="44"/>
      <c r="E191" s="44"/>
      <c r="F191" s="44"/>
      <c r="G191" s="44"/>
      <c r="H191" s="44"/>
      <c r="I191" s="61"/>
      <c r="J191" s="59"/>
      <c r="K191" s="58"/>
      <c r="L191" s="52"/>
    </row>
    <row r="192" spans="2:12">
      <c r="B192" s="50"/>
      <c r="C192" s="51"/>
      <c r="D192" s="44"/>
      <c r="E192" s="44"/>
      <c r="F192" s="44"/>
      <c r="G192" s="44"/>
      <c r="H192" s="44"/>
      <c r="I192" s="61"/>
      <c r="J192" s="59"/>
      <c r="K192" s="58"/>
      <c r="L192" s="52"/>
    </row>
    <row r="193" spans="2:12">
      <c r="B193" s="50"/>
      <c r="C193" s="51"/>
      <c r="D193" s="44"/>
      <c r="E193" s="44"/>
      <c r="F193" s="44"/>
      <c r="G193" s="44"/>
      <c r="H193" s="44"/>
      <c r="I193" s="61"/>
      <c r="J193" s="59"/>
      <c r="K193" s="58"/>
      <c r="L193" s="52"/>
    </row>
    <row r="194" spans="2:12">
      <c r="B194" s="50"/>
      <c r="C194" s="51"/>
      <c r="D194" s="44"/>
      <c r="E194" s="44"/>
      <c r="F194" s="44"/>
      <c r="G194" s="44"/>
      <c r="H194" s="44"/>
      <c r="I194" s="61"/>
      <c r="J194" s="59"/>
      <c r="K194" s="58"/>
      <c r="L194" s="52"/>
    </row>
    <row r="195" spans="2:12">
      <c r="B195" s="50"/>
      <c r="C195" s="51"/>
      <c r="D195" s="44"/>
      <c r="E195" s="44"/>
      <c r="F195" s="44"/>
      <c r="G195" s="44"/>
      <c r="H195" s="44"/>
      <c r="I195" s="61"/>
      <c r="J195" s="59"/>
      <c r="K195" s="58"/>
      <c r="L195" s="52"/>
    </row>
    <row r="196" spans="2:12">
      <c r="B196" s="50"/>
      <c r="C196" s="51"/>
      <c r="D196" s="44"/>
      <c r="E196" s="44"/>
      <c r="F196" s="44"/>
      <c r="G196" s="44"/>
      <c r="H196" s="44"/>
      <c r="I196" s="61"/>
      <c r="J196" s="59"/>
      <c r="K196" s="58"/>
      <c r="L196" s="52"/>
    </row>
    <row r="197" spans="2:12">
      <c r="B197" s="50"/>
      <c r="C197" s="51"/>
      <c r="D197" s="44"/>
      <c r="E197" s="44"/>
      <c r="F197" s="44"/>
      <c r="G197" s="44"/>
      <c r="H197" s="44"/>
      <c r="I197" s="61"/>
      <c r="J197" s="59"/>
      <c r="K197" s="58"/>
      <c r="L197" s="52"/>
    </row>
    <row r="198" spans="2:12">
      <c r="B198" s="50"/>
      <c r="C198" s="51"/>
      <c r="D198" s="44"/>
      <c r="E198" s="44"/>
      <c r="F198" s="44"/>
      <c r="G198" s="44"/>
      <c r="H198" s="44"/>
      <c r="I198" s="61"/>
      <c r="J198" s="59"/>
      <c r="K198" s="58"/>
      <c r="L198" s="52"/>
    </row>
    <row r="199" spans="2:12">
      <c r="B199" s="50"/>
      <c r="C199" s="51"/>
      <c r="D199" s="44"/>
      <c r="E199" s="44"/>
      <c r="F199" s="44"/>
      <c r="G199" s="44"/>
      <c r="H199" s="44"/>
      <c r="I199" s="61"/>
      <c r="J199" s="59"/>
      <c r="K199" s="58"/>
      <c r="L199" s="52"/>
    </row>
    <row r="200" spans="2:12">
      <c r="B200" s="50"/>
      <c r="C200" s="51"/>
      <c r="D200" s="44"/>
      <c r="E200" s="44"/>
      <c r="F200" s="44"/>
      <c r="G200" s="44"/>
      <c r="H200" s="44"/>
      <c r="I200" s="61"/>
      <c r="J200" s="59"/>
      <c r="K200" s="58"/>
      <c r="L200" s="52"/>
    </row>
    <row r="201" spans="2:12">
      <c r="B201" s="50"/>
      <c r="C201" s="51"/>
      <c r="D201" s="44"/>
      <c r="E201" s="44"/>
      <c r="F201" s="44"/>
      <c r="G201" s="44"/>
      <c r="H201" s="44"/>
      <c r="I201" s="61"/>
      <c r="J201" s="59"/>
      <c r="K201" s="58"/>
      <c r="L201" s="52"/>
    </row>
    <row r="202" spans="2:12">
      <c r="B202" s="50"/>
      <c r="C202" s="51"/>
      <c r="D202" s="44"/>
      <c r="E202" s="44"/>
      <c r="F202" s="44"/>
      <c r="G202" s="44"/>
      <c r="H202" s="44"/>
      <c r="I202" s="61"/>
      <c r="J202" s="59"/>
      <c r="K202" s="58"/>
      <c r="L202" s="52"/>
    </row>
    <row r="203" spans="2:12">
      <c r="B203" s="50"/>
      <c r="C203" s="51"/>
      <c r="D203" s="44"/>
      <c r="E203" s="44"/>
      <c r="F203" s="44"/>
      <c r="G203" s="44"/>
      <c r="H203" s="44"/>
      <c r="I203" s="61"/>
      <c r="J203" s="59"/>
      <c r="K203" s="58"/>
      <c r="L203" s="52"/>
    </row>
    <row r="204" spans="2:12">
      <c r="B204" s="50"/>
      <c r="C204" s="51"/>
      <c r="D204" s="44"/>
      <c r="E204" s="44"/>
      <c r="F204" s="44"/>
      <c r="G204" s="44"/>
      <c r="H204" s="44"/>
      <c r="I204" s="61"/>
      <c r="J204" s="59"/>
      <c r="K204" s="58"/>
      <c r="L204" s="52"/>
    </row>
    <row r="205" spans="2:12">
      <c r="B205" s="50"/>
      <c r="C205" s="51"/>
      <c r="D205" s="44"/>
      <c r="E205" s="44"/>
      <c r="F205" s="44"/>
      <c r="G205" s="44"/>
      <c r="H205" s="44"/>
      <c r="I205" s="61"/>
      <c r="J205" s="59"/>
      <c r="K205" s="58"/>
      <c r="L205" s="52"/>
    </row>
    <row r="206" spans="2:12">
      <c r="B206" s="50"/>
      <c r="C206" s="51"/>
      <c r="D206" s="44"/>
      <c r="E206" s="44"/>
      <c r="F206" s="44"/>
      <c r="G206" s="44"/>
      <c r="H206" s="44"/>
      <c r="I206" s="61"/>
      <c r="J206" s="59"/>
      <c r="K206" s="58"/>
      <c r="L206" s="52"/>
    </row>
    <row r="207" spans="2:12">
      <c r="B207" s="50"/>
      <c r="C207" s="51"/>
      <c r="D207" s="44"/>
      <c r="E207" s="44"/>
      <c r="F207" s="44"/>
      <c r="G207" s="44"/>
      <c r="H207" s="44"/>
      <c r="I207" s="61"/>
      <c r="J207" s="59"/>
      <c r="K207" s="58"/>
      <c r="L207" s="52"/>
    </row>
    <row r="208" spans="2:12">
      <c r="B208" s="50"/>
      <c r="C208" s="51"/>
      <c r="D208" s="44"/>
      <c r="E208" s="44"/>
      <c r="F208" s="44"/>
      <c r="G208" s="44"/>
      <c r="H208" s="44"/>
      <c r="I208" s="61"/>
      <c r="J208" s="59"/>
      <c r="K208" s="58"/>
      <c r="L208" s="52"/>
    </row>
    <row r="209" spans="2:12">
      <c r="B209" s="50"/>
      <c r="C209" s="51"/>
      <c r="D209" s="44"/>
      <c r="E209" s="44"/>
      <c r="F209" s="44"/>
      <c r="G209" s="44"/>
      <c r="H209" s="44"/>
      <c r="I209" s="61"/>
      <c r="J209" s="59"/>
      <c r="K209" s="58"/>
      <c r="L209" s="52"/>
    </row>
    <row r="210" spans="2:12">
      <c r="B210" s="50"/>
      <c r="C210" s="51"/>
      <c r="D210" s="44"/>
      <c r="E210" s="44"/>
      <c r="F210" s="44"/>
      <c r="G210" s="44"/>
      <c r="H210" s="44"/>
      <c r="I210" s="61"/>
      <c r="J210" s="59"/>
      <c r="K210" s="58"/>
      <c r="L210" s="52"/>
    </row>
    <row r="211" spans="2:12">
      <c r="B211" s="50"/>
      <c r="C211" s="51"/>
      <c r="D211" s="44"/>
      <c r="E211" s="44"/>
      <c r="F211" s="44"/>
      <c r="G211" s="44"/>
      <c r="H211" s="44"/>
      <c r="I211" s="61"/>
      <c r="J211" s="59"/>
      <c r="K211" s="58"/>
      <c r="L211" s="52"/>
    </row>
    <row r="212" spans="2:12">
      <c r="B212" s="50"/>
      <c r="C212" s="51"/>
      <c r="D212" s="44"/>
      <c r="E212" s="44"/>
      <c r="F212" s="44"/>
      <c r="G212" s="44"/>
      <c r="H212" s="44"/>
      <c r="I212" s="61"/>
      <c r="J212" s="59"/>
      <c r="K212" s="58"/>
      <c r="L212" s="52"/>
    </row>
    <row r="213" spans="2:12">
      <c r="B213" s="50"/>
      <c r="C213" s="51"/>
      <c r="D213" s="44"/>
      <c r="E213" s="44"/>
      <c r="F213" s="44"/>
      <c r="G213" s="44"/>
      <c r="H213" s="44"/>
      <c r="I213" s="61"/>
      <c r="J213" s="59"/>
      <c r="K213" s="58"/>
      <c r="L213" s="52"/>
    </row>
    <row r="214" spans="2:12">
      <c r="B214" s="50"/>
      <c r="C214" s="51"/>
      <c r="D214" s="44"/>
      <c r="E214" s="44"/>
      <c r="F214" s="44"/>
      <c r="G214" s="44"/>
      <c r="H214" s="44"/>
      <c r="I214" s="61"/>
      <c r="J214" s="59"/>
      <c r="K214" s="58"/>
      <c r="L214" s="52"/>
    </row>
    <row r="215" spans="2:12">
      <c r="B215" s="50"/>
      <c r="C215" s="51"/>
      <c r="D215" s="44"/>
      <c r="E215" s="44"/>
      <c r="F215" s="44"/>
      <c r="G215" s="44"/>
      <c r="H215" s="44"/>
      <c r="I215" s="61"/>
      <c r="J215" s="59"/>
      <c r="K215" s="58"/>
      <c r="L215" s="52"/>
    </row>
    <row r="216" spans="2:12">
      <c r="B216" s="50"/>
      <c r="C216" s="51"/>
      <c r="D216" s="44"/>
      <c r="E216" s="44"/>
      <c r="F216" s="44"/>
      <c r="G216" s="44"/>
      <c r="H216" s="44"/>
      <c r="I216" s="61"/>
      <c r="J216" s="59"/>
      <c r="K216" s="58"/>
      <c r="L216" s="52"/>
    </row>
    <row r="217" spans="2:12">
      <c r="B217" s="50"/>
      <c r="C217" s="51"/>
      <c r="D217" s="44"/>
      <c r="E217" s="44"/>
      <c r="F217" s="44"/>
      <c r="G217" s="44"/>
      <c r="H217" s="44"/>
      <c r="I217" s="61"/>
      <c r="J217" s="59"/>
      <c r="K217" s="58"/>
      <c r="L217" s="52"/>
    </row>
    <row r="218" spans="2:12">
      <c r="B218" s="50"/>
      <c r="C218" s="51"/>
      <c r="D218" s="44"/>
      <c r="E218" s="44"/>
      <c r="F218" s="44"/>
      <c r="G218" s="44"/>
      <c r="H218" s="44"/>
      <c r="I218" s="61"/>
      <c r="J218" s="59"/>
      <c r="K218" s="58"/>
      <c r="L218" s="52"/>
    </row>
    <row r="219" spans="2:12">
      <c r="B219" s="50"/>
      <c r="C219" s="51"/>
      <c r="D219" s="44"/>
      <c r="E219" s="44"/>
      <c r="F219" s="44"/>
      <c r="G219" s="44"/>
      <c r="H219" s="44"/>
      <c r="I219" s="61"/>
      <c r="J219" s="59"/>
      <c r="K219" s="58"/>
      <c r="L219" s="52"/>
    </row>
    <row r="220" spans="2:12">
      <c r="B220" s="50"/>
      <c r="C220" s="51"/>
      <c r="D220" s="44"/>
      <c r="E220" s="44"/>
      <c r="F220" s="44"/>
      <c r="G220" s="44"/>
      <c r="H220" s="44"/>
      <c r="I220" s="61"/>
      <c r="J220" s="59"/>
      <c r="K220" s="58"/>
      <c r="L220" s="52"/>
    </row>
    <row r="221" spans="2:12">
      <c r="B221" s="50"/>
      <c r="C221" s="51"/>
      <c r="D221" s="44"/>
      <c r="E221" s="44"/>
      <c r="F221" s="44"/>
      <c r="G221" s="44"/>
      <c r="H221" s="44"/>
      <c r="I221" s="61"/>
      <c r="J221" s="59"/>
      <c r="K221" s="58"/>
      <c r="L221" s="52"/>
    </row>
    <row r="222" spans="2:12">
      <c r="B222" s="50"/>
      <c r="C222" s="51"/>
      <c r="D222" s="44"/>
      <c r="E222" s="44"/>
      <c r="F222" s="44"/>
      <c r="G222" s="44"/>
      <c r="H222" s="44"/>
      <c r="I222" s="61"/>
      <c r="J222" s="59"/>
      <c r="K222" s="58"/>
      <c r="L222" s="52"/>
    </row>
    <row r="223" spans="2:12">
      <c r="B223" s="50"/>
      <c r="C223" s="51"/>
      <c r="D223" s="44"/>
      <c r="E223" s="44"/>
      <c r="F223" s="44"/>
      <c r="G223" s="44"/>
      <c r="H223" s="44"/>
      <c r="I223" s="61"/>
      <c r="J223" s="59"/>
      <c r="K223" s="58"/>
      <c r="L223" s="52"/>
    </row>
    <row r="224" spans="2:12">
      <c r="B224" s="50"/>
      <c r="C224" s="51"/>
      <c r="D224" s="44"/>
      <c r="E224" s="44"/>
      <c r="F224" s="44"/>
      <c r="G224" s="44"/>
      <c r="H224" s="44"/>
      <c r="I224" s="61"/>
      <c r="J224" s="59"/>
      <c r="K224" s="58"/>
      <c r="L224" s="52"/>
    </row>
    <row r="225" spans="2:12">
      <c r="B225" s="50"/>
      <c r="C225" s="51"/>
      <c r="D225" s="44"/>
      <c r="E225" s="44"/>
      <c r="F225" s="44"/>
      <c r="G225" s="44"/>
      <c r="H225" s="44"/>
      <c r="I225" s="61"/>
      <c r="J225" s="59"/>
      <c r="K225" s="58"/>
      <c r="L225" s="52"/>
    </row>
    <row r="226" spans="2:12">
      <c r="B226" s="50"/>
      <c r="C226" s="51"/>
      <c r="D226" s="44"/>
      <c r="E226" s="44"/>
      <c r="F226" s="44"/>
      <c r="G226" s="44"/>
      <c r="H226" s="44"/>
      <c r="I226" s="61"/>
      <c r="J226" s="59"/>
      <c r="K226" s="58"/>
      <c r="L226" s="52"/>
    </row>
    <row r="227" spans="2:12">
      <c r="B227" s="50"/>
      <c r="C227" s="51"/>
      <c r="D227" s="44"/>
      <c r="E227" s="44"/>
      <c r="F227" s="44"/>
      <c r="G227" s="44"/>
      <c r="H227" s="44"/>
      <c r="I227" s="61"/>
      <c r="J227" s="59"/>
      <c r="K227" s="58"/>
      <c r="L227" s="52"/>
    </row>
    <row r="228" spans="2:12">
      <c r="B228" s="50"/>
      <c r="C228" s="51"/>
      <c r="D228" s="44"/>
      <c r="E228" s="44"/>
      <c r="F228" s="44"/>
      <c r="G228" s="44"/>
      <c r="H228" s="44"/>
      <c r="I228" s="61"/>
      <c r="J228" s="59"/>
      <c r="K228" s="58"/>
      <c r="L228" s="52"/>
    </row>
    <row r="229" spans="2:12">
      <c r="B229" s="50"/>
      <c r="C229" s="51"/>
      <c r="D229" s="44"/>
      <c r="E229" s="44"/>
      <c r="F229" s="44"/>
      <c r="G229" s="44"/>
      <c r="H229" s="44"/>
      <c r="I229" s="61"/>
      <c r="J229" s="59"/>
      <c r="K229" s="58"/>
      <c r="L229" s="52"/>
    </row>
    <row r="230" spans="2:12">
      <c r="B230" s="50"/>
      <c r="C230" s="51"/>
      <c r="D230" s="44"/>
      <c r="E230" s="44"/>
      <c r="F230" s="44"/>
      <c r="G230" s="44"/>
      <c r="H230" s="44"/>
      <c r="I230" s="61"/>
      <c r="J230" s="59"/>
      <c r="K230" s="58"/>
      <c r="L230" s="52"/>
    </row>
    <row r="231" spans="2:12">
      <c r="B231" s="50"/>
      <c r="C231" s="51"/>
      <c r="D231" s="44"/>
      <c r="E231" s="44"/>
      <c r="F231" s="44"/>
      <c r="G231" s="44"/>
      <c r="H231" s="44"/>
      <c r="I231" s="61"/>
      <c r="J231" s="59"/>
      <c r="K231" s="58"/>
      <c r="L231" s="52"/>
    </row>
    <row r="232" spans="2:12">
      <c r="B232" s="50"/>
      <c r="C232" s="51"/>
      <c r="D232" s="44"/>
      <c r="E232" s="44"/>
      <c r="F232" s="44"/>
      <c r="G232" s="44"/>
      <c r="H232" s="44"/>
      <c r="I232" s="61"/>
      <c r="J232" s="59"/>
      <c r="K232" s="58"/>
      <c r="L232" s="52"/>
    </row>
    <row r="233" spans="2:12">
      <c r="B233" s="50"/>
      <c r="C233" s="51"/>
      <c r="D233" s="44"/>
      <c r="E233" s="44"/>
      <c r="F233" s="44"/>
      <c r="G233" s="44"/>
      <c r="H233" s="44"/>
      <c r="I233" s="61"/>
      <c r="J233" s="59"/>
      <c r="K233" s="58"/>
      <c r="L233" s="52"/>
    </row>
    <row r="234" spans="2:12">
      <c r="B234" s="50"/>
      <c r="C234" s="51"/>
      <c r="D234" s="44"/>
      <c r="E234" s="44"/>
      <c r="F234" s="44"/>
      <c r="G234" s="44"/>
      <c r="H234" s="44"/>
      <c r="I234" s="61"/>
      <c r="J234" s="59"/>
      <c r="K234" s="58"/>
      <c r="L234" s="52"/>
    </row>
    <row r="235" spans="2:12">
      <c r="B235" s="50"/>
      <c r="C235" s="51"/>
      <c r="D235" s="44"/>
      <c r="E235" s="44"/>
      <c r="F235" s="44"/>
      <c r="G235" s="44"/>
      <c r="H235" s="44"/>
      <c r="I235" s="61"/>
      <c r="J235" s="59"/>
      <c r="K235" s="58"/>
      <c r="L235" s="52"/>
    </row>
    <row r="236" spans="2:12">
      <c r="B236" s="50"/>
      <c r="C236" s="51"/>
      <c r="D236" s="44"/>
      <c r="E236" s="44"/>
      <c r="F236" s="44"/>
      <c r="G236" s="44"/>
      <c r="H236" s="44"/>
      <c r="I236" s="61"/>
      <c r="J236" s="59"/>
      <c r="K236" s="58"/>
      <c r="L236" s="52"/>
    </row>
    <row r="237" spans="2:12">
      <c r="B237" s="50"/>
      <c r="C237" s="51"/>
      <c r="D237" s="44"/>
      <c r="E237" s="44"/>
      <c r="F237" s="44"/>
      <c r="G237" s="44"/>
      <c r="H237" s="44"/>
      <c r="I237" s="61"/>
      <c r="J237" s="59"/>
      <c r="K237" s="58"/>
      <c r="L237" s="52"/>
    </row>
    <row r="238" spans="2:12">
      <c r="B238" s="50"/>
      <c r="C238" s="51"/>
      <c r="D238" s="44"/>
      <c r="E238" s="44"/>
      <c r="F238" s="44"/>
      <c r="G238" s="44"/>
      <c r="H238" s="44"/>
      <c r="I238" s="61"/>
      <c r="J238" s="59"/>
      <c r="K238" s="58"/>
      <c r="L238" s="52"/>
    </row>
    <row r="239" spans="2:12">
      <c r="B239" s="50"/>
      <c r="C239" s="51"/>
      <c r="D239" s="44"/>
      <c r="E239" s="44"/>
      <c r="F239" s="44"/>
      <c r="G239" s="44"/>
      <c r="H239" s="44"/>
      <c r="I239" s="61"/>
      <c r="J239" s="59"/>
      <c r="K239" s="58"/>
      <c r="L239" s="52"/>
    </row>
    <row r="240" spans="2:12">
      <c r="B240" s="50"/>
      <c r="C240" s="51"/>
      <c r="D240" s="44"/>
      <c r="E240" s="44"/>
      <c r="F240" s="44"/>
      <c r="G240" s="44"/>
      <c r="H240" s="44"/>
      <c r="I240" s="61"/>
      <c r="J240" s="59"/>
      <c r="K240" s="58"/>
      <c r="L240" s="52"/>
    </row>
    <row r="241" spans="2:12">
      <c r="B241" s="50"/>
      <c r="C241" s="51"/>
      <c r="D241" s="44"/>
      <c r="E241" s="44"/>
      <c r="F241" s="44"/>
      <c r="G241" s="44"/>
      <c r="H241" s="44"/>
      <c r="I241" s="61"/>
      <c r="J241" s="59"/>
      <c r="K241" s="58"/>
      <c r="L241" s="52"/>
    </row>
    <row r="242" spans="2:12">
      <c r="B242" s="50"/>
      <c r="C242" s="51"/>
      <c r="D242" s="44"/>
      <c r="E242" s="44"/>
      <c r="F242" s="44"/>
      <c r="G242" s="44"/>
      <c r="H242" s="44"/>
      <c r="I242" s="61"/>
      <c r="J242" s="59"/>
      <c r="K242" s="58"/>
      <c r="L242" s="52"/>
    </row>
    <row r="243" spans="2:12">
      <c r="B243" s="50"/>
      <c r="C243" s="51"/>
      <c r="D243" s="44"/>
      <c r="E243" s="44"/>
      <c r="F243" s="44"/>
      <c r="G243" s="44"/>
      <c r="H243" s="44"/>
      <c r="I243" s="61"/>
      <c r="J243" s="59"/>
      <c r="K243" s="58"/>
      <c r="L243" s="52"/>
    </row>
    <row r="244" spans="2:12">
      <c r="B244" s="50"/>
      <c r="C244" s="51"/>
      <c r="D244" s="44"/>
      <c r="E244" s="44"/>
      <c r="F244" s="44"/>
      <c r="G244" s="44"/>
      <c r="H244" s="44"/>
      <c r="I244" s="61"/>
      <c r="J244" s="59"/>
      <c r="K244" s="58"/>
      <c r="L244" s="52"/>
    </row>
    <row r="245" spans="2:12">
      <c r="B245" s="50"/>
      <c r="C245" s="51"/>
      <c r="D245" s="44"/>
      <c r="E245" s="44"/>
      <c r="F245" s="44"/>
      <c r="G245" s="44"/>
      <c r="H245" s="44"/>
      <c r="I245" s="61"/>
      <c r="J245" s="59"/>
      <c r="K245" s="58"/>
      <c r="L245" s="52"/>
    </row>
    <row r="246" spans="2:12">
      <c r="B246" s="50"/>
      <c r="C246" s="51"/>
      <c r="D246" s="44"/>
      <c r="E246" s="44"/>
      <c r="F246" s="44"/>
      <c r="G246" s="44"/>
      <c r="H246" s="44"/>
      <c r="I246" s="61"/>
      <c r="J246" s="59"/>
      <c r="K246" s="58"/>
      <c r="L246" s="52"/>
    </row>
    <row r="247" spans="2:12">
      <c r="B247" s="50"/>
      <c r="C247" s="51"/>
      <c r="D247" s="44"/>
      <c r="E247" s="44"/>
      <c r="F247" s="44"/>
      <c r="G247" s="44"/>
      <c r="H247" s="44"/>
      <c r="I247" s="61"/>
      <c r="J247" s="59"/>
      <c r="K247" s="58"/>
      <c r="L247" s="52"/>
    </row>
    <row r="248" spans="2:12">
      <c r="B248" s="50"/>
      <c r="C248" s="51"/>
      <c r="D248" s="44"/>
      <c r="E248" s="44"/>
      <c r="F248" s="44"/>
      <c r="G248" s="44"/>
      <c r="H248" s="44"/>
      <c r="I248" s="61"/>
      <c r="J248" s="59"/>
      <c r="K248" s="58"/>
      <c r="L248" s="52"/>
    </row>
    <row r="249" spans="2:12">
      <c r="B249" s="50"/>
      <c r="C249" s="51"/>
      <c r="D249" s="44"/>
      <c r="E249" s="44"/>
      <c r="F249" s="44"/>
      <c r="G249" s="44"/>
      <c r="H249" s="44"/>
      <c r="I249" s="61"/>
      <c r="J249" s="59"/>
      <c r="K249" s="58"/>
      <c r="L249" s="52"/>
    </row>
    <row r="250" spans="2:12">
      <c r="B250" s="50"/>
      <c r="C250" s="51"/>
      <c r="D250" s="44"/>
      <c r="E250" s="44"/>
      <c r="F250" s="44"/>
      <c r="G250" s="44"/>
      <c r="H250" s="44"/>
      <c r="I250" s="61"/>
      <c r="J250" s="59"/>
      <c r="K250" s="58"/>
      <c r="L250" s="52"/>
    </row>
    <row r="251" spans="2:12">
      <c r="B251" s="50"/>
      <c r="C251" s="51"/>
      <c r="D251" s="44"/>
      <c r="E251" s="44"/>
      <c r="F251" s="44"/>
      <c r="G251" s="44"/>
      <c r="H251" s="44"/>
      <c r="I251" s="61"/>
      <c r="J251" s="59"/>
      <c r="K251" s="58"/>
      <c r="L251" s="52"/>
    </row>
    <row r="252" spans="2:12">
      <c r="B252" s="50"/>
      <c r="C252" s="51"/>
      <c r="D252" s="44"/>
      <c r="E252" s="44"/>
      <c r="F252" s="44"/>
      <c r="G252" s="44"/>
      <c r="H252" s="44"/>
      <c r="I252" s="61"/>
      <c r="J252" s="59"/>
      <c r="K252" s="58"/>
      <c r="L252" s="52"/>
    </row>
    <row r="253" spans="2:12">
      <c r="B253" s="50"/>
      <c r="C253" s="51"/>
      <c r="D253" s="44"/>
      <c r="E253" s="44"/>
      <c r="F253" s="44"/>
      <c r="G253" s="44"/>
      <c r="H253" s="44"/>
      <c r="I253" s="61"/>
      <c r="J253" s="59"/>
      <c r="K253" s="58"/>
      <c r="L253" s="52"/>
    </row>
    <row r="254" spans="2:12">
      <c r="B254" s="50"/>
      <c r="C254" s="51"/>
      <c r="D254" s="44"/>
      <c r="E254" s="44"/>
      <c r="F254" s="44"/>
      <c r="G254" s="44"/>
      <c r="H254" s="44"/>
      <c r="I254" s="61"/>
      <c r="J254" s="59"/>
      <c r="K254" s="58"/>
      <c r="L254" s="52"/>
    </row>
    <row r="255" spans="2:12">
      <c r="B255" s="50"/>
      <c r="C255" s="51"/>
      <c r="D255" s="44"/>
      <c r="E255" s="44"/>
      <c r="F255" s="44"/>
      <c r="G255" s="44"/>
      <c r="H255" s="44"/>
      <c r="I255" s="61"/>
      <c r="J255" s="59"/>
      <c r="K255" s="58"/>
      <c r="L255" s="52"/>
    </row>
    <row r="256" spans="2:12">
      <c r="B256" s="50"/>
      <c r="C256" s="51"/>
      <c r="D256" s="44"/>
      <c r="E256" s="44"/>
      <c r="F256" s="44"/>
      <c r="G256" s="44"/>
      <c r="H256" s="44"/>
      <c r="I256" s="61"/>
      <c r="J256" s="59"/>
      <c r="K256" s="58"/>
      <c r="L256" s="52"/>
    </row>
    <row r="257" spans="2:12">
      <c r="B257" s="50"/>
      <c r="C257" s="51"/>
      <c r="D257" s="44"/>
      <c r="E257" s="44"/>
      <c r="F257" s="44"/>
      <c r="G257" s="44"/>
      <c r="H257" s="44"/>
      <c r="I257" s="61"/>
      <c r="J257" s="59"/>
      <c r="K257" s="58"/>
      <c r="L257" s="52"/>
    </row>
    <row r="258" spans="2:12">
      <c r="B258" s="50"/>
      <c r="C258" s="51"/>
      <c r="D258" s="44"/>
      <c r="E258" s="44"/>
      <c r="F258" s="44"/>
      <c r="G258" s="44"/>
      <c r="H258" s="44"/>
      <c r="I258" s="61"/>
      <c r="J258" s="59"/>
      <c r="K258" s="58"/>
      <c r="L258" s="52"/>
    </row>
    <row r="259" spans="2:12">
      <c r="B259" s="50"/>
      <c r="C259" s="51"/>
      <c r="D259" s="44"/>
      <c r="E259" s="44"/>
      <c r="F259" s="44"/>
      <c r="G259" s="44"/>
      <c r="H259" s="44"/>
      <c r="I259" s="61"/>
      <c r="J259" s="59"/>
      <c r="K259" s="58"/>
      <c r="L259" s="52"/>
    </row>
    <row r="260" spans="2:12">
      <c r="B260" s="50"/>
      <c r="C260" s="51"/>
      <c r="D260" s="44"/>
      <c r="E260" s="44"/>
      <c r="F260" s="44"/>
      <c r="G260" s="44"/>
      <c r="H260" s="44"/>
      <c r="I260" s="61"/>
      <c r="J260" s="59"/>
      <c r="K260" s="58"/>
      <c r="L260" s="52"/>
    </row>
    <row r="261" spans="2:12">
      <c r="B261" s="50"/>
      <c r="C261" s="51"/>
      <c r="D261" s="44"/>
      <c r="E261" s="44"/>
      <c r="F261" s="44"/>
      <c r="G261" s="44"/>
      <c r="H261" s="44"/>
      <c r="I261" s="61"/>
      <c r="J261" s="59"/>
      <c r="K261" s="58"/>
      <c r="L261" s="52"/>
    </row>
    <row r="262" spans="2:12">
      <c r="B262" s="50"/>
      <c r="C262" s="51"/>
      <c r="D262" s="44"/>
      <c r="E262" s="44"/>
      <c r="F262" s="44"/>
      <c r="G262" s="44"/>
      <c r="H262" s="44"/>
      <c r="I262" s="61"/>
      <c r="J262" s="59"/>
      <c r="K262" s="58"/>
      <c r="L262" s="52"/>
    </row>
    <row r="263" spans="2:12">
      <c r="B263" s="50"/>
      <c r="C263" s="51"/>
      <c r="D263" s="44"/>
      <c r="E263" s="44"/>
      <c r="F263" s="44"/>
      <c r="G263" s="44"/>
      <c r="H263" s="44"/>
      <c r="I263" s="61"/>
      <c r="J263" s="59"/>
      <c r="K263" s="58"/>
      <c r="L263" s="52"/>
    </row>
    <row r="264" spans="2:12">
      <c r="B264" s="50"/>
      <c r="C264" s="51"/>
      <c r="D264" s="44"/>
      <c r="E264" s="44"/>
      <c r="F264" s="44"/>
      <c r="G264" s="44"/>
      <c r="H264" s="44"/>
      <c r="I264" s="61"/>
      <c r="J264" s="59"/>
      <c r="K264" s="58"/>
      <c r="L264" s="52"/>
    </row>
    <row r="265" spans="2:12">
      <c r="B265" s="50"/>
      <c r="C265" s="51"/>
      <c r="D265" s="44"/>
      <c r="E265" s="44"/>
      <c r="F265" s="44"/>
      <c r="G265" s="44"/>
      <c r="H265" s="44"/>
      <c r="I265" s="61"/>
      <c r="J265" s="59"/>
      <c r="K265" s="58"/>
      <c r="L265" s="52"/>
    </row>
    <row r="266" spans="2:12">
      <c r="B266" s="50"/>
      <c r="C266" s="51"/>
      <c r="D266" s="44"/>
      <c r="E266" s="44"/>
      <c r="F266" s="44"/>
      <c r="G266" s="44"/>
      <c r="H266" s="44"/>
      <c r="I266" s="61"/>
      <c r="J266" s="59"/>
      <c r="K266" s="58"/>
      <c r="L266" s="52"/>
    </row>
    <row r="267" spans="2:12">
      <c r="B267" s="50"/>
      <c r="C267" s="51"/>
      <c r="D267" s="44"/>
      <c r="E267" s="44"/>
      <c r="F267" s="44"/>
      <c r="G267" s="44"/>
      <c r="H267" s="44"/>
      <c r="I267" s="61"/>
      <c r="J267" s="59"/>
      <c r="K267" s="58"/>
      <c r="L267" s="52"/>
    </row>
    <row r="268" spans="2:12">
      <c r="B268" s="50"/>
      <c r="C268" s="51"/>
      <c r="D268" s="44"/>
      <c r="E268" s="44"/>
      <c r="F268" s="44"/>
      <c r="G268" s="44"/>
      <c r="H268" s="44"/>
      <c r="I268" s="61"/>
      <c r="J268" s="59"/>
      <c r="K268" s="58"/>
      <c r="L268" s="52"/>
    </row>
    <row r="269" spans="2:12">
      <c r="B269" s="50"/>
      <c r="C269" s="51"/>
      <c r="D269" s="44"/>
      <c r="E269" s="44"/>
      <c r="F269" s="44"/>
      <c r="G269" s="44"/>
      <c r="H269" s="44"/>
      <c r="I269" s="61"/>
      <c r="J269" s="59"/>
      <c r="K269" s="58"/>
      <c r="L269" s="52"/>
    </row>
    <row r="270" spans="2:12">
      <c r="B270" s="50"/>
      <c r="C270" s="51"/>
      <c r="D270" s="44"/>
      <c r="E270" s="44"/>
      <c r="F270" s="44"/>
      <c r="G270" s="44"/>
      <c r="H270" s="44"/>
      <c r="I270" s="61"/>
      <c r="J270" s="59"/>
      <c r="K270" s="58"/>
      <c r="L270" s="52"/>
    </row>
    <row r="271" spans="2:12">
      <c r="B271" s="50"/>
      <c r="C271" s="51"/>
      <c r="D271" s="44"/>
      <c r="E271" s="44"/>
      <c r="F271" s="44"/>
      <c r="G271" s="44"/>
      <c r="H271" s="44"/>
      <c r="I271" s="61"/>
      <c r="J271" s="59"/>
      <c r="K271" s="58"/>
      <c r="L271" s="52"/>
    </row>
    <row r="272" spans="2:12">
      <c r="B272" s="50"/>
      <c r="C272" s="51"/>
      <c r="D272" s="44"/>
      <c r="E272" s="44"/>
      <c r="F272" s="44"/>
      <c r="G272" s="44"/>
      <c r="H272" s="44"/>
      <c r="I272" s="61"/>
      <c r="J272" s="59"/>
      <c r="K272" s="58"/>
      <c r="L272" s="52"/>
    </row>
    <row r="273" spans="2:12">
      <c r="B273" s="50"/>
      <c r="C273" s="51"/>
      <c r="D273" s="44"/>
      <c r="E273" s="44"/>
      <c r="F273" s="44"/>
      <c r="G273" s="44"/>
      <c r="H273" s="44"/>
      <c r="I273" s="61"/>
      <c r="J273" s="59"/>
      <c r="K273" s="58"/>
      <c r="L273" s="52"/>
    </row>
    <row r="274" spans="2:12">
      <c r="B274" s="50"/>
      <c r="C274" s="51"/>
      <c r="D274" s="44"/>
      <c r="E274" s="44"/>
      <c r="F274" s="44"/>
      <c r="G274" s="44"/>
      <c r="H274" s="44"/>
      <c r="I274" s="61"/>
      <c r="J274" s="59"/>
      <c r="K274" s="58"/>
      <c r="L274" s="52"/>
    </row>
    <row r="275" spans="2:12">
      <c r="B275" s="50"/>
      <c r="C275" s="51"/>
      <c r="D275" s="44"/>
      <c r="E275" s="44"/>
      <c r="F275" s="44"/>
      <c r="G275" s="44"/>
      <c r="H275" s="44"/>
      <c r="I275" s="61"/>
      <c r="J275" s="59"/>
      <c r="K275" s="58"/>
      <c r="L275" s="52"/>
    </row>
    <row r="276" spans="2:12">
      <c r="B276" s="50"/>
      <c r="C276" s="51"/>
      <c r="D276" s="44"/>
      <c r="E276" s="44"/>
      <c r="F276" s="44"/>
      <c r="G276" s="44"/>
      <c r="H276" s="44"/>
      <c r="I276" s="61"/>
      <c r="J276" s="59"/>
      <c r="K276" s="58"/>
      <c r="L276" s="52"/>
    </row>
    <row r="277" spans="2:12">
      <c r="B277" s="50"/>
      <c r="C277" s="51"/>
      <c r="D277" s="44"/>
      <c r="E277" s="44"/>
      <c r="F277" s="44"/>
      <c r="G277" s="44"/>
      <c r="H277" s="44"/>
      <c r="I277" s="61"/>
      <c r="J277" s="59"/>
      <c r="K277" s="58"/>
      <c r="L277" s="52"/>
    </row>
    <row r="278" spans="2:12">
      <c r="B278" s="50"/>
      <c r="C278" s="51"/>
      <c r="D278" s="44"/>
      <c r="E278" s="44"/>
      <c r="F278" s="44"/>
      <c r="G278" s="44"/>
      <c r="H278" s="44"/>
      <c r="I278" s="61"/>
      <c r="J278" s="59"/>
      <c r="K278" s="58"/>
      <c r="L278" s="52"/>
    </row>
    <row r="279" spans="2:12">
      <c r="B279" s="50"/>
      <c r="C279" s="51"/>
      <c r="D279" s="44"/>
      <c r="E279" s="44"/>
      <c r="F279" s="44"/>
      <c r="G279" s="44"/>
      <c r="H279" s="44"/>
      <c r="I279" s="61"/>
      <c r="J279" s="59"/>
      <c r="K279" s="58"/>
      <c r="L279" s="52"/>
    </row>
    <row r="280" spans="2:12">
      <c r="B280" s="50"/>
      <c r="C280" s="51"/>
      <c r="D280" s="44"/>
      <c r="E280" s="44"/>
      <c r="F280" s="44"/>
      <c r="G280" s="44"/>
      <c r="H280" s="44"/>
      <c r="I280" s="61"/>
      <c r="J280" s="59"/>
      <c r="K280" s="58"/>
      <c r="L280" s="52"/>
    </row>
    <row r="281" spans="2:12">
      <c r="B281" s="50"/>
      <c r="C281" s="51"/>
      <c r="D281" s="44"/>
      <c r="E281" s="44"/>
      <c r="F281" s="44"/>
      <c r="G281" s="44"/>
      <c r="H281" s="44"/>
      <c r="I281" s="61"/>
      <c r="J281" s="59"/>
      <c r="K281" s="58"/>
      <c r="L281" s="52"/>
    </row>
    <row r="282" spans="2:12">
      <c r="B282" s="50"/>
      <c r="C282" s="51"/>
      <c r="D282" s="44"/>
      <c r="E282" s="44"/>
      <c r="F282" s="44"/>
      <c r="G282" s="44"/>
      <c r="H282" s="44"/>
      <c r="I282" s="61"/>
      <c r="J282" s="59"/>
      <c r="K282" s="58"/>
      <c r="L282" s="52"/>
    </row>
    <row r="283" spans="2:12">
      <c r="B283" s="50"/>
      <c r="C283" s="51"/>
      <c r="D283" s="44"/>
      <c r="E283" s="44"/>
      <c r="F283" s="44"/>
      <c r="G283" s="44"/>
      <c r="H283" s="44"/>
      <c r="I283" s="61"/>
      <c r="J283" s="59"/>
      <c r="K283" s="58"/>
      <c r="L283" s="52"/>
    </row>
    <row r="284" spans="2:12">
      <c r="B284" s="50"/>
      <c r="C284" s="51"/>
      <c r="D284" s="44"/>
      <c r="E284" s="44"/>
      <c r="F284" s="44"/>
      <c r="G284" s="44"/>
      <c r="H284" s="44"/>
      <c r="I284" s="61"/>
      <c r="J284" s="59"/>
      <c r="K284" s="58"/>
      <c r="L284" s="52"/>
    </row>
    <row r="285" spans="2:12">
      <c r="B285" s="50"/>
      <c r="C285" s="51"/>
      <c r="D285" s="44"/>
      <c r="E285" s="44"/>
      <c r="F285" s="44"/>
      <c r="G285" s="44"/>
      <c r="H285" s="44"/>
      <c r="I285" s="61"/>
      <c r="J285" s="59"/>
      <c r="K285" s="58"/>
      <c r="L285" s="52"/>
    </row>
    <row r="286" spans="2:12">
      <c r="B286" s="50"/>
      <c r="C286" s="51"/>
      <c r="D286" s="44"/>
      <c r="E286" s="44"/>
      <c r="F286" s="44"/>
      <c r="G286" s="44"/>
      <c r="H286" s="44"/>
      <c r="I286" s="61"/>
      <c r="J286" s="59"/>
      <c r="K286" s="58"/>
      <c r="L286" s="52"/>
    </row>
    <row r="287" spans="2:12">
      <c r="B287" s="50"/>
      <c r="C287" s="51"/>
      <c r="D287" s="44"/>
      <c r="E287" s="44"/>
      <c r="F287" s="44"/>
      <c r="G287" s="44"/>
      <c r="H287" s="44"/>
      <c r="I287" s="61"/>
      <c r="J287" s="59"/>
      <c r="K287" s="58"/>
      <c r="L287" s="52"/>
    </row>
    <row r="288" spans="2:12">
      <c r="B288" s="50"/>
      <c r="C288" s="51"/>
      <c r="D288" s="44"/>
      <c r="E288" s="44"/>
      <c r="F288" s="44"/>
      <c r="G288" s="44"/>
      <c r="H288" s="44"/>
      <c r="I288" s="61"/>
      <c r="J288" s="59"/>
      <c r="K288" s="58"/>
      <c r="L288" s="52"/>
    </row>
    <row r="289" spans="2:12">
      <c r="B289" s="50"/>
      <c r="C289" s="51"/>
      <c r="D289" s="44"/>
      <c r="E289" s="44"/>
      <c r="F289" s="44"/>
      <c r="G289" s="44"/>
      <c r="H289" s="44"/>
      <c r="I289" s="61"/>
      <c r="J289" s="59"/>
      <c r="K289" s="58"/>
      <c r="L289" s="52"/>
    </row>
    <row r="290" spans="2:12">
      <c r="B290" s="50"/>
      <c r="C290" s="51"/>
      <c r="D290" s="44"/>
      <c r="E290" s="44"/>
      <c r="F290" s="44"/>
      <c r="G290" s="44"/>
      <c r="H290" s="44"/>
      <c r="I290" s="61"/>
      <c r="J290" s="59"/>
      <c r="K290" s="58"/>
      <c r="L290" s="52"/>
    </row>
    <row r="291" spans="2:12">
      <c r="B291" s="50"/>
      <c r="C291" s="51"/>
      <c r="D291" s="44"/>
      <c r="E291" s="44"/>
      <c r="F291" s="44"/>
      <c r="G291" s="44"/>
      <c r="H291" s="44"/>
      <c r="I291" s="61"/>
      <c r="J291" s="59"/>
      <c r="K291" s="58"/>
      <c r="L291" s="52"/>
    </row>
    <row r="292" spans="2:12">
      <c r="B292" s="50"/>
      <c r="C292" s="51"/>
      <c r="D292" s="44"/>
      <c r="E292" s="44"/>
      <c r="F292" s="44"/>
      <c r="G292" s="44"/>
      <c r="H292" s="44"/>
      <c r="I292" s="61"/>
      <c r="J292" s="59"/>
      <c r="K292" s="58"/>
      <c r="L292" s="52"/>
    </row>
    <row r="293" spans="2:12">
      <c r="B293" s="50"/>
      <c r="C293" s="51"/>
      <c r="D293" s="44"/>
      <c r="E293" s="44"/>
      <c r="F293" s="44"/>
      <c r="G293" s="44"/>
      <c r="H293" s="44"/>
      <c r="I293" s="61"/>
      <c r="J293" s="59"/>
      <c r="K293" s="58"/>
      <c r="L293" s="52"/>
    </row>
    <row r="294" spans="2:12">
      <c r="B294" s="50"/>
      <c r="C294" s="51"/>
      <c r="D294" s="44"/>
      <c r="E294" s="44"/>
      <c r="F294" s="44"/>
      <c r="G294" s="44"/>
      <c r="H294" s="44"/>
      <c r="I294" s="61"/>
      <c r="J294" s="59"/>
      <c r="K294" s="58"/>
      <c r="L294" s="52"/>
    </row>
    <row r="295" spans="2:12">
      <c r="B295" s="50"/>
      <c r="C295" s="51"/>
      <c r="D295" s="44"/>
      <c r="E295" s="44"/>
      <c r="F295" s="44"/>
      <c r="G295" s="44"/>
      <c r="H295" s="44"/>
      <c r="I295" s="61"/>
      <c r="J295" s="59"/>
      <c r="K295" s="58"/>
      <c r="L295" s="52"/>
    </row>
    <row r="296" spans="2:12">
      <c r="B296" s="50"/>
      <c r="C296" s="51"/>
      <c r="D296" s="44"/>
      <c r="E296" s="44"/>
      <c r="F296" s="44"/>
      <c r="G296" s="44"/>
      <c r="H296" s="44"/>
      <c r="I296" s="61"/>
      <c r="J296" s="59"/>
      <c r="K296" s="58"/>
      <c r="L296" s="52"/>
    </row>
    <row r="297" spans="2:12">
      <c r="B297" s="50"/>
      <c r="C297" s="51"/>
      <c r="D297" s="44"/>
      <c r="E297" s="44"/>
      <c r="F297" s="44"/>
      <c r="G297" s="44"/>
      <c r="H297" s="44"/>
      <c r="I297" s="61"/>
      <c r="J297" s="59"/>
      <c r="K297" s="58"/>
      <c r="L297" s="52"/>
    </row>
    <row r="298" spans="2:12">
      <c r="B298" s="50"/>
      <c r="C298" s="51"/>
      <c r="D298" s="44"/>
      <c r="E298" s="44"/>
      <c r="F298" s="44"/>
      <c r="G298" s="44"/>
      <c r="H298" s="44"/>
      <c r="I298" s="61"/>
      <c r="J298" s="59"/>
      <c r="K298" s="58"/>
      <c r="L298" s="52"/>
    </row>
    <row r="299" spans="2:12">
      <c r="B299" s="50"/>
      <c r="C299" s="51"/>
      <c r="D299" s="44"/>
      <c r="E299" s="44"/>
      <c r="F299" s="44"/>
      <c r="G299" s="44"/>
      <c r="H299" s="44"/>
      <c r="I299" s="61"/>
      <c r="J299" s="59"/>
      <c r="K299" s="58"/>
      <c r="L299" s="52"/>
    </row>
    <row r="300" spans="2:12">
      <c r="B300" s="50"/>
      <c r="C300" s="51"/>
      <c r="D300" s="44"/>
      <c r="E300" s="44"/>
      <c r="F300" s="44"/>
      <c r="G300" s="44"/>
      <c r="H300" s="44"/>
      <c r="I300" s="61"/>
      <c r="J300" s="59"/>
      <c r="K300" s="58"/>
      <c r="L300" s="52"/>
    </row>
    <row r="301" spans="2:12">
      <c r="B301" s="50"/>
      <c r="C301" s="51"/>
      <c r="D301" s="44"/>
      <c r="E301" s="44"/>
      <c r="F301" s="44"/>
      <c r="G301" s="44"/>
      <c r="H301" s="44"/>
      <c r="I301" s="61"/>
      <c r="J301" s="59"/>
      <c r="K301" s="58"/>
      <c r="L301" s="52"/>
    </row>
    <row r="302" spans="2:12">
      <c r="B302" s="50"/>
      <c r="C302" s="51"/>
      <c r="D302" s="44"/>
      <c r="E302" s="44"/>
      <c r="F302" s="44"/>
      <c r="G302" s="44"/>
      <c r="H302" s="44"/>
      <c r="I302" s="61"/>
      <c r="J302" s="59"/>
      <c r="K302" s="58"/>
      <c r="L302" s="52"/>
    </row>
    <row r="303" spans="2:12">
      <c r="B303" s="50"/>
      <c r="C303" s="51"/>
      <c r="D303" s="44"/>
      <c r="E303" s="44"/>
      <c r="F303" s="44"/>
      <c r="G303" s="44"/>
      <c r="H303" s="44"/>
      <c r="I303" s="61"/>
      <c r="J303" s="59"/>
      <c r="K303" s="58"/>
      <c r="L303" s="52"/>
    </row>
    <row r="304" spans="2:12">
      <c r="B304" s="50"/>
      <c r="C304" s="51"/>
      <c r="D304" s="44"/>
      <c r="E304" s="44"/>
      <c r="F304" s="44"/>
      <c r="G304" s="44"/>
      <c r="H304" s="44"/>
      <c r="I304" s="61"/>
      <c r="J304" s="59"/>
      <c r="K304" s="58"/>
      <c r="L304" s="52"/>
    </row>
    <row r="305" spans="2:12">
      <c r="B305" s="50"/>
      <c r="C305" s="51"/>
      <c r="D305" s="44"/>
      <c r="E305" s="44"/>
      <c r="F305" s="44"/>
      <c r="G305" s="44"/>
      <c r="H305" s="44"/>
      <c r="I305" s="61"/>
      <c r="J305" s="59"/>
      <c r="K305" s="58"/>
      <c r="L305" s="52"/>
    </row>
    <row r="306" spans="2:12">
      <c r="B306" s="50"/>
      <c r="C306" s="51"/>
      <c r="D306" s="44"/>
      <c r="E306" s="44"/>
      <c r="F306" s="44"/>
      <c r="G306" s="44"/>
      <c r="H306" s="44"/>
      <c r="I306" s="61"/>
      <c r="J306" s="59"/>
      <c r="K306" s="58"/>
      <c r="L306" s="52"/>
    </row>
    <row r="307" spans="2:12">
      <c r="B307" s="50"/>
      <c r="C307" s="51"/>
      <c r="D307" s="44"/>
      <c r="E307" s="44"/>
      <c r="F307" s="44"/>
      <c r="G307" s="44"/>
      <c r="H307" s="44"/>
      <c r="I307" s="61"/>
      <c r="J307" s="59"/>
      <c r="K307" s="58"/>
      <c r="L307" s="52"/>
    </row>
    <row r="308" spans="2:12">
      <c r="B308" s="50"/>
      <c r="C308" s="51"/>
      <c r="D308" s="44"/>
      <c r="E308" s="44"/>
      <c r="F308" s="44"/>
      <c r="G308" s="44"/>
      <c r="H308" s="44"/>
      <c r="I308" s="61"/>
      <c r="J308" s="59"/>
      <c r="K308" s="58"/>
      <c r="L308" s="52"/>
    </row>
    <row r="309" spans="2:12">
      <c r="B309" s="50"/>
      <c r="C309" s="51"/>
      <c r="D309" s="44"/>
      <c r="E309" s="44"/>
      <c r="F309" s="44"/>
      <c r="G309" s="44"/>
      <c r="H309" s="44"/>
      <c r="I309" s="61"/>
      <c r="J309" s="59"/>
      <c r="K309" s="58"/>
      <c r="L309" s="52"/>
    </row>
    <row r="310" spans="2:12">
      <c r="B310" s="50"/>
      <c r="C310" s="51"/>
      <c r="D310" s="44"/>
      <c r="E310" s="44"/>
      <c r="F310" s="44"/>
      <c r="G310" s="44"/>
      <c r="H310" s="44"/>
      <c r="I310" s="61"/>
      <c r="J310" s="59"/>
      <c r="K310" s="58"/>
      <c r="L310" s="52"/>
    </row>
    <row r="311" spans="2:12">
      <c r="B311" s="50"/>
      <c r="C311" s="51"/>
      <c r="D311" s="44"/>
      <c r="E311" s="44"/>
      <c r="F311" s="44"/>
      <c r="G311" s="44"/>
      <c r="H311" s="44"/>
      <c r="I311" s="61"/>
      <c r="J311" s="59"/>
      <c r="K311" s="58"/>
      <c r="L311" s="52"/>
    </row>
    <row r="312" spans="2:12">
      <c r="B312" s="50"/>
      <c r="C312" s="51"/>
      <c r="D312" s="44"/>
      <c r="E312" s="44"/>
      <c r="F312" s="44"/>
      <c r="G312" s="44"/>
      <c r="H312" s="44"/>
      <c r="I312" s="61"/>
      <c r="J312" s="59"/>
      <c r="K312" s="58"/>
      <c r="L312" s="52"/>
    </row>
    <row r="313" spans="2:12">
      <c r="B313" s="50"/>
      <c r="C313" s="51"/>
      <c r="D313" s="44"/>
      <c r="E313" s="44"/>
      <c r="F313" s="44"/>
      <c r="G313" s="44"/>
      <c r="H313" s="44"/>
      <c r="I313" s="61"/>
      <c r="J313" s="59"/>
      <c r="K313" s="58"/>
      <c r="L313" s="52"/>
    </row>
    <row r="314" spans="2:12">
      <c r="B314" s="50"/>
      <c r="C314" s="51"/>
      <c r="D314" s="44"/>
      <c r="E314" s="44"/>
      <c r="F314" s="44"/>
      <c r="G314" s="44"/>
      <c r="H314" s="44"/>
      <c r="I314" s="61"/>
      <c r="J314" s="59"/>
      <c r="K314" s="58"/>
      <c r="L314" s="52"/>
    </row>
    <row r="315" spans="2:12">
      <c r="B315" s="50"/>
      <c r="C315" s="51"/>
      <c r="D315" s="44"/>
      <c r="E315" s="44"/>
      <c r="F315" s="44"/>
      <c r="G315" s="44"/>
      <c r="H315" s="44"/>
      <c r="I315" s="61"/>
      <c r="J315" s="59"/>
      <c r="K315" s="58"/>
      <c r="L315" s="52"/>
    </row>
    <row r="316" spans="2:12">
      <c r="B316" s="50"/>
      <c r="C316" s="51"/>
      <c r="D316" s="44"/>
      <c r="E316" s="44"/>
      <c r="F316" s="44"/>
      <c r="G316" s="44"/>
      <c r="H316" s="44"/>
      <c r="I316" s="61"/>
      <c r="J316" s="59"/>
      <c r="K316" s="58"/>
      <c r="L316" s="52"/>
    </row>
    <row r="317" spans="2:12">
      <c r="B317" s="50"/>
      <c r="C317" s="51"/>
      <c r="D317" s="44"/>
      <c r="E317" s="44"/>
      <c r="F317" s="44"/>
      <c r="G317" s="44"/>
      <c r="H317" s="44"/>
      <c r="I317" s="61"/>
      <c r="J317" s="59"/>
      <c r="K317" s="58"/>
      <c r="L317" s="52"/>
    </row>
    <row r="318" spans="2:12">
      <c r="B318" s="50"/>
      <c r="C318" s="51"/>
      <c r="D318" s="44"/>
      <c r="E318" s="44"/>
      <c r="F318" s="44"/>
      <c r="G318" s="44"/>
      <c r="H318" s="44"/>
      <c r="I318" s="61"/>
      <c r="J318" s="59"/>
      <c r="K318" s="58"/>
      <c r="L318" s="52"/>
    </row>
    <row r="319" spans="2:12">
      <c r="B319" s="50"/>
      <c r="C319" s="51"/>
      <c r="D319" s="44"/>
      <c r="E319" s="44"/>
      <c r="F319" s="44"/>
      <c r="G319" s="44"/>
      <c r="H319" s="44"/>
      <c r="I319" s="61"/>
      <c r="J319" s="59"/>
      <c r="K319" s="58"/>
      <c r="L319" s="52"/>
    </row>
    <row r="320" spans="2:12">
      <c r="B320" s="50"/>
      <c r="C320" s="51"/>
      <c r="D320" s="44"/>
      <c r="E320" s="44"/>
      <c r="F320" s="44"/>
      <c r="G320" s="44"/>
      <c r="H320" s="44"/>
      <c r="I320" s="61"/>
      <c r="J320" s="59"/>
      <c r="K320" s="58"/>
      <c r="L320" s="52"/>
    </row>
    <row r="321" spans="2:12">
      <c r="B321" s="50"/>
      <c r="C321" s="51"/>
      <c r="D321" s="44"/>
      <c r="E321" s="44"/>
      <c r="F321" s="44"/>
      <c r="G321" s="44"/>
      <c r="H321" s="44"/>
      <c r="I321" s="61"/>
      <c r="J321" s="59"/>
      <c r="K321" s="58"/>
      <c r="L321" s="52"/>
    </row>
    <row r="322" spans="2:12">
      <c r="B322" s="50"/>
      <c r="C322" s="51"/>
      <c r="D322" s="44"/>
      <c r="E322" s="44"/>
      <c r="F322" s="44"/>
      <c r="G322" s="44"/>
      <c r="H322" s="44"/>
      <c r="I322" s="61"/>
      <c r="J322" s="59"/>
      <c r="K322" s="58"/>
      <c r="L322" s="52"/>
    </row>
    <row r="323" spans="2:12">
      <c r="B323" s="50"/>
      <c r="C323" s="51"/>
      <c r="D323" s="44"/>
      <c r="E323" s="44"/>
      <c r="F323" s="44"/>
      <c r="G323" s="44"/>
      <c r="H323" s="44"/>
      <c r="I323" s="61"/>
      <c r="J323" s="59"/>
      <c r="K323" s="58"/>
      <c r="L323" s="52"/>
    </row>
    <row r="324" spans="2:12">
      <c r="B324" s="50"/>
      <c r="C324" s="51"/>
      <c r="D324" s="44"/>
      <c r="E324" s="44"/>
      <c r="F324" s="44"/>
      <c r="G324" s="44"/>
      <c r="H324" s="44"/>
      <c r="I324" s="61"/>
      <c r="J324" s="59"/>
      <c r="K324" s="58"/>
      <c r="L324" s="52"/>
    </row>
    <row r="325" spans="2:12">
      <c r="B325" s="50"/>
      <c r="C325" s="51"/>
      <c r="D325" s="44"/>
      <c r="E325" s="44"/>
      <c r="F325" s="44"/>
      <c r="G325" s="44"/>
      <c r="H325" s="44"/>
      <c r="I325" s="61"/>
      <c r="J325" s="59"/>
      <c r="K325" s="58"/>
      <c r="L325" s="52"/>
    </row>
    <row r="326" spans="2:12">
      <c r="B326" s="50"/>
      <c r="C326" s="51"/>
      <c r="D326" s="44"/>
      <c r="E326" s="44"/>
      <c r="F326" s="44"/>
      <c r="G326" s="44"/>
      <c r="H326" s="44"/>
      <c r="I326" s="61"/>
      <c r="J326" s="59"/>
      <c r="K326" s="58"/>
      <c r="L326" s="52"/>
    </row>
    <row r="327" spans="2:12">
      <c r="B327" s="50"/>
      <c r="C327" s="51"/>
      <c r="D327" s="44"/>
      <c r="E327" s="44"/>
      <c r="F327" s="44"/>
      <c r="G327" s="44"/>
      <c r="H327" s="44"/>
      <c r="I327" s="61"/>
      <c r="J327" s="59"/>
      <c r="K327" s="58"/>
      <c r="L327" s="52"/>
    </row>
    <row r="328" spans="2:12">
      <c r="B328" s="50"/>
      <c r="C328" s="51"/>
      <c r="D328" s="44"/>
      <c r="E328" s="44"/>
      <c r="F328" s="44"/>
      <c r="G328" s="44"/>
      <c r="H328" s="44"/>
      <c r="I328" s="61"/>
      <c r="J328" s="59"/>
      <c r="K328" s="58"/>
      <c r="L328" s="52"/>
    </row>
    <row r="329" spans="2:12">
      <c r="B329" s="50"/>
      <c r="C329" s="51"/>
      <c r="D329" s="44"/>
      <c r="E329" s="44"/>
      <c r="F329" s="44"/>
      <c r="G329" s="44"/>
      <c r="H329" s="44"/>
      <c r="I329" s="61"/>
      <c r="J329" s="59"/>
      <c r="K329" s="58"/>
      <c r="L329" s="52"/>
    </row>
    <row r="330" spans="2:12">
      <c r="B330" s="50"/>
      <c r="C330" s="51"/>
      <c r="D330" s="44"/>
      <c r="E330" s="44"/>
      <c r="F330" s="44"/>
      <c r="G330" s="44"/>
      <c r="H330" s="44"/>
      <c r="I330" s="61"/>
      <c r="J330" s="59"/>
      <c r="K330" s="58"/>
      <c r="L330" s="52"/>
    </row>
    <row r="331" spans="2:12">
      <c r="B331" s="50"/>
      <c r="C331" s="51"/>
      <c r="D331" s="44"/>
      <c r="E331" s="44"/>
      <c r="F331" s="44"/>
      <c r="G331" s="44"/>
      <c r="H331" s="44"/>
      <c r="I331" s="61"/>
      <c r="J331" s="59"/>
      <c r="K331" s="58"/>
      <c r="L331" s="52"/>
    </row>
    <row r="332" spans="2:12">
      <c r="B332" s="50"/>
      <c r="C332" s="51"/>
      <c r="D332" s="44"/>
      <c r="E332" s="44"/>
      <c r="F332" s="44"/>
      <c r="G332" s="44"/>
      <c r="I332" s="61"/>
      <c r="J332" s="59"/>
      <c r="K332" s="58"/>
      <c r="L332" s="52"/>
    </row>
    <row r="333" spans="2:12">
      <c r="B333" s="50"/>
      <c r="C333" s="51"/>
      <c r="D333" s="44"/>
      <c r="E333" s="44"/>
      <c r="F333" s="44"/>
      <c r="G333" s="44"/>
      <c r="I333" s="61"/>
      <c r="J333" s="59"/>
      <c r="K333" s="58"/>
      <c r="L333" s="52"/>
    </row>
    <row r="334" spans="2:12">
      <c r="B334" s="50"/>
      <c r="C334" s="51"/>
      <c r="D334" s="44"/>
      <c r="E334" s="44"/>
      <c r="F334" s="44"/>
      <c r="G334" s="44"/>
      <c r="I334" s="61"/>
      <c r="J334" s="59"/>
      <c r="K334" s="58"/>
      <c r="L334" s="52"/>
    </row>
    <row r="335" spans="2:12">
      <c r="B335" s="50"/>
      <c r="C335" s="51"/>
      <c r="D335" s="44"/>
      <c r="E335" s="44"/>
      <c r="F335" s="44"/>
      <c r="G335" s="44"/>
      <c r="I335" s="61"/>
      <c r="J335" s="59"/>
      <c r="K335" s="58"/>
      <c r="L335" s="52"/>
    </row>
    <row r="336" spans="2:12">
      <c r="B336" s="50"/>
      <c r="C336" s="51"/>
      <c r="D336" s="44"/>
      <c r="E336" s="44"/>
      <c r="F336" s="44"/>
      <c r="G336" s="44"/>
      <c r="I336" s="61"/>
      <c r="J336" s="59"/>
      <c r="K336" s="58"/>
      <c r="L336" s="52"/>
    </row>
    <row r="337" spans="2:12">
      <c r="B337" s="50"/>
      <c r="C337" s="51"/>
      <c r="D337" s="44"/>
      <c r="E337" s="44"/>
      <c r="F337" s="44"/>
      <c r="G337" s="44"/>
      <c r="I337" s="61"/>
      <c r="J337" s="59"/>
      <c r="K337" s="58"/>
      <c r="L337" s="52"/>
    </row>
    <row r="338" spans="2:12">
      <c r="B338" s="50"/>
      <c r="C338" s="51"/>
      <c r="D338" s="44"/>
      <c r="E338" s="44"/>
      <c r="F338" s="44"/>
      <c r="G338" s="44"/>
      <c r="I338" s="61"/>
      <c r="J338" s="59"/>
      <c r="K338" s="58"/>
      <c r="L338" s="52"/>
    </row>
    <row r="339" spans="2:12">
      <c r="B339" s="50"/>
      <c r="C339" s="51"/>
      <c r="D339" s="44"/>
      <c r="E339" s="44"/>
      <c r="F339" s="44"/>
      <c r="G339" s="44"/>
      <c r="I339" s="61"/>
      <c r="J339" s="59"/>
      <c r="K339" s="58"/>
      <c r="L339" s="52"/>
    </row>
    <row r="340" spans="2:12">
      <c r="B340" s="50"/>
      <c r="C340" s="51"/>
      <c r="D340" s="44"/>
      <c r="E340" s="44"/>
      <c r="F340" s="44"/>
      <c r="G340" s="44"/>
      <c r="I340" s="61"/>
      <c r="J340" s="59"/>
      <c r="K340" s="58"/>
      <c r="L340" s="52"/>
    </row>
    <row r="341" spans="2:12">
      <c r="B341" s="50"/>
      <c r="C341" s="51"/>
      <c r="D341" s="44"/>
      <c r="E341" s="44"/>
      <c r="F341" s="44"/>
      <c r="G341" s="44"/>
      <c r="I341" s="61"/>
      <c r="J341" s="59"/>
      <c r="K341" s="58"/>
      <c r="L341" s="52"/>
    </row>
    <row r="342" spans="2:12">
      <c r="B342" s="50"/>
      <c r="C342" s="51"/>
      <c r="D342" s="44"/>
      <c r="E342" s="44"/>
      <c r="F342" s="44"/>
      <c r="G342" s="44"/>
      <c r="I342" s="61"/>
      <c r="J342" s="59"/>
      <c r="K342" s="58"/>
      <c r="L342" s="52"/>
    </row>
    <row r="343" spans="2:12">
      <c r="B343" s="50"/>
      <c r="C343" s="51"/>
      <c r="D343" s="44"/>
      <c r="E343" s="44"/>
      <c r="F343" s="44"/>
      <c r="G343" s="44"/>
      <c r="I343" s="61"/>
      <c r="J343" s="59"/>
      <c r="K343" s="58"/>
      <c r="L343" s="52"/>
    </row>
    <row r="344" spans="2:12">
      <c r="B344" s="50"/>
      <c r="C344" s="51"/>
      <c r="D344" s="44"/>
      <c r="E344" s="44"/>
      <c r="F344" s="44"/>
      <c r="G344" s="44"/>
      <c r="I344" s="61"/>
      <c r="J344" s="59"/>
      <c r="K344" s="58"/>
      <c r="L344" s="52"/>
    </row>
    <row r="345" spans="2:12">
      <c r="B345" s="50"/>
      <c r="C345" s="51"/>
      <c r="D345" s="44"/>
      <c r="E345" s="44"/>
      <c r="F345" s="44"/>
      <c r="G345" s="44"/>
      <c r="I345" s="61"/>
      <c r="J345" s="59"/>
      <c r="K345" s="58"/>
      <c r="L345" s="52"/>
    </row>
    <row r="346" spans="2:12">
      <c r="B346" s="50"/>
      <c r="C346" s="51"/>
      <c r="D346" s="44"/>
      <c r="E346" s="44"/>
      <c r="F346" s="44"/>
      <c r="G346" s="44"/>
      <c r="I346" s="61"/>
      <c r="J346" s="59"/>
      <c r="K346" s="58"/>
      <c r="L346" s="52"/>
    </row>
    <row r="347" spans="2:12">
      <c r="B347" s="50"/>
      <c r="C347" s="51"/>
      <c r="D347" s="44"/>
      <c r="E347" s="44"/>
      <c r="F347" s="44"/>
      <c r="G347" s="44"/>
      <c r="I347" s="61"/>
      <c r="J347" s="59"/>
      <c r="K347" s="58"/>
      <c r="L347" s="52"/>
    </row>
    <row r="348" spans="2:12">
      <c r="B348" s="50"/>
      <c r="C348" s="51"/>
      <c r="D348" s="44"/>
      <c r="E348" s="44"/>
      <c r="F348" s="44"/>
      <c r="G348" s="44"/>
      <c r="I348" s="61"/>
      <c r="J348" s="59"/>
      <c r="K348" s="58"/>
      <c r="L348" s="52"/>
    </row>
    <row r="349" spans="2:12">
      <c r="B349" s="50"/>
      <c r="C349" s="51"/>
      <c r="D349" s="44"/>
      <c r="E349" s="44"/>
      <c r="F349" s="44"/>
      <c r="G349" s="44"/>
      <c r="I349" s="61"/>
      <c r="J349" s="59"/>
      <c r="K349" s="58"/>
      <c r="L349" s="52"/>
    </row>
    <row r="350" spans="2:12">
      <c r="B350" s="50"/>
      <c r="C350" s="51"/>
      <c r="D350" s="44"/>
      <c r="E350" s="44"/>
      <c r="F350" s="44"/>
      <c r="G350" s="44"/>
      <c r="I350" s="61"/>
      <c r="J350" s="59"/>
      <c r="K350" s="58"/>
      <c r="L350" s="52"/>
    </row>
    <row r="351" spans="2:12">
      <c r="B351" s="50"/>
      <c r="C351" s="51"/>
      <c r="D351" s="44"/>
      <c r="E351" s="44"/>
      <c r="F351" s="44"/>
      <c r="G351" s="44"/>
      <c r="I351" s="61"/>
      <c r="J351" s="59"/>
      <c r="K351" s="58"/>
      <c r="L351" s="52"/>
    </row>
    <row r="352" spans="2:12">
      <c r="B352" s="50"/>
      <c r="C352" s="51"/>
      <c r="D352" s="44"/>
      <c r="E352" s="44"/>
      <c r="F352" s="44"/>
      <c r="G352" s="44"/>
      <c r="I352" s="61"/>
      <c r="J352" s="59"/>
      <c r="K352" s="58"/>
      <c r="L352" s="52"/>
    </row>
    <row r="353" spans="2:12">
      <c r="B353" s="50"/>
      <c r="C353" s="51"/>
      <c r="D353" s="44"/>
      <c r="E353" s="44"/>
      <c r="F353" s="44"/>
      <c r="G353" s="44"/>
      <c r="I353" s="61"/>
      <c r="J353" s="59"/>
      <c r="K353" s="58"/>
      <c r="L353" s="52"/>
    </row>
    <row r="354" spans="2:12">
      <c r="B354" s="50"/>
      <c r="C354" s="51"/>
      <c r="D354" s="44"/>
      <c r="E354" s="44"/>
      <c r="F354" s="44"/>
      <c r="G354" s="44"/>
      <c r="I354" s="61"/>
      <c r="J354" s="59"/>
      <c r="K354" s="58"/>
      <c r="L354" s="52"/>
    </row>
    <row r="355" spans="2:12">
      <c r="B355" s="50"/>
      <c r="C355" s="51"/>
      <c r="D355" s="44"/>
      <c r="E355" s="44"/>
      <c r="F355" s="44"/>
      <c r="G355" s="44"/>
      <c r="I355" s="61"/>
      <c r="J355" s="59"/>
      <c r="K355" s="58"/>
      <c r="L355" s="52"/>
    </row>
    <row r="356" spans="2:12">
      <c r="B356" s="50"/>
      <c r="C356" s="51"/>
      <c r="D356" s="44"/>
      <c r="E356" s="44"/>
      <c r="F356" s="44"/>
      <c r="G356" s="44"/>
      <c r="I356" s="61"/>
      <c r="J356" s="59"/>
      <c r="K356" s="58"/>
      <c r="L356" s="52"/>
    </row>
    <row r="357" spans="2:12">
      <c r="B357" s="50"/>
      <c r="C357" s="51"/>
      <c r="D357" s="44"/>
      <c r="E357" s="44"/>
      <c r="F357" s="44"/>
      <c r="G357" s="44"/>
      <c r="I357" s="61"/>
      <c r="J357" s="59"/>
      <c r="K357" s="58"/>
      <c r="L357" s="52"/>
    </row>
    <row r="358" spans="2:12">
      <c r="B358" s="50"/>
      <c r="C358" s="51"/>
      <c r="D358" s="44"/>
      <c r="E358" s="44"/>
      <c r="F358" s="44"/>
      <c r="G358" s="44"/>
      <c r="I358" s="61"/>
      <c r="J358" s="59"/>
      <c r="K358" s="58"/>
      <c r="L358" s="52"/>
    </row>
    <row r="359" spans="2:12">
      <c r="B359" s="50"/>
      <c r="C359" s="51"/>
      <c r="D359" s="44"/>
      <c r="E359" s="44"/>
      <c r="F359" s="44"/>
      <c r="G359" s="44"/>
      <c r="I359" s="61"/>
      <c r="J359" s="59"/>
      <c r="K359" s="58"/>
      <c r="L359" s="52"/>
    </row>
    <row r="360" spans="2:12">
      <c r="B360" s="50"/>
      <c r="C360" s="51"/>
      <c r="D360" s="44"/>
      <c r="E360" s="44"/>
      <c r="F360" s="44"/>
      <c r="G360" s="44"/>
      <c r="I360" s="61"/>
      <c r="J360" s="59"/>
      <c r="K360" s="58"/>
      <c r="L360" s="52"/>
    </row>
    <row r="361" spans="2:12">
      <c r="B361" s="50"/>
      <c r="C361" s="51"/>
      <c r="D361" s="44"/>
      <c r="E361" s="44"/>
      <c r="F361" s="44"/>
      <c r="G361" s="44"/>
      <c r="I361" s="61"/>
      <c r="J361" s="59"/>
      <c r="K361" s="58"/>
      <c r="L361" s="52"/>
    </row>
    <row r="362" spans="2:12">
      <c r="B362" s="50"/>
      <c r="C362" s="51"/>
      <c r="D362" s="44"/>
      <c r="E362" s="44"/>
      <c r="F362" s="44"/>
      <c r="G362" s="44"/>
      <c r="I362" s="61"/>
      <c r="J362" s="59"/>
      <c r="K362" s="58"/>
      <c r="L362" s="52"/>
    </row>
    <row r="363" spans="2:12">
      <c r="B363" s="50"/>
      <c r="C363" s="51"/>
      <c r="D363" s="44"/>
      <c r="E363" s="44"/>
      <c r="F363" s="44"/>
      <c r="G363" s="44"/>
      <c r="I363" s="61"/>
      <c r="J363" s="59"/>
      <c r="K363" s="58"/>
      <c r="L363" s="52"/>
    </row>
    <row r="364" spans="2:12">
      <c r="B364" s="50"/>
      <c r="C364" s="51"/>
      <c r="D364" s="44"/>
      <c r="E364" s="44"/>
      <c r="F364" s="44"/>
      <c r="G364" s="44"/>
      <c r="I364" s="61"/>
      <c r="J364" s="59"/>
      <c r="K364" s="58"/>
      <c r="L364" s="52"/>
    </row>
    <row r="365" spans="2:12">
      <c r="B365" s="50"/>
      <c r="C365" s="51"/>
      <c r="D365" s="44"/>
      <c r="E365" s="44"/>
      <c r="F365" s="44"/>
      <c r="G365" s="44"/>
      <c r="I365" s="61"/>
      <c r="J365" s="59"/>
      <c r="K365" s="58"/>
      <c r="L365" s="52"/>
    </row>
    <row r="366" spans="2:12">
      <c r="B366" s="50"/>
      <c r="C366" s="51"/>
      <c r="D366" s="44"/>
      <c r="E366" s="44"/>
      <c r="F366" s="44"/>
      <c r="G366" s="44"/>
      <c r="I366" s="61"/>
      <c r="J366" s="59"/>
      <c r="K366" s="58"/>
      <c r="L366" s="52"/>
    </row>
    <row r="367" spans="2:12">
      <c r="B367" s="50"/>
      <c r="C367" s="51"/>
      <c r="D367" s="44"/>
      <c r="E367" s="44"/>
      <c r="F367" s="44"/>
      <c r="G367" s="44"/>
      <c r="I367" s="61"/>
      <c r="J367" s="59"/>
      <c r="K367" s="58"/>
      <c r="L367" s="52"/>
    </row>
    <row r="368" spans="2:12">
      <c r="B368" s="50"/>
      <c r="C368" s="51"/>
      <c r="D368" s="44"/>
      <c r="E368" s="44"/>
      <c r="F368" s="44"/>
      <c r="G368" s="44"/>
      <c r="I368" s="61"/>
      <c r="J368" s="59"/>
      <c r="K368" s="58"/>
      <c r="L368" s="52"/>
    </row>
    <row r="369" spans="2:12">
      <c r="B369" s="50"/>
      <c r="C369" s="51"/>
      <c r="D369" s="44"/>
      <c r="E369" s="44"/>
      <c r="F369" s="44"/>
      <c r="G369" s="44"/>
      <c r="I369" s="61"/>
      <c r="J369" s="59"/>
      <c r="K369" s="58"/>
      <c r="L369" s="52"/>
    </row>
    <row r="370" spans="2:12">
      <c r="B370" s="50"/>
      <c r="C370" s="51"/>
      <c r="D370" s="44"/>
      <c r="E370" s="44"/>
      <c r="F370" s="44"/>
      <c r="G370" s="44"/>
      <c r="H370" s="44"/>
      <c r="I370" s="61"/>
      <c r="J370" s="59"/>
      <c r="K370" s="58"/>
      <c r="L370" s="52"/>
    </row>
    <row r="371" spans="2:12">
      <c r="B371" s="50"/>
      <c r="C371" s="51"/>
      <c r="D371" s="44"/>
      <c r="E371" s="44"/>
      <c r="F371" s="44"/>
      <c r="G371" s="44"/>
      <c r="H371" s="44"/>
      <c r="I371" s="61"/>
      <c r="J371" s="59"/>
      <c r="K371" s="58"/>
      <c r="L371" s="52"/>
    </row>
    <row r="372" spans="2:12">
      <c r="B372" s="50"/>
      <c r="C372" s="51"/>
      <c r="D372" s="44"/>
      <c r="E372" s="44"/>
      <c r="F372" s="44"/>
      <c r="G372" s="44"/>
      <c r="H372" s="44"/>
      <c r="I372" s="61"/>
      <c r="J372" s="59"/>
      <c r="K372" s="58"/>
      <c r="L372" s="52"/>
    </row>
    <row r="373" spans="2:12">
      <c r="B373" s="50"/>
      <c r="C373" s="51"/>
      <c r="D373" s="44"/>
      <c r="E373" s="44"/>
      <c r="F373" s="44"/>
      <c r="G373" s="44"/>
      <c r="H373" s="44"/>
      <c r="I373" s="61"/>
      <c r="J373" s="59"/>
      <c r="K373" s="58"/>
      <c r="L373" s="52"/>
    </row>
    <row r="374" spans="2:12">
      <c r="B374" s="50"/>
      <c r="C374" s="51"/>
      <c r="D374" s="44"/>
      <c r="E374" s="44"/>
      <c r="F374" s="44"/>
      <c r="G374" s="44"/>
      <c r="H374" s="44"/>
      <c r="I374" s="61"/>
      <c r="J374" s="59"/>
      <c r="K374" s="58"/>
      <c r="L374" s="52"/>
    </row>
    <row r="375" spans="2:12">
      <c r="B375" s="50"/>
      <c r="C375" s="51"/>
      <c r="D375" s="44"/>
      <c r="E375" s="44"/>
      <c r="F375" s="44"/>
      <c r="G375" s="44"/>
      <c r="H375" s="44"/>
      <c r="I375" s="61"/>
      <c r="J375" s="59"/>
      <c r="K375" s="58"/>
      <c r="L375" s="52"/>
    </row>
    <row r="376" spans="2:12">
      <c r="B376" s="50"/>
      <c r="C376" s="51"/>
      <c r="D376" s="44"/>
      <c r="E376" s="44"/>
      <c r="F376" s="44"/>
      <c r="G376" s="44"/>
      <c r="H376" s="44"/>
      <c r="I376" s="61"/>
      <c r="J376" s="59"/>
      <c r="K376" s="58"/>
      <c r="L376" s="52"/>
    </row>
    <row r="377" spans="2:12">
      <c r="B377" s="50"/>
      <c r="C377" s="51"/>
      <c r="D377" s="44"/>
      <c r="E377" s="44"/>
      <c r="F377" s="44"/>
      <c r="G377" s="44"/>
      <c r="H377" s="44"/>
      <c r="I377" s="61"/>
      <c r="J377" s="59"/>
      <c r="K377" s="58"/>
      <c r="L377" s="52"/>
    </row>
    <row r="378" spans="2:12">
      <c r="B378" s="50"/>
      <c r="C378" s="51"/>
      <c r="D378" s="44"/>
      <c r="E378" s="44"/>
      <c r="F378" s="44"/>
      <c r="G378" s="44"/>
      <c r="I378" s="61"/>
      <c r="J378" s="59"/>
    </row>
    <row r="379" spans="2:12">
      <c r="B379" s="50"/>
      <c r="C379" s="51"/>
      <c r="D379" s="44"/>
      <c r="E379" s="44"/>
      <c r="F379" s="44"/>
      <c r="G379" s="44"/>
      <c r="I379" s="61"/>
      <c r="J379" s="59"/>
    </row>
    <row r="380" spans="2:12">
      <c r="B380" s="50"/>
      <c r="C380" s="51"/>
      <c r="D380" s="44"/>
      <c r="E380" s="44"/>
      <c r="F380" s="44"/>
      <c r="G380" s="44"/>
      <c r="I380" s="61"/>
      <c r="J380" s="59"/>
    </row>
    <row r="381" spans="2:12">
      <c r="B381" s="50"/>
      <c r="C381" s="51"/>
      <c r="D381" s="44"/>
      <c r="E381" s="44"/>
      <c r="F381" s="44"/>
      <c r="G381" s="44"/>
      <c r="I381" s="61"/>
      <c r="J381" s="59"/>
    </row>
    <row r="382" spans="2:12">
      <c r="B382" s="50"/>
      <c r="C382" s="51"/>
      <c r="D382" s="44"/>
      <c r="E382" s="44"/>
      <c r="F382" s="44"/>
      <c r="G382" s="44"/>
      <c r="I382" s="61"/>
      <c r="J382" s="59"/>
    </row>
    <row r="383" spans="2:12">
      <c r="B383" s="50"/>
      <c r="C383" s="51"/>
      <c r="D383" s="44"/>
      <c r="E383" s="44"/>
      <c r="F383" s="44"/>
      <c r="G383" s="44"/>
      <c r="I383" s="61"/>
      <c r="J383" s="59"/>
    </row>
    <row r="384" spans="2:12">
      <c r="B384" s="50"/>
      <c r="C384" s="51"/>
      <c r="D384" s="44"/>
      <c r="E384" s="44"/>
      <c r="F384" s="44"/>
      <c r="G384" s="44"/>
      <c r="I384" s="61"/>
      <c r="J384" s="59"/>
    </row>
    <row r="385" spans="2:10">
      <c r="B385" s="50"/>
      <c r="C385" s="51"/>
      <c r="D385" s="44"/>
      <c r="E385" s="44"/>
      <c r="F385" s="44"/>
      <c r="G385" s="44"/>
      <c r="I385" s="61"/>
      <c r="J385" s="59"/>
    </row>
    <row r="386" spans="2:10">
      <c r="B386" s="50"/>
      <c r="C386" s="51"/>
      <c r="D386" s="44"/>
      <c r="E386" s="44"/>
      <c r="F386" s="44"/>
      <c r="G386" s="44"/>
      <c r="I386" s="61"/>
      <c r="J386" s="59"/>
    </row>
    <row r="387" spans="2:10">
      <c r="B387" s="50"/>
      <c r="C387" s="51"/>
      <c r="D387" s="44"/>
      <c r="E387" s="44"/>
      <c r="F387" s="44"/>
      <c r="G387" s="44"/>
      <c r="I387" s="61"/>
      <c r="J387" s="59"/>
    </row>
    <row r="388" spans="2:10">
      <c r="B388" s="50"/>
      <c r="C388" s="51"/>
      <c r="D388" s="44"/>
      <c r="E388" s="44"/>
      <c r="F388" s="44"/>
      <c r="G388" s="44"/>
      <c r="I388" s="61"/>
      <c r="J388" s="59"/>
    </row>
    <row r="389" spans="2:10">
      <c r="B389" s="50"/>
      <c r="C389" s="51"/>
      <c r="D389" s="44"/>
      <c r="E389" s="44"/>
      <c r="F389" s="44"/>
      <c r="G389" s="44"/>
      <c r="I389" s="61"/>
      <c r="J389" s="59"/>
    </row>
    <row r="390" spans="2:10">
      <c r="B390" s="50"/>
      <c r="C390" s="51"/>
      <c r="D390" s="44"/>
      <c r="E390" s="44"/>
      <c r="F390" s="44"/>
      <c r="G390" s="44"/>
      <c r="I390" s="61"/>
      <c r="J390" s="59"/>
    </row>
    <row r="391" spans="2:10">
      <c r="B391" s="50"/>
      <c r="C391" s="51"/>
      <c r="D391" s="44"/>
      <c r="E391" s="44"/>
      <c r="F391" s="44"/>
      <c r="G391" s="44"/>
      <c r="I391" s="61"/>
      <c r="J391" s="59"/>
    </row>
    <row r="392" spans="2:10">
      <c r="B392" s="50"/>
      <c r="C392" s="51"/>
      <c r="D392" s="44"/>
      <c r="E392" s="44"/>
      <c r="F392" s="44"/>
      <c r="G392" s="44"/>
      <c r="I392" s="61"/>
      <c r="J392" s="59"/>
    </row>
    <row r="393" spans="2:10">
      <c r="B393" s="50"/>
      <c r="C393" s="51"/>
      <c r="D393" s="44"/>
      <c r="E393" s="44"/>
      <c r="F393" s="44"/>
      <c r="G393" s="44"/>
      <c r="I393" s="61"/>
      <c r="J393" s="59"/>
    </row>
    <row r="394" spans="2:10">
      <c r="B394" s="50"/>
      <c r="C394" s="51"/>
      <c r="D394" s="44"/>
      <c r="E394" s="44"/>
      <c r="F394" s="44"/>
      <c r="G394" s="44"/>
      <c r="I394" s="61"/>
      <c r="J394" s="59"/>
    </row>
    <row r="395" spans="2:10">
      <c r="B395" s="50"/>
      <c r="C395" s="51"/>
      <c r="D395" s="44"/>
      <c r="E395" s="44"/>
      <c r="F395" s="44"/>
      <c r="G395" s="44"/>
      <c r="I395" s="61"/>
      <c r="J395" s="59"/>
    </row>
    <row r="396" spans="2:10">
      <c r="B396" s="50"/>
      <c r="C396" s="51"/>
      <c r="D396" s="44"/>
      <c r="E396" s="44"/>
      <c r="F396" s="44"/>
      <c r="G396" s="44"/>
      <c r="I396" s="61"/>
      <c r="J396" s="59"/>
    </row>
    <row r="397" spans="2:10">
      <c r="B397" s="50"/>
      <c r="C397" s="51"/>
      <c r="D397" s="44"/>
      <c r="E397" s="44"/>
      <c r="F397" s="44"/>
      <c r="G397" s="44"/>
      <c r="I397" s="61"/>
      <c r="J397" s="59"/>
    </row>
    <row r="398" spans="2:10">
      <c r="B398" s="50"/>
      <c r="C398" s="51"/>
      <c r="D398" s="44"/>
      <c r="E398" s="44"/>
      <c r="F398" s="44"/>
      <c r="G398" s="44"/>
      <c r="I398" s="61"/>
      <c r="J398" s="59"/>
    </row>
    <row r="399" spans="2:10">
      <c r="B399" s="50"/>
      <c r="C399" s="51"/>
      <c r="D399" s="44"/>
      <c r="E399" s="44"/>
      <c r="F399" s="44"/>
      <c r="G399" s="44"/>
      <c r="I399" s="61"/>
      <c r="J399" s="59"/>
    </row>
    <row r="400" spans="2:10">
      <c r="B400" s="50"/>
      <c r="C400" s="51"/>
      <c r="D400" s="44"/>
      <c r="E400" s="44"/>
      <c r="F400" s="44"/>
      <c r="G400" s="44"/>
      <c r="I400" s="61"/>
      <c r="J400" s="59"/>
    </row>
    <row r="401" spans="2:10">
      <c r="B401" s="50"/>
      <c r="C401" s="51"/>
      <c r="D401" s="44"/>
      <c r="E401" s="44"/>
      <c r="F401" s="44"/>
      <c r="G401" s="44"/>
      <c r="I401" s="61"/>
      <c r="J401" s="59"/>
    </row>
    <row r="402" spans="2:10">
      <c r="B402" s="50"/>
      <c r="C402" s="51"/>
      <c r="D402" s="44"/>
      <c r="E402" s="44"/>
      <c r="F402" s="44"/>
      <c r="G402" s="44"/>
      <c r="I402" s="61"/>
      <c r="J402" s="59"/>
    </row>
    <row r="403" spans="2:10">
      <c r="B403" s="50"/>
      <c r="C403" s="51"/>
      <c r="D403" s="44"/>
      <c r="E403" s="44"/>
      <c r="F403" s="44"/>
      <c r="G403" s="44"/>
      <c r="I403" s="61"/>
      <c r="J403" s="59"/>
    </row>
    <row r="404" spans="2:10">
      <c r="B404" s="50"/>
      <c r="D404" s="44"/>
      <c r="E404" s="44"/>
      <c r="F404" s="44"/>
      <c r="G404" s="44"/>
      <c r="I404" s="61"/>
      <c r="J404" s="59"/>
    </row>
    <row r="405" spans="2:10">
      <c r="B405" s="50"/>
      <c r="D405" s="44"/>
      <c r="E405" s="44"/>
      <c r="F405" s="44"/>
      <c r="G405" s="44"/>
      <c r="I405" s="61"/>
      <c r="J405" s="59"/>
    </row>
    <row r="406" spans="2:10">
      <c r="B406" s="50"/>
      <c r="D406" s="44"/>
      <c r="E406" s="44"/>
      <c r="F406" s="44"/>
      <c r="G406" s="44"/>
      <c r="I406" s="61"/>
      <c r="J406" s="59"/>
    </row>
    <row r="407" spans="2:10">
      <c r="B407" s="50"/>
      <c r="D407" s="44"/>
      <c r="E407" s="44"/>
      <c r="F407" s="44"/>
      <c r="G407" s="44"/>
      <c r="I407" s="61"/>
      <c r="J407" s="59"/>
    </row>
    <row r="408" spans="2:10">
      <c r="B408" s="50"/>
      <c r="D408" s="44"/>
      <c r="E408" s="44"/>
      <c r="F408" s="44"/>
      <c r="G408" s="44"/>
      <c r="I408" s="61"/>
      <c r="J408" s="59"/>
    </row>
    <row r="409" spans="2:10">
      <c r="B409" s="50"/>
      <c r="D409" s="44"/>
      <c r="E409" s="44"/>
      <c r="F409" s="44"/>
      <c r="G409" s="44"/>
      <c r="I409" s="61"/>
      <c r="J409" s="59"/>
    </row>
    <row r="410" spans="2:10">
      <c r="B410" s="50"/>
      <c r="D410" s="44"/>
      <c r="E410" s="44"/>
      <c r="F410" s="44"/>
      <c r="G410" s="44"/>
      <c r="I410" s="61"/>
      <c r="J410" s="59"/>
    </row>
    <row r="411" spans="2:10">
      <c r="B411" s="50"/>
      <c r="D411" s="44"/>
      <c r="E411" s="44"/>
      <c r="F411" s="44"/>
      <c r="G411" s="44"/>
      <c r="I411" s="61"/>
      <c r="J411" s="59"/>
    </row>
    <row r="412" spans="2:10">
      <c r="B412" s="50"/>
      <c r="D412" s="44"/>
      <c r="E412" s="44"/>
      <c r="F412" s="44"/>
      <c r="G412" s="44"/>
      <c r="I412" s="61"/>
      <c r="J412" s="59"/>
    </row>
    <row r="413" spans="2:10">
      <c r="B413" s="50"/>
      <c r="D413" s="44"/>
      <c r="E413" s="44"/>
      <c r="F413" s="44"/>
      <c r="G413" s="44"/>
      <c r="I413" s="61"/>
      <c r="J413" s="59"/>
    </row>
    <row r="414" spans="2:10">
      <c r="B414" s="50"/>
      <c r="D414" s="44"/>
      <c r="E414" s="44"/>
      <c r="F414" s="44"/>
      <c r="G414" s="44"/>
      <c r="I414" s="61"/>
      <c r="J414" s="59"/>
    </row>
    <row r="415" spans="2:10">
      <c r="B415" s="50"/>
      <c r="D415" s="44"/>
      <c r="E415" s="44"/>
      <c r="F415" s="44"/>
      <c r="G415" s="44"/>
      <c r="I415" s="61"/>
      <c r="J415" s="59"/>
    </row>
    <row r="416" spans="2:10">
      <c r="B416" s="50"/>
      <c r="D416" s="44"/>
      <c r="E416" s="44"/>
      <c r="F416" s="44"/>
      <c r="G416" s="44"/>
      <c r="I416" s="61"/>
      <c r="J416" s="59"/>
    </row>
    <row r="417" spans="2:10">
      <c r="B417" s="50"/>
      <c r="D417" s="44"/>
      <c r="E417" s="44"/>
      <c r="F417" s="44"/>
      <c r="G417" s="44"/>
      <c r="I417" s="61"/>
      <c r="J417" s="59"/>
    </row>
    <row r="418" spans="2:10">
      <c r="B418" s="50"/>
      <c r="D418" s="44"/>
      <c r="E418" s="44"/>
      <c r="F418" s="44"/>
      <c r="G418" s="44"/>
      <c r="I418" s="61"/>
      <c r="J418" s="59"/>
    </row>
    <row r="419" spans="2:10">
      <c r="B419" s="50"/>
      <c r="D419" s="44"/>
      <c r="E419" s="44"/>
      <c r="F419" s="44"/>
      <c r="G419" s="44"/>
      <c r="I419" s="61"/>
      <c r="J419" s="59"/>
    </row>
    <row r="420" spans="2:10">
      <c r="B420" s="50"/>
      <c r="D420" s="44"/>
      <c r="E420" s="44"/>
      <c r="F420" s="44"/>
      <c r="G420" s="44"/>
      <c r="I420" s="61"/>
      <c r="J420" s="59"/>
    </row>
    <row r="421" spans="2:10">
      <c r="B421" s="50"/>
      <c r="D421" s="44"/>
      <c r="E421" s="44"/>
      <c r="F421" s="44"/>
      <c r="G421" s="44"/>
      <c r="I421" s="61"/>
      <c r="J421" s="59"/>
    </row>
    <row r="422" spans="2:10">
      <c r="B422" s="50"/>
      <c r="D422" s="44"/>
      <c r="E422" s="44"/>
      <c r="F422" s="44"/>
      <c r="G422" s="44"/>
      <c r="I422" s="61"/>
      <c r="J422" s="59"/>
    </row>
    <row r="423" spans="2:10">
      <c r="B423" s="50"/>
      <c r="D423" s="44"/>
      <c r="E423" s="44"/>
      <c r="F423" s="44"/>
      <c r="G423" s="44"/>
      <c r="I423" s="61"/>
      <c r="J423" s="59"/>
    </row>
    <row r="424" spans="2:10">
      <c r="B424" s="50"/>
      <c r="D424" s="44"/>
      <c r="E424" s="44"/>
      <c r="F424" s="44"/>
      <c r="G424" s="44"/>
      <c r="I424" s="61"/>
      <c r="J424" s="59"/>
    </row>
    <row r="425" spans="2:10">
      <c r="B425" s="50"/>
      <c r="D425" s="44"/>
      <c r="E425" s="44"/>
      <c r="F425" s="44"/>
      <c r="G425" s="44"/>
      <c r="I425" s="61"/>
      <c r="J425" s="59"/>
    </row>
    <row r="426" spans="2:10">
      <c r="B426" s="50"/>
      <c r="D426" s="44"/>
      <c r="E426" s="44"/>
      <c r="F426" s="44"/>
      <c r="G426" s="44"/>
      <c r="I426" s="61"/>
      <c r="J426" s="59"/>
    </row>
    <row r="427" spans="2:10">
      <c r="B427" s="50"/>
      <c r="D427" s="44"/>
      <c r="E427" s="44"/>
      <c r="F427" s="44"/>
      <c r="G427" s="44"/>
      <c r="I427" s="61"/>
      <c r="J427" s="59"/>
    </row>
    <row r="428" spans="2:10">
      <c r="B428" s="50"/>
      <c r="D428" s="44"/>
      <c r="E428" s="44"/>
      <c r="F428" s="44"/>
      <c r="G428" s="44"/>
      <c r="I428" s="61"/>
      <c r="J428" s="59"/>
    </row>
    <row r="429" spans="2:10">
      <c r="B429" s="50"/>
      <c r="D429" s="44"/>
      <c r="E429" s="44"/>
      <c r="F429" s="44"/>
      <c r="G429" s="44"/>
      <c r="I429" s="61"/>
      <c r="J429" s="59"/>
    </row>
    <row r="430" spans="2:10">
      <c r="B430" s="50"/>
      <c r="D430" s="44"/>
      <c r="E430" s="44"/>
      <c r="F430" s="44"/>
      <c r="G430" s="44"/>
      <c r="I430" s="61"/>
      <c r="J430" s="59"/>
    </row>
    <row r="431" spans="2:10">
      <c r="B431" s="50"/>
      <c r="D431" s="44"/>
      <c r="E431" s="44"/>
      <c r="F431" s="44"/>
      <c r="G431" s="44"/>
      <c r="I431" s="61"/>
      <c r="J431" s="59"/>
    </row>
    <row r="432" spans="2:10">
      <c r="B432" s="50"/>
      <c r="D432" s="44"/>
      <c r="E432" s="44"/>
      <c r="F432" s="44"/>
      <c r="G432" s="44"/>
      <c r="I432" s="61"/>
      <c r="J432" s="59"/>
    </row>
    <row r="433" spans="2:10">
      <c r="B433" s="50"/>
      <c r="D433" s="44"/>
      <c r="E433" s="44"/>
      <c r="F433" s="44"/>
      <c r="G433" s="44"/>
      <c r="I433" s="61"/>
      <c r="J433" s="59"/>
    </row>
    <row r="434" spans="2:10">
      <c r="B434" s="50"/>
      <c r="D434" s="44"/>
      <c r="E434" s="44"/>
      <c r="F434" s="44"/>
      <c r="G434" s="44"/>
      <c r="I434" s="61"/>
      <c r="J434" s="59"/>
    </row>
    <row r="435" spans="2:10">
      <c r="B435" s="50"/>
      <c r="D435" s="44"/>
      <c r="E435" s="44"/>
      <c r="F435" s="44"/>
      <c r="G435" s="44"/>
      <c r="I435" s="61"/>
      <c r="J435" s="59"/>
    </row>
    <row r="436" spans="2:10">
      <c r="B436" s="50"/>
      <c r="D436" s="44"/>
      <c r="E436" s="44"/>
      <c r="F436" s="44"/>
      <c r="G436" s="44"/>
      <c r="I436" s="61"/>
      <c r="J436" s="59"/>
    </row>
    <row r="437" spans="2:10">
      <c r="D437" s="44"/>
      <c r="E437" s="44"/>
      <c r="F437" s="44"/>
      <c r="G437" s="44"/>
      <c r="I437" s="61"/>
      <c r="J437" s="59"/>
    </row>
    <row r="438" spans="2:10">
      <c r="D438" s="44"/>
      <c r="E438" s="44"/>
      <c r="F438" s="44"/>
      <c r="G438" s="44"/>
      <c r="I438" s="61"/>
      <c r="J438" s="59"/>
    </row>
    <row r="439" spans="2:10">
      <c r="D439" s="44"/>
      <c r="E439" s="44"/>
      <c r="F439" s="44"/>
      <c r="G439" s="44"/>
      <c r="I439" s="61"/>
      <c r="J439" s="59"/>
    </row>
    <row r="440" spans="2:10">
      <c r="D440" s="44"/>
      <c r="E440" s="44"/>
      <c r="F440" s="44"/>
      <c r="G440" s="44"/>
      <c r="I440" s="61"/>
      <c r="J440" s="59"/>
    </row>
    <row r="441" spans="2:10">
      <c r="D441" s="44"/>
      <c r="E441" s="44"/>
      <c r="F441" s="44"/>
      <c r="G441" s="44"/>
      <c r="I441" s="61"/>
      <c r="J441" s="59"/>
    </row>
    <row r="442" spans="2:10">
      <c r="D442" s="44"/>
      <c r="E442" s="44"/>
      <c r="F442" s="44"/>
      <c r="G442" s="44"/>
      <c r="I442" s="61"/>
      <c r="J442" s="59"/>
    </row>
    <row r="443" spans="2:10">
      <c r="D443" s="44"/>
      <c r="E443" s="44"/>
      <c r="F443" s="44"/>
      <c r="G443" s="44"/>
      <c r="I443" s="61"/>
      <c r="J443" s="59"/>
    </row>
    <row r="444" spans="2:10">
      <c r="D444" s="44"/>
      <c r="E444" s="44"/>
      <c r="F444" s="44"/>
      <c r="G444" s="44"/>
      <c r="I444" s="61"/>
      <c r="J444" s="59"/>
    </row>
    <row r="445" spans="2:10">
      <c r="D445" s="44"/>
      <c r="E445" s="44"/>
      <c r="F445" s="44"/>
      <c r="G445" s="44"/>
      <c r="I445" s="61"/>
      <c r="J445" s="59"/>
    </row>
    <row r="446" spans="2:10">
      <c r="D446" s="44"/>
      <c r="E446" s="44"/>
      <c r="F446" s="44"/>
      <c r="G446" s="44"/>
      <c r="I446" s="61"/>
      <c r="J446" s="59"/>
    </row>
    <row r="447" spans="2:10">
      <c r="D447" s="44"/>
      <c r="E447" s="44"/>
      <c r="F447" s="44"/>
      <c r="G447" s="44"/>
      <c r="I447" s="61"/>
      <c r="J447" s="59"/>
    </row>
    <row r="448" spans="2:10">
      <c r="D448" s="44"/>
      <c r="E448" s="44"/>
      <c r="F448" s="44"/>
      <c r="G448" s="44"/>
      <c r="I448" s="61"/>
      <c r="J448" s="59"/>
    </row>
    <row r="449" spans="4:10">
      <c r="D449" s="44"/>
      <c r="E449" s="44"/>
      <c r="F449" s="44"/>
      <c r="G449" s="44"/>
      <c r="I449" s="61"/>
      <c r="J449" s="59"/>
    </row>
    <row r="450" spans="4:10">
      <c r="D450" s="44"/>
      <c r="E450" s="44"/>
      <c r="F450" s="44"/>
      <c r="G450" s="44"/>
      <c r="I450" s="61"/>
      <c r="J450" s="59"/>
    </row>
    <row r="451" spans="4:10">
      <c r="D451" s="44"/>
      <c r="E451" s="44"/>
      <c r="F451" s="44"/>
      <c r="G451" s="44"/>
      <c r="I451" s="61"/>
      <c r="J451" s="59"/>
    </row>
    <row r="452" spans="4:10">
      <c r="D452" s="44"/>
      <c r="E452" s="44"/>
      <c r="F452" s="44"/>
      <c r="G452" s="44"/>
      <c r="I452" s="61"/>
      <c r="J452" s="59"/>
    </row>
    <row r="453" spans="4:10">
      <c r="D453" s="44"/>
      <c r="E453" s="44"/>
      <c r="F453" s="44"/>
      <c r="G453" s="44"/>
      <c r="I453" s="61"/>
      <c r="J453" s="59"/>
    </row>
    <row r="454" spans="4:10">
      <c r="D454" s="44"/>
      <c r="E454" s="44"/>
      <c r="F454" s="44"/>
      <c r="G454" s="44"/>
      <c r="I454" s="61"/>
      <c r="J454" s="59"/>
    </row>
    <row r="455" spans="4:10">
      <c r="D455" s="44"/>
      <c r="E455" s="44"/>
      <c r="F455" s="44"/>
      <c r="G455" s="44"/>
      <c r="I455" s="61"/>
      <c r="J455" s="59"/>
    </row>
    <row r="456" spans="4:10">
      <c r="D456" s="44"/>
      <c r="E456" s="44"/>
      <c r="F456" s="44"/>
      <c r="G456" s="44"/>
      <c r="I456" s="61"/>
      <c r="J456" s="59"/>
    </row>
    <row r="457" spans="4:10">
      <c r="D457" s="44"/>
      <c r="E457" s="44"/>
      <c r="F457" s="44"/>
      <c r="G457" s="44"/>
      <c r="I457" s="61"/>
      <c r="J457" s="59"/>
    </row>
    <row r="458" spans="4:10">
      <c r="D458" s="44"/>
      <c r="E458" s="44"/>
      <c r="F458" s="44"/>
      <c r="G458" s="44"/>
      <c r="I458" s="61"/>
      <c r="J458" s="59"/>
    </row>
    <row r="459" spans="4:10">
      <c r="D459" s="44"/>
      <c r="E459" s="44"/>
      <c r="F459" s="44"/>
      <c r="G459" s="44"/>
      <c r="I459" s="61"/>
      <c r="J459" s="59"/>
    </row>
    <row r="460" spans="4:10">
      <c r="D460" s="44"/>
      <c r="E460" s="44"/>
      <c r="F460" s="44"/>
      <c r="G460" s="44"/>
      <c r="I460" s="61"/>
      <c r="J460" s="59"/>
    </row>
    <row r="461" spans="4:10">
      <c r="D461" s="44"/>
      <c r="E461" s="44"/>
      <c r="F461" s="44"/>
      <c r="G461" s="44"/>
      <c r="I461" s="61"/>
      <c r="J461" s="59"/>
    </row>
    <row r="462" spans="4:10">
      <c r="D462" s="44"/>
      <c r="E462" s="44"/>
      <c r="F462" s="44"/>
      <c r="G462" s="44"/>
      <c r="I462" s="61"/>
      <c r="J462" s="59"/>
    </row>
    <row r="463" spans="4:10">
      <c r="D463" s="44"/>
      <c r="E463" s="44"/>
      <c r="F463" s="44"/>
      <c r="G463" s="44"/>
      <c r="I463" s="61"/>
      <c r="J463" s="59"/>
    </row>
    <row r="464" spans="4:10">
      <c r="D464" s="44"/>
      <c r="E464" s="44"/>
      <c r="F464" s="44"/>
      <c r="G464" s="44"/>
      <c r="I464" s="61"/>
      <c r="J464" s="59"/>
    </row>
    <row r="465" spans="4:10">
      <c r="D465" s="44"/>
      <c r="E465" s="44"/>
      <c r="F465" s="44"/>
      <c r="G465" s="44"/>
      <c r="I465" s="61"/>
      <c r="J465" s="59"/>
    </row>
    <row r="466" spans="4:10">
      <c r="D466" s="44"/>
      <c r="E466" s="44"/>
      <c r="F466" s="44"/>
      <c r="G466" s="44"/>
      <c r="I466" s="61"/>
      <c r="J466" s="59"/>
    </row>
    <row r="467" spans="4:10">
      <c r="D467" s="44"/>
      <c r="E467" s="44"/>
      <c r="F467" s="44"/>
      <c r="G467" s="44"/>
      <c r="I467" s="61"/>
      <c r="J467" s="59"/>
    </row>
    <row r="468" spans="4:10">
      <c r="D468" s="44"/>
      <c r="E468" s="44"/>
      <c r="F468" s="44"/>
      <c r="G468" s="44"/>
      <c r="I468" s="61"/>
      <c r="J468" s="59"/>
    </row>
    <row r="469" spans="4:10">
      <c r="D469" s="44"/>
      <c r="E469" s="44"/>
      <c r="F469" s="44"/>
      <c r="G469" s="44"/>
      <c r="I469" s="61"/>
      <c r="J469" s="59"/>
    </row>
    <row r="470" spans="4:10">
      <c r="D470" s="44"/>
      <c r="E470" s="44"/>
      <c r="F470" s="44"/>
      <c r="G470" s="44"/>
      <c r="I470" s="61"/>
      <c r="J470" s="59"/>
    </row>
    <row r="471" spans="4:10">
      <c r="D471" s="44"/>
      <c r="E471" s="44"/>
      <c r="F471" s="44"/>
      <c r="G471" s="44"/>
      <c r="I471" s="61"/>
      <c r="J471" s="59"/>
    </row>
    <row r="472" spans="4:10">
      <c r="D472" s="44"/>
      <c r="E472" s="44"/>
      <c r="F472" s="44"/>
      <c r="G472" s="44"/>
      <c r="I472" s="61"/>
      <c r="J472" s="59"/>
    </row>
    <row r="473" spans="4:10">
      <c r="D473" s="44"/>
      <c r="E473" s="44"/>
      <c r="F473" s="44"/>
      <c r="G473" s="44"/>
      <c r="I473" s="61"/>
      <c r="J473" s="59"/>
    </row>
    <row r="474" spans="4:10">
      <c r="D474" s="44"/>
      <c r="E474" s="44"/>
      <c r="F474" s="44"/>
      <c r="G474" s="44"/>
      <c r="I474" s="61"/>
      <c r="J474" s="59"/>
    </row>
    <row r="475" spans="4:10">
      <c r="D475" s="44"/>
      <c r="E475" s="44"/>
      <c r="F475" s="44"/>
      <c r="G475" s="44"/>
      <c r="I475" s="61"/>
      <c r="J475" s="59"/>
    </row>
    <row r="476" spans="4:10">
      <c r="D476" s="44"/>
      <c r="E476" s="44"/>
      <c r="F476" s="44"/>
      <c r="G476" s="44"/>
      <c r="I476" s="61"/>
      <c r="J476" s="59"/>
    </row>
    <row r="477" spans="4:10">
      <c r="D477" s="44"/>
      <c r="E477" s="44"/>
      <c r="F477" s="44"/>
      <c r="G477" s="44"/>
      <c r="I477" s="61"/>
      <c r="J477" s="59"/>
    </row>
    <row r="478" spans="4:10">
      <c r="D478" s="44"/>
      <c r="E478" s="44"/>
      <c r="F478" s="44"/>
      <c r="G478" s="44"/>
      <c r="I478" s="61"/>
      <c r="J478" s="59"/>
    </row>
    <row r="479" spans="4:10">
      <c r="D479" s="44"/>
      <c r="E479" s="44"/>
      <c r="F479" s="44"/>
      <c r="G479" s="44"/>
      <c r="I479" s="61"/>
      <c r="J479" s="59"/>
    </row>
    <row r="480" spans="4:10">
      <c r="D480" s="44"/>
      <c r="E480" s="44"/>
      <c r="F480" s="44"/>
      <c r="G480" s="44"/>
      <c r="I480" s="61"/>
      <c r="J480" s="59"/>
    </row>
    <row r="481" spans="4:10">
      <c r="D481" s="44"/>
      <c r="E481" s="44"/>
      <c r="F481" s="44"/>
      <c r="G481" s="44"/>
      <c r="I481" s="61"/>
      <c r="J481" s="59"/>
    </row>
    <row r="482" spans="4:10">
      <c r="D482" s="44"/>
      <c r="E482" s="44"/>
      <c r="F482" s="44"/>
      <c r="G482" s="44"/>
      <c r="I482" s="61"/>
      <c r="J482" s="59"/>
    </row>
    <row r="483" spans="4:10">
      <c r="D483" s="44"/>
      <c r="E483" s="44"/>
      <c r="F483" s="44"/>
      <c r="G483" s="44"/>
      <c r="I483" s="61"/>
      <c r="J483" s="59"/>
    </row>
    <row r="484" spans="4:10">
      <c r="D484" s="44"/>
      <c r="E484" s="44"/>
      <c r="F484" s="44"/>
      <c r="G484" s="44"/>
      <c r="I484" s="61"/>
      <c r="J484" s="59"/>
    </row>
    <row r="485" spans="4:10">
      <c r="D485" s="44"/>
      <c r="E485" s="44"/>
      <c r="F485" s="44"/>
      <c r="G485" s="44"/>
      <c r="I485" s="61"/>
      <c r="J485" s="59"/>
    </row>
    <row r="486" spans="4:10">
      <c r="D486" s="44"/>
      <c r="E486" s="44"/>
      <c r="F486" s="44"/>
      <c r="G486" s="44"/>
      <c r="I486" s="61"/>
      <c r="J486" s="59"/>
    </row>
    <row r="487" spans="4:10">
      <c r="D487" s="44"/>
      <c r="E487" s="44"/>
      <c r="F487" s="44"/>
      <c r="G487" s="44"/>
      <c r="I487" s="61"/>
      <c r="J487" s="59"/>
    </row>
    <row r="488" spans="4:10">
      <c r="D488" s="44"/>
      <c r="E488" s="44"/>
      <c r="F488" s="44"/>
      <c r="G488" s="44"/>
      <c r="I488" s="61"/>
      <c r="J488" s="59"/>
    </row>
    <row r="489" spans="4:10">
      <c r="D489" s="44"/>
      <c r="E489" s="44"/>
      <c r="F489" s="44"/>
      <c r="G489" s="44"/>
      <c r="I489" s="61"/>
      <c r="J489" s="59"/>
    </row>
    <row r="490" spans="4:10">
      <c r="D490" s="44"/>
      <c r="E490" s="44"/>
      <c r="F490" s="44"/>
      <c r="G490" s="44"/>
      <c r="I490" s="61"/>
      <c r="J490" s="59"/>
    </row>
    <row r="491" spans="4:10">
      <c r="D491" s="44"/>
      <c r="E491" s="44"/>
      <c r="F491" s="44"/>
      <c r="G491" s="44"/>
      <c r="I491" s="61"/>
      <c r="J491" s="59"/>
    </row>
    <row r="492" spans="4:10">
      <c r="D492" s="44"/>
      <c r="E492" s="44"/>
      <c r="F492" s="44"/>
      <c r="G492" s="44"/>
      <c r="I492" s="61"/>
      <c r="J492" s="59"/>
    </row>
    <row r="493" spans="4:10">
      <c r="D493" s="44"/>
      <c r="E493" s="44"/>
      <c r="F493" s="44"/>
      <c r="G493" s="44"/>
      <c r="I493" s="61"/>
      <c r="J493" s="59"/>
    </row>
    <row r="494" spans="4:10">
      <c r="D494" s="44"/>
      <c r="E494" s="44"/>
      <c r="F494" s="44"/>
      <c r="G494" s="44"/>
      <c r="I494" s="61"/>
      <c r="J494" s="59"/>
    </row>
    <row r="495" spans="4:10">
      <c r="D495" s="44"/>
      <c r="E495" s="44"/>
      <c r="F495" s="44"/>
      <c r="G495" s="44"/>
      <c r="I495" s="61"/>
      <c r="J495" s="59"/>
    </row>
    <row r="496" spans="4:10">
      <c r="D496" s="44"/>
      <c r="E496" s="44"/>
      <c r="F496" s="44"/>
      <c r="G496" s="44"/>
      <c r="I496" s="61"/>
      <c r="J496" s="59"/>
    </row>
    <row r="497" spans="4:10">
      <c r="D497" s="44"/>
      <c r="E497" s="44"/>
      <c r="F497" s="44"/>
      <c r="G497" s="44"/>
      <c r="I497" s="61"/>
      <c r="J497" s="59"/>
    </row>
    <row r="498" spans="4:10">
      <c r="D498" s="44"/>
      <c r="E498" s="44"/>
      <c r="F498" s="44"/>
      <c r="G498" s="44"/>
      <c r="I498" s="61"/>
      <c r="J498" s="59"/>
    </row>
    <row r="499" spans="4:10">
      <c r="D499" s="44"/>
      <c r="E499" s="44"/>
      <c r="F499" s="44"/>
      <c r="G499" s="44"/>
      <c r="I499" s="61"/>
      <c r="J499" s="59"/>
    </row>
    <row r="500" spans="4:10">
      <c r="D500" s="44"/>
      <c r="E500" s="44"/>
      <c r="F500" s="44"/>
      <c r="G500" s="44"/>
      <c r="I500" s="61"/>
      <c r="J500" s="59"/>
    </row>
    <row r="501" spans="4:10">
      <c r="D501" s="44"/>
      <c r="E501" s="44"/>
      <c r="F501" s="44"/>
      <c r="G501" s="44"/>
      <c r="I501" s="61"/>
      <c r="J501" s="59"/>
    </row>
    <row r="502" spans="4:10">
      <c r="D502" s="44"/>
      <c r="E502" s="44"/>
      <c r="F502" s="44"/>
      <c r="G502" s="44"/>
      <c r="I502" s="61"/>
      <c r="J502" s="59"/>
    </row>
    <row r="503" spans="4:10">
      <c r="D503" s="44"/>
      <c r="E503" s="44"/>
      <c r="F503" s="44"/>
      <c r="G503" s="44"/>
      <c r="I503" s="61"/>
      <c r="J503" s="59"/>
    </row>
    <row r="504" spans="4:10">
      <c r="D504" s="44"/>
      <c r="E504" s="44"/>
      <c r="F504" s="44"/>
      <c r="G504" s="44"/>
      <c r="I504" s="61"/>
      <c r="J504" s="59"/>
    </row>
    <row r="505" spans="4:10">
      <c r="D505" s="44"/>
      <c r="E505" s="44"/>
      <c r="F505" s="44"/>
      <c r="G505" s="44"/>
      <c r="I505" s="61"/>
      <c r="J505" s="59"/>
    </row>
    <row r="506" spans="4:10">
      <c r="D506" s="44"/>
      <c r="E506" s="44"/>
      <c r="F506" s="44"/>
      <c r="G506" s="44"/>
      <c r="I506" s="61"/>
      <c r="J506" s="59"/>
    </row>
    <row r="507" spans="4:10">
      <c r="D507" s="44"/>
      <c r="E507" s="44"/>
      <c r="F507" s="44"/>
      <c r="G507" s="44"/>
      <c r="I507" s="61"/>
      <c r="J507" s="59"/>
    </row>
    <row r="508" spans="4:10">
      <c r="D508" s="44"/>
      <c r="E508" s="44"/>
      <c r="F508" s="44"/>
      <c r="G508" s="44"/>
      <c r="I508" s="61"/>
      <c r="J508" s="59"/>
    </row>
    <row r="509" spans="4:10">
      <c r="D509" s="44"/>
      <c r="E509" s="44"/>
      <c r="F509" s="44"/>
      <c r="G509" s="44"/>
      <c r="I509" s="61"/>
      <c r="J509" s="59"/>
    </row>
    <row r="510" spans="4:10">
      <c r="D510" s="44"/>
      <c r="E510" s="44"/>
      <c r="F510" s="44"/>
      <c r="G510" s="44"/>
      <c r="I510" s="61"/>
      <c r="J510" s="59"/>
    </row>
    <row r="511" spans="4:10">
      <c r="D511" s="44"/>
      <c r="E511" s="44"/>
      <c r="F511" s="44"/>
      <c r="G511" s="44"/>
      <c r="I511" s="61"/>
      <c r="J511" s="59"/>
    </row>
    <row r="512" spans="4:10">
      <c r="D512" s="44"/>
      <c r="E512" s="44"/>
      <c r="F512" s="44"/>
      <c r="G512" s="44"/>
      <c r="I512" s="61"/>
      <c r="J512" s="59"/>
    </row>
    <row r="513" spans="4:10">
      <c r="D513" s="44"/>
      <c r="E513" s="44"/>
      <c r="F513" s="44"/>
      <c r="G513" s="44"/>
      <c r="I513" s="61"/>
      <c r="J513" s="59"/>
    </row>
    <row r="514" spans="4:10">
      <c r="D514" s="44"/>
      <c r="E514" s="44"/>
      <c r="F514" s="44"/>
      <c r="G514" s="44"/>
      <c r="I514" s="61"/>
      <c r="J514" s="59"/>
    </row>
    <row r="515" spans="4:10">
      <c r="D515" s="44"/>
      <c r="E515" s="44"/>
      <c r="F515" s="44"/>
      <c r="G515" s="44"/>
      <c r="I515" s="61"/>
      <c r="J515" s="59"/>
    </row>
    <row r="516" spans="4:10">
      <c r="D516" s="44"/>
      <c r="E516" s="44"/>
      <c r="F516" s="44"/>
      <c r="G516" s="44"/>
      <c r="I516" s="61"/>
      <c r="J516" s="59"/>
    </row>
    <row r="517" spans="4:10">
      <c r="D517" s="44"/>
      <c r="E517" s="44"/>
      <c r="F517" s="44"/>
      <c r="G517" s="44"/>
      <c r="I517" s="61"/>
      <c r="J517" s="59"/>
    </row>
    <row r="518" spans="4:10">
      <c r="D518" s="44"/>
      <c r="E518" s="44"/>
      <c r="F518" s="44"/>
      <c r="G518" s="44"/>
      <c r="I518" s="61"/>
      <c r="J518" s="59"/>
    </row>
    <row r="519" spans="4:10">
      <c r="D519" s="44"/>
      <c r="E519" s="44"/>
      <c r="F519" s="44"/>
      <c r="G519" s="44"/>
      <c r="I519" s="61"/>
      <c r="J519" s="59"/>
    </row>
    <row r="520" spans="4:10">
      <c r="D520" s="44"/>
      <c r="E520" s="44"/>
      <c r="F520" s="44"/>
      <c r="G520" s="44"/>
      <c r="I520" s="61"/>
      <c r="J520" s="59"/>
    </row>
    <row r="521" spans="4:10">
      <c r="D521" s="44"/>
      <c r="E521" s="44"/>
      <c r="F521" s="44"/>
      <c r="G521" s="44"/>
      <c r="I521" s="61"/>
      <c r="J521" s="59"/>
    </row>
    <row r="522" spans="4:10">
      <c r="D522" s="44"/>
      <c r="E522" s="44"/>
      <c r="F522" s="44"/>
      <c r="G522" s="44"/>
      <c r="I522" s="61"/>
      <c r="J522" s="59"/>
    </row>
    <row r="523" spans="4:10">
      <c r="D523" s="44"/>
      <c r="E523" s="44"/>
      <c r="F523" s="44"/>
      <c r="G523" s="44"/>
      <c r="I523" s="61"/>
      <c r="J523" s="59"/>
    </row>
    <row r="524" spans="4:10">
      <c r="D524" s="44"/>
      <c r="E524" s="44"/>
      <c r="F524" s="44"/>
      <c r="G524" s="44"/>
      <c r="I524" s="61"/>
      <c r="J524" s="59"/>
    </row>
    <row r="525" spans="4:10">
      <c r="D525" s="44"/>
      <c r="E525" s="44"/>
      <c r="F525" s="44"/>
      <c r="G525" s="44"/>
      <c r="I525" s="61"/>
      <c r="J525" s="59"/>
    </row>
    <row r="526" spans="4:10">
      <c r="D526" s="44"/>
      <c r="E526" s="44"/>
      <c r="F526" s="44"/>
      <c r="G526" s="44"/>
      <c r="I526" s="61"/>
      <c r="J526" s="59"/>
    </row>
    <row r="527" spans="4:10">
      <c r="D527" s="44"/>
      <c r="E527" s="44"/>
      <c r="F527" s="44"/>
      <c r="G527" s="44"/>
      <c r="I527" s="61"/>
      <c r="J527" s="59"/>
    </row>
    <row r="528" spans="4:10">
      <c r="D528" s="44"/>
      <c r="E528" s="44"/>
      <c r="F528" s="44"/>
      <c r="G528" s="44"/>
      <c r="I528" s="61"/>
      <c r="J528" s="59"/>
    </row>
    <row r="529" spans="4:10">
      <c r="D529" s="44"/>
      <c r="E529" s="44"/>
      <c r="F529" s="44"/>
      <c r="G529" s="44"/>
      <c r="I529" s="61"/>
      <c r="J529" s="59"/>
    </row>
    <row r="530" spans="4:10">
      <c r="D530" s="44"/>
      <c r="E530" s="44"/>
      <c r="F530" s="44"/>
      <c r="G530" s="44"/>
      <c r="I530" s="61"/>
      <c r="J530" s="59"/>
    </row>
    <row r="531" spans="4:10">
      <c r="D531" s="44"/>
      <c r="E531" s="44"/>
      <c r="F531" s="44"/>
      <c r="G531" s="44"/>
      <c r="I531" s="61"/>
      <c r="J531" s="59"/>
    </row>
    <row r="532" spans="4:10">
      <c r="D532" s="44"/>
      <c r="E532" s="44"/>
      <c r="F532" s="44"/>
      <c r="G532" s="44"/>
      <c r="I532" s="61"/>
      <c r="J532" s="59"/>
    </row>
    <row r="533" spans="4:10">
      <c r="D533" s="44"/>
      <c r="E533" s="44"/>
      <c r="F533" s="44"/>
      <c r="G533" s="44"/>
      <c r="I533" s="61"/>
      <c r="J533" s="59"/>
    </row>
    <row r="534" spans="4:10">
      <c r="D534" s="44"/>
      <c r="E534" s="44"/>
      <c r="F534" s="44"/>
      <c r="G534" s="44"/>
      <c r="I534" s="61"/>
      <c r="J534" s="59"/>
    </row>
    <row r="535" spans="4:10">
      <c r="D535" s="44"/>
      <c r="E535" s="44"/>
      <c r="F535" s="44"/>
      <c r="G535" s="44"/>
      <c r="I535" s="61"/>
      <c r="J535" s="59"/>
    </row>
    <row r="536" spans="4:10">
      <c r="D536" s="44"/>
      <c r="E536" s="44"/>
      <c r="F536" s="44"/>
      <c r="G536" s="44"/>
      <c r="I536" s="61"/>
      <c r="J536" s="59"/>
    </row>
    <row r="537" spans="4:10">
      <c r="D537" s="44"/>
      <c r="E537" s="44"/>
      <c r="F537" s="44"/>
      <c r="G537" s="44"/>
      <c r="I537" s="61"/>
      <c r="J537" s="59"/>
    </row>
    <row r="538" spans="4:10">
      <c r="D538" s="44"/>
      <c r="E538" s="44"/>
      <c r="F538" s="44"/>
      <c r="G538" s="44"/>
      <c r="I538" s="61"/>
      <c r="J538" s="59"/>
    </row>
    <row r="539" spans="4:10">
      <c r="D539" s="44"/>
      <c r="E539" s="44"/>
      <c r="F539" s="44"/>
      <c r="G539" s="44"/>
      <c r="I539" s="61"/>
      <c r="J539" s="59"/>
    </row>
    <row r="540" spans="4:10">
      <c r="D540" s="44"/>
      <c r="E540" s="44"/>
      <c r="F540" s="44"/>
      <c r="G540" s="44"/>
      <c r="I540" s="61"/>
      <c r="J540" s="59"/>
    </row>
    <row r="541" spans="4:10">
      <c r="D541" s="44">
        <f t="shared" ref="D541:D604" si="11">C541-H541</f>
        <v>0</v>
      </c>
      <c r="E541" s="44"/>
      <c r="F541" s="44"/>
      <c r="G541" s="44"/>
      <c r="I541" s="61">
        <f t="shared" ref="I541:I604" si="12">H541*10%</f>
        <v>0</v>
      </c>
      <c r="J541" s="59">
        <f t="shared" ref="J541:J604" si="13">H541*90%</f>
        <v>0</v>
      </c>
    </row>
    <row r="542" spans="4:10">
      <c r="D542" s="44">
        <f t="shared" si="11"/>
        <v>0</v>
      </c>
      <c r="E542" s="44"/>
      <c r="F542" s="44"/>
      <c r="G542" s="44"/>
      <c r="I542" s="61">
        <f t="shared" si="12"/>
        <v>0</v>
      </c>
      <c r="J542" s="59">
        <f t="shared" si="13"/>
        <v>0</v>
      </c>
    </row>
    <row r="543" spans="4:10">
      <c r="D543" s="44">
        <f t="shared" si="11"/>
        <v>0</v>
      </c>
      <c r="E543" s="44"/>
      <c r="F543" s="44"/>
      <c r="G543" s="44"/>
      <c r="I543" s="61">
        <f t="shared" si="12"/>
        <v>0</v>
      </c>
      <c r="J543" s="59">
        <f t="shared" si="13"/>
        <v>0</v>
      </c>
    </row>
    <row r="544" spans="4:10">
      <c r="D544" s="44">
        <f t="shared" si="11"/>
        <v>0</v>
      </c>
      <c r="E544" s="44"/>
      <c r="F544" s="44"/>
      <c r="G544" s="44"/>
      <c r="I544" s="61">
        <f t="shared" si="12"/>
        <v>0</v>
      </c>
      <c r="J544" s="59">
        <f t="shared" si="13"/>
        <v>0</v>
      </c>
    </row>
    <row r="545" spans="4:10">
      <c r="D545" s="44">
        <f t="shared" si="11"/>
        <v>0</v>
      </c>
      <c r="E545" s="44"/>
      <c r="F545" s="44"/>
      <c r="G545" s="44"/>
      <c r="I545" s="61">
        <f t="shared" si="12"/>
        <v>0</v>
      </c>
      <c r="J545" s="59">
        <f t="shared" si="13"/>
        <v>0</v>
      </c>
    </row>
    <row r="546" spans="4:10">
      <c r="D546" s="44">
        <f t="shared" si="11"/>
        <v>0</v>
      </c>
      <c r="E546" s="44"/>
      <c r="F546" s="44"/>
      <c r="G546" s="44"/>
      <c r="I546" s="61">
        <f t="shared" si="12"/>
        <v>0</v>
      </c>
      <c r="J546" s="59">
        <f t="shared" si="13"/>
        <v>0</v>
      </c>
    </row>
    <row r="547" spans="4:10">
      <c r="D547" s="44">
        <f t="shared" si="11"/>
        <v>0</v>
      </c>
      <c r="E547" s="44"/>
      <c r="F547" s="44"/>
      <c r="G547" s="44"/>
      <c r="I547" s="61">
        <f t="shared" si="12"/>
        <v>0</v>
      </c>
      <c r="J547" s="59">
        <f t="shared" si="13"/>
        <v>0</v>
      </c>
    </row>
    <row r="548" spans="4:10">
      <c r="D548" s="44">
        <f t="shared" si="11"/>
        <v>0</v>
      </c>
      <c r="E548" s="44"/>
      <c r="F548" s="44"/>
      <c r="G548" s="44"/>
      <c r="I548" s="61">
        <f t="shared" si="12"/>
        <v>0</v>
      </c>
      <c r="J548" s="59">
        <f t="shared" si="13"/>
        <v>0</v>
      </c>
    </row>
    <row r="549" spans="4:10">
      <c r="D549" s="44">
        <f t="shared" si="11"/>
        <v>0</v>
      </c>
      <c r="E549" s="44"/>
      <c r="F549" s="44"/>
      <c r="G549" s="44"/>
      <c r="I549" s="61">
        <f t="shared" si="12"/>
        <v>0</v>
      </c>
      <c r="J549" s="59">
        <f t="shared" si="13"/>
        <v>0</v>
      </c>
    </row>
    <row r="550" spans="4:10">
      <c r="D550" s="44">
        <f t="shared" si="11"/>
        <v>0</v>
      </c>
      <c r="E550" s="44"/>
      <c r="F550" s="44"/>
      <c r="G550" s="44"/>
      <c r="I550" s="61">
        <f t="shared" si="12"/>
        <v>0</v>
      </c>
      <c r="J550" s="59">
        <f t="shared" si="13"/>
        <v>0</v>
      </c>
    </row>
    <row r="551" spans="4:10">
      <c r="D551" s="44">
        <f t="shared" si="11"/>
        <v>0</v>
      </c>
      <c r="E551" s="44"/>
      <c r="F551" s="44"/>
      <c r="G551" s="44"/>
      <c r="I551" s="61">
        <f t="shared" si="12"/>
        <v>0</v>
      </c>
      <c r="J551" s="59">
        <f t="shared" si="13"/>
        <v>0</v>
      </c>
    </row>
    <row r="552" spans="4:10">
      <c r="D552" s="44">
        <f t="shared" si="11"/>
        <v>0</v>
      </c>
      <c r="E552" s="44"/>
      <c r="F552" s="44"/>
      <c r="G552" s="44"/>
      <c r="I552" s="61">
        <f t="shared" si="12"/>
        <v>0</v>
      </c>
      <c r="J552" s="59">
        <f t="shared" si="13"/>
        <v>0</v>
      </c>
    </row>
    <row r="553" spans="4:10">
      <c r="D553" s="44">
        <f t="shared" si="11"/>
        <v>0</v>
      </c>
      <c r="E553" s="44"/>
      <c r="F553" s="44"/>
      <c r="G553" s="44"/>
      <c r="I553" s="61">
        <f t="shared" si="12"/>
        <v>0</v>
      </c>
      <c r="J553" s="59">
        <f t="shared" si="13"/>
        <v>0</v>
      </c>
    </row>
    <row r="554" spans="4:10">
      <c r="D554" s="44">
        <f t="shared" si="11"/>
        <v>0</v>
      </c>
      <c r="E554" s="44"/>
      <c r="F554" s="44"/>
      <c r="G554" s="44"/>
      <c r="I554" s="61">
        <f t="shared" si="12"/>
        <v>0</v>
      </c>
      <c r="J554" s="59">
        <f t="shared" si="13"/>
        <v>0</v>
      </c>
    </row>
    <row r="555" spans="4:10">
      <c r="D555" s="44">
        <f t="shared" si="11"/>
        <v>0</v>
      </c>
      <c r="E555" s="44"/>
      <c r="F555" s="44"/>
      <c r="G555" s="44"/>
      <c r="I555" s="61">
        <f t="shared" si="12"/>
        <v>0</v>
      </c>
      <c r="J555" s="59">
        <f t="shared" si="13"/>
        <v>0</v>
      </c>
    </row>
    <row r="556" spans="4:10">
      <c r="D556" s="44">
        <f t="shared" si="11"/>
        <v>0</v>
      </c>
      <c r="E556" s="44"/>
      <c r="F556" s="44"/>
      <c r="G556" s="44"/>
      <c r="I556" s="61">
        <f t="shared" si="12"/>
        <v>0</v>
      </c>
      <c r="J556" s="59">
        <f t="shared" si="13"/>
        <v>0</v>
      </c>
    </row>
    <row r="557" spans="4:10">
      <c r="D557" s="44">
        <f t="shared" si="11"/>
        <v>0</v>
      </c>
      <c r="E557" s="44"/>
      <c r="F557" s="44"/>
      <c r="G557" s="44"/>
      <c r="I557" s="61">
        <f t="shared" si="12"/>
        <v>0</v>
      </c>
      <c r="J557" s="59">
        <f t="shared" si="13"/>
        <v>0</v>
      </c>
    </row>
    <row r="558" spans="4:10">
      <c r="D558" s="44">
        <f t="shared" si="11"/>
        <v>0</v>
      </c>
      <c r="E558" s="44"/>
      <c r="F558" s="44"/>
      <c r="G558" s="44"/>
      <c r="I558" s="61">
        <f t="shared" si="12"/>
        <v>0</v>
      </c>
      <c r="J558" s="59">
        <f t="shared" si="13"/>
        <v>0</v>
      </c>
    </row>
    <row r="559" spans="4:10">
      <c r="D559" s="44">
        <f t="shared" si="11"/>
        <v>0</v>
      </c>
      <c r="E559" s="44"/>
      <c r="F559" s="44"/>
      <c r="G559" s="44"/>
      <c r="I559" s="61">
        <f t="shared" si="12"/>
        <v>0</v>
      </c>
      <c r="J559" s="59">
        <f t="shared" si="13"/>
        <v>0</v>
      </c>
    </row>
    <row r="560" spans="4:10">
      <c r="D560" s="44">
        <f t="shared" si="11"/>
        <v>0</v>
      </c>
      <c r="E560" s="44"/>
      <c r="F560" s="44"/>
      <c r="G560" s="44"/>
      <c r="I560" s="61">
        <f t="shared" si="12"/>
        <v>0</v>
      </c>
      <c r="J560" s="59">
        <f t="shared" si="13"/>
        <v>0</v>
      </c>
    </row>
    <row r="561" spans="4:10">
      <c r="D561" s="44">
        <f t="shared" si="11"/>
        <v>0</v>
      </c>
      <c r="E561" s="44"/>
      <c r="F561" s="44"/>
      <c r="G561" s="44"/>
      <c r="I561" s="61">
        <f t="shared" si="12"/>
        <v>0</v>
      </c>
      <c r="J561" s="59">
        <f t="shared" si="13"/>
        <v>0</v>
      </c>
    </row>
    <row r="562" spans="4:10">
      <c r="D562" s="44">
        <f t="shared" si="11"/>
        <v>0</v>
      </c>
      <c r="E562" s="44"/>
      <c r="F562" s="44"/>
      <c r="G562" s="44"/>
      <c r="I562" s="61">
        <f t="shared" si="12"/>
        <v>0</v>
      </c>
      <c r="J562" s="59">
        <f t="shared" si="13"/>
        <v>0</v>
      </c>
    </row>
    <row r="563" spans="4:10">
      <c r="D563" s="44">
        <f t="shared" si="11"/>
        <v>0</v>
      </c>
      <c r="E563" s="44"/>
      <c r="F563" s="44"/>
      <c r="G563" s="44"/>
      <c r="I563" s="61">
        <f t="shared" si="12"/>
        <v>0</v>
      </c>
      <c r="J563" s="59">
        <f t="shared" si="13"/>
        <v>0</v>
      </c>
    </row>
    <row r="564" spans="4:10">
      <c r="D564" s="44">
        <f t="shared" si="11"/>
        <v>0</v>
      </c>
      <c r="E564" s="44"/>
      <c r="F564" s="44"/>
      <c r="G564" s="44"/>
      <c r="I564" s="61">
        <f t="shared" si="12"/>
        <v>0</v>
      </c>
      <c r="J564" s="59">
        <f t="shared" si="13"/>
        <v>0</v>
      </c>
    </row>
    <row r="565" spans="4:10">
      <c r="D565" s="44">
        <f t="shared" si="11"/>
        <v>0</v>
      </c>
      <c r="E565" s="44"/>
      <c r="F565" s="44"/>
      <c r="G565" s="44"/>
      <c r="I565" s="61">
        <f t="shared" si="12"/>
        <v>0</v>
      </c>
      <c r="J565" s="59">
        <f t="shared" si="13"/>
        <v>0</v>
      </c>
    </row>
    <row r="566" spans="4:10">
      <c r="D566" s="44">
        <f t="shared" si="11"/>
        <v>0</v>
      </c>
      <c r="E566" s="44"/>
      <c r="F566" s="44"/>
      <c r="G566" s="44"/>
      <c r="I566" s="61">
        <f t="shared" si="12"/>
        <v>0</v>
      </c>
      <c r="J566" s="59">
        <f t="shared" si="13"/>
        <v>0</v>
      </c>
    </row>
    <row r="567" spans="4:10">
      <c r="D567" s="44">
        <f t="shared" si="11"/>
        <v>0</v>
      </c>
      <c r="E567" s="44"/>
      <c r="F567" s="44"/>
      <c r="G567" s="44"/>
      <c r="I567" s="61">
        <f t="shared" si="12"/>
        <v>0</v>
      </c>
      <c r="J567" s="59">
        <f t="shared" si="13"/>
        <v>0</v>
      </c>
    </row>
    <row r="568" spans="4:10">
      <c r="D568" s="44">
        <f t="shared" si="11"/>
        <v>0</v>
      </c>
      <c r="E568" s="44"/>
      <c r="F568" s="44"/>
      <c r="G568" s="44"/>
      <c r="I568" s="61">
        <f t="shared" si="12"/>
        <v>0</v>
      </c>
      <c r="J568" s="59">
        <f t="shared" si="13"/>
        <v>0</v>
      </c>
    </row>
    <row r="569" spans="4:10">
      <c r="D569" s="44">
        <f t="shared" si="11"/>
        <v>0</v>
      </c>
      <c r="E569" s="44"/>
      <c r="F569" s="44"/>
      <c r="G569" s="44"/>
      <c r="I569" s="61">
        <f t="shared" si="12"/>
        <v>0</v>
      </c>
      <c r="J569" s="59">
        <f t="shared" si="13"/>
        <v>0</v>
      </c>
    </row>
    <row r="570" spans="4:10">
      <c r="D570" s="44">
        <f t="shared" si="11"/>
        <v>0</v>
      </c>
      <c r="E570" s="44"/>
      <c r="F570" s="44"/>
      <c r="G570" s="44"/>
      <c r="I570" s="61">
        <f t="shared" si="12"/>
        <v>0</v>
      </c>
      <c r="J570" s="59">
        <f t="shared" si="13"/>
        <v>0</v>
      </c>
    </row>
    <row r="571" spans="4:10">
      <c r="D571" s="44">
        <f t="shared" si="11"/>
        <v>0</v>
      </c>
      <c r="E571" s="44"/>
      <c r="F571" s="44"/>
      <c r="G571" s="44"/>
      <c r="I571" s="61">
        <f t="shared" si="12"/>
        <v>0</v>
      </c>
      <c r="J571" s="59">
        <f t="shared" si="13"/>
        <v>0</v>
      </c>
    </row>
    <row r="572" spans="4:10">
      <c r="D572" s="44">
        <f t="shared" si="11"/>
        <v>0</v>
      </c>
      <c r="E572" s="44"/>
      <c r="F572" s="44"/>
      <c r="G572" s="44"/>
      <c r="I572" s="61">
        <f t="shared" si="12"/>
        <v>0</v>
      </c>
      <c r="J572" s="59">
        <f t="shared" si="13"/>
        <v>0</v>
      </c>
    </row>
    <row r="573" spans="4:10">
      <c r="D573" s="44">
        <f t="shared" si="11"/>
        <v>0</v>
      </c>
      <c r="E573" s="44"/>
      <c r="F573" s="44"/>
      <c r="G573" s="44"/>
      <c r="I573" s="61">
        <f t="shared" si="12"/>
        <v>0</v>
      </c>
      <c r="J573" s="59">
        <f t="shared" si="13"/>
        <v>0</v>
      </c>
    </row>
    <row r="574" spans="4:10">
      <c r="D574" s="44">
        <f t="shared" si="11"/>
        <v>0</v>
      </c>
      <c r="E574" s="44"/>
      <c r="F574" s="44"/>
      <c r="G574" s="44"/>
      <c r="I574" s="61">
        <f t="shared" si="12"/>
        <v>0</v>
      </c>
      <c r="J574" s="59">
        <f t="shared" si="13"/>
        <v>0</v>
      </c>
    </row>
    <row r="575" spans="4:10">
      <c r="D575" s="44">
        <f t="shared" si="11"/>
        <v>0</v>
      </c>
      <c r="E575" s="44"/>
      <c r="F575" s="44"/>
      <c r="G575" s="44"/>
      <c r="I575" s="61">
        <f t="shared" si="12"/>
        <v>0</v>
      </c>
      <c r="J575" s="59">
        <f t="shared" si="13"/>
        <v>0</v>
      </c>
    </row>
    <row r="576" spans="4:10">
      <c r="D576" s="44">
        <f t="shared" si="11"/>
        <v>0</v>
      </c>
      <c r="E576" s="44"/>
      <c r="F576" s="44"/>
      <c r="G576" s="44"/>
      <c r="I576" s="61">
        <f t="shared" si="12"/>
        <v>0</v>
      </c>
      <c r="J576" s="59">
        <f t="shared" si="13"/>
        <v>0</v>
      </c>
    </row>
    <row r="577" spans="4:10">
      <c r="D577" s="44">
        <f t="shared" si="11"/>
        <v>0</v>
      </c>
      <c r="E577" s="44"/>
      <c r="F577" s="44"/>
      <c r="G577" s="44"/>
      <c r="I577" s="61">
        <f t="shared" si="12"/>
        <v>0</v>
      </c>
      <c r="J577" s="59">
        <f t="shared" si="13"/>
        <v>0</v>
      </c>
    </row>
    <row r="578" spans="4:10">
      <c r="D578" s="44">
        <f t="shared" si="11"/>
        <v>0</v>
      </c>
      <c r="E578" s="44"/>
      <c r="F578" s="44"/>
      <c r="G578" s="44"/>
      <c r="I578" s="61">
        <f t="shared" si="12"/>
        <v>0</v>
      </c>
      <c r="J578" s="59">
        <f t="shared" si="13"/>
        <v>0</v>
      </c>
    </row>
    <row r="579" spans="4:10">
      <c r="D579" s="44">
        <f t="shared" si="11"/>
        <v>0</v>
      </c>
      <c r="E579" s="44"/>
      <c r="F579" s="44"/>
      <c r="G579" s="44"/>
      <c r="I579" s="61">
        <f t="shared" si="12"/>
        <v>0</v>
      </c>
      <c r="J579" s="59">
        <f t="shared" si="13"/>
        <v>0</v>
      </c>
    </row>
    <row r="580" spans="4:10">
      <c r="D580" s="44">
        <f t="shared" si="11"/>
        <v>0</v>
      </c>
      <c r="E580" s="44"/>
      <c r="F580" s="44"/>
      <c r="G580" s="44"/>
      <c r="I580" s="61">
        <f t="shared" si="12"/>
        <v>0</v>
      </c>
      <c r="J580" s="59">
        <f t="shared" si="13"/>
        <v>0</v>
      </c>
    </row>
    <row r="581" spans="4:10">
      <c r="D581" s="44">
        <f t="shared" si="11"/>
        <v>0</v>
      </c>
      <c r="E581" s="44"/>
      <c r="F581" s="44"/>
      <c r="G581" s="44"/>
      <c r="I581" s="61">
        <f t="shared" si="12"/>
        <v>0</v>
      </c>
      <c r="J581" s="59">
        <f t="shared" si="13"/>
        <v>0</v>
      </c>
    </row>
    <row r="582" spans="4:10">
      <c r="D582" s="44">
        <f t="shared" si="11"/>
        <v>0</v>
      </c>
      <c r="E582" s="44"/>
      <c r="F582" s="44"/>
      <c r="G582" s="44"/>
      <c r="I582" s="61">
        <f t="shared" si="12"/>
        <v>0</v>
      </c>
      <c r="J582" s="59">
        <f t="shared" si="13"/>
        <v>0</v>
      </c>
    </row>
    <row r="583" spans="4:10">
      <c r="D583" s="44">
        <f t="shared" si="11"/>
        <v>0</v>
      </c>
      <c r="E583" s="44"/>
      <c r="F583" s="44"/>
      <c r="G583" s="44"/>
      <c r="I583" s="61">
        <f t="shared" si="12"/>
        <v>0</v>
      </c>
      <c r="J583" s="59">
        <f t="shared" si="13"/>
        <v>0</v>
      </c>
    </row>
    <row r="584" spans="4:10">
      <c r="D584" s="44">
        <f t="shared" si="11"/>
        <v>0</v>
      </c>
      <c r="E584" s="44"/>
      <c r="F584" s="44"/>
      <c r="G584" s="44"/>
      <c r="I584" s="61">
        <f t="shared" si="12"/>
        <v>0</v>
      </c>
      <c r="J584" s="59">
        <f t="shared" si="13"/>
        <v>0</v>
      </c>
    </row>
    <row r="585" spans="4:10">
      <c r="D585" s="44">
        <f t="shared" si="11"/>
        <v>0</v>
      </c>
      <c r="E585" s="44"/>
      <c r="F585" s="44"/>
      <c r="G585" s="44"/>
      <c r="I585" s="61">
        <f t="shared" si="12"/>
        <v>0</v>
      </c>
      <c r="J585" s="59">
        <f t="shared" si="13"/>
        <v>0</v>
      </c>
    </row>
    <row r="586" spans="4:10">
      <c r="D586" s="44">
        <f t="shared" si="11"/>
        <v>0</v>
      </c>
      <c r="E586" s="44"/>
      <c r="F586" s="44"/>
      <c r="G586" s="44"/>
      <c r="I586" s="61">
        <f t="shared" si="12"/>
        <v>0</v>
      </c>
      <c r="J586" s="59">
        <f t="shared" si="13"/>
        <v>0</v>
      </c>
    </row>
    <row r="587" spans="4:10">
      <c r="D587" s="44">
        <f t="shared" si="11"/>
        <v>0</v>
      </c>
      <c r="E587" s="44"/>
      <c r="F587" s="44"/>
      <c r="G587" s="44"/>
      <c r="I587" s="61">
        <f t="shared" si="12"/>
        <v>0</v>
      </c>
      <c r="J587" s="59">
        <f t="shared" si="13"/>
        <v>0</v>
      </c>
    </row>
    <row r="588" spans="4:10">
      <c r="D588" s="44">
        <f t="shared" si="11"/>
        <v>0</v>
      </c>
      <c r="E588" s="44"/>
      <c r="F588" s="44"/>
      <c r="G588" s="44"/>
      <c r="I588" s="61">
        <f t="shared" si="12"/>
        <v>0</v>
      </c>
      <c r="J588" s="59">
        <f t="shared" si="13"/>
        <v>0</v>
      </c>
    </row>
    <row r="589" spans="4:10">
      <c r="D589" s="44">
        <f t="shared" si="11"/>
        <v>0</v>
      </c>
      <c r="E589" s="44"/>
      <c r="F589" s="44"/>
      <c r="G589" s="44"/>
      <c r="I589" s="61">
        <f t="shared" si="12"/>
        <v>0</v>
      </c>
      <c r="J589" s="59">
        <f t="shared" si="13"/>
        <v>0</v>
      </c>
    </row>
    <row r="590" spans="4:10">
      <c r="D590" s="44">
        <f t="shared" si="11"/>
        <v>0</v>
      </c>
      <c r="E590" s="44"/>
      <c r="F590" s="44"/>
      <c r="G590" s="44"/>
      <c r="I590" s="61">
        <f t="shared" si="12"/>
        <v>0</v>
      </c>
      <c r="J590" s="59">
        <f t="shared" si="13"/>
        <v>0</v>
      </c>
    </row>
    <row r="591" spans="4:10">
      <c r="D591" s="44">
        <f t="shared" si="11"/>
        <v>0</v>
      </c>
      <c r="E591" s="44"/>
      <c r="F591" s="44"/>
      <c r="G591" s="44"/>
      <c r="I591" s="61">
        <f t="shared" si="12"/>
        <v>0</v>
      </c>
      <c r="J591" s="59">
        <f t="shared" si="13"/>
        <v>0</v>
      </c>
    </row>
    <row r="592" spans="4:10">
      <c r="D592" s="44">
        <f t="shared" si="11"/>
        <v>0</v>
      </c>
      <c r="E592" s="44"/>
      <c r="F592" s="44"/>
      <c r="G592" s="44"/>
      <c r="I592" s="61">
        <f t="shared" si="12"/>
        <v>0</v>
      </c>
      <c r="J592" s="59">
        <f t="shared" si="13"/>
        <v>0</v>
      </c>
    </row>
    <row r="593" spans="4:10">
      <c r="D593" s="44">
        <f t="shared" si="11"/>
        <v>0</v>
      </c>
      <c r="E593" s="44"/>
      <c r="F593" s="44"/>
      <c r="G593" s="44"/>
      <c r="I593" s="61">
        <f t="shared" si="12"/>
        <v>0</v>
      </c>
      <c r="J593" s="59">
        <f t="shared" si="13"/>
        <v>0</v>
      </c>
    </row>
    <row r="594" spans="4:10">
      <c r="D594" s="44">
        <f t="shared" si="11"/>
        <v>0</v>
      </c>
      <c r="E594" s="44"/>
      <c r="F594" s="44"/>
      <c r="G594" s="44"/>
      <c r="I594" s="61">
        <f t="shared" si="12"/>
        <v>0</v>
      </c>
      <c r="J594" s="59">
        <f t="shared" si="13"/>
        <v>0</v>
      </c>
    </row>
    <row r="595" spans="4:10">
      <c r="D595" s="44">
        <f t="shared" si="11"/>
        <v>0</v>
      </c>
      <c r="E595" s="44"/>
      <c r="F595" s="44"/>
      <c r="G595" s="44"/>
      <c r="I595" s="61">
        <f t="shared" si="12"/>
        <v>0</v>
      </c>
      <c r="J595" s="59">
        <f t="shared" si="13"/>
        <v>0</v>
      </c>
    </row>
    <row r="596" spans="4:10">
      <c r="D596" s="44">
        <f t="shared" si="11"/>
        <v>0</v>
      </c>
      <c r="E596" s="44"/>
      <c r="F596" s="44"/>
      <c r="G596" s="44"/>
      <c r="I596" s="61">
        <f t="shared" si="12"/>
        <v>0</v>
      </c>
      <c r="J596" s="59">
        <f t="shared" si="13"/>
        <v>0</v>
      </c>
    </row>
    <row r="597" spans="4:10">
      <c r="D597" s="44">
        <f t="shared" si="11"/>
        <v>0</v>
      </c>
      <c r="E597" s="44"/>
      <c r="F597" s="44"/>
      <c r="G597" s="44"/>
      <c r="I597" s="61">
        <f t="shared" si="12"/>
        <v>0</v>
      </c>
      <c r="J597" s="59">
        <f t="shared" si="13"/>
        <v>0</v>
      </c>
    </row>
    <row r="598" spans="4:10">
      <c r="D598" s="44">
        <f t="shared" si="11"/>
        <v>0</v>
      </c>
      <c r="E598" s="44"/>
      <c r="F598" s="44"/>
      <c r="G598" s="44"/>
      <c r="I598" s="61">
        <f t="shared" si="12"/>
        <v>0</v>
      </c>
      <c r="J598" s="59">
        <f t="shared" si="13"/>
        <v>0</v>
      </c>
    </row>
    <row r="599" spans="4:10">
      <c r="D599" s="44">
        <f t="shared" si="11"/>
        <v>0</v>
      </c>
      <c r="E599" s="44"/>
      <c r="F599" s="44"/>
      <c r="G599" s="44"/>
      <c r="I599" s="61">
        <f t="shared" si="12"/>
        <v>0</v>
      </c>
      <c r="J599" s="59">
        <f t="shared" si="13"/>
        <v>0</v>
      </c>
    </row>
    <row r="600" spans="4:10">
      <c r="D600" s="44">
        <f t="shared" si="11"/>
        <v>0</v>
      </c>
      <c r="E600" s="44"/>
      <c r="F600" s="44"/>
      <c r="G600" s="44"/>
      <c r="I600" s="61">
        <f t="shared" si="12"/>
        <v>0</v>
      </c>
      <c r="J600" s="59">
        <f t="shared" si="13"/>
        <v>0</v>
      </c>
    </row>
    <row r="601" spans="4:10">
      <c r="D601" s="44">
        <f t="shared" si="11"/>
        <v>0</v>
      </c>
      <c r="E601" s="44"/>
      <c r="F601" s="44"/>
      <c r="G601" s="44"/>
      <c r="I601" s="61">
        <f t="shared" si="12"/>
        <v>0</v>
      </c>
      <c r="J601" s="59">
        <f t="shared" si="13"/>
        <v>0</v>
      </c>
    </row>
    <row r="602" spans="4:10">
      <c r="D602" s="44">
        <f t="shared" si="11"/>
        <v>0</v>
      </c>
      <c r="E602" s="44"/>
      <c r="F602" s="44"/>
      <c r="G602" s="44"/>
      <c r="I602" s="61">
        <f t="shared" si="12"/>
        <v>0</v>
      </c>
      <c r="J602" s="59">
        <f t="shared" si="13"/>
        <v>0</v>
      </c>
    </row>
    <row r="603" spans="4:10">
      <c r="D603" s="44">
        <f t="shared" si="11"/>
        <v>0</v>
      </c>
      <c r="E603" s="44"/>
      <c r="F603" s="44"/>
      <c r="G603" s="44"/>
      <c r="I603" s="61">
        <f t="shared" si="12"/>
        <v>0</v>
      </c>
      <c r="J603" s="59">
        <f t="shared" si="13"/>
        <v>0</v>
      </c>
    </row>
    <row r="604" spans="4:10">
      <c r="D604" s="44">
        <f t="shared" si="11"/>
        <v>0</v>
      </c>
      <c r="E604" s="44"/>
      <c r="F604" s="44"/>
      <c r="G604" s="44"/>
      <c r="I604" s="61">
        <f t="shared" si="12"/>
        <v>0</v>
      </c>
      <c r="J604" s="59">
        <f t="shared" si="13"/>
        <v>0</v>
      </c>
    </row>
    <row r="605" spans="4:10">
      <c r="D605" s="44">
        <f t="shared" ref="D605:D668" si="14">C605-H605</f>
        <v>0</v>
      </c>
      <c r="E605" s="44"/>
      <c r="F605" s="44"/>
      <c r="G605" s="44"/>
      <c r="I605" s="61">
        <f t="shared" ref="I605:I668" si="15">H605*10%</f>
        <v>0</v>
      </c>
      <c r="J605" s="59">
        <f t="shared" ref="J605:J668" si="16">H605*90%</f>
        <v>0</v>
      </c>
    </row>
    <row r="606" spans="4:10">
      <c r="D606" s="44">
        <f t="shared" si="14"/>
        <v>0</v>
      </c>
      <c r="E606" s="44"/>
      <c r="F606" s="44"/>
      <c r="G606" s="44"/>
      <c r="I606" s="61">
        <f t="shared" si="15"/>
        <v>0</v>
      </c>
      <c r="J606" s="59">
        <f t="shared" si="16"/>
        <v>0</v>
      </c>
    </row>
    <row r="607" spans="4:10">
      <c r="D607" s="44">
        <f t="shared" si="14"/>
        <v>0</v>
      </c>
      <c r="E607" s="44"/>
      <c r="F607" s="44"/>
      <c r="G607" s="44"/>
      <c r="I607" s="61">
        <f t="shared" si="15"/>
        <v>0</v>
      </c>
      <c r="J607" s="59">
        <f t="shared" si="16"/>
        <v>0</v>
      </c>
    </row>
    <row r="608" spans="4:10">
      <c r="D608" s="44">
        <f t="shared" si="14"/>
        <v>0</v>
      </c>
      <c r="E608" s="44"/>
      <c r="F608" s="44"/>
      <c r="G608" s="44"/>
      <c r="I608" s="61">
        <f t="shared" si="15"/>
        <v>0</v>
      </c>
      <c r="J608" s="59">
        <f t="shared" si="16"/>
        <v>0</v>
      </c>
    </row>
    <row r="609" spans="4:10">
      <c r="D609" s="44">
        <f t="shared" si="14"/>
        <v>0</v>
      </c>
      <c r="E609" s="44"/>
      <c r="F609" s="44"/>
      <c r="G609" s="44"/>
      <c r="I609" s="61">
        <f t="shared" si="15"/>
        <v>0</v>
      </c>
      <c r="J609" s="59">
        <f t="shared" si="16"/>
        <v>0</v>
      </c>
    </row>
    <row r="610" spans="4:10">
      <c r="D610" s="44">
        <f t="shared" si="14"/>
        <v>0</v>
      </c>
      <c r="E610" s="44"/>
      <c r="F610" s="44"/>
      <c r="G610" s="44"/>
      <c r="I610" s="61">
        <f t="shared" si="15"/>
        <v>0</v>
      </c>
      <c r="J610" s="59">
        <f t="shared" si="16"/>
        <v>0</v>
      </c>
    </row>
    <row r="611" spans="4:10">
      <c r="D611" s="44">
        <f t="shared" si="14"/>
        <v>0</v>
      </c>
      <c r="E611" s="44"/>
      <c r="F611" s="44"/>
      <c r="G611" s="44"/>
      <c r="I611" s="61">
        <f t="shared" si="15"/>
        <v>0</v>
      </c>
      <c r="J611" s="59">
        <f t="shared" si="16"/>
        <v>0</v>
      </c>
    </row>
    <row r="612" spans="4:10">
      <c r="D612" s="44">
        <f t="shared" si="14"/>
        <v>0</v>
      </c>
      <c r="E612" s="44"/>
      <c r="F612" s="44"/>
      <c r="G612" s="44"/>
      <c r="I612" s="61">
        <f t="shared" si="15"/>
        <v>0</v>
      </c>
      <c r="J612" s="59">
        <f t="shared" si="16"/>
        <v>0</v>
      </c>
    </row>
    <row r="613" spans="4:10">
      <c r="D613" s="44">
        <f t="shared" si="14"/>
        <v>0</v>
      </c>
      <c r="E613" s="44"/>
      <c r="F613" s="44"/>
      <c r="G613" s="44"/>
      <c r="I613" s="61">
        <f t="shared" si="15"/>
        <v>0</v>
      </c>
      <c r="J613" s="59">
        <f t="shared" si="16"/>
        <v>0</v>
      </c>
    </row>
    <row r="614" spans="4:10">
      <c r="D614" s="44">
        <f t="shared" si="14"/>
        <v>0</v>
      </c>
      <c r="E614" s="44"/>
      <c r="F614" s="44"/>
      <c r="G614" s="44"/>
      <c r="I614" s="61">
        <f t="shared" si="15"/>
        <v>0</v>
      </c>
      <c r="J614" s="59">
        <f t="shared" si="16"/>
        <v>0</v>
      </c>
    </row>
    <row r="615" spans="4:10">
      <c r="D615" s="44">
        <f t="shared" si="14"/>
        <v>0</v>
      </c>
      <c r="E615" s="44"/>
      <c r="F615" s="44"/>
      <c r="G615" s="44"/>
      <c r="I615" s="61">
        <f t="shared" si="15"/>
        <v>0</v>
      </c>
      <c r="J615" s="59">
        <f t="shared" si="16"/>
        <v>0</v>
      </c>
    </row>
    <row r="616" spans="4:10">
      <c r="D616" s="44">
        <f t="shared" si="14"/>
        <v>0</v>
      </c>
      <c r="E616" s="44"/>
      <c r="F616" s="44"/>
      <c r="G616" s="44"/>
      <c r="I616" s="61">
        <f t="shared" si="15"/>
        <v>0</v>
      </c>
      <c r="J616" s="59">
        <f t="shared" si="16"/>
        <v>0</v>
      </c>
    </row>
    <row r="617" spans="4:10">
      <c r="D617" s="44">
        <f t="shared" si="14"/>
        <v>0</v>
      </c>
      <c r="E617" s="44"/>
      <c r="F617" s="44"/>
      <c r="G617" s="44"/>
      <c r="I617" s="61">
        <f t="shared" si="15"/>
        <v>0</v>
      </c>
      <c r="J617" s="59">
        <f t="shared" si="16"/>
        <v>0</v>
      </c>
    </row>
    <row r="618" spans="4:10">
      <c r="D618" s="44">
        <f t="shared" si="14"/>
        <v>0</v>
      </c>
      <c r="E618" s="44"/>
      <c r="F618" s="44"/>
      <c r="G618" s="44"/>
      <c r="I618" s="61">
        <f t="shared" si="15"/>
        <v>0</v>
      </c>
      <c r="J618" s="59">
        <f t="shared" si="16"/>
        <v>0</v>
      </c>
    </row>
    <row r="619" spans="4:10">
      <c r="D619" s="44">
        <f t="shared" si="14"/>
        <v>0</v>
      </c>
      <c r="E619" s="44"/>
      <c r="F619" s="44"/>
      <c r="G619" s="44"/>
      <c r="I619" s="61">
        <f t="shared" si="15"/>
        <v>0</v>
      </c>
      <c r="J619" s="59">
        <f t="shared" si="16"/>
        <v>0</v>
      </c>
    </row>
    <row r="620" spans="4:10">
      <c r="D620" s="44">
        <f t="shared" si="14"/>
        <v>0</v>
      </c>
      <c r="E620" s="44"/>
      <c r="F620" s="44"/>
      <c r="G620" s="44"/>
      <c r="I620" s="61">
        <f t="shared" si="15"/>
        <v>0</v>
      </c>
      <c r="J620" s="59">
        <f t="shared" si="16"/>
        <v>0</v>
      </c>
    </row>
    <row r="621" spans="4:10">
      <c r="D621" s="44">
        <f t="shared" si="14"/>
        <v>0</v>
      </c>
      <c r="E621" s="44"/>
      <c r="F621" s="44"/>
      <c r="G621" s="44"/>
      <c r="I621" s="61">
        <f t="shared" si="15"/>
        <v>0</v>
      </c>
      <c r="J621" s="59">
        <f t="shared" si="16"/>
        <v>0</v>
      </c>
    </row>
    <row r="622" spans="4:10">
      <c r="D622" s="44">
        <f t="shared" si="14"/>
        <v>0</v>
      </c>
      <c r="E622" s="44"/>
      <c r="F622" s="44"/>
      <c r="G622" s="44"/>
      <c r="I622" s="61">
        <f t="shared" si="15"/>
        <v>0</v>
      </c>
      <c r="J622" s="59">
        <f t="shared" si="16"/>
        <v>0</v>
      </c>
    </row>
    <row r="623" spans="4:10">
      <c r="D623" s="44">
        <f t="shared" si="14"/>
        <v>0</v>
      </c>
      <c r="E623" s="44"/>
      <c r="F623" s="44"/>
      <c r="G623" s="44"/>
      <c r="I623" s="61">
        <f t="shared" si="15"/>
        <v>0</v>
      </c>
      <c r="J623" s="59">
        <f t="shared" si="16"/>
        <v>0</v>
      </c>
    </row>
    <row r="624" spans="4:10">
      <c r="D624" s="44">
        <f t="shared" si="14"/>
        <v>0</v>
      </c>
      <c r="E624" s="44"/>
      <c r="F624" s="44"/>
      <c r="G624" s="44"/>
      <c r="I624" s="61">
        <f t="shared" si="15"/>
        <v>0</v>
      </c>
      <c r="J624" s="59">
        <f t="shared" si="16"/>
        <v>0</v>
      </c>
    </row>
    <row r="625" spans="4:10">
      <c r="D625" s="44">
        <f t="shared" si="14"/>
        <v>0</v>
      </c>
      <c r="E625" s="44"/>
      <c r="F625" s="44"/>
      <c r="G625" s="44"/>
      <c r="I625" s="61">
        <f t="shared" si="15"/>
        <v>0</v>
      </c>
      <c r="J625" s="59">
        <f t="shared" si="16"/>
        <v>0</v>
      </c>
    </row>
    <row r="626" spans="4:10">
      <c r="D626" s="44">
        <f t="shared" si="14"/>
        <v>0</v>
      </c>
      <c r="E626" s="44"/>
      <c r="F626" s="44"/>
      <c r="G626" s="44"/>
      <c r="I626" s="61">
        <f t="shared" si="15"/>
        <v>0</v>
      </c>
      <c r="J626" s="59">
        <f t="shared" si="16"/>
        <v>0</v>
      </c>
    </row>
    <row r="627" spans="4:10">
      <c r="D627" s="44">
        <f t="shared" si="14"/>
        <v>0</v>
      </c>
      <c r="E627" s="44"/>
      <c r="F627" s="44"/>
      <c r="G627" s="44"/>
      <c r="I627" s="61">
        <f t="shared" si="15"/>
        <v>0</v>
      </c>
      <c r="J627" s="59">
        <f t="shared" si="16"/>
        <v>0</v>
      </c>
    </row>
    <row r="628" spans="4:10">
      <c r="D628" s="44">
        <f t="shared" si="14"/>
        <v>0</v>
      </c>
      <c r="E628" s="44"/>
      <c r="F628" s="44"/>
      <c r="G628" s="44"/>
      <c r="I628" s="61">
        <f t="shared" si="15"/>
        <v>0</v>
      </c>
      <c r="J628" s="59">
        <f t="shared" si="16"/>
        <v>0</v>
      </c>
    </row>
    <row r="629" spans="4:10">
      <c r="D629" s="44">
        <f t="shared" si="14"/>
        <v>0</v>
      </c>
      <c r="E629" s="44"/>
      <c r="F629" s="44"/>
      <c r="G629" s="44"/>
      <c r="I629" s="61">
        <f t="shared" si="15"/>
        <v>0</v>
      </c>
      <c r="J629" s="59">
        <f t="shared" si="16"/>
        <v>0</v>
      </c>
    </row>
    <row r="630" spans="4:10">
      <c r="D630" s="44">
        <f t="shared" si="14"/>
        <v>0</v>
      </c>
      <c r="E630" s="44"/>
      <c r="F630" s="44"/>
      <c r="G630" s="44"/>
      <c r="I630" s="61">
        <f t="shared" si="15"/>
        <v>0</v>
      </c>
      <c r="J630" s="59">
        <f t="shared" si="16"/>
        <v>0</v>
      </c>
    </row>
    <row r="631" spans="4:10">
      <c r="D631" s="44">
        <f t="shared" si="14"/>
        <v>0</v>
      </c>
      <c r="E631" s="44"/>
      <c r="F631" s="44"/>
      <c r="G631" s="44"/>
      <c r="I631" s="61">
        <f t="shared" si="15"/>
        <v>0</v>
      </c>
      <c r="J631" s="59">
        <f t="shared" si="16"/>
        <v>0</v>
      </c>
    </row>
    <row r="632" spans="4:10">
      <c r="D632" s="44">
        <f t="shared" si="14"/>
        <v>0</v>
      </c>
      <c r="E632" s="44"/>
      <c r="F632" s="44"/>
      <c r="G632" s="44"/>
      <c r="I632" s="61">
        <f t="shared" si="15"/>
        <v>0</v>
      </c>
      <c r="J632" s="59">
        <f t="shared" si="16"/>
        <v>0</v>
      </c>
    </row>
    <row r="633" spans="4:10">
      <c r="D633" s="44">
        <f t="shared" si="14"/>
        <v>0</v>
      </c>
      <c r="E633" s="44"/>
      <c r="F633" s="44"/>
      <c r="G633" s="44"/>
      <c r="I633" s="61">
        <f t="shared" si="15"/>
        <v>0</v>
      </c>
      <c r="J633" s="59">
        <f t="shared" si="16"/>
        <v>0</v>
      </c>
    </row>
    <row r="634" spans="4:10">
      <c r="D634" s="44">
        <f t="shared" si="14"/>
        <v>0</v>
      </c>
      <c r="E634" s="44"/>
      <c r="F634" s="44"/>
      <c r="G634" s="44"/>
      <c r="I634" s="61">
        <f t="shared" si="15"/>
        <v>0</v>
      </c>
      <c r="J634" s="59">
        <f t="shared" si="16"/>
        <v>0</v>
      </c>
    </row>
    <row r="635" spans="4:10">
      <c r="D635" s="44">
        <f t="shared" si="14"/>
        <v>0</v>
      </c>
      <c r="E635" s="44"/>
      <c r="F635" s="44"/>
      <c r="G635" s="44"/>
      <c r="I635" s="61">
        <f t="shared" si="15"/>
        <v>0</v>
      </c>
      <c r="J635" s="59">
        <f t="shared" si="16"/>
        <v>0</v>
      </c>
    </row>
    <row r="636" spans="4:10">
      <c r="D636" s="44">
        <f t="shared" si="14"/>
        <v>0</v>
      </c>
      <c r="E636" s="44"/>
      <c r="F636" s="44"/>
      <c r="G636" s="44"/>
      <c r="I636" s="61">
        <f t="shared" si="15"/>
        <v>0</v>
      </c>
      <c r="J636" s="59">
        <f t="shared" si="16"/>
        <v>0</v>
      </c>
    </row>
    <row r="637" spans="4:10">
      <c r="D637" s="44">
        <f t="shared" si="14"/>
        <v>0</v>
      </c>
      <c r="E637" s="44"/>
      <c r="F637" s="44"/>
      <c r="G637" s="44"/>
      <c r="I637" s="61">
        <f t="shared" si="15"/>
        <v>0</v>
      </c>
      <c r="J637" s="59">
        <f t="shared" si="16"/>
        <v>0</v>
      </c>
    </row>
    <row r="638" spans="4:10">
      <c r="D638" s="44">
        <f t="shared" si="14"/>
        <v>0</v>
      </c>
      <c r="E638" s="44"/>
      <c r="F638" s="44"/>
      <c r="G638" s="44"/>
      <c r="I638" s="61">
        <f t="shared" si="15"/>
        <v>0</v>
      </c>
      <c r="J638" s="59">
        <f t="shared" si="16"/>
        <v>0</v>
      </c>
    </row>
    <row r="639" spans="4:10">
      <c r="D639" s="44">
        <f t="shared" si="14"/>
        <v>0</v>
      </c>
      <c r="E639" s="44"/>
      <c r="F639" s="44"/>
      <c r="G639" s="44"/>
      <c r="I639" s="61">
        <f t="shared" si="15"/>
        <v>0</v>
      </c>
      <c r="J639" s="59">
        <f t="shared" si="16"/>
        <v>0</v>
      </c>
    </row>
    <row r="640" spans="4:10">
      <c r="D640" s="44">
        <f t="shared" si="14"/>
        <v>0</v>
      </c>
      <c r="E640" s="44"/>
      <c r="F640" s="44"/>
      <c r="G640" s="44"/>
      <c r="I640" s="61">
        <f t="shared" si="15"/>
        <v>0</v>
      </c>
      <c r="J640" s="59">
        <f t="shared" si="16"/>
        <v>0</v>
      </c>
    </row>
    <row r="641" spans="4:10">
      <c r="D641" s="44">
        <f t="shared" si="14"/>
        <v>0</v>
      </c>
      <c r="E641" s="44"/>
      <c r="F641" s="44"/>
      <c r="G641" s="44"/>
      <c r="I641" s="61">
        <f t="shared" si="15"/>
        <v>0</v>
      </c>
      <c r="J641" s="59">
        <f t="shared" si="16"/>
        <v>0</v>
      </c>
    </row>
    <row r="642" spans="4:10">
      <c r="D642" s="44">
        <f t="shared" si="14"/>
        <v>0</v>
      </c>
      <c r="E642" s="44"/>
      <c r="F642" s="44"/>
      <c r="G642" s="44"/>
      <c r="I642" s="61">
        <f t="shared" si="15"/>
        <v>0</v>
      </c>
      <c r="J642" s="59">
        <f t="shared" si="16"/>
        <v>0</v>
      </c>
    </row>
    <row r="643" spans="4:10">
      <c r="D643" s="44">
        <f t="shared" si="14"/>
        <v>0</v>
      </c>
      <c r="E643" s="44"/>
      <c r="F643" s="44"/>
      <c r="G643" s="44"/>
      <c r="I643" s="61">
        <f t="shared" si="15"/>
        <v>0</v>
      </c>
      <c r="J643" s="59">
        <f t="shared" si="16"/>
        <v>0</v>
      </c>
    </row>
    <row r="644" spans="4:10">
      <c r="D644" s="44">
        <f t="shared" si="14"/>
        <v>0</v>
      </c>
      <c r="E644" s="44"/>
      <c r="F644" s="44"/>
      <c r="G644" s="44"/>
      <c r="I644" s="61">
        <f t="shared" si="15"/>
        <v>0</v>
      </c>
      <c r="J644" s="59">
        <f t="shared" si="16"/>
        <v>0</v>
      </c>
    </row>
    <row r="645" spans="4:10">
      <c r="D645" s="44">
        <f t="shared" si="14"/>
        <v>0</v>
      </c>
      <c r="E645" s="44"/>
      <c r="F645" s="44"/>
      <c r="G645" s="44"/>
      <c r="I645" s="61">
        <f t="shared" si="15"/>
        <v>0</v>
      </c>
      <c r="J645" s="59">
        <f t="shared" si="16"/>
        <v>0</v>
      </c>
    </row>
    <row r="646" spans="4:10">
      <c r="D646" s="44">
        <f t="shared" si="14"/>
        <v>0</v>
      </c>
      <c r="E646" s="44"/>
      <c r="F646" s="44"/>
      <c r="G646" s="44"/>
      <c r="I646" s="61">
        <f t="shared" si="15"/>
        <v>0</v>
      </c>
      <c r="J646" s="59">
        <f t="shared" si="16"/>
        <v>0</v>
      </c>
    </row>
    <row r="647" spans="4:10">
      <c r="D647" s="44">
        <f t="shared" si="14"/>
        <v>0</v>
      </c>
      <c r="E647" s="44"/>
      <c r="F647" s="44"/>
      <c r="G647" s="44"/>
      <c r="I647" s="61">
        <f t="shared" si="15"/>
        <v>0</v>
      </c>
      <c r="J647" s="59">
        <f t="shared" si="16"/>
        <v>0</v>
      </c>
    </row>
    <row r="648" spans="4:10">
      <c r="D648" s="44">
        <f t="shared" si="14"/>
        <v>0</v>
      </c>
      <c r="E648" s="44"/>
      <c r="F648" s="44"/>
      <c r="G648" s="44"/>
      <c r="I648" s="61">
        <f t="shared" si="15"/>
        <v>0</v>
      </c>
      <c r="J648" s="59">
        <f t="shared" si="16"/>
        <v>0</v>
      </c>
    </row>
    <row r="649" spans="4:10">
      <c r="D649" s="44">
        <f t="shared" si="14"/>
        <v>0</v>
      </c>
      <c r="E649" s="44"/>
      <c r="F649" s="44"/>
      <c r="G649" s="44"/>
      <c r="I649" s="61">
        <f t="shared" si="15"/>
        <v>0</v>
      </c>
      <c r="J649" s="59">
        <f t="shared" si="16"/>
        <v>0</v>
      </c>
    </row>
    <row r="650" spans="4:10">
      <c r="D650" s="44">
        <f t="shared" si="14"/>
        <v>0</v>
      </c>
      <c r="E650" s="44"/>
      <c r="F650" s="44"/>
      <c r="G650" s="44"/>
      <c r="I650" s="61">
        <f t="shared" si="15"/>
        <v>0</v>
      </c>
      <c r="J650" s="59">
        <f t="shared" si="16"/>
        <v>0</v>
      </c>
    </row>
    <row r="651" spans="4:10">
      <c r="D651" s="44">
        <f t="shared" si="14"/>
        <v>0</v>
      </c>
      <c r="E651" s="44"/>
      <c r="F651" s="44"/>
      <c r="G651" s="44"/>
      <c r="I651" s="61">
        <f t="shared" si="15"/>
        <v>0</v>
      </c>
      <c r="J651" s="59">
        <f t="shared" si="16"/>
        <v>0</v>
      </c>
    </row>
    <row r="652" spans="4:10">
      <c r="D652" s="44">
        <f t="shared" si="14"/>
        <v>0</v>
      </c>
      <c r="E652" s="44"/>
      <c r="F652" s="44"/>
      <c r="G652" s="44"/>
      <c r="I652" s="61">
        <f t="shared" si="15"/>
        <v>0</v>
      </c>
      <c r="J652" s="59">
        <f t="shared" si="16"/>
        <v>0</v>
      </c>
    </row>
    <row r="653" spans="4:10">
      <c r="D653" s="44">
        <f t="shared" si="14"/>
        <v>0</v>
      </c>
      <c r="E653" s="44"/>
      <c r="F653" s="44"/>
      <c r="G653" s="44"/>
      <c r="I653" s="61">
        <f t="shared" si="15"/>
        <v>0</v>
      </c>
      <c r="J653" s="59">
        <f t="shared" si="16"/>
        <v>0</v>
      </c>
    </row>
    <row r="654" spans="4:10">
      <c r="D654" s="44">
        <f t="shared" si="14"/>
        <v>0</v>
      </c>
      <c r="E654" s="44"/>
      <c r="F654" s="44"/>
      <c r="G654" s="44"/>
      <c r="I654" s="61">
        <f t="shared" si="15"/>
        <v>0</v>
      </c>
      <c r="J654" s="59">
        <f t="shared" si="16"/>
        <v>0</v>
      </c>
    </row>
    <row r="655" spans="4:10">
      <c r="D655" s="44">
        <f t="shared" si="14"/>
        <v>0</v>
      </c>
      <c r="E655" s="44"/>
      <c r="F655" s="44"/>
      <c r="G655" s="44"/>
      <c r="I655" s="61">
        <f t="shared" si="15"/>
        <v>0</v>
      </c>
      <c r="J655" s="59">
        <f t="shared" si="16"/>
        <v>0</v>
      </c>
    </row>
    <row r="656" spans="4:10">
      <c r="D656" s="44">
        <f t="shared" si="14"/>
        <v>0</v>
      </c>
      <c r="E656" s="44"/>
      <c r="F656" s="44"/>
      <c r="G656" s="44"/>
      <c r="I656" s="61">
        <f t="shared" si="15"/>
        <v>0</v>
      </c>
      <c r="J656" s="59">
        <f t="shared" si="16"/>
        <v>0</v>
      </c>
    </row>
    <row r="657" spans="4:10">
      <c r="D657" s="44">
        <f t="shared" si="14"/>
        <v>0</v>
      </c>
      <c r="E657" s="44"/>
      <c r="F657" s="44"/>
      <c r="G657" s="44"/>
      <c r="I657" s="61">
        <f t="shared" si="15"/>
        <v>0</v>
      </c>
      <c r="J657" s="59">
        <f t="shared" si="16"/>
        <v>0</v>
      </c>
    </row>
    <row r="658" spans="4:10">
      <c r="D658" s="44">
        <f t="shared" si="14"/>
        <v>0</v>
      </c>
      <c r="E658" s="44"/>
      <c r="F658" s="44"/>
      <c r="G658" s="44"/>
      <c r="I658" s="61">
        <f t="shared" si="15"/>
        <v>0</v>
      </c>
      <c r="J658" s="59">
        <f t="shared" si="16"/>
        <v>0</v>
      </c>
    </row>
    <row r="659" spans="4:10">
      <c r="D659" s="44">
        <f t="shared" si="14"/>
        <v>0</v>
      </c>
      <c r="E659" s="44"/>
      <c r="F659" s="44"/>
      <c r="G659" s="44"/>
      <c r="I659" s="61">
        <f t="shared" si="15"/>
        <v>0</v>
      </c>
      <c r="J659" s="59">
        <f t="shared" si="16"/>
        <v>0</v>
      </c>
    </row>
    <row r="660" spans="4:10">
      <c r="D660" s="44">
        <f t="shared" si="14"/>
        <v>0</v>
      </c>
      <c r="E660" s="44"/>
      <c r="F660" s="44"/>
      <c r="G660" s="44"/>
      <c r="I660" s="61">
        <f t="shared" si="15"/>
        <v>0</v>
      </c>
      <c r="J660" s="59">
        <f t="shared" si="16"/>
        <v>0</v>
      </c>
    </row>
    <row r="661" spans="4:10">
      <c r="D661" s="44">
        <f t="shared" si="14"/>
        <v>0</v>
      </c>
      <c r="E661" s="44"/>
      <c r="F661" s="44"/>
      <c r="G661" s="44"/>
      <c r="I661" s="61">
        <f t="shared" si="15"/>
        <v>0</v>
      </c>
      <c r="J661" s="59">
        <f t="shared" si="16"/>
        <v>0</v>
      </c>
    </row>
    <row r="662" spans="4:10">
      <c r="D662" s="44">
        <f t="shared" si="14"/>
        <v>0</v>
      </c>
      <c r="E662" s="44"/>
      <c r="F662" s="44"/>
      <c r="G662" s="44"/>
      <c r="I662" s="61">
        <f t="shared" si="15"/>
        <v>0</v>
      </c>
      <c r="J662" s="59">
        <f t="shared" si="16"/>
        <v>0</v>
      </c>
    </row>
    <row r="663" spans="4:10">
      <c r="D663" s="44">
        <f t="shared" si="14"/>
        <v>0</v>
      </c>
      <c r="E663" s="44"/>
      <c r="F663" s="44"/>
      <c r="G663" s="44"/>
      <c r="I663" s="61">
        <f t="shared" si="15"/>
        <v>0</v>
      </c>
      <c r="J663" s="59">
        <f t="shared" si="16"/>
        <v>0</v>
      </c>
    </row>
    <row r="664" spans="4:10">
      <c r="D664" s="44">
        <f t="shared" si="14"/>
        <v>0</v>
      </c>
      <c r="E664" s="44"/>
      <c r="F664" s="44"/>
      <c r="G664" s="44"/>
      <c r="I664" s="61">
        <f t="shared" si="15"/>
        <v>0</v>
      </c>
      <c r="J664" s="59">
        <f t="shared" si="16"/>
        <v>0</v>
      </c>
    </row>
    <row r="665" spans="4:10">
      <c r="D665" s="44">
        <f t="shared" si="14"/>
        <v>0</v>
      </c>
      <c r="E665" s="44"/>
      <c r="F665" s="44"/>
      <c r="G665" s="44"/>
      <c r="I665" s="61">
        <f t="shared" si="15"/>
        <v>0</v>
      </c>
      <c r="J665" s="59">
        <f t="shared" si="16"/>
        <v>0</v>
      </c>
    </row>
    <row r="666" spans="4:10">
      <c r="D666" s="44">
        <f t="shared" si="14"/>
        <v>0</v>
      </c>
      <c r="E666" s="44"/>
      <c r="F666" s="44"/>
      <c r="G666" s="44"/>
      <c r="I666" s="61">
        <f t="shared" si="15"/>
        <v>0</v>
      </c>
      <c r="J666" s="59">
        <f t="shared" si="16"/>
        <v>0</v>
      </c>
    </row>
    <row r="667" spans="4:10">
      <c r="D667" s="44">
        <f t="shared" si="14"/>
        <v>0</v>
      </c>
      <c r="E667" s="44"/>
      <c r="F667" s="44"/>
      <c r="G667" s="44"/>
      <c r="I667" s="61">
        <f t="shared" si="15"/>
        <v>0</v>
      </c>
      <c r="J667" s="59">
        <f t="shared" si="16"/>
        <v>0</v>
      </c>
    </row>
    <row r="668" spans="4:10">
      <c r="D668" s="44">
        <f t="shared" si="14"/>
        <v>0</v>
      </c>
      <c r="E668" s="44"/>
      <c r="F668" s="44"/>
      <c r="G668" s="44"/>
      <c r="I668" s="61">
        <f t="shared" si="15"/>
        <v>0</v>
      </c>
      <c r="J668" s="59">
        <f t="shared" si="16"/>
        <v>0</v>
      </c>
    </row>
    <row r="669" spans="4:10">
      <c r="D669" s="44">
        <f t="shared" ref="D669:D732" si="17">C669-H669</f>
        <v>0</v>
      </c>
      <c r="E669" s="44"/>
      <c r="F669" s="44"/>
      <c r="G669" s="44"/>
      <c r="I669" s="61">
        <f t="shared" ref="I669:I732" si="18">H669*10%</f>
        <v>0</v>
      </c>
      <c r="J669" s="59">
        <f t="shared" ref="J669:J732" si="19">H669*90%</f>
        <v>0</v>
      </c>
    </row>
    <row r="670" spans="4:10">
      <c r="D670" s="44">
        <f t="shared" si="17"/>
        <v>0</v>
      </c>
      <c r="E670" s="44"/>
      <c r="F670" s="44"/>
      <c r="G670" s="44"/>
      <c r="I670" s="61">
        <f t="shared" si="18"/>
        <v>0</v>
      </c>
      <c r="J670" s="59">
        <f t="shared" si="19"/>
        <v>0</v>
      </c>
    </row>
    <row r="671" spans="4:10">
      <c r="D671" s="44">
        <f t="shared" si="17"/>
        <v>0</v>
      </c>
      <c r="E671" s="44"/>
      <c r="F671" s="44"/>
      <c r="G671" s="44"/>
      <c r="I671" s="61">
        <f t="shared" si="18"/>
        <v>0</v>
      </c>
      <c r="J671" s="59">
        <f t="shared" si="19"/>
        <v>0</v>
      </c>
    </row>
    <row r="672" spans="4:10">
      <c r="D672" s="44">
        <f t="shared" si="17"/>
        <v>0</v>
      </c>
      <c r="E672" s="44"/>
      <c r="F672" s="44"/>
      <c r="G672" s="44"/>
      <c r="I672" s="61">
        <f t="shared" si="18"/>
        <v>0</v>
      </c>
      <c r="J672" s="59">
        <f t="shared" si="19"/>
        <v>0</v>
      </c>
    </row>
    <row r="673" spans="4:10">
      <c r="D673" s="44">
        <f t="shared" si="17"/>
        <v>0</v>
      </c>
      <c r="E673" s="44"/>
      <c r="F673" s="44"/>
      <c r="G673" s="44"/>
      <c r="I673" s="61">
        <f t="shared" si="18"/>
        <v>0</v>
      </c>
      <c r="J673" s="59">
        <f t="shared" si="19"/>
        <v>0</v>
      </c>
    </row>
    <row r="674" spans="4:10">
      <c r="D674" s="44">
        <f t="shared" si="17"/>
        <v>0</v>
      </c>
      <c r="E674" s="44"/>
      <c r="F674" s="44"/>
      <c r="G674" s="44"/>
      <c r="I674" s="61">
        <f t="shared" si="18"/>
        <v>0</v>
      </c>
      <c r="J674" s="59">
        <f t="shared" si="19"/>
        <v>0</v>
      </c>
    </row>
    <row r="675" spans="4:10">
      <c r="D675" s="44">
        <f t="shared" si="17"/>
        <v>0</v>
      </c>
      <c r="E675" s="44"/>
      <c r="F675" s="44"/>
      <c r="G675" s="44"/>
      <c r="I675" s="61">
        <f t="shared" si="18"/>
        <v>0</v>
      </c>
      <c r="J675" s="59">
        <f t="shared" si="19"/>
        <v>0</v>
      </c>
    </row>
    <row r="676" spans="4:10">
      <c r="D676" s="44">
        <f t="shared" si="17"/>
        <v>0</v>
      </c>
      <c r="E676" s="44"/>
      <c r="F676" s="44"/>
      <c r="G676" s="44"/>
      <c r="I676" s="61">
        <f t="shared" si="18"/>
        <v>0</v>
      </c>
      <c r="J676" s="59">
        <f t="shared" si="19"/>
        <v>0</v>
      </c>
    </row>
    <row r="677" spans="4:10">
      <c r="D677" s="44">
        <f t="shared" si="17"/>
        <v>0</v>
      </c>
      <c r="E677" s="44"/>
      <c r="F677" s="44"/>
      <c r="G677" s="44"/>
      <c r="I677" s="61">
        <f t="shared" si="18"/>
        <v>0</v>
      </c>
      <c r="J677" s="59">
        <f t="shared" si="19"/>
        <v>0</v>
      </c>
    </row>
    <row r="678" spans="4:10">
      <c r="D678" s="44">
        <f t="shared" si="17"/>
        <v>0</v>
      </c>
      <c r="E678" s="44"/>
      <c r="F678" s="44"/>
      <c r="G678" s="44"/>
      <c r="I678" s="61">
        <f t="shared" si="18"/>
        <v>0</v>
      </c>
      <c r="J678" s="59">
        <f t="shared" si="19"/>
        <v>0</v>
      </c>
    </row>
    <row r="679" spans="4:10">
      <c r="D679" s="44">
        <f t="shared" si="17"/>
        <v>0</v>
      </c>
      <c r="E679" s="44"/>
      <c r="F679" s="44"/>
      <c r="G679" s="44"/>
      <c r="I679" s="61">
        <f t="shared" si="18"/>
        <v>0</v>
      </c>
      <c r="J679" s="59">
        <f t="shared" si="19"/>
        <v>0</v>
      </c>
    </row>
    <row r="680" spans="4:10">
      <c r="D680" s="44">
        <f t="shared" si="17"/>
        <v>0</v>
      </c>
      <c r="E680" s="44"/>
      <c r="F680" s="44"/>
      <c r="G680" s="44"/>
      <c r="I680" s="61">
        <f t="shared" si="18"/>
        <v>0</v>
      </c>
      <c r="J680" s="59">
        <f t="shared" si="19"/>
        <v>0</v>
      </c>
    </row>
    <row r="681" spans="4:10">
      <c r="D681" s="44">
        <f t="shared" si="17"/>
        <v>0</v>
      </c>
      <c r="E681" s="44"/>
      <c r="F681" s="44"/>
      <c r="G681" s="44"/>
      <c r="I681" s="61">
        <f t="shared" si="18"/>
        <v>0</v>
      </c>
      <c r="J681" s="59">
        <f t="shared" si="19"/>
        <v>0</v>
      </c>
    </row>
    <row r="682" spans="4:10">
      <c r="D682" s="44">
        <f t="shared" si="17"/>
        <v>0</v>
      </c>
      <c r="E682" s="44"/>
      <c r="F682" s="44"/>
      <c r="G682" s="44"/>
      <c r="I682" s="61">
        <f t="shared" si="18"/>
        <v>0</v>
      </c>
      <c r="J682" s="59">
        <f t="shared" si="19"/>
        <v>0</v>
      </c>
    </row>
    <row r="683" spans="4:10">
      <c r="D683" s="44">
        <f t="shared" si="17"/>
        <v>0</v>
      </c>
      <c r="E683" s="44"/>
      <c r="F683" s="44"/>
      <c r="G683" s="44"/>
      <c r="I683" s="61">
        <f t="shared" si="18"/>
        <v>0</v>
      </c>
      <c r="J683" s="59">
        <f t="shared" si="19"/>
        <v>0</v>
      </c>
    </row>
    <row r="684" spans="4:10">
      <c r="D684" s="44">
        <f t="shared" si="17"/>
        <v>0</v>
      </c>
      <c r="E684" s="44"/>
      <c r="F684" s="44"/>
      <c r="G684" s="44"/>
      <c r="I684" s="61">
        <f t="shared" si="18"/>
        <v>0</v>
      </c>
      <c r="J684" s="59">
        <f t="shared" si="19"/>
        <v>0</v>
      </c>
    </row>
    <row r="685" spans="4:10">
      <c r="D685" s="44">
        <f t="shared" si="17"/>
        <v>0</v>
      </c>
      <c r="E685" s="44"/>
      <c r="F685" s="44"/>
      <c r="G685" s="44"/>
      <c r="I685" s="61">
        <f t="shared" si="18"/>
        <v>0</v>
      </c>
      <c r="J685" s="59">
        <f t="shared" si="19"/>
        <v>0</v>
      </c>
    </row>
    <row r="686" spans="4:10">
      <c r="D686" s="44">
        <f t="shared" si="17"/>
        <v>0</v>
      </c>
      <c r="E686" s="44"/>
      <c r="F686" s="44"/>
      <c r="G686" s="44"/>
      <c r="I686" s="61">
        <f t="shared" si="18"/>
        <v>0</v>
      </c>
      <c r="J686" s="59">
        <f t="shared" si="19"/>
        <v>0</v>
      </c>
    </row>
    <row r="687" spans="4:10">
      <c r="D687" s="44">
        <f t="shared" si="17"/>
        <v>0</v>
      </c>
      <c r="E687" s="44"/>
      <c r="F687" s="44"/>
      <c r="G687" s="44"/>
      <c r="I687" s="61">
        <f t="shared" si="18"/>
        <v>0</v>
      </c>
      <c r="J687" s="59">
        <f t="shared" si="19"/>
        <v>0</v>
      </c>
    </row>
    <row r="688" spans="4:10">
      <c r="D688" s="44">
        <f t="shared" si="17"/>
        <v>0</v>
      </c>
      <c r="E688" s="44"/>
      <c r="F688" s="44"/>
      <c r="G688" s="44"/>
      <c r="I688" s="61">
        <f t="shared" si="18"/>
        <v>0</v>
      </c>
      <c r="J688" s="59">
        <f t="shared" si="19"/>
        <v>0</v>
      </c>
    </row>
    <row r="689" spans="4:10">
      <c r="D689" s="44">
        <f t="shared" si="17"/>
        <v>0</v>
      </c>
      <c r="E689" s="44"/>
      <c r="F689" s="44"/>
      <c r="G689" s="44"/>
      <c r="I689" s="61">
        <f t="shared" si="18"/>
        <v>0</v>
      </c>
      <c r="J689" s="59">
        <f t="shared" si="19"/>
        <v>0</v>
      </c>
    </row>
    <row r="690" spans="4:10">
      <c r="D690" s="44">
        <f t="shared" si="17"/>
        <v>0</v>
      </c>
      <c r="E690" s="44"/>
      <c r="F690" s="44"/>
      <c r="G690" s="44"/>
      <c r="I690" s="61">
        <f t="shared" si="18"/>
        <v>0</v>
      </c>
      <c r="J690" s="59">
        <f t="shared" si="19"/>
        <v>0</v>
      </c>
    </row>
    <row r="691" spans="4:10">
      <c r="D691" s="44">
        <f t="shared" si="17"/>
        <v>0</v>
      </c>
      <c r="E691" s="44"/>
      <c r="F691" s="44"/>
      <c r="G691" s="44"/>
      <c r="I691" s="61">
        <f t="shared" si="18"/>
        <v>0</v>
      </c>
      <c r="J691" s="59">
        <f t="shared" si="19"/>
        <v>0</v>
      </c>
    </row>
    <row r="692" spans="4:10">
      <c r="D692" s="44">
        <f t="shared" si="17"/>
        <v>0</v>
      </c>
      <c r="E692" s="44"/>
      <c r="F692" s="44"/>
      <c r="G692" s="44"/>
      <c r="I692" s="61">
        <f t="shared" si="18"/>
        <v>0</v>
      </c>
      <c r="J692" s="59">
        <f t="shared" si="19"/>
        <v>0</v>
      </c>
    </row>
    <row r="693" spans="4:10">
      <c r="D693" s="44">
        <f t="shared" si="17"/>
        <v>0</v>
      </c>
      <c r="E693" s="44"/>
      <c r="F693" s="44"/>
      <c r="G693" s="44"/>
      <c r="I693" s="61">
        <f t="shared" si="18"/>
        <v>0</v>
      </c>
      <c r="J693" s="59">
        <f t="shared" si="19"/>
        <v>0</v>
      </c>
    </row>
    <row r="694" spans="4:10">
      <c r="D694" s="44">
        <f t="shared" si="17"/>
        <v>0</v>
      </c>
      <c r="E694" s="44"/>
      <c r="F694" s="44"/>
      <c r="G694" s="44"/>
      <c r="I694" s="61">
        <f t="shared" si="18"/>
        <v>0</v>
      </c>
      <c r="J694" s="59">
        <f t="shared" si="19"/>
        <v>0</v>
      </c>
    </row>
    <row r="695" spans="4:10">
      <c r="D695" s="44">
        <f t="shared" si="17"/>
        <v>0</v>
      </c>
      <c r="E695" s="44"/>
      <c r="F695" s="44"/>
      <c r="G695" s="44"/>
      <c r="I695" s="61">
        <f t="shared" si="18"/>
        <v>0</v>
      </c>
      <c r="J695" s="59">
        <f t="shared" si="19"/>
        <v>0</v>
      </c>
    </row>
    <row r="696" spans="4:10">
      <c r="D696" s="44">
        <f t="shared" si="17"/>
        <v>0</v>
      </c>
      <c r="E696" s="44"/>
      <c r="F696" s="44"/>
      <c r="G696" s="44"/>
      <c r="I696" s="61">
        <f t="shared" si="18"/>
        <v>0</v>
      </c>
      <c r="J696" s="59">
        <f t="shared" si="19"/>
        <v>0</v>
      </c>
    </row>
    <row r="697" spans="4:10">
      <c r="D697" s="44">
        <f t="shared" si="17"/>
        <v>0</v>
      </c>
      <c r="E697" s="44"/>
      <c r="F697" s="44"/>
      <c r="G697" s="44"/>
      <c r="I697" s="61">
        <f t="shared" si="18"/>
        <v>0</v>
      </c>
      <c r="J697" s="59">
        <f t="shared" si="19"/>
        <v>0</v>
      </c>
    </row>
    <row r="698" spans="4:10">
      <c r="D698" s="44">
        <f t="shared" si="17"/>
        <v>0</v>
      </c>
      <c r="E698" s="44"/>
      <c r="F698" s="44"/>
      <c r="G698" s="44"/>
      <c r="I698" s="61">
        <f t="shared" si="18"/>
        <v>0</v>
      </c>
      <c r="J698" s="59">
        <f t="shared" si="19"/>
        <v>0</v>
      </c>
    </row>
    <row r="699" spans="4:10">
      <c r="D699" s="44">
        <f t="shared" si="17"/>
        <v>0</v>
      </c>
      <c r="E699" s="44"/>
      <c r="F699" s="44"/>
      <c r="G699" s="44"/>
      <c r="I699" s="61">
        <f t="shared" si="18"/>
        <v>0</v>
      </c>
      <c r="J699" s="59">
        <f t="shared" si="19"/>
        <v>0</v>
      </c>
    </row>
    <row r="700" spans="4:10">
      <c r="D700" s="44">
        <f t="shared" si="17"/>
        <v>0</v>
      </c>
      <c r="E700" s="44"/>
      <c r="F700" s="44"/>
      <c r="G700" s="44"/>
      <c r="I700" s="61">
        <f t="shared" si="18"/>
        <v>0</v>
      </c>
      <c r="J700" s="59">
        <f t="shared" si="19"/>
        <v>0</v>
      </c>
    </row>
    <row r="701" spans="4:10">
      <c r="D701" s="44">
        <f t="shared" si="17"/>
        <v>0</v>
      </c>
      <c r="E701" s="44"/>
      <c r="F701" s="44"/>
      <c r="G701" s="44"/>
      <c r="I701" s="61">
        <f t="shared" si="18"/>
        <v>0</v>
      </c>
      <c r="J701" s="59">
        <f t="shared" si="19"/>
        <v>0</v>
      </c>
    </row>
    <row r="702" spans="4:10">
      <c r="D702" s="44">
        <f t="shared" si="17"/>
        <v>0</v>
      </c>
      <c r="E702" s="44"/>
      <c r="F702" s="44"/>
      <c r="G702" s="44"/>
      <c r="I702" s="61">
        <f t="shared" si="18"/>
        <v>0</v>
      </c>
      <c r="J702" s="59">
        <f t="shared" si="19"/>
        <v>0</v>
      </c>
    </row>
    <row r="703" spans="4:10">
      <c r="D703" s="44">
        <f t="shared" si="17"/>
        <v>0</v>
      </c>
      <c r="E703" s="44"/>
      <c r="F703" s="44"/>
      <c r="G703" s="44"/>
      <c r="I703" s="61">
        <f t="shared" si="18"/>
        <v>0</v>
      </c>
      <c r="J703" s="59">
        <f t="shared" si="19"/>
        <v>0</v>
      </c>
    </row>
    <row r="704" spans="4:10">
      <c r="D704" s="44">
        <f t="shared" si="17"/>
        <v>0</v>
      </c>
      <c r="E704" s="44"/>
      <c r="F704" s="44"/>
      <c r="G704" s="44"/>
      <c r="I704" s="61">
        <f t="shared" si="18"/>
        <v>0</v>
      </c>
      <c r="J704" s="59">
        <f t="shared" si="19"/>
        <v>0</v>
      </c>
    </row>
    <row r="705" spans="4:10">
      <c r="D705" s="44">
        <f t="shared" si="17"/>
        <v>0</v>
      </c>
      <c r="E705" s="44"/>
      <c r="F705" s="44"/>
      <c r="G705" s="44"/>
      <c r="I705" s="61">
        <f t="shared" si="18"/>
        <v>0</v>
      </c>
      <c r="J705" s="59">
        <f t="shared" si="19"/>
        <v>0</v>
      </c>
    </row>
    <row r="706" spans="4:10">
      <c r="D706" s="44">
        <f t="shared" si="17"/>
        <v>0</v>
      </c>
      <c r="E706" s="44"/>
      <c r="F706" s="44"/>
      <c r="G706" s="44"/>
      <c r="I706" s="61">
        <f t="shared" si="18"/>
        <v>0</v>
      </c>
      <c r="J706" s="59">
        <f t="shared" si="19"/>
        <v>0</v>
      </c>
    </row>
    <row r="707" spans="4:10">
      <c r="D707" s="44">
        <f t="shared" si="17"/>
        <v>0</v>
      </c>
      <c r="E707" s="44"/>
      <c r="F707" s="44"/>
      <c r="G707" s="44"/>
      <c r="I707" s="61">
        <f t="shared" si="18"/>
        <v>0</v>
      </c>
      <c r="J707" s="59">
        <f t="shared" si="19"/>
        <v>0</v>
      </c>
    </row>
    <row r="708" spans="4:10">
      <c r="D708" s="44">
        <f t="shared" si="17"/>
        <v>0</v>
      </c>
      <c r="E708" s="44"/>
      <c r="F708" s="44"/>
      <c r="G708" s="44"/>
      <c r="I708" s="61">
        <f t="shared" si="18"/>
        <v>0</v>
      </c>
      <c r="J708" s="59">
        <f t="shared" si="19"/>
        <v>0</v>
      </c>
    </row>
    <row r="709" spans="4:10">
      <c r="D709" s="44">
        <f t="shared" si="17"/>
        <v>0</v>
      </c>
      <c r="E709" s="44"/>
      <c r="F709" s="44"/>
      <c r="G709" s="44"/>
      <c r="I709" s="61">
        <f t="shared" si="18"/>
        <v>0</v>
      </c>
      <c r="J709" s="59">
        <f t="shared" si="19"/>
        <v>0</v>
      </c>
    </row>
    <row r="710" spans="4:10">
      <c r="D710" s="44">
        <f t="shared" si="17"/>
        <v>0</v>
      </c>
      <c r="E710" s="44"/>
      <c r="F710" s="44"/>
      <c r="G710" s="44"/>
      <c r="I710" s="61">
        <f t="shared" si="18"/>
        <v>0</v>
      </c>
      <c r="J710" s="59">
        <f t="shared" si="19"/>
        <v>0</v>
      </c>
    </row>
    <row r="711" spans="4:10">
      <c r="D711" s="44">
        <f t="shared" si="17"/>
        <v>0</v>
      </c>
      <c r="E711" s="44"/>
      <c r="F711" s="44"/>
      <c r="G711" s="44"/>
      <c r="I711" s="61">
        <f t="shared" si="18"/>
        <v>0</v>
      </c>
      <c r="J711" s="59">
        <f t="shared" si="19"/>
        <v>0</v>
      </c>
    </row>
    <row r="712" spans="4:10">
      <c r="D712" s="44">
        <f t="shared" si="17"/>
        <v>0</v>
      </c>
      <c r="E712" s="44"/>
      <c r="F712" s="44"/>
      <c r="G712" s="44"/>
      <c r="I712" s="61">
        <f t="shared" si="18"/>
        <v>0</v>
      </c>
      <c r="J712" s="59">
        <f t="shared" si="19"/>
        <v>0</v>
      </c>
    </row>
    <row r="713" spans="4:10">
      <c r="D713" s="44">
        <f t="shared" si="17"/>
        <v>0</v>
      </c>
      <c r="E713" s="44"/>
      <c r="F713" s="44"/>
      <c r="G713" s="44"/>
      <c r="I713" s="61">
        <f t="shared" si="18"/>
        <v>0</v>
      </c>
      <c r="J713" s="59">
        <f t="shared" si="19"/>
        <v>0</v>
      </c>
    </row>
    <row r="714" spans="4:10">
      <c r="D714" s="44">
        <f t="shared" si="17"/>
        <v>0</v>
      </c>
      <c r="E714" s="44"/>
      <c r="F714" s="44"/>
      <c r="G714" s="44"/>
      <c r="I714" s="61">
        <f t="shared" si="18"/>
        <v>0</v>
      </c>
      <c r="J714" s="59">
        <f t="shared" si="19"/>
        <v>0</v>
      </c>
    </row>
    <row r="715" spans="4:10">
      <c r="D715" s="44">
        <f t="shared" si="17"/>
        <v>0</v>
      </c>
      <c r="E715" s="44"/>
      <c r="F715" s="44"/>
      <c r="G715" s="44"/>
      <c r="I715" s="61">
        <f t="shared" si="18"/>
        <v>0</v>
      </c>
      <c r="J715" s="59">
        <f t="shared" si="19"/>
        <v>0</v>
      </c>
    </row>
    <row r="716" spans="4:10">
      <c r="D716" s="44">
        <f t="shared" si="17"/>
        <v>0</v>
      </c>
      <c r="E716" s="44"/>
      <c r="F716" s="44"/>
      <c r="G716" s="44"/>
      <c r="I716" s="61">
        <f t="shared" si="18"/>
        <v>0</v>
      </c>
      <c r="J716" s="59">
        <f t="shared" si="19"/>
        <v>0</v>
      </c>
    </row>
    <row r="717" spans="4:10">
      <c r="D717" s="44">
        <f t="shared" si="17"/>
        <v>0</v>
      </c>
      <c r="E717" s="44"/>
      <c r="F717" s="44"/>
      <c r="G717" s="44"/>
      <c r="I717" s="61">
        <f t="shared" si="18"/>
        <v>0</v>
      </c>
      <c r="J717" s="59">
        <f t="shared" si="19"/>
        <v>0</v>
      </c>
    </row>
    <row r="718" spans="4:10">
      <c r="D718" s="44">
        <f t="shared" si="17"/>
        <v>0</v>
      </c>
      <c r="E718" s="44"/>
      <c r="F718" s="44"/>
      <c r="G718" s="44"/>
      <c r="I718" s="61">
        <f t="shared" si="18"/>
        <v>0</v>
      </c>
      <c r="J718" s="59">
        <f t="shared" si="19"/>
        <v>0</v>
      </c>
    </row>
    <row r="719" spans="4:10">
      <c r="D719" s="44">
        <f t="shared" si="17"/>
        <v>0</v>
      </c>
      <c r="E719" s="44"/>
      <c r="F719" s="44"/>
      <c r="G719" s="44"/>
      <c r="I719" s="61">
        <f t="shared" si="18"/>
        <v>0</v>
      </c>
      <c r="J719" s="59">
        <f t="shared" si="19"/>
        <v>0</v>
      </c>
    </row>
    <row r="720" spans="4:10">
      <c r="D720" s="44">
        <f t="shared" si="17"/>
        <v>0</v>
      </c>
      <c r="E720" s="44"/>
      <c r="F720" s="44"/>
      <c r="G720" s="44"/>
      <c r="I720" s="61">
        <f t="shared" si="18"/>
        <v>0</v>
      </c>
      <c r="J720" s="59">
        <f t="shared" si="19"/>
        <v>0</v>
      </c>
    </row>
    <row r="721" spans="4:10">
      <c r="D721" s="44">
        <f t="shared" si="17"/>
        <v>0</v>
      </c>
      <c r="E721" s="44"/>
      <c r="F721" s="44"/>
      <c r="G721" s="44"/>
      <c r="I721" s="61">
        <f t="shared" si="18"/>
        <v>0</v>
      </c>
      <c r="J721" s="59">
        <f t="shared" si="19"/>
        <v>0</v>
      </c>
    </row>
    <row r="722" spans="4:10">
      <c r="D722" s="44">
        <f t="shared" si="17"/>
        <v>0</v>
      </c>
      <c r="E722" s="44"/>
      <c r="F722" s="44"/>
      <c r="G722" s="44"/>
      <c r="I722" s="61">
        <f t="shared" si="18"/>
        <v>0</v>
      </c>
      <c r="J722" s="59">
        <f t="shared" si="19"/>
        <v>0</v>
      </c>
    </row>
    <row r="723" spans="4:10">
      <c r="D723" s="44">
        <f t="shared" si="17"/>
        <v>0</v>
      </c>
      <c r="E723" s="44"/>
      <c r="F723" s="44"/>
      <c r="G723" s="44"/>
      <c r="I723" s="61">
        <f t="shared" si="18"/>
        <v>0</v>
      </c>
      <c r="J723" s="59">
        <f t="shared" si="19"/>
        <v>0</v>
      </c>
    </row>
    <row r="724" spans="4:10">
      <c r="D724" s="44">
        <f t="shared" si="17"/>
        <v>0</v>
      </c>
      <c r="E724" s="44"/>
      <c r="F724" s="44"/>
      <c r="G724" s="44"/>
      <c r="I724" s="61">
        <f t="shared" si="18"/>
        <v>0</v>
      </c>
      <c r="J724" s="59">
        <f t="shared" si="19"/>
        <v>0</v>
      </c>
    </row>
    <row r="725" spans="4:10">
      <c r="D725" s="44">
        <f t="shared" si="17"/>
        <v>0</v>
      </c>
      <c r="E725" s="44"/>
      <c r="F725" s="44"/>
      <c r="G725" s="44"/>
      <c r="I725" s="61">
        <f t="shared" si="18"/>
        <v>0</v>
      </c>
      <c r="J725" s="59">
        <f t="shared" si="19"/>
        <v>0</v>
      </c>
    </row>
    <row r="726" spans="4:10">
      <c r="D726" s="44">
        <f t="shared" si="17"/>
        <v>0</v>
      </c>
      <c r="E726" s="44"/>
      <c r="F726" s="44"/>
      <c r="G726" s="44"/>
      <c r="I726" s="61">
        <f t="shared" si="18"/>
        <v>0</v>
      </c>
      <c r="J726" s="59">
        <f t="shared" si="19"/>
        <v>0</v>
      </c>
    </row>
    <row r="727" spans="4:10">
      <c r="D727" s="44">
        <f t="shared" si="17"/>
        <v>0</v>
      </c>
      <c r="E727" s="44"/>
      <c r="F727" s="44"/>
      <c r="G727" s="44"/>
      <c r="I727" s="61">
        <f t="shared" si="18"/>
        <v>0</v>
      </c>
      <c r="J727" s="59">
        <f t="shared" si="19"/>
        <v>0</v>
      </c>
    </row>
    <row r="728" spans="4:10">
      <c r="D728" s="44">
        <f t="shared" si="17"/>
        <v>0</v>
      </c>
      <c r="E728" s="44"/>
      <c r="F728" s="44"/>
      <c r="G728" s="44"/>
      <c r="I728" s="61">
        <f t="shared" si="18"/>
        <v>0</v>
      </c>
      <c r="J728" s="59">
        <f t="shared" si="19"/>
        <v>0</v>
      </c>
    </row>
    <row r="729" spans="4:10">
      <c r="D729" s="44">
        <f t="shared" si="17"/>
        <v>0</v>
      </c>
      <c r="E729" s="44"/>
      <c r="F729" s="44"/>
      <c r="G729" s="44"/>
      <c r="I729" s="61">
        <f t="shared" si="18"/>
        <v>0</v>
      </c>
      <c r="J729" s="59">
        <f t="shared" si="19"/>
        <v>0</v>
      </c>
    </row>
    <row r="730" spans="4:10">
      <c r="D730" s="44">
        <f t="shared" si="17"/>
        <v>0</v>
      </c>
      <c r="E730" s="44"/>
      <c r="F730" s="44"/>
      <c r="G730" s="44"/>
      <c r="I730" s="61">
        <f t="shared" si="18"/>
        <v>0</v>
      </c>
      <c r="J730" s="59">
        <f t="shared" si="19"/>
        <v>0</v>
      </c>
    </row>
    <row r="731" spans="4:10">
      <c r="D731" s="44">
        <f t="shared" si="17"/>
        <v>0</v>
      </c>
      <c r="E731" s="44"/>
      <c r="F731" s="44"/>
      <c r="G731" s="44"/>
      <c r="I731" s="61">
        <f t="shared" si="18"/>
        <v>0</v>
      </c>
      <c r="J731" s="59">
        <f t="shared" si="19"/>
        <v>0</v>
      </c>
    </row>
    <row r="732" spans="4:10">
      <c r="D732" s="44">
        <f t="shared" si="17"/>
        <v>0</v>
      </c>
      <c r="E732" s="44"/>
      <c r="F732" s="44"/>
      <c r="G732" s="44"/>
      <c r="I732" s="61">
        <f t="shared" si="18"/>
        <v>0</v>
      </c>
      <c r="J732" s="59">
        <f t="shared" si="19"/>
        <v>0</v>
      </c>
    </row>
    <row r="733" spans="4:10">
      <c r="D733" s="44">
        <f t="shared" ref="D733:D796" si="20">C733-H733</f>
        <v>0</v>
      </c>
      <c r="E733" s="44"/>
      <c r="F733" s="44"/>
      <c r="G733" s="44"/>
      <c r="I733" s="61">
        <f t="shared" ref="I733:I796" si="21">H733*10%</f>
        <v>0</v>
      </c>
      <c r="J733" s="59">
        <f t="shared" ref="J733:J796" si="22">H733*90%</f>
        <v>0</v>
      </c>
    </row>
    <row r="734" spans="4:10">
      <c r="D734" s="44">
        <f t="shared" si="20"/>
        <v>0</v>
      </c>
      <c r="E734" s="44"/>
      <c r="F734" s="44"/>
      <c r="G734" s="44"/>
      <c r="I734" s="61">
        <f t="shared" si="21"/>
        <v>0</v>
      </c>
      <c r="J734" s="59">
        <f t="shared" si="22"/>
        <v>0</v>
      </c>
    </row>
    <row r="735" spans="4:10">
      <c r="D735" s="44">
        <f t="shared" si="20"/>
        <v>0</v>
      </c>
      <c r="E735" s="44"/>
      <c r="F735" s="44"/>
      <c r="G735" s="44"/>
      <c r="I735" s="61">
        <f t="shared" si="21"/>
        <v>0</v>
      </c>
      <c r="J735" s="59">
        <f t="shared" si="22"/>
        <v>0</v>
      </c>
    </row>
    <row r="736" spans="4:10">
      <c r="D736" s="44">
        <f t="shared" si="20"/>
        <v>0</v>
      </c>
      <c r="E736" s="44"/>
      <c r="F736" s="44"/>
      <c r="G736" s="44"/>
      <c r="I736" s="61">
        <f t="shared" si="21"/>
        <v>0</v>
      </c>
      <c r="J736" s="59">
        <f t="shared" si="22"/>
        <v>0</v>
      </c>
    </row>
    <row r="737" spans="4:10">
      <c r="D737" s="44">
        <f t="shared" si="20"/>
        <v>0</v>
      </c>
      <c r="E737" s="44"/>
      <c r="F737" s="44"/>
      <c r="G737" s="44"/>
      <c r="I737" s="61">
        <f t="shared" si="21"/>
        <v>0</v>
      </c>
      <c r="J737" s="59">
        <f t="shared" si="22"/>
        <v>0</v>
      </c>
    </row>
    <row r="738" spans="4:10">
      <c r="D738" s="44">
        <f t="shared" si="20"/>
        <v>0</v>
      </c>
      <c r="E738" s="44"/>
      <c r="F738" s="44"/>
      <c r="G738" s="44"/>
      <c r="I738" s="61">
        <f t="shared" si="21"/>
        <v>0</v>
      </c>
      <c r="J738" s="59">
        <f t="shared" si="22"/>
        <v>0</v>
      </c>
    </row>
    <row r="739" spans="4:10">
      <c r="D739" s="44">
        <f t="shared" si="20"/>
        <v>0</v>
      </c>
      <c r="E739" s="44"/>
      <c r="F739" s="44"/>
      <c r="G739" s="44"/>
      <c r="I739" s="61">
        <f t="shared" si="21"/>
        <v>0</v>
      </c>
      <c r="J739" s="59">
        <f t="shared" si="22"/>
        <v>0</v>
      </c>
    </row>
    <row r="740" spans="4:10">
      <c r="D740" s="44">
        <f t="shared" si="20"/>
        <v>0</v>
      </c>
      <c r="E740" s="44"/>
      <c r="F740" s="44"/>
      <c r="G740" s="44"/>
      <c r="I740" s="61">
        <f t="shared" si="21"/>
        <v>0</v>
      </c>
      <c r="J740" s="59">
        <f t="shared" si="22"/>
        <v>0</v>
      </c>
    </row>
    <row r="741" spans="4:10">
      <c r="D741" s="44">
        <f t="shared" si="20"/>
        <v>0</v>
      </c>
      <c r="E741" s="44"/>
      <c r="F741" s="44"/>
      <c r="G741" s="44"/>
      <c r="I741" s="61">
        <f t="shared" si="21"/>
        <v>0</v>
      </c>
      <c r="J741" s="59">
        <f t="shared" si="22"/>
        <v>0</v>
      </c>
    </row>
    <row r="742" spans="4:10">
      <c r="D742" s="44">
        <f t="shared" si="20"/>
        <v>0</v>
      </c>
      <c r="E742" s="44"/>
      <c r="F742" s="44"/>
      <c r="G742" s="44"/>
      <c r="I742" s="61">
        <f t="shared" si="21"/>
        <v>0</v>
      </c>
      <c r="J742" s="59">
        <f t="shared" si="22"/>
        <v>0</v>
      </c>
    </row>
    <row r="743" spans="4:10">
      <c r="D743" s="44">
        <f t="shared" si="20"/>
        <v>0</v>
      </c>
      <c r="E743" s="44"/>
      <c r="F743" s="44"/>
      <c r="G743" s="44"/>
      <c r="I743" s="61">
        <f t="shared" si="21"/>
        <v>0</v>
      </c>
      <c r="J743" s="59">
        <f t="shared" si="22"/>
        <v>0</v>
      </c>
    </row>
    <row r="744" spans="4:10">
      <c r="D744" s="44">
        <f t="shared" si="20"/>
        <v>0</v>
      </c>
      <c r="E744" s="44"/>
      <c r="F744" s="44"/>
      <c r="G744" s="44"/>
      <c r="I744" s="61">
        <f t="shared" si="21"/>
        <v>0</v>
      </c>
      <c r="J744" s="59">
        <f t="shared" si="22"/>
        <v>0</v>
      </c>
    </row>
    <row r="745" spans="4:10">
      <c r="D745" s="44">
        <f t="shared" si="20"/>
        <v>0</v>
      </c>
      <c r="E745" s="44"/>
      <c r="F745" s="44"/>
      <c r="G745" s="44"/>
      <c r="I745" s="61">
        <f t="shared" si="21"/>
        <v>0</v>
      </c>
      <c r="J745" s="59">
        <f t="shared" si="22"/>
        <v>0</v>
      </c>
    </row>
    <row r="746" spans="4:10">
      <c r="D746" s="44">
        <f t="shared" si="20"/>
        <v>0</v>
      </c>
      <c r="E746" s="44"/>
      <c r="F746" s="44"/>
      <c r="G746" s="44"/>
      <c r="I746" s="61">
        <f t="shared" si="21"/>
        <v>0</v>
      </c>
      <c r="J746" s="59">
        <f t="shared" si="22"/>
        <v>0</v>
      </c>
    </row>
    <row r="747" spans="4:10">
      <c r="D747" s="44">
        <f t="shared" si="20"/>
        <v>0</v>
      </c>
      <c r="E747" s="44"/>
      <c r="F747" s="44"/>
      <c r="G747" s="44"/>
      <c r="I747" s="61">
        <f t="shared" si="21"/>
        <v>0</v>
      </c>
      <c r="J747" s="59">
        <f t="shared" si="22"/>
        <v>0</v>
      </c>
    </row>
    <row r="748" spans="4:10">
      <c r="D748" s="44">
        <f t="shared" si="20"/>
        <v>0</v>
      </c>
      <c r="E748" s="44"/>
      <c r="F748" s="44"/>
      <c r="G748" s="44"/>
      <c r="I748" s="61">
        <f t="shared" si="21"/>
        <v>0</v>
      </c>
      <c r="J748" s="59">
        <f t="shared" si="22"/>
        <v>0</v>
      </c>
    </row>
    <row r="749" spans="4:10">
      <c r="D749" s="44">
        <f t="shared" si="20"/>
        <v>0</v>
      </c>
      <c r="E749" s="44"/>
      <c r="F749" s="44"/>
      <c r="G749" s="44"/>
      <c r="I749" s="61">
        <f t="shared" si="21"/>
        <v>0</v>
      </c>
      <c r="J749" s="59">
        <f t="shared" si="22"/>
        <v>0</v>
      </c>
    </row>
    <row r="750" spans="4:10">
      <c r="D750" s="44">
        <f t="shared" si="20"/>
        <v>0</v>
      </c>
      <c r="E750" s="44"/>
      <c r="F750" s="44"/>
      <c r="G750" s="44"/>
      <c r="I750" s="61">
        <f t="shared" si="21"/>
        <v>0</v>
      </c>
      <c r="J750" s="59">
        <f t="shared" si="22"/>
        <v>0</v>
      </c>
    </row>
    <row r="751" spans="4:10">
      <c r="D751" s="44">
        <f t="shared" si="20"/>
        <v>0</v>
      </c>
      <c r="E751" s="44"/>
      <c r="F751" s="44"/>
      <c r="G751" s="44"/>
      <c r="I751" s="61">
        <f t="shared" si="21"/>
        <v>0</v>
      </c>
      <c r="J751" s="59">
        <f t="shared" si="22"/>
        <v>0</v>
      </c>
    </row>
    <row r="752" spans="4:10">
      <c r="D752" s="44">
        <f t="shared" si="20"/>
        <v>0</v>
      </c>
      <c r="E752" s="44"/>
      <c r="F752" s="44"/>
      <c r="G752" s="44"/>
      <c r="I752" s="61">
        <f t="shared" si="21"/>
        <v>0</v>
      </c>
      <c r="J752" s="59">
        <f t="shared" si="22"/>
        <v>0</v>
      </c>
    </row>
    <row r="753" spans="4:10">
      <c r="D753" s="44">
        <f t="shared" si="20"/>
        <v>0</v>
      </c>
      <c r="E753" s="44"/>
      <c r="F753" s="44"/>
      <c r="G753" s="44"/>
      <c r="I753" s="61">
        <f t="shared" si="21"/>
        <v>0</v>
      </c>
      <c r="J753" s="59">
        <f t="shared" si="22"/>
        <v>0</v>
      </c>
    </row>
    <row r="754" spans="4:10">
      <c r="D754" s="44">
        <f t="shared" si="20"/>
        <v>0</v>
      </c>
      <c r="E754" s="44"/>
      <c r="F754" s="44"/>
      <c r="G754" s="44"/>
      <c r="I754" s="61">
        <f t="shared" si="21"/>
        <v>0</v>
      </c>
      <c r="J754" s="59">
        <f t="shared" si="22"/>
        <v>0</v>
      </c>
    </row>
    <row r="755" spans="4:10">
      <c r="D755" s="44">
        <f t="shared" si="20"/>
        <v>0</v>
      </c>
      <c r="E755" s="44"/>
      <c r="F755" s="44"/>
      <c r="G755" s="44"/>
      <c r="I755" s="61">
        <f t="shared" si="21"/>
        <v>0</v>
      </c>
      <c r="J755" s="59">
        <f t="shared" si="22"/>
        <v>0</v>
      </c>
    </row>
    <row r="756" spans="4:10">
      <c r="D756" s="44">
        <f t="shared" si="20"/>
        <v>0</v>
      </c>
      <c r="E756" s="44"/>
      <c r="F756" s="44"/>
      <c r="G756" s="44"/>
      <c r="I756" s="61">
        <f t="shared" si="21"/>
        <v>0</v>
      </c>
      <c r="J756" s="59">
        <f t="shared" si="22"/>
        <v>0</v>
      </c>
    </row>
    <row r="757" spans="4:10">
      <c r="D757" s="44">
        <f t="shared" si="20"/>
        <v>0</v>
      </c>
      <c r="E757" s="44"/>
      <c r="F757" s="44"/>
      <c r="G757" s="44"/>
      <c r="I757" s="61">
        <f t="shared" si="21"/>
        <v>0</v>
      </c>
      <c r="J757" s="59">
        <f t="shared" si="22"/>
        <v>0</v>
      </c>
    </row>
    <row r="758" spans="4:10">
      <c r="D758" s="44">
        <f t="shared" si="20"/>
        <v>0</v>
      </c>
      <c r="E758" s="44"/>
      <c r="F758" s="44"/>
      <c r="G758" s="44"/>
      <c r="I758" s="61">
        <f t="shared" si="21"/>
        <v>0</v>
      </c>
      <c r="J758" s="59">
        <f t="shared" si="22"/>
        <v>0</v>
      </c>
    </row>
    <row r="759" spans="4:10">
      <c r="D759" s="44">
        <f t="shared" si="20"/>
        <v>0</v>
      </c>
      <c r="E759" s="44"/>
      <c r="F759" s="44"/>
      <c r="G759" s="44"/>
      <c r="I759" s="61">
        <f t="shared" si="21"/>
        <v>0</v>
      </c>
      <c r="J759" s="59">
        <f t="shared" si="22"/>
        <v>0</v>
      </c>
    </row>
    <row r="760" spans="4:10">
      <c r="D760" s="44">
        <f t="shared" si="20"/>
        <v>0</v>
      </c>
      <c r="E760" s="44"/>
      <c r="F760" s="44"/>
      <c r="G760" s="44"/>
      <c r="I760" s="61">
        <f t="shared" si="21"/>
        <v>0</v>
      </c>
      <c r="J760" s="59">
        <f t="shared" si="22"/>
        <v>0</v>
      </c>
    </row>
    <row r="761" spans="4:10">
      <c r="D761" s="44">
        <f t="shared" si="20"/>
        <v>0</v>
      </c>
      <c r="E761" s="44"/>
      <c r="F761" s="44"/>
      <c r="G761" s="44"/>
      <c r="I761" s="61">
        <f t="shared" si="21"/>
        <v>0</v>
      </c>
      <c r="J761" s="59">
        <f t="shared" si="22"/>
        <v>0</v>
      </c>
    </row>
    <row r="762" spans="4:10">
      <c r="D762" s="44">
        <f t="shared" si="20"/>
        <v>0</v>
      </c>
      <c r="E762" s="44"/>
      <c r="F762" s="44"/>
      <c r="G762" s="44"/>
      <c r="I762" s="61">
        <f t="shared" si="21"/>
        <v>0</v>
      </c>
      <c r="J762" s="59">
        <f t="shared" si="22"/>
        <v>0</v>
      </c>
    </row>
    <row r="763" spans="4:10">
      <c r="D763" s="44">
        <f t="shared" si="20"/>
        <v>0</v>
      </c>
      <c r="E763" s="44"/>
      <c r="F763" s="44"/>
      <c r="G763" s="44"/>
      <c r="I763" s="61">
        <f t="shared" si="21"/>
        <v>0</v>
      </c>
      <c r="J763" s="59">
        <f t="shared" si="22"/>
        <v>0</v>
      </c>
    </row>
    <row r="764" spans="4:10">
      <c r="D764" s="44">
        <f t="shared" si="20"/>
        <v>0</v>
      </c>
      <c r="E764" s="44"/>
      <c r="F764" s="44"/>
      <c r="G764" s="44"/>
      <c r="I764" s="61">
        <f t="shared" si="21"/>
        <v>0</v>
      </c>
      <c r="J764" s="59">
        <f t="shared" si="22"/>
        <v>0</v>
      </c>
    </row>
    <row r="765" spans="4:10">
      <c r="D765" s="44">
        <f t="shared" si="20"/>
        <v>0</v>
      </c>
      <c r="E765" s="44"/>
      <c r="F765" s="44"/>
      <c r="G765" s="44"/>
      <c r="I765" s="61">
        <f t="shared" si="21"/>
        <v>0</v>
      </c>
      <c r="J765" s="59">
        <f t="shared" si="22"/>
        <v>0</v>
      </c>
    </row>
    <row r="766" spans="4:10">
      <c r="D766" s="44">
        <f t="shared" si="20"/>
        <v>0</v>
      </c>
      <c r="E766" s="44"/>
      <c r="F766" s="44"/>
      <c r="G766" s="44"/>
      <c r="I766" s="61">
        <f t="shared" si="21"/>
        <v>0</v>
      </c>
      <c r="J766" s="59">
        <f t="shared" si="22"/>
        <v>0</v>
      </c>
    </row>
    <row r="767" spans="4:10">
      <c r="D767" s="44">
        <f t="shared" si="20"/>
        <v>0</v>
      </c>
      <c r="E767" s="44"/>
      <c r="F767" s="44"/>
      <c r="G767" s="44"/>
      <c r="I767" s="61">
        <f t="shared" si="21"/>
        <v>0</v>
      </c>
      <c r="J767" s="59">
        <f t="shared" si="22"/>
        <v>0</v>
      </c>
    </row>
    <row r="768" spans="4:10">
      <c r="D768" s="44">
        <f t="shared" si="20"/>
        <v>0</v>
      </c>
      <c r="E768" s="44"/>
      <c r="F768" s="44"/>
      <c r="G768" s="44"/>
      <c r="I768" s="61">
        <f t="shared" si="21"/>
        <v>0</v>
      </c>
      <c r="J768" s="59">
        <f t="shared" si="22"/>
        <v>0</v>
      </c>
    </row>
    <row r="769" spans="4:10">
      <c r="D769" s="44">
        <f t="shared" si="20"/>
        <v>0</v>
      </c>
      <c r="E769" s="44"/>
      <c r="F769" s="44"/>
      <c r="G769" s="44"/>
      <c r="I769" s="61">
        <f t="shared" si="21"/>
        <v>0</v>
      </c>
      <c r="J769" s="59">
        <f t="shared" si="22"/>
        <v>0</v>
      </c>
    </row>
    <row r="770" spans="4:10">
      <c r="D770" s="44">
        <f t="shared" si="20"/>
        <v>0</v>
      </c>
      <c r="E770" s="44"/>
      <c r="F770" s="44"/>
      <c r="G770" s="44"/>
      <c r="I770" s="61">
        <f t="shared" si="21"/>
        <v>0</v>
      </c>
      <c r="J770" s="59">
        <f t="shared" si="22"/>
        <v>0</v>
      </c>
    </row>
    <row r="771" spans="4:10">
      <c r="D771" s="44">
        <f t="shared" si="20"/>
        <v>0</v>
      </c>
      <c r="E771" s="44"/>
      <c r="F771" s="44"/>
      <c r="G771" s="44"/>
      <c r="I771" s="61">
        <f t="shared" si="21"/>
        <v>0</v>
      </c>
      <c r="J771" s="59">
        <f t="shared" si="22"/>
        <v>0</v>
      </c>
    </row>
    <row r="772" spans="4:10">
      <c r="D772" s="44">
        <f t="shared" si="20"/>
        <v>0</v>
      </c>
      <c r="E772" s="44"/>
      <c r="F772" s="44"/>
      <c r="G772" s="44"/>
      <c r="I772" s="61">
        <f t="shared" si="21"/>
        <v>0</v>
      </c>
      <c r="J772" s="59">
        <f t="shared" si="22"/>
        <v>0</v>
      </c>
    </row>
    <row r="773" spans="4:10">
      <c r="D773" s="44">
        <f t="shared" si="20"/>
        <v>0</v>
      </c>
      <c r="E773" s="44"/>
      <c r="F773" s="44"/>
      <c r="G773" s="44"/>
      <c r="I773" s="61">
        <f t="shared" si="21"/>
        <v>0</v>
      </c>
      <c r="J773" s="59">
        <f t="shared" si="22"/>
        <v>0</v>
      </c>
    </row>
    <row r="774" spans="4:10">
      <c r="D774" s="44">
        <f t="shared" si="20"/>
        <v>0</v>
      </c>
      <c r="E774" s="44"/>
      <c r="F774" s="44"/>
      <c r="G774" s="44"/>
      <c r="I774" s="61">
        <f t="shared" si="21"/>
        <v>0</v>
      </c>
      <c r="J774" s="59">
        <f t="shared" si="22"/>
        <v>0</v>
      </c>
    </row>
    <row r="775" spans="4:10">
      <c r="D775" s="44">
        <f t="shared" si="20"/>
        <v>0</v>
      </c>
      <c r="E775" s="44"/>
      <c r="F775" s="44"/>
      <c r="G775" s="44"/>
      <c r="I775" s="61">
        <f t="shared" si="21"/>
        <v>0</v>
      </c>
      <c r="J775" s="59">
        <f t="shared" si="22"/>
        <v>0</v>
      </c>
    </row>
    <row r="776" spans="4:10">
      <c r="D776" s="44">
        <f t="shared" si="20"/>
        <v>0</v>
      </c>
      <c r="E776" s="44"/>
      <c r="F776" s="44"/>
      <c r="G776" s="44"/>
      <c r="I776" s="61">
        <f t="shared" si="21"/>
        <v>0</v>
      </c>
      <c r="J776" s="59">
        <f t="shared" si="22"/>
        <v>0</v>
      </c>
    </row>
    <row r="777" spans="4:10">
      <c r="D777" s="44">
        <f t="shared" si="20"/>
        <v>0</v>
      </c>
      <c r="E777" s="44"/>
      <c r="F777" s="44"/>
      <c r="G777" s="44"/>
      <c r="I777" s="61">
        <f t="shared" si="21"/>
        <v>0</v>
      </c>
      <c r="J777" s="59">
        <f t="shared" si="22"/>
        <v>0</v>
      </c>
    </row>
    <row r="778" spans="4:10">
      <c r="D778" s="44">
        <f t="shared" si="20"/>
        <v>0</v>
      </c>
      <c r="E778" s="44"/>
      <c r="F778" s="44"/>
      <c r="G778" s="44"/>
      <c r="I778" s="61">
        <f t="shared" si="21"/>
        <v>0</v>
      </c>
      <c r="J778" s="59">
        <f t="shared" si="22"/>
        <v>0</v>
      </c>
    </row>
    <row r="779" spans="4:10">
      <c r="D779" s="44">
        <f t="shared" si="20"/>
        <v>0</v>
      </c>
      <c r="E779" s="44"/>
      <c r="F779" s="44"/>
      <c r="G779" s="44"/>
      <c r="I779" s="61">
        <f t="shared" si="21"/>
        <v>0</v>
      </c>
      <c r="J779" s="59">
        <f t="shared" si="22"/>
        <v>0</v>
      </c>
    </row>
    <row r="780" spans="4:10">
      <c r="D780" s="44">
        <f t="shared" si="20"/>
        <v>0</v>
      </c>
      <c r="E780" s="44"/>
      <c r="F780" s="44"/>
      <c r="G780" s="44"/>
      <c r="I780" s="61">
        <f t="shared" si="21"/>
        <v>0</v>
      </c>
      <c r="J780" s="59">
        <f t="shared" si="22"/>
        <v>0</v>
      </c>
    </row>
    <row r="781" spans="4:10">
      <c r="D781" s="44">
        <f t="shared" si="20"/>
        <v>0</v>
      </c>
      <c r="E781" s="44"/>
      <c r="F781" s="44"/>
      <c r="G781" s="44"/>
      <c r="I781" s="61">
        <f t="shared" si="21"/>
        <v>0</v>
      </c>
      <c r="J781" s="59">
        <f t="shared" si="22"/>
        <v>0</v>
      </c>
    </row>
    <row r="782" spans="4:10">
      <c r="D782" s="44">
        <f t="shared" si="20"/>
        <v>0</v>
      </c>
      <c r="E782" s="44"/>
      <c r="F782" s="44"/>
      <c r="G782" s="44"/>
      <c r="I782" s="61">
        <f t="shared" si="21"/>
        <v>0</v>
      </c>
      <c r="J782" s="59">
        <f t="shared" si="22"/>
        <v>0</v>
      </c>
    </row>
    <row r="783" spans="4:10">
      <c r="D783" s="44">
        <f t="shared" si="20"/>
        <v>0</v>
      </c>
      <c r="E783" s="44"/>
      <c r="F783" s="44"/>
      <c r="G783" s="44"/>
      <c r="I783" s="61">
        <f t="shared" si="21"/>
        <v>0</v>
      </c>
      <c r="J783" s="59">
        <f t="shared" si="22"/>
        <v>0</v>
      </c>
    </row>
    <row r="784" spans="4:10">
      <c r="D784" s="44">
        <f t="shared" si="20"/>
        <v>0</v>
      </c>
      <c r="E784" s="44"/>
      <c r="F784" s="44"/>
      <c r="G784" s="44"/>
      <c r="I784" s="61">
        <f t="shared" si="21"/>
        <v>0</v>
      </c>
      <c r="J784" s="59">
        <f t="shared" si="22"/>
        <v>0</v>
      </c>
    </row>
    <row r="785" spans="4:10">
      <c r="D785" s="44">
        <f t="shared" si="20"/>
        <v>0</v>
      </c>
      <c r="E785" s="44"/>
      <c r="F785" s="44"/>
      <c r="G785" s="44"/>
      <c r="I785" s="61">
        <f t="shared" si="21"/>
        <v>0</v>
      </c>
      <c r="J785" s="59">
        <f t="shared" si="22"/>
        <v>0</v>
      </c>
    </row>
    <row r="786" spans="4:10">
      <c r="D786" s="44">
        <f t="shared" si="20"/>
        <v>0</v>
      </c>
      <c r="E786" s="44"/>
      <c r="F786" s="44"/>
      <c r="G786" s="44"/>
      <c r="I786" s="61">
        <f t="shared" si="21"/>
        <v>0</v>
      </c>
      <c r="J786" s="59">
        <f t="shared" si="22"/>
        <v>0</v>
      </c>
    </row>
    <row r="787" spans="4:10">
      <c r="D787" s="44">
        <f t="shared" si="20"/>
        <v>0</v>
      </c>
      <c r="E787" s="44"/>
      <c r="F787" s="44"/>
      <c r="G787" s="44"/>
      <c r="I787" s="61">
        <f t="shared" si="21"/>
        <v>0</v>
      </c>
      <c r="J787" s="59">
        <f t="shared" si="22"/>
        <v>0</v>
      </c>
    </row>
    <row r="788" spans="4:10">
      <c r="D788" s="44">
        <f t="shared" si="20"/>
        <v>0</v>
      </c>
      <c r="E788" s="44"/>
      <c r="F788" s="44"/>
      <c r="G788" s="44"/>
      <c r="I788" s="61">
        <f t="shared" si="21"/>
        <v>0</v>
      </c>
      <c r="J788" s="59">
        <f t="shared" si="22"/>
        <v>0</v>
      </c>
    </row>
    <row r="789" spans="4:10">
      <c r="D789" s="44">
        <f t="shared" si="20"/>
        <v>0</v>
      </c>
      <c r="E789" s="44"/>
      <c r="F789" s="44"/>
      <c r="G789" s="44"/>
      <c r="I789" s="61">
        <f t="shared" si="21"/>
        <v>0</v>
      </c>
      <c r="J789" s="59">
        <f t="shared" si="22"/>
        <v>0</v>
      </c>
    </row>
    <row r="790" spans="4:10">
      <c r="D790" s="44">
        <f t="shared" si="20"/>
        <v>0</v>
      </c>
      <c r="E790" s="44"/>
      <c r="F790" s="44"/>
      <c r="G790" s="44"/>
      <c r="I790" s="61">
        <f t="shared" si="21"/>
        <v>0</v>
      </c>
      <c r="J790" s="59">
        <f t="shared" si="22"/>
        <v>0</v>
      </c>
    </row>
    <row r="791" spans="4:10">
      <c r="D791" s="44">
        <f t="shared" si="20"/>
        <v>0</v>
      </c>
      <c r="E791" s="44"/>
      <c r="F791" s="44"/>
      <c r="G791" s="44"/>
      <c r="I791" s="61">
        <f t="shared" si="21"/>
        <v>0</v>
      </c>
      <c r="J791" s="59">
        <f t="shared" si="22"/>
        <v>0</v>
      </c>
    </row>
    <row r="792" spans="4:10">
      <c r="D792" s="44">
        <f t="shared" si="20"/>
        <v>0</v>
      </c>
      <c r="E792" s="44"/>
      <c r="F792" s="44"/>
      <c r="G792" s="44"/>
      <c r="I792" s="61">
        <f t="shared" si="21"/>
        <v>0</v>
      </c>
      <c r="J792" s="59">
        <f t="shared" si="22"/>
        <v>0</v>
      </c>
    </row>
    <row r="793" spans="4:10">
      <c r="D793" s="44">
        <f t="shared" si="20"/>
        <v>0</v>
      </c>
      <c r="E793" s="44"/>
      <c r="F793" s="44"/>
      <c r="G793" s="44"/>
      <c r="I793" s="61">
        <f t="shared" si="21"/>
        <v>0</v>
      </c>
      <c r="J793" s="59">
        <f t="shared" si="22"/>
        <v>0</v>
      </c>
    </row>
    <row r="794" spans="4:10">
      <c r="D794" s="44">
        <f t="shared" si="20"/>
        <v>0</v>
      </c>
      <c r="E794" s="44"/>
      <c r="F794" s="44"/>
      <c r="G794" s="44"/>
      <c r="I794" s="61">
        <f t="shared" si="21"/>
        <v>0</v>
      </c>
      <c r="J794" s="59">
        <f t="shared" si="22"/>
        <v>0</v>
      </c>
    </row>
    <row r="795" spans="4:10">
      <c r="D795" s="44">
        <f t="shared" si="20"/>
        <v>0</v>
      </c>
      <c r="E795" s="44"/>
      <c r="F795" s="44"/>
      <c r="G795" s="44"/>
      <c r="I795" s="61">
        <f t="shared" si="21"/>
        <v>0</v>
      </c>
      <c r="J795" s="59">
        <f t="shared" si="22"/>
        <v>0</v>
      </c>
    </row>
    <row r="796" spans="4:10">
      <c r="D796" s="44">
        <f t="shared" si="20"/>
        <v>0</v>
      </c>
      <c r="E796" s="44"/>
      <c r="F796" s="44"/>
      <c r="G796" s="44"/>
      <c r="I796" s="61">
        <f t="shared" si="21"/>
        <v>0</v>
      </c>
      <c r="J796" s="59">
        <f t="shared" si="22"/>
        <v>0</v>
      </c>
    </row>
    <row r="797" spans="4:10">
      <c r="D797" s="44">
        <f t="shared" ref="D797:D860" si="23">C797-H797</f>
        <v>0</v>
      </c>
      <c r="E797" s="44"/>
      <c r="F797" s="44"/>
      <c r="G797" s="44"/>
      <c r="I797" s="61">
        <f t="shared" ref="I797:I860" si="24">H797*10%</f>
        <v>0</v>
      </c>
      <c r="J797" s="59">
        <f t="shared" ref="J797:J860" si="25">H797*90%</f>
        <v>0</v>
      </c>
    </row>
    <row r="798" spans="4:10">
      <c r="D798" s="44">
        <f t="shared" si="23"/>
        <v>0</v>
      </c>
      <c r="E798" s="44"/>
      <c r="F798" s="44"/>
      <c r="G798" s="44"/>
      <c r="I798" s="61">
        <f t="shared" si="24"/>
        <v>0</v>
      </c>
      <c r="J798" s="59">
        <f t="shared" si="25"/>
        <v>0</v>
      </c>
    </row>
    <row r="799" spans="4:10">
      <c r="D799" s="44">
        <f t="shared" si="23"/>
        <v>0</v>
      </c>
      <c r="E799" s="44"/>
      <c r="F799" s="44"/>
      <c r="G799" s="44"/>
      <c r="I799" s="61">
        <f t="shared" si="24"/>
        <v>0</v>
      </c>
      <c r="J799" s="59">
        <f t="shared" si="25"/>
        <v>0</v>
      </c>
    </row>
    <row r="800" spans="4:10">
      <c r="D800" s="44">
        <f t="shared" si="23"/>
        <v>0</v>
      </c>
      <c r="E800" s="44"/>
      <c r="F800" s="44"/>
      <c r="G800" s="44"/>
      <c r="I800" s="61">
        <f t="shared" si="24"/>
        <v>0</v>
      </c>
      <c r="J800" s="59">
        <f t="shared" si="25"/>
        <v>0</v>
      </c>
    </row>
    <row r="801" spans="4:10">
      <c r="D801" s="44">
        <f t="shared" si="23"/>
        <v>0</v>
      </c>
      <c r="E801" s="44"/>
      <c r="F801" s="44"/>
      <c r="G801" s="44"/>
      <c r="I801" s="61">
        <f t="shared" si="24"/>
        <v>0</v>
      </c>
      <c r="J801" s="59">
        <f t="shared" si="25"/>
        <v>0</v>
      </c>
    </row>
    <row r="802" spans="4:10">
      <c r="D802" s="44">
        <f t="shared" si="23"/>
        <v>0</v>
      </c>
      <c r="E802" s="44"/>
      <c r="F802" s="44"/>
      <c r="G802" s="44"/>
      <c r="I802" s="61">
        <f t="shared" si="24"/>
        <v>0</v>
      </c>
      <c r="J802" s="59">
        <f t="shared" si="25"/>
        <v>0</v>
      </c>
    </row>
    <row r="803" spans="4:10">
      <c r="D803" s="44">
        <f t="shared" si="23"/>
        <v>0</v>
      </c>
      <c r="E803" s="44"/>
      <c r="F803" s="44"/>
      <c r="G803" s="44"/>
      <c r="I803" s="61">
        <f t="shared" si="24"/>
        <v>0</v>
      </c>
      <c r="J803" s="59">
        <f t="shared" si="25"/>
        <v>0</v>
      </c>
    </row>
    <row r="804" spans="4:10">
      <c r="D804" s="44">
        <f t="shared" si="23"/>
        <v>0</v>
      </c>
      <c r="E804" s="44"/>
      <c r="F804" s="44"/>
      <c r="G804" s="44"/>
      <c r="I804" s="61">
        <f t="shared" si="24"/>
        <v>0</v>
      </c>
      <c r="J804" s="59">
        <f t="shared" si="25"/>
        <v>0</v>
      </c>
    </row>
    <row r="805" spans="4:10">
      <c r="D805" s="44">
        <f t="shared" si="23"/>
        <v>0</v>
      </c>
      <c r="E805" s="44"/>
      <c r="F805" s="44"/>
      <c r="G805" s="44"/>
      <c r="I805" s="61">
        <f t="shared" si="24"/>
        <v>0</v>
      </c>
      <c r="J805" s="59">
        <f t="shared" si="25"/>
        <v>0</v>
      </c>
    </row>
    <row r="806" spans="4:10">
      <c r="D806" s="44">
        <f t="shared" si="23"/>
        <v>0</v>
      </c>
      <c r="E806" s="44"/>
      <c r="F806" s="44"/>
      <c r="G806" s="44"/>
      <c r="I806" s="61">
        <f t="shared" si="24"/>
        <v>0</v>
      </c>
      <c r="J806" s="59">
        <f t="shared" si="25"/>
        <v>0</v>
      </c>
    </row>
    <row r="807" spans="4:10">
      <c r="D807" s="44">
        <f t="shared" si="23"/>
        <v>0</v>
      </c>
      <c r="E807" s="44"/>
      <c r="F807" s="44"/>
      <c r="G807" s="44"/>
      <c r="I807" s="61">
        <f t="shared" si="24"/>
        <v>0</v>
      </c>
      <c r="J807" s="59">
        <f t="shared" si="25"/>
        <v>0</v>
      </c>
    </row>
    <row r="808" spans="4:10">
      <c r="D808" s="44">
        <f t="shared" si="23"/>
        <v>0</v>
      </c>
      <c r="E808" s="44"/>
      <c r="F808" s="44"/>
      <c r="G808" s="44"/>
      <c r="I808" s="61">
        <f t="shared" si="24"/>
        <v>0</v>
      </c>
      <c r="J808" s="59">
        <f t="shared" si="25"/>
        <v>0</v>
      </c>
    </row>
    <row r="809" spans="4:10">
      <c r="D809" s="44">
        <f t="shared" si="23"/>
        <v>0</v>
      </c>
      <c r="E809" s="44"/>
      <c r="F809" s="44"/>
      <c r="G809" s="44"/>
      <c r="I809" s="61">
        <f t="shared" si="24"/>
        <v>0</v>
      </c>
      <c r="J809" s="59">
        <f t="shared" si="25"/>
        <v>0</v>
      </c>
    </row>
    <row r="810" spans="4:10">
      <c r="D810" s="44">
        <f t="shared" si="23"/>
        <v>0</v>
      </c>
      <c r="E810" s="44"/>
      <c r="F810" s="44"/>
      <c r="G810" s="44"/>
      <c r="I810" s="61">
        <f t="shared" si="24"/>
        <v>0</v>
      </c>
      <c r="J810" s="59">
        <f t="shared" si="25"/>
        <v>0</v>
      </c>
    </row>
    <row r="811" spans="4:10">
      <c r="D811" s="44">
        <f t="shared" si="23"/>
        <v>0</v>
      </c>
      <c r="E811" s="44"/>
      <c r="F811" s="44"/>
      <c r="G811" s="44"/>
      <c r="I811" s="61">
        <f t="shared" si="24"/>
        <v>0</v>
      </c>
      <c r="J811" s="59">
        <f t="shared" si="25"/>
        <v>0</v>
      </c>
    </row>
    <row r="812" spans="4:10">
      <c r="D812" s="44">
        <f t="shared" si="23"/>
        <v>0</v>
      </c>
      <c r="E812" s="44"/>
      <c r="F812" s="44"/>
      <c r="G812" s="44"/>
      <c r="I812" s="61">
        <f t="shared" si="24"/>
        <v>0</v>
      </c>
      <c r="J812" s="59">
        <f t="shared" si="25"/>
        <v>0</v>
      </c>
    </row>
    <row r="813" spans="4:10">
      <c r="D813" s="44">
        <f t="shared" si="23"/>
        <v>0</v>
      </c>
      <c r="E813" s="44"/>
      <c r="F813" s="44"/>
      <c r="G813" s="44"/>
      <c r="I813" s="61">
        <f t="shared" si="24"/>
        <v>0</v>
      </c>
      <c r="J813" s="59">
        <f t="shared" si="25"/>
        <v>0</v>
      </c>
    </row>
    <row r="814" spans="4:10">
      <c r="D814" s="44">
        <f t="shared" si="23"/>
        <v>0</v>
      </c>
      <c r="E814" s="44"/>
      <c r="F814" s="44"/>
      <c r="G814" s="44"/>
      <c r="I814" s="61">
        <f t="shared" si="24"/>
        <v>0</v>
      </c>
      <c r="J814" s="59">
        <f t="shared" si="25"/>
        <v>0</v>
      </c>
    </row>
    <row r="815" spans="4:10">
      <c r="D815" s="44">
        <f t="shared" si="23"/>
        <v>0</v>
      </c>
      <c r="E815" s="44"/>
      <c r="F815" s="44"/>
      <c r="G815" s="44"/>
      <c r="I815" s="61">
        <f t="shared" si="24"/>
        <v>0</v>
      </c>
      <c r="J815" s="59">
        <f t="shared" si="25"/>
        <v>0</v>
      </c>
    </row>
    <row r="816" spans="4:10">
      <c r="D816" s="44">
        <f t="shared" si="23"/>
        <v>0</v>
      </c>
      <c r="E816" s="44"/>
      <c r="F816" s="44"/>
      <c r="G816" s="44"/>
      <c r="I816" s="61">
        <f t="shared" si="24"/>
        <v>0</v>
      </c>
      <c r="J816" s="59">
        <f t="shared" si="25"/>
        <v>0</v>
      </c>
    </row>
    <row r="817" spans="4:10">
      <c r="D817" s="44">
        <f t="shared" si="23"/>
        <v>0</v>
      </c>
      <c r="E817" s="44"/>
      <c r="F817" s="44"/>
      <c r="G817" s="44"/>
      <c r="I817" s="61">
        <f t="shared" si="24"/>
        <v>0</v>
      </c>
      <c r="J817" s="59">
        <f t="shared" si="25"/>
        <v>0</v>
      </c>
    </row>
    <row r="818" spans="4:10">
      <c r="D818" s="44">
        <f t="shared" si="23"/>
        <v>0</v>
      </c>
      <c r="E818" s="44"/>
      <c r="F818" s="44"/>
      <c r="G818" s="44"/>
      <c r="I818" s="61">
        <f t="shared" si="24"/>
        <v>0</v>
      </c>
      <c r="J818" s="59">
        <f t="shared" si="25"/>
        <v>0</v>
      </c>
    </row>
    <row r="819" spans="4:10">
      <c r="D819" s="44">
        <f t="shared" si="23"/>
        <v>0</v>
      </c>
      <c r="E819" s="44"/>
      <c r="F819" s="44"/>
      <c r="G819" s="44"/>
      <c r="I819" s="61">
        <f t="shared" si="24"/>
        <v>0</v>
      </c>
      <c r="J819" s="59">
        <f t="shared" si="25"/>
        <v>0</v>
      </c>
    </row>
    <row r="820" spans="4:10">
      <c r="D820" s="44">
        <f t="shared" si="23"/>
        <v>0</v>
      </c>
      <c r="E820" s="44"/>
      <c r="F820" s="44"/>
      <c r="G820" s="44"/>
      <c r="I820" s="61">
        <f t="shared" si="24"/>
        <v>0</v>
      </c>
      <c r="J820" s="59">
        <f t="shared" si="25"/>
        <v>0</v>
      </c>
    </row>
    <row r="821" spans="4:10">
      <c r="D821" s="44">
        <f t="shared" si="23"/>
        <v>0</v>
      </c>
      <c r="E821" s="44"/>
      <c r="F821" s="44"/>
      <c r="G821" s="44"/>
      <c r="I821" s="61">
        <f t="shared" si="24"/>
        <v>0</v>
      </c>
      <c r="J821" s="59">
        <f t="shared" si="25"/>
        <v>0</v>
      </c>
    </row>
    <row r="822" spans="4:10">
      <c r="D822" s="44">
        <f t="shared" si="23"/>
        <v>0</v>
      </c>
      <c r="E822" s="44"/>
      <c r="F822" s="44"/>
      <c r="G822" s="44"/>
      <c r="I822" s="61">
        <f t="shared" si="24"/>
        <v>0</v>
      </c>
      <c r="J822" s="59">
        <f t="shared" si="25"/>
        <v>0</v>
      </c>
    </row>
    <row r="823" spans="4:10">
      <c r="D823" s="44">
        <f t="shared" si="23"/>
        <v>0</v>
      </c>
      <c r="E823" s="44"/>
      <c r="F823" s="44"/>
      <c r="G823" s="44"/>
      <c r="I823" s="61">
        <f t="shared" si="24"/>
        <v>0</v>
      </c>
      <c r="J823" s="59">
        <f t="shared" si="25"/>
        <v>0</v>
      </c>
    </row>
    <row r="824" spans="4:10">
      <c r="D824" s="44">
        <f t="shared" si="23"/>
        <v>0</v>
      </c>
      <c r="E824" s="44"/>
      <c r="F824" s="44"/>
      <c r="G824" s="44"/>
      <c r="I824" s="61">
        <f t="shared" si="24"/>
        <v>0</v>
      </c>
      <c r="J824" s="59">
        <f t="shared" si="25"/>
        <v>0</v>
      </c>
    </row>
    <row r="825" spans="4:10">
      <c r="D825" s="44">
        <f t="shared" si="23"/>
        <v>0</v>
      </c>
      <c r="E825" s="44"/>
      <c r="F825" s="44"/>
      <c r="G825" s="44"/>
      <c r="I825" s="61">
        <f t="shared" si="24"/>
        <v>0</v>
      </c>
      <c r="J825" s="59">
        <f t="shared" si="25"/>
        <v>0</v>
      </c>
    </row>
    <row r="826" spans="4:10">
      <c r="D826" s="44">
        <f t="shared" si="23"/>
        <v>0</v>
      </c>
      <c r="E826" s="44"/>
      <c r="F826" s="44"/>
      <c r="G826" s="44"/>
      <c r="I826" s="61">
        <f t="shared" si="24"/>
        <v>0</v>
      </c>
      <c r="J826" s="59">
        <f t="shared" si="25"/>
        <v>0</v>
      </c>
    </row>
    <row r="827" spans="4:10">
      <c r="D827" s="44">
        <f t="shared" si="23"/>
        <v>0</v>
      </c>
      <c r="E827" s="44"/>
      <c r="F827" s="44"/>
      <c r="G827" s="44"/>
      <c r="I827" s="61">
        <f t="shared" si="24"/>
        <v>0</v>
      </c>
      <c r="J827" s="59">
        <f t="shared" si="25"/>
        <v>0</v>
      </c>
    </row>
    <row r="828" spans="4:10">
      <c r="D828" s="44">
        <f t="shared" si="23"/>
        <v>0</v>
      </c>
      <c r="E828" s="44"/>
      <c r="F828" s="44"/>
      <c r="G828" s="44"/>
      <c r="I828" s="61">
        <f t="shared" si="24"/>
        <v>0</v>
      </c>
      <c r="J828" s="59">
        <f t="shared" si="25"/>
        <v>0</v>
      </c>
    </row>
    <row r="829" spans="4:10">
      <c r="D829" s="44">
        <f t="shared" si="23"/>
        <v>0</v>
      </c>
      <c r="E829" s="44"/>
      <c r="F829" s="44"/>
      <c r="G829" s="44"/>
      <c r="I829" s="61">
        <f t="shared" si="24"/>
        <v>0</v>
      </c>
      <c r="J829" s="59">
        <f t="shared" si="25"/>
        <v>0</v>
      </c>
    </row>
    <row r="830" spans="4:10">
      <c r="D830" s="44">
        <f t="shared" si="23"/>
        <v>0</v>
      </c>
      <c r="E830" s="44"/>
      <c r="F830" s="44"/>
      <c r="G830" s="44"/>
      <c r="I830" s="61">
        <f t="shared" si="24"/>
        <v>0</v>
      </c>
      <c r="J830" s="59">
        <f t="shared" si="25"/>
        <v>0</v>
      </c>
    </row>
    <row r="831" spans="4:10">
      <c r="D831" s="44">
        <f t="shared" si="23"/>
        <v>0</v>
      </c>
      <c r="E831" s="44"/>
      <c r="F831" s="44"/>
      <c r="G831" s="44"/>
      <c r="I831" s="61">
        <f t="shared" si="24"/>
        <v>0</v>
      </c>
      <c r="J831" s="59">
        <f t="shared" si="25"/>
        <v>0</v>
      </c>
    </row>
    <row r="832" spans="4:10">
      <c r="D832" s="44">
        <f t="shared" si="23"/>
        <v>0</v>
      </c>
      <c r="E832" s="44"/>
      <c r="F832" s="44"/>
      <c r="G832" s="44"/>
      <c r="I832" s="61">
        <f t="shared" si="24"/>
        <v>0</v>
      </c>
      <c r="J832" s="59">
        <f t="shared" si="25"/>
        <v>0</v>
      </c>
    </row>
    <row r="833" spans="4:10">
      <c r="D833" s="44">
        <f t="shared" si="23"/>
        <v>0</v>
      </c>
      <c r="E833" s="44"/>
      <c r="F833" s="44"/>
      <c r="G833" s="44"/>
      <c r="I833" s="61">
        <f t="shared" si="24"/>
        <v>0</v>
      </c>
      <c r="J833" s="59">
        <f t="shared" si="25"/>
        <v>0</v>
      </c>
    </row>
    <row r="834" spans="4:10">
      <c r="D834" s="44">
        <f t="shared" si="23"/>
        <v>0</v>
      </c>
      <c r="E834" s="44"/>
      <c r="F834" s="44"/>
      <c r="G834" s="44"/>
      <c r="I834" s="61">
        <f t="shared" si="24"/>
        <v>0</v>
      </c>
      <c r="J834" s="59">
        <f t="shared" si="25"/>
        <v>0</v>
      </c>
    </row>
    <row r="835" spans="4:10">
      <c r="D835" s="44">
        <f t="shared" si="23"/>
        <v>0</v>
      </c>
      <c r="E835" s="44"/>
      <c r="F835" s="44"/>
      <c r="G835" s="44"/>
      <c r="I835" s="61">
        <f t="shared" si="24"/>
        <v>0</v>
      </c>
      <c r="J835" s="59">
        <f t="shared" si="25"/>
        <v>0</v>
      </c>
    </row>
    <row r="836" spans="4:10">
      <c r="D836" s="44">
        <f t="shared" si="23"/>
        <v>0</v>
      </c>
      <c r="E836" s="44"/>
      <c r="F836" s="44"/>
      <c r="G836" s="44"/>
      <c r="I836" s="61">
        <f t="shared" si="24"/>
        <v>0</v>
      </c>
      <c r="J836" s="59">
        <f t="shared" si="25"/>
        <v>0</v>
      </c>
    </row>
    <row r="837" spans="4:10">
      <c r="D837" s="44">
        <f t="shared" si="23"/>
        <v>0</v>
      </c>
      <c r="E837" s="44"/>
      <c r="F837" s="44"/>
      <c r="G837" s="44"/>
      <c r="I837" s="61">
        <f t="shared" si="24"/>
        <v>0</v>
      </c>
      <c r="J837" s="59">
        <f t="shared" si="25"/>
        <v>0</v>
      </c>
    </row>
    <row r="838" spans="4:10">
      <c r="D838" s="44">
        <f t="shared" si="23"/>
        <v>0</v>
      </c>
      <c r="E838" s="44"/>
      <c r="F838" s="44"/>
      <c r="G838" s="44"/>
      <c r="I838" s="61">
        <f t="shared" si="24"/>
        <v>0</v>
      </c>
      <c r="J838" s="59">
        <f t="shared" si="25"/>
        <v>0</v>
      </c>
    </row>
    <row r="839" spans="4:10">
      <c r="D839" s="44">
        <f t="shared" si="23"/>
        <v>0</v>
      </c>
      <c r="E839" s="44"/>
      <c r="F839" s="44"/>
      <c r="G839" s="44"/>
      <c r="I839" s="61">
        <f t="shared" si="24"/>
        <v>0</v>
      </c>
      <c r="J839" s="59">
        <f t="shared" si="25"/>
        <v>0</v>
      </c>
    </row>
    <row r="840" spans="4:10">
      <c r="D840" s="44">
        <f t="shared" si="23"/>
        <v>0</v>
      </c>
      <c r="E840" s="44"/>
      <c r="F840" s="44"/>
      <c r="G840" s="44"/>
      <c r="I840" s="61">
        <f t="shared" si="24"/>
        <v>0</v>
      </c>
      <c r="J840" s="59">
        <f t="shared" si="25"/>
        <v>0</v>
      </c>
    </row>
    <row r="841" spans="4:10">
      <c r="D841" s="44">
        <f t="shared" si="23"/>
        <v>0</v>
      </c>
      <c r="E841" s="44"/>
      <c r="F841" s="44"/>
      <c r="G841" s="44"/>
      <c r="I841" s="61">
        <f t="shared" si="24"/>
        <v>0</v>
      </c>
      <c r="J841" s="59">
        <f t="shared" si="25"/>
        <v>0</v>
      </c>
    </row>
    <row r="842" spans="4:10">
      <c r="D842" s="44">
        <f t="shared" si="23"/>
        <v>0</v>
      </c>
      <c r="E842" s="44"/>
      <c r="F842" s="44"/>
      <c r="G842" s="44"/>
      <c r="I842" s="61">
        <f t="shared" si="24"/>
        <v>0</v>
      </c>
      <c r="J842" s="59">
        <f t="shared" si="25"/>
        <v>0</v>
      </c>
    </row>
    <row r="843" spans="4:10">
      <c r="D843" s="44">
        <f t="shared" si="23"/>
        <v>0</v>
      </c>
      <c r="E843" s="44"/>
      <c r="F843" s="44"/>
      <c r="G843" s="44"/>
      <c r="I843" s="61">
        <f t="shared" si="24"/>
        <v>0</v>
      </c>
      <c r="J843" s="59">
        <f t="shared" si="25"/>
        <v>0</v>
      </c>
    </row>
    <row r="844" spans="4:10">
      <c r="D844" s="44">
        <f t="shared" si="23"/>
        <v>0</v>
      </c>
      <c r="E844" s="44"/>
      <c r="F844" s="44"/>
      <c r="G844" s="44"/>
      <c r="I844" s="61">
        <f t="shared" si="24"/>
        <v>0</v>
      </c>
      <c r="J844" s="59">
        <f t="shared" si="25"/>
        <v>0</v>
      </c>
    </row>
    <row r="845" spans="4:10">
      <c r="D845" s="44">
        <f t="shared" si="23"/>
        <v>0</v>
      </c>
      <c r="E845" s="44"/>
      <c r="F845" s="44"/>
      <c r="G845" s="44"/>
      <c r="I845" s="61">
        <f t="shared" si="24"/>
        <v>0</v>
      </c>
      <c r="J845" s="59">
        <f t="shared" si="25"/>
        <v>0</v>
      </c>
    </row>
    <row r="846" spans="4:10">
      <c r="D846" s="44">
        <f t="shared" si="23"/>
        <v>0</v>
      </c>
      <c r="E846" s="44"/>
      <c r="F846" s="44"/>
      <c r="G846" s="44"/>
      <c r="I846" s="61">
        <f t="shared" si="24"/>
        <v>0</v>
      </c>
      <c r="J846" s="59">
        <f t="shared" si="25"/>
        <v>0</v>
      </c>
    </row>
    <row r="847" spans="4:10">
      <c r="D847" s="44">
        <f t="shared" si="23"/>
        <v>0</v>
      </c>
      <c r="E847" s="44"/>
      <c r="F847" s="44"/>
      <c r="G847" s="44"/>
      <c r="I847" s="61">
        <f t="shared" si="24"/>
        <v>0</v>
      </c>
      <c r="J847" s="59">
        <f t="shared" si="25"/>
        <v>0</v>
      </c>
    </row>
    <row r="848" spans="4:10">
      <c r="D848" s="44">
        <f t="shared" si="23"/>
        <v>0</v>
      </c>
      <c r="E848" s="44"/>
      <c r="F848" s="44"/>
      <c r="G848" s="44"/>
      <c r="I848" s="61">
        <f t="shared" si="24"/>
        <v>0</v>
      </c>
      <c r="J848" s="59">
        <f t="shared" si="25"/>
        <v>0</v>
      </c>
    </row>
    <row r="849" spans="4:10">
      <c r="D849" s="44">
        <f t="shared" si="23"/>
        <v>0</v>
      </c>
      <c r="E849" s="44"/>
      <c r="F849" s="44"/>
      <c r="G849" s="44"/>
      <c r="I849" s="61">
        <f t="shared" si="24"/>
        <v>0</v>
      </c>
      <c r="J849" s="59">
        <f t="shared" si="25"/>
        <v>0</v>
      </c>
    </row>
    <row r="850" spans="4:10">
      <c r="D850" s="44">
        <f t="shared" si="23"/>
        <v>0</v>
      </c>
      <c r="E850" s="44"/>
      <c r="F850" s="44"/>
      <c r="G850" s="44"/>
      <c r="I850" s="61">
        <f t="shared" si="24"/>
        <v>0</v>
      </c>
      <c r="J850" s="59">
        <f t="shared" si="25"/>
        <v>0</v>
      </c>
    </row>
    <row r="851" spans="4:10">
      <c r="D851" s="44">
        <f t="shared" si="23"/>
        <v>0</v>
      </c>
      <c r="E851" s="44"/>
      <c r="F851" s="44"/>
      <c r="G851" s="44"/>
      <c r="I851" s="61">
        <f t="shared" si="24"/>
        <v>0</v>
      </c>
      <c r="J851" s="59">
        <f t="shared" si="25"/>
        <v>0</v>
      </c>
    </row>
    <row r="852" spans="4:10">
      <c r="D852" s="44">
        <f t="shared" si="23"/>
        <v>0</v>
      </c>
      <c r="E852" s="44"/>
      <c r="F852" s="44"/>
      <c r="G852" s="44"/>
      <c r="I852" s="61">
        <f t="shared" si="24"/>
        <v>0</v>
      </c>
      <c r="J852" s="59">
        <f t="shared" si="25"/>
        <v>0</v>
      </c>
    </row>
    <row r="853" spans="4:10">
      <c r="D853" s="44">
        <f t="shared" si="23"/>
        <v>0</v>
      </c>
      <c r="E853" s="44"/>
      <c r="F853" s="44"/>
      <c r="G853" s="44"/>
      <c r="I853" s="61">
        <f t="shared" si="24"/>
        <v>0</v>
      </c>
      <c r="J853" s="59">
        <f t="shared" si="25"/>
        <v>0</v>
      </c>
    </row>
    <row r="854" spans="4:10">
      <c r="D854" s="44">
        <f t="shared" si="23"/>
        <v>0</v>
      </c>
      <c r="E854" s="44"/>
      <c r="F854" s="44"/>
      <c r="G854" s="44"/>
      <c r="I854" s="61">
        <f t="shared" si="24"/>
        <v>0</v>
      </c>
      <c r="J854" s="59">
        <f t="shared" si="25"/>
        <v>0</v>
      </c>
    </row>
    <row r="855" spans="4:10">
      <c r="D855" s="44">
        <f t="shared" si="23"/>
        <v>0</v>
      </c>
      <c r="E855" s="44"/>
      <c r="F855" s="44"/>
      <c r="G855" s="44"/>
      <c r="I855" s="61">
        <f t="shared" si="24"/>
        <v>0</v>
      </c>
      <c r="J855" s="59">
        <f t="shared" si="25"/>
        <v>0</v>
      </c>
    </row>
    <row r="856" spans="4:10">
      <c r="D856" s="44">
        <f t="shared" si="23"/>
        <v>0</v>
      </c>
      <c r="E856" s="44"/>
      <c r="F856" s="44"/>
      <c r="G856" s="44"/>
      <c r="I856" s="61">
        <f t="shared" si="24"/>
        <v>0</v>
      </c>
      <c r="J856" s="59">
        <f t="shared" si="25"/>
        <v>0</v>
      </c>
    </row>
    <row r="857" spans="4:10">
      <c r="D857" s="44">
        <f t="shared" si="23"/>
        <v>0</v>
      </c>
      <c r="E857" s="44"/>
      <c r="F857" s="44"/>
      <c r="G857" s="44"/>
      <c r="I857" s="61">
        <f t="shared" si="24"/>
        <v>0</v>
      </c>
      <c r="J857" s="59">
        <f t="shared" si="25"/>
        <v>0</v>
      </c>
    </row>
    <row r="858" spans="4:10">
      <c r="D858" s="44">
        <f t="shared" si="23"/>
        <v>0</v>
      </c>
      <c r="E858" s="44"/>
      <c r="F858" s="44"/>
      <c r="G858" s="44"/>
      <c r="I858" s="61">
        <f t="shared" si="24"/>
        <v>0</v>
      </c>
      <c r="J858" s="59">
        <f t="shared" si="25"/>
        <v>0</v>
      </c>
    </row>
    <row r="859" spans="4:10">
      <c r="D859" s="44">
        <f t="shared" si="23"/>
        <v>0</v>
      </c>
      <c r="E859" s="44"/>
      <c r="F859" s="44"/>
      <c r="G859" s="44"/>
      <c r="I859" s="61">
        <f t="shared" si="24"/>
        <v>0</v>
      </c>
      <c r="J859" s="59">
        <f t="shared" si="25"/>
        <v>0</v>
      </c>
    </row>
    <row r="860" spans="4:10">
      <c r="D860" s="44">
        <f t="shared" si="23"/>
        <v>0</v>
      </c>
      <c r="E860" s="44"/>
      <c r="F860" s="44"/>
      <c r="G860" s="44"/>
      <c r="I860" s="61">
        <f t="shared" si="24"/>
        <v>0</v>
      </c>
      <c r="J860" s="59">
        <f t="shared" si="25"/>
        <v>0</v>
      </c>
    </row>
    <row r="861" spans="4:10">
      <c r="D861" s="44">
        <f t="shared" ref="D861:D924" si="26">C861-H861</f>
        <v>0</v>
      </c>
      <c r="E861" s="44"/>
      <c r="F861" s="44"/>
      <c r="G861" s="44"/>
      <c r="I861" s="61">
        <f t="shared" ref="I861:I924" si="27">H861*10%</f>
        <v>0</v>
      </c>
      <c r="J861" s="59">
        <f t="shared" ref="J861:J924" si="28">H861*90%</f>
        <v>0</v>
      </c>
    </row>
    <row r="862" spans="4:10">
      <c r="D862" s="44">
        <f t="shared" si="26"/>
        <v>0</v>
      </c>
      <c r="E862" s="44"/>
      <c r="F862" s="44"/>
      <c r="G862" s="44"/>
      <c r="I862" s="61">
        <f t="shared" si="27"/>
        <v>0</v>
      </c>
      <c r="J862" s="59">
        <f t="shared" si="28"/>
        <v>0</v>
      </c>
    </row>
    <row r="863" spans="4:10">
      <c r="D863" s="44">
        <f t="shared" si="26"/>
        <v>0</v>
      </c>
      <c r="E863" s="44"/>
      <c r="F863" s="44"/>
      <c r="G863" s="44"/>
      <c r="I863" s="61">
        <f t="shared" si="27"/>
        <v>0</v>
      </c>
      <c r="J863" s="59">
        <f t="shared" si="28"/>
        <v>0</v>
      </c>
    </row>
    <row r="864" spans="4:10">
      <c r="D864" s="44">
        <f t="shared" si="26"/>
        <v>0</v>
      </c>
      <c r="E864" s="44"/>
      <c r="F864" s="44"/>
      <c r="G864" s="44"/>
      <c r="I864" s="61">
        <f t="shared" si="27"/>
        <v>0</v>
      </c>
      <c r="J864" s="59">
        <f t="shared" si="28"/>
        <v>0</v>
      </c>
    </row>
    <row r="865" spans="4:10">
      <c r="D865" s="44">
        <f t="shared" si="26"/>
        <v>0</v>
      </c>
      <c r="E865" s="44"/>
      <c r="F865" s="44"/>
      <c r="G865" s="44"/>
      <c r="I865" s="61">
        <f t="shared" si="27"/>
        <v>0</v>
      </c>
      <c r="J865" s="59">
        <f t="shared" si="28"/>
        <v>0</v>
      </c>
    </row>
    <row r="866" spans="4:10">
      <c r="D866" s="44">
        <f t="shared" si="26"/>
        <v>0</v>
      </c>
      <c r="E866" s="44"/>
      <c r="F866" s="44"/>
      <c r="G866" s="44"/>
      <c r="I866" s="61">
        <f t="shared" si="27"/>
        <v>0</v>
      </c>
      <c r="J866" s="59">
        <f t="shared" si="28"/>
        <v>0</v>
      </c>
    </row>
    <row r="867" spans="4:10">
      <c r="D867" s="44">
        <f t="shared" si="26"/>
        <v>0</v>
      </c>
      <c r="E867" s="44"/>
      <c r="F867" s="44"/>
      <c r="G867" s="44"/>
      <c r="I867" s="61">
        <f t="shared" si="27"/>
        <v>0</v>
      </c>
      <c r="J867" s="59">
        <f t="shared" si="28"/>
        <v>0</v>
      </c>
    </row>
    <row r="868" spans="4:10">
      <c r="D868" s="44">
        <f t="shared" si="26"/>
        <v>0</v>
      </c>
      <c r="E868" s="44"/>
      <c r="F868" s="44"/>
      <c r="G868" s="44"/>
      <c r="I868" s="61">
        <f t="shared" si="27"/>
        <v>0</v>
      </c>
      <c r="J868" s="59">
        <f t="shared" si="28"/>
        <v>0</v>
      </c>
    </row>
    <row r="869" spans="4:10">
      <c r="D869" s="44">
        <f t="shared" si="26"/>
        <v>0</v>
      </c>
      <c r="E869" s="44"/>
      <c r="F869" s="44"/>
      <c r="G869" s="44"/>
      <c r="I869" s="61">
        <f t="shared" si="27"/>
        <v>0</v>
      </c>
      <c r="J869" s="59">
        <f t="shared" si="28"/>
        <v>0</v>
      </c>
    </row>
    <row r="870" spans="4:10">
      <c r="D870" s="44">
        <f t="shared" si="26"/>
        <v>0</v>
      </c>
      <c r="E870" s="44"/>
      <c r="F870" s="44"/>
      <c r="G870" s="44"/>
      <c r="I870" s="61">
        <f t="shared" si="27"/>
        <v>0</v>
      </c>
      <c r="J870" s="59">
        <f t="shared" si="28"/>
        <v>0</v>
      </c>
    </row>
    <row r="871" spans="4:10">
      <c r="D871" s="44">
        <f t="shared" si="26"/>
        <v>0</v>
      </c>
      <c r="E871" s="44"/>
      <c r="F871" s="44"/>
      <c r="G871" s="44"/>
      <c r="I871" s="61">
        <f t="shared" si="27"/>
        <v>0</v>
      </c>
      <c r="J871" s="59">
        <f t="shared" si="28"/>
        <v>0</v>
      </c>
    </row>
    <row r="872" spans="4:10">
      <c r="D872" s="44">
        <f t="shared" si="26"/>
        <v>0</v>
      </c>
      <c r="E872" s="44"/>
      <c r="F872" s="44"/>
      <c r="G872" s="44"/>
      <c r="I872" s="61">
        <f t="shared" si="27"/>
        <v>0</v>
      </c>
      <c r="J872" s="59">
        <f t="shared" si="28"/>
        <v>0</v>
      </c>
    </row>
    <row r="873" spans="4:10">
      <c r="D873" s="44">
        <f t="shared" si="26"/>
        <v>0</v>
      </c>
      <c r="E873" s="44"/>
      <c r="F873" s="44"/>
      <c r="G873" s="44"/>
      <c r="I873" s="61">
        <f t="shared" si="27"/>
        <v>0</v>
      </c>
      <c r="J873" s="59">
        <f t="shared" si="28"/>
        <v>0</v>
      </c>
    </row>
    <row r="874" spans="4:10">
      <c r="D874" s="44">
        <f t="shared" si="26"/>
        <v>0</v>
      </c>
      <c r="E874" s="44"/>
      <c r="F874" s="44"/>
      <c r="G874" s="44"/>
      <c r="I874" s="61">
        <f t="shared" si="27"/>
        <v>0</v>
      </c>
      <c r="J874" s="59">
        <f t="shared" si="28"/>
        <v>0</v>
      </c>
    </row>
    <row r="875" spans="4:10">
      <c r="D875" s="44">
        <f t="shared" si="26"/>
        <v>0</v>
      </c>
      <c r="E875" s="44"/>
      <c r="F875" s="44"/>
      <c r="G875" s="44"/>
      <c r="I875" s="61">
        <f t="shared" si="27"/>
        <v>0</v>
      </c>
      <c r="J875" s="59">
        <f t="shared" si="28"/>
        <v>0</v>
      </c>
    </row>
    <row r="876" spans="4:10">
      <c r="D876" s="44">
        <f t="shared" si="26"/>
        <v>0</v>
      </c>
      <c r="E876" s="44"/>
      <c r="F876" s="44"/>
      <c r="G876" s="44"/>
      <c r="I876" s="61">
        <f t="shared" si="27"/>
        <v>0</v>
      </c>
      <c r="J876" s="59">
        <f t="shared" si="28"/>
        <v>0</v>
      </c>
    </row>
    <row r="877" spans="4:10">
      <c r="D877" s="44">
        <f t="shared" si="26"/>
        <v>0</v>
      </c>
      <c r="E877" s="44"/>
      <c r="F877" s="44"/>
      <c r="G877" s="44"/>
      <c r="I877" s="61">
        <f t="shared" si="27"/>
        <v>0</v>
      </c>
      <c r="J877" s="59">
        <f t="shared" si="28"/>
        <v>0</v>
      </c>
    </row>
    <row r="878" spans="4:10">
      <c r="D878" s="44">
        <f t="shared" si="26"/>
        <v>0</v>
      </c>
      <c r="E878" s="44"/>
      <c r="F878" s="44"/>
      <c r="G878" s="44"/>
      <c r="I878" s="61">
        <f t="shared" si="27"/>
        <v>0</v>
      </c>
      <c r="J878" s="59">
        <f t="shared" si="28"/>
        <v>0</v>
      </c>
    </row>
    <row r="879" spans="4:10">
      <c r="D879" s="44">
        <f t="shared" si="26"/>
        <v>0</v>
      </c>
      <c r="E879" s="44"/>
      <c r="F879" s="44"/>
      <c r="G879" s="44"/>
      <c r="I879" s="61">
        <f t="shared" si="27"/>
        <v>0</v>
      </c>
      <c r="J879" s="59">
        <f t="shared" si="28"/>
        <v>0</v>
      </c>
    </row>
    <row r="880" spans="4:10">
      <c r="D880" s="44">
        <f t="shared" si="26"/>
        <v>0</v>
      </c>
      <c r="E880" s="44"/>
      <c r="F880" s="44"/>
      <c r="G880" s="44"/>
      <c r="I880" s="61">
        <f t="shared" si="27"/>
        <v>0</v>
      </c>
      <c r="J880" s="59">
        <f t="shared" si="28"/>
        <v>0</v>
      </c>
    </row>
    <row r="881" spans="4:10">
      <c r="D881" s="44">
        <f t="shared" si="26"/>
        <v>0</v>
      </c>
      <c r="E881" s="44"/>
      <c r="F881" s="44"/>
      <c r="G881" s="44"/>
      <c r="I881" s="61">
        <f t="shared" si="27"/>
        <v>0</v>
      </c>
      <c r="J881" s="59">
        <f t="shared" si="28"/>
        <v>0</v>
      </c>
    </row>
    <row r="882" spans="4:10">
      <c r="D882" s="44">
        <f t="shared" si="26"/>
        <v>0</v>
      </c>
      <c r="E882" s="44"/>
      <c r="F882" s="44"/>
      <c r="G882" s="44"/>
      <c r="I882" s="61">
        <f t="shared" si="27"/>
        <v>0</v>
      </c>
      <c r="J882" s="59">
        <f t="shared" si="28"/>
        <v>0</v>
      </c>
    </row>
    <row r="883" spans="4:10">
      <c r="D883" s="44">
        <f t="shared" si="26"/>
        <v>0</v>
      </c>
      <c r="E883" s="44"/>
      <c r="F883" s="44"/>
      <c r="G883" s="44"/>
      <c r="I883" s="61">
        <f t="shared" si="27"/>
        <v>0</v>
      </c>
      <c r="J883" s="59">
        <f t="shared" si="28"/>
        <v>0</v>
      </c>
    </row>
    <row r="884" spans="4:10">
      <c r="D884" s="44">
        <f t="shared" si="26"/>
        <v>0</v>
      </c>
      <c r="E884" s="44"/>
      <c r="F884" s="44"/>
      <c r="G884" s="44"/>
      <c r="I884" s="61">
        <f t="shared" si="27"/>
        <v>0</v>
      </c>
      <c r="J884" s="59">
        <f t="shared" si="28"/>
        <v>0</v>
      </c>
    </row>
    <row r="885" spans="4:10">
      <c r="D885" s="44">
        <f t="shared" si="26"/>
        <v>0</v>
      </c>
      <c r="E885" s="44"/>
      <c r="F885" s="44"/>
      <c r="G885" s="44"/>
      <c r="I885" s="61">
        <f t="shared" si="27"/>
        <v>0</v>
      </c>
      <c r="J885" s="59">
        <f t="shared" si="28"/>
        <v>0</v>
      </c>
    </row>
    <row r="886" spans="4:10">
      <c r="D886" s="44">
        <f t="shared" si="26"/>
        <v>0</v>
      </c>
      <c r="E886" s="44"/>
      <c r="F886" s="44"/>
      <c r="G886" s="44"/>
      <c r="I886" s="61">
        <f t="shared" si="27"/>
        <v>0</v>
      </c>
      <c r="J886" s="59">
        <f t="shared" si="28"/>
        <v>0</v>
      </c>
    </row>
    <row r="887" spans="4:10">
      <c r="D887" s="44">
        <f t="shared" si="26"/>
        <v>0</v>
      </c>
      <c r="E887" s="44"/>
      <c r="F887" s="44"/>
      <c r="G887" s="44"/>
      <c r="I887" s="61">
        <f t="shared" si="27"/>
        <v>0</v>
      </c>
      <c r="J887" s="59">
        <f t="shared" si="28"/>
        <v>0</v>
      </c>
    </row>
    <row r="888" spans="4:10">
      <c r="D888" s="44">
        <f t="shared" si="26"/>
        <v>0</v>
      </c>
      <c r="E888" s="44"/>
      <c r="F888" s="44"/>
      <c r="G888" s="44"/>
      <c r="I888" s="61">
        <f t="shared" si="27"/>
        <v>0</v>
      </c>
      <c r="J888" s="59">
        <f t="shared" si="28"/>
        <v>0</v>
      </c>
    </row>
    <row r="889" spans="4:10">
      <c r="D889" s="44">
        <f t="shared" si="26"/>
        <v>0</v>
      </c>
      <c r="E889" s="44"/>
      <c r="F889" s="44"/>
      <c r="G889" s="44"/>
      <c r="I889" s="61">
        <f t="shared" si="27"/>
        <v>0</v>
      </c>
      <c r="J889" s="59">
        <f t="shared" si="28"/>
        <v>0</v>
      </c>
    </row>
    <row r="890" spans="4:10">
      <c r="D890" s="44">
        <f t="shared" si="26"/>
        <v>0</v>
      </c>
      <c r="E890" s="44"/>
      <c r="F890" s="44"/>
      <c r="G890" s="44"/>
      <c r="I890" s="61">
        <f t="shared" si="27"/>
        <v>0</v>
      </c>
      <c r="J890" s="59">
        <f t="shared" si="28"/>
        <v>0</v>
      </c>
    </row>
    <row r="891" spans="4:10">
      <c r="D891" s="44">
        <f t="shared" si="26"/>
        <v>0</v>
      </c>
      <c r="E891" s="44"/>
      <c r="F891" s="44"/>
      <c r="G891" s="44"/>
      <c r="I891" s="61">
        <f t="shared" si="27"/>
        <v>0</v>
      </c>
      <c r="J891" s="59">
        <f t="shared" si="28"/>
        <v>0</v>
      </c>
    </row>
    <row r="892" spans="4:10">
      <c r="D892" s="44">
        <f t="shared" si="26"/>
        <v>0</v>
      </c>
      <c r="E892" s="44"/>
      <c r="F892" s="44"/>
      <c r="G892" s="44"/>
      <c r="I892" s="61">
        <f t="shared" si="27"/>
        <v>0</v>
      </c>
      <c r="J892" s="59">
        <f t="shared" si="28"/>
        <v>0</v>
      </c>
    </row>
    <row r="893" spans="4:10">
      <c r="D893" s="44">
        <f t="shared" si="26"/>
        <v>0</v>
      </c>
      <c r="E893" s="44"/>
      <c r="F893" s="44"/>
      <c r="G893" s="44"/>
      <c r="I893" s="61">
        <f t="shared" si="27"/>
        <v>0</v>
      </c>
      <c r="J893" s="59">
        <f t="shared" si="28"/>
        <v>0</v>
      </c>
    </row>
    <row r="894" spans="4:10">
      <c r="D894" s="44">
        <f t="shared" si="26"/>
        <v>0</v>
      </c>
      <c r="E894" s="44"/>
      <c r="F894" s="44"/>
      <c r="G894" s="44"/>
      <c r="I894" s="61">
        <f t="shared" si="27"/>
        <v>0</v>
      </c>
      <c r="J894" s="59">
        <f t="shared" si="28"/>
        <v>0</v>
      </c>
    </row>
    <row r="895" spans="4:10">
      <c r="D895" s="44">
        <f t="shared" si="26"/>
        <v>0</v>
      </c>
      <c r="E895" s="44"/>
      <c r="F895" s="44"/>
      <c r="G895" s="44"/>
      <c r="I895" s="61">
        <f t="shared" si="27"/>
        <v>0</v>
      </c>
      <c r="J895" s="59">
        <f t="shared" si="28"/>
        <v>0</v>
      </c>
    </row>
    <row r="896" spans="4:10">
      <c r="D896" s="44">
        <f t="shared" si="26"/>
        <v>0</v>
      </c>
      <c r="E896" s="44"/>
      <c r="F896" s="44"/>
      <c r="G896" s="44"/>
      <c r="I896" s="61">
        <f t="shared" si="27"/>
        <v>0</v>
      </c>
      <c r="J896" s="59">
        <f t="shared" si="28"/>
        <v>0</v>
      </c>
    </row>
    <row r="897" spans="4:10">
      <c r="D897" s="44">
        <f t="shared" si="26"/>
        <v>0</v>
      </c>
      <c r="E897" s="44"/>
      <c r="F897" s="44"/>
      <c r="G897" s="44"/>
      <c r="I897" s="61">
        <f t="shared" si="27"/>
        <v>0</v>
      </c>
      <c r="J897" s="59">
        <f t="shared" si="28"/>
        <v>0</v>
      </c>
    </row>
    <row r="898" spans="4:10">
      <c r="D898" s="44">
        <f t="shared" si="26"/>
        <v>0</v>
      </c>
      <c r="E898" s="44"/>
      <c r="F898" s="44"/>
      <c r="G898" s="44"/>
      <c r="I898" s="61">
        <f t="shared" si="27"/>
        <v>0</v>
      </c>
      <c r="J898" s="59">
        <f t="shared" si="28"/>
        <v>0</v>
      </c>
    </row>
    <row r="899" spans="4:10">
      <c r="D899" s="44">
        <f t="shared" si="26"/>
        <v>0</v>
      </c>
      <c r="E899" s="44"/>
      <c r="F899" s="44"/>
      <c r="G899" s="44"/>
      <c r="I899" s="61">
        <f t="shared" si="27"/>
        <v>0</v>
      </c>
      <c r="J899" s="59">
        <f t="shared" si="28"/>
        <v>0</v>
      </c>
    </row>
    <row r="900" spans="4:10">
      <c r="D900" s="44">
        <f t="shared" si="26"/>
        <v>0</v>
      </c>
      <c r="E900" s="44"/>
      <c r="F900" s="44"/>
      <c r="G900" s="44"/>
      <c r="I900" s="61">
        <f t="shared" si="27"/>
        <v>0</v>
      </c>
      <c r="J900" s="59">
        <f t="shared" si="28"/>
        <v>0</v>
      </c>
    </row>
    <row r="901" spans="4:10">
      <c r="D901" s="44">
        <f t="shared" si="26"/>
        <v>0</v>
      </c>
      <c r="E901" s="44"/>
      <c r="F901" s="44"/>
      <c r="G901" s="44"/>
      <c r="I901" s="61">
        <f t="shared" si="27"/>
        <v>0</v>
      </c>
      <c r="J901" s="59">
        <f t="shared" si="28"/>
        <v>0</v>
      </c>
    </row>
    <row r="902" spans="4:10">
      <c r="D902" s="44">
        <f t="shared" si="26"/>
        <v>0</v>
      </c>
      <c r="E902" s="44"/>
      <c r="F902" s="44"/>
      <c r="G902" s="44"/>
      <c r="I902" s="61">
        <f t="shared" si="27"/>
        <v>0</v>
      </c>
      <c r="J902" s="59">
        <f t="shared" si="28"/>
        <v>0</v>
      </c>
    </row>
    <row r="903" spans="4:10">
      <c r="D903" s="44">
        <f t="shared" si="26"/>
        <v>0</v>
      </c>
      <c r="E903" s="44"/>
      <c r="F903" s="44"/>
      <c r="G903" s="44"/>
      <c r="I903" s="61">
        <f t="shared" si="27"/>
        <v>0</v>
      </c>
      <c r="J903" s="59">
        <f t="shared" si="28"/>
        <v>0</v>
      </c>
    </row>
    <row r="904" spans="4:10">
      <c r="D904" s="44">
        <f t="shared" si="26"/>
        <v>0</v>
      </c>
      <c r="E904" s="44"/>
      <c r="F904" s="44"/>
      <c r="G904" s="44"/>
      <c r="I904" s="61">
        <f t="shared" si="27"/>
        <v>0</v>
      </c>
      <c r="J904" s="59">
        <f t="shared" si="28"/>
        <v>0</v>
      </c>
    </row>
    <row r="905" spans="4:10">
      <c r="D905" s="44">
        <f t="shared" si="26"/>
        <v>0</v>
      </c>
      <c r="E905" s="44"/>
      <c r="F905" s="44"/>
      <c r="G905" s="44"/>
      <c r="I905" s="61">
        <f t="shared" si="27"/>
        <v>0</v>
      </c>
      <c r="J905" s="59">
        <f t="shared" si="28"/>
        <v>0</v>
      </c>
    </row>
    <row r="906" spans="4:10">
      <c r="D906" s="44">
        <f t="shared" si="26"/>
        <v>0</v>
      </c>
      <c r="E906" s="44"/>
      <c r="F906" s="44"/>
      <c r="G906" s="44"/>
      <c r="I906" s="61">
        <f t="shared" si="27"/>
        <v>0</v>
      </c>
      <c r="J906" s="59">
        <f t="shared" si="28"/>
        <v>0</v>
      </c>
    </row>
    <row r="907" spans="4:10">
      <c r="D907" s="44">
        <f t="shared" si="26"/>
        <v>0</v>
      </c>
      <c r="E907" s="44"/>
      <c r="F907" s="44"/>
      <c r="G907" s="44"/>
      <c r="I907" s="61">
        <f t="shared" si="27"/>
        <v>0</v>
      </c>
      <c r="J907" s="59">
        <f t="shared" si="28"/>
        <v>0</v>
      </c>
    </row>
    <row r="908" spans="4:10">
      <c r="D908" s="44">
        <f t="shared" si="26"/>
        <v>0</v>
      </c>
      <c r="E908" s="44"/>
      <c r="F908" s="44"/>
      <c r="G908" s="44"/>
      <c r="I908" s="61">
        <f t="shared" si="27"/>
        <v>0</v>
      </c>
      <c r="J908" s="59">
        <f t="shared" si="28"/>
        <v>0</v>
      </c>
    </row>
    <row r="909" spans="4:10">
      <c r="D909" s="44">
        <f t="shared" si="26"/>
        <v>0</v>
      </c>
      <c r="E909" s="44"/>
      <c r="F909" s="44"/>
      <c r="G909" s="44"/>
      <c r="I909" s="61">
        <f t="shared" si="27"/>
        <v>0</v>
      </c>
      <c r="J909" s="59">
        <f t="shared" si="28"/>
        <v>0</v>
      </c>
    </row>
    <row r="910" spans="4:10">
      <c r="D910" s="44">
        <f t="shared" si="26"/>
        <v>0</v>
      </c>
      <c r="E910" s="44"/>
      <c r="F910" s="44"/>
      <c r="G910" s="44"/>
      <c r="I910" s="61">
        <f t="shared" si="27"/>
        <v>0</v>
      </c>
      <c r="J910" s="59">
        <f t="shared" si="28"/>
        <v>0</v>
      </c>
    </row>
    <row r="911" spans="4:10">
      <c r="D911" s="44">
        <f t="shared" si="26"/>
        <v>0</v>
      </c>
      <c r="E911" s="44"/>
      <c r="F911" s="44"/>
      <c r="G911" s="44"/>
      <c r="I911" s="61">
        <f t="shared" si="27"/>
        <v>0</v>
      </c>
      <c r="J911" s="59">
        <f t="shared" si="28"/>
        <v>0</v>
      </c>
    </row>
    <row r="912" spans="4:10">
      <c r="D912" s="44">
        <f t="shared" si="26"/>
        <v>0</v>
      </c>
      <c r="E912" s="44"/>
      <c r="F912" s="44"/>
      <c r="G912" s="44"/>
      <c r="I912" s="61">
        <f t="shared" si="27"/>
        <v>0</v>
      </c>
      <c r="J912" s="59">
        <f t="shared" si="28"/>
        <v>0</v>
      </c>
    </row>
    <row r="913" spans="4:10">
      <c r="D913" s="44">
        <f t="shared" si="26"/>
        <v>0</v>
      </c>
      <c r="E913" s="44"/>
      <c r="F913" s="44"/>
      <c r="G913" s="44"/>
      <c r="I913" s="61">
        <f t="shared" si="27"/>
        <v>0</v>
      </c>
      <c r="J913" s="59">
        <f t="shared" si="28"/>
        <v>0</v>
      </c>
    </row>
    <row r="914" spans="4:10">
      <c r="D914" s="44">
        <f t="shared" si="26"/>
        <v>0</v>
      </c>
      <c r="E914" s="44"/>
      <c r="F914" s="44"/>
      <c r="G914" s="44"/>
      <c r="I914" s="61">
        <f t="shared" si="27"/>
        <v>0</v>
      </c>
      <c r="J914" s="59">
        <f t="shared" si="28"/>
        <v>0</v>
      </c>
    </row>
    <row r="915" spans="4:10">
      <c r="D915" s="44">
        <f t="shared" si="26"/>
        <v>0</v>
      </c>
      <c r="E915" s="44"/>
      <c r="F915" s="44"/>
      <c r="G915" s="44"/>
      <c r="I915" s="61">
        <f t="shared" si="27"/>
        <v>0</v>
      </c>
      <c r="J915" s="59">
        <f t="shared" si="28"/>
        <v>0</v>
      </c>
    </row>
    <row r="916" spans="4:10">
      <c r="D916" s="44">
        <f t="shared" si="26"/>
        <v>0</v>
      </c>
      <c r="E916" s="44"/>
      <c r="F916" s="44"/>
      <c r="G916" s="44"/>
      <c r="I916" s="61">
        <f t="shared" si="27"/>
        <v>0</v>
      </c>
      <c r="J916" s="59">
        <f t="shared" si="28"/>
        <v>0</v>
      </c>
    </row>
    <row r="917" spans="4:10">
      <c r="D917" s="44">
        <f t="shared" si="26"/>
        <v>0</v>
      </c>
      <c r="E917" s="44"/>
      <c r="F917" s="44"/>
      <c r="G917" s="44"/>
      <c r="I917" s="61">
        <f t="shared" si="27"/>
        <v>0</v>
      </c>
      <c r="J917" s="59">
        <f t="shared" si="28"/>
        <v>0</v>
      </c>
    </row>
    <row r="918" spans="4:10">
      <c r="D918" s="44">
        <f t="shared" si="26"/>
        <v>0</v>
      </c>
      <c r="E918" s="44"/>
      <c r="F918" s="44"/>
      <c r="G918" s="44"/>
      <c r="I918" s="61">
        <f t="shared" si="27"/>
        <v>0</v>
      </c>
      <c r="J918" s="59">
        <f t="shared" si="28"/>
        <v>0</v>
      </c>
    </row>
    <row r="919" spans="4:10">
      <c r="D919" s="44">
        <f t="shared" si="26"/>
        <v>0</v>
      </c>
      <c r="E919" s="44"/>
      <c r="F919" s="44"/>
      <c r="G919" s="44"/>
      <c r="I919" s="61">
        <f t="shared" si="27"/>
        <v>0</v>
      </c>
      <c r="J919" s="59">
        <f t="shared" si="28"/>
        <v>0</v>
      </c>
    </row>
    <row r="920" spans="4:10">
      <c r="D920" s="44">
        <f t="shared" si="26"/>
        <v>0</v>
      </c>
      <c r="E920" s="44"/>
      <c r="F920" s="44"/>
      <c r="G920" s="44"/>
      <c r="I920" s="61">
        <f t="shared" si="27"/>
        <v>0</v>
      </c>
      <c r="J920" s="59">
        <f t="shared" si="28"/>
        <v>0</v>
      </c>
    </row>
    <row r="921" spans="4:10">
      <c r="D921" s="44">
        <f t="shared" si="26"/>
        <v>0</v>
      </c>
      <c r="E921" s="44"/>
      <c r="F921" s="44"/>
      <c r="G921" s="44"/>
      <c r="I921" s="61">
        <f t="shared" si="27"/>
        <v>0</v>
      </c>
      <c r="J921" s="59">
        <f t="shared" si="28"/>
        <v>0</v>
      </c>
    </row>
    <row r="922" spans="4:10">
      <c r="D922" s="44">
        <f t="shared" si="26"/>
        <v>0</v>
      </c>
      <c r="E922" s="44"/>
      <c r="F922" s="44"/>
      <c r="G922" s="44"/>
      <c r="I922" s="61">
        <f t="shared" si="27"/>
        <v>0</v>
      </c>
      <c r="J922" s="59">
        <f t="shared" si="28"/>
        <v>0</v>
      </c>
    </row>
    <row r="923" spans="4:10">
      <c r="D923" s="44">
        <f t="shared" si="26"/>
        <v>0</v>
      </c>
      <c r="E923" s="44"/>
      <c r="F923" s="44"/>
      <c r="G923" s="44"/>
      <c r="I923" s="61">
        <f t="shared" si="27"/>
        <v>0</v>
      </c>
      <c r="J923" s="59">
        <f t="shared" si="28"/>
        <v>0</v>
      </c>
    </row>
    <row r="924" spans="4:10">
      <c r="D924" s="44">
        <f t="shared" si="26"/>
        <v>0</v>
      </c>
      <c r="E924" s="44"/>
      <c r="F924" s="44"/>
      <c r="G924" s="44"/>
      <c r="I924" s="61">
        <f t="shared" si="27"/>
        <v>0</v>
      </c>
      <c r="J924" s="59">
        <f t="shared" si="28"/>
        <v>0</v>
      </c>
    </row>
    <row r="925" spans="4:10">
      <c r="D925" s="44">
        <f t="shared" ref="D925:D959" si="29">C925-H925</f>
        <v>0</v>
      </c>
      <c r="E925" s="44"/>
      <c r="F925" s="44"/>
      <c r="G925" s="44"/>
      <c r="I925" s="61">
        <f t="shared" ref="I925:I960" si="30">H925*10%</f>
        <v>0</v>
      </c>
      <c r="J925" s="59">
        <f t="shared" ref="J925:J960" si="31">H925*90%</f>
        <v>0</v>
      </c>
    </row>
    <row r="926" spans="4:10">
      <c r="D926" s="44">
        <f t="shared" si="29"/>
        <v>0</v>
      </c>
      <c r="E926" s="44"/>
      <c r="F926" s="44"/>
      <c r="G926" s="44"/>
      <c r="I926" s="61">
        <f t="shared" si="30"/>
        <v>0</v>
      </c>
      <c r="J926" s="59">
        <f t="shared" si="31"/>
        <v>0</v>
      </c>
    </row>
    <row r="927" spans="4:10">
      <c r="D927" s="44">
        <f t="shared" si="29"/>
        <v>0</v>
      </c>
      <c r="E927" s="44"/>
      <c r="F927" s="44"/>
      <c r="G927" s="44"/>
      <c r="I927" s="61">
        <f t="shared" si="30"/>
        <v>0</v>
      </c>
      <c r="J927" s="59">
        <f t="shared" si="31"/>
        <v>0</v>
      </c>
    </row>
    <row r="928" spans="4:10">
      <c r="D928" s="44">
        <f t="shared" si="29"/>
        <v>0</v>
      </c>
      <c r="E928" s="44"/>
      <c r="F928" s="44"/>
      <c r="G928" s="44"/>
      <c r="I928" s="61">
        <f t="shared" si="30"/>
        <v>0</v>
      </c>
      <c r="J928" s="59">
        <f t="shared" si="31"/>
        <v>0</v>
      </c>
    </row>
    <row r="929" spans="4:10">
      <c r="D929" s="44">
        <f t="shared" si="29"/>
        <v>0</v>
      </c>
      <c r="E929" s="44"/>
      <c r="F929" s="44"/>
      <c r="G929" s="44"/>
      <c r="I929" s="61">
        <f t="shared" si="30"/>
        <v>0</v>
      </c>
      <c r="J929" s="59">
        <f t="shared" si="31"/>
        <v>0</v>
      </c>
    </row>
    <row r="930" spans="4:10">
      <c r="D930" s="44">
        <f t="shared" si="29"/>
        <v>0</v>
      </c>
      <c r="E930" s="44"/>
      <c r="F930" s="44"/>
      <c r="G930" s="44"/>
      <c r="I930" s="61">
        <f t="shared" si="30"/>
        <v>0</v>
      </c>
      <c r="J930" s="59">
        <f t="shared" si="31"/>
        <v>0</v>
      </c>
    </row>
    <row r="931" spans="4:10">
      <c r="D931" s="44">
        <f t="shared" si="29"/>
        <v>0</v>
      </c>
      <c r="E931" s="44"/>
      <c r="F931" s="44"/>
      <c r="G931" s="44"/>
      <c r="I931" s="61">
        <f t="shared" si="30"/>
        <v>0</v>
      </c>
      <c r="J931" s="59">
        <f t="shared" si="31"/>
        <v>0</v>
      </c>
    </row>
    <row r="932" spans="4:10">
      <c r="D932" s="44">
        <f t="shared" si="29"/>
        <v>0</v>
      </c>
      <c r="E932" s="44"/>
      <c r="F932" s="44"/>
      <c r="G932" s="44"/>
      <c r="I932" s="61">
        <f t="shared" si="30"/>
        <v>0</v>
      </c>
      <c r="J932" s="59">
        <f t="shared" si="31"/>
        <v>0</v>
      </c>
    </row>
    <row r="933" spans="4:10">
      <c r="D933" s="44">
        <f t="shared" si="29"/>
        <v>0</v>
      </c>
      <c r="E933" s="44"/>
      <c r="F933" s="44"/>
      <c r="G933" s="44"/>
      <c r="I933" s="61">
        <f t="shared" si="30"/>
        <v>0</v>
      </c>
      <c r="J933" s="59">
        <f t="shared" si="31"/>
        <v>0</v>
      </c>
    </row>
    <row r="934" spans="4:10">
      <c r="D934" s="44">
        <f t="shared" si="29"/>
        <v>0</v>
      </c>
      <c r="E934" s="44"/>
      <c r="F934" s="44"/>
      <c r="G934" s="44"/>
      <c r="I934" s="61">
        <f t="shared" si="30"/>
        <v>0</v>
      </c>
      <c r="J934" s="59">
        <f t="shared" si="31"/>
        <v>0</v>
      </c>
    </row>
    <row r="935" spans="4:10">
      <c r="D935" s="44">
        <f t="shared" si="29"/>
        <v>0</v>
      </c>
      <c r="E935" s="44"/>
      <c r="F935" s="44"/>
      <c r="G935" s="44"/>
      <c r="I935" s="61">
        <f t="shared" si="30"/>
        <v>0</v>
      </c>
      <c r="J935" s="59">
        <f t="shared" si="31"/>
        <v>0</v>
      </c>
    </row>
    <row r="936" spans="4:10">
      <c r="D936" s="44">
        <f t="shared" si="29"/>
        <v>0</v>
      </c>
      <c r="E936" s="44"/>
      <c r="F936" s="44"/>
      <c r="G936" s="44"/>
      <c r="I936" s="61">
        <f t="shared" si="30"/>
        <v>0</v>
      </c>
      <c r="J936" s="59">
        <f t="shared" si="31"/>
        <v>0</v>
      </c>
    </row>
    <row r="937" spans="4:10">
      <c r="D937" s="44">
        <f t="shared" si="29"/>
        <v>0</v>
      </c>
      <c r="E937" s="44"/>
      <c r="F937" s="44"/>
      <c r="G937" s="44"/>
      <c r="I937" s="61">
        <f t="shared" si="30"/>
        <v>0</v>
      </c>
      <c r="J937" s="59">
        <f t="shared" si="31"/>
        <v>0</v>
      </c>
    </row>
    <row r="938" spans="4:10">
      <c r="D938" s="44">
        <f t="shared" si="29"/>
        <v>0</v>
      </c>
      <c r="E938" s="44"/>
      <c r="F938" s="44"/>
      <c r="G938" s="44"/>
      <c r="I938" s="61">
        <f t="shared" si="30"/>
        <v>0</v>
      </c>
      <c r="J938" s="59">
        <f t="shared" si="31"/>
        <v>0</v>
      </c>
    </row>
    <row r="939" spans="4:10">
      <c r="D939" s="44">
        <f t="shared" si="29"/>
        <v>0</v>
      </c>
      <c r="E939" s="44"/>
      <c r="F939" s="44"/>
      <c r="G939" s="44"/>
      <c r="I939" s="61">
        <f t="shared" si="30"/>
        <v>0</v>
      </c>
      <c r="J939" s="59">
        <f t="shared" si="31"/>
        <v>0</v>
      </c>
    </row>
    <row r="940" spans="4:10">
      <c r="D940" s="44">
        <f t="shared" si="29"/>
        <v>0</v>
      </c>
      <c r="E940" s="44"/>
      <c r="F940" s="44"/>
      <c r="G940" s="44"/>
      <c r="I940" s="61">
        <f t="shared" si="30"/>
        <v>0</v>
      </c>
      <c r="J940" s="59">
        <f t="shared" si="31"/>
        <v>0</v>
      </c>
    </row>
    <row r="941" spans="4:10">
      <c r="D941" s="44">
        <f t="shared" si="29"/>
        <v>0</v>
      </c>
      <c r="E941" s="44"/>
      <c r="F941" s="44"/>
      <c r="G941" s="44"/>
      <c r="I941" s="61">
        <f t="shared" si="30"/>
        <v>0</v>
      </c>
      <c r="J941" s="59">
        <f t="shared" si="31"/>
        <v>0</v>
      </c>
    </row>
    <row r="942" spans="4:10">
      <c r="D942" s="44">
        <f t="shared" si="29"/>
        <v>0</v>
      </c>
      <c r="E942" s="44"/>
      <c r="F942" s="44"/>
      <c r="G942" s="44"/>
      <c r="I942" s="61">
        <f t="shared" si="30"/>
        <v>0</v>
      </c>
      <c r="J942" s="59">
        <f t="shared" si="31"/>
        <v>0</v>
      </c>
    </row>
    <row r="943" spans="4:10">
      <c r="D943" s="44">
        <f t="shared" si="29"/>
        <v>0</v>
      </c>
      <c r="E943" s="44"/>
      <c r="F943" s="44"/>
      <c r="G943" s="44"/>
      <c r="I943" s="61">
        <f t="shared" si="30"/>
        <v>0</v>
      </c>
      <c r="J943" s="59">
        <f t="shared" si="31"/>
        <v>0</v>
      </c>
    </row>
    <row r="944" spans="4:10">
      <c r="D944" s="44">
        <f t="shared" si="29"/>
        <v>0</v>
      </c>
      <c r="E944" s="44"/>
      <c r="F944" s="44"/>
      <c r="G944" s="44"/>
      <c r="I944" s="61">
        <f t="shared" si="30"/>
        <v>0</v>
      </c>
      <c r="J944" s="59">
        <f t="shared" si="31"/>
        <v>0</v>
      </c>
    </row>
    <row r="945" spans="4:10">
      <c r="D945" s="44">
        <f t="shared" si="29"/>
        <v>0</v>
      </c>
      <c r="E945" s="44"/>
      <c r="F945" s="44"/>
      <c r="G945" s="44"/>
      <c r="I945" s="61">
        <f t="shared" si="30"/>
        <v>0</v>
      </c>
      <c r="J945" s="59">
        <f t="shared" si="31"/>
        <v>0</v>
      </c>
    </row>
    <row r="946" spans="4:10">
      <c r="D946" s="44">
        <f t="shared" si="29"/>
        <v>0</v>
      </c>
      <c r="E946" s="44"/>
      <c r="F946" s="44"/>
      <c r="G946" s="44"/>
      <c r="I946" s="61">
        <f t="shared" si="30"/>
        <v>0</v>
      </c>
      <c r="J946" s="59">
        <f t="shared" si="31"/>
        <v>0</v>
      </c>
    </row>
    <row r="947" spans="4:10">
      <c r="D947" s="44">
        <f t="shared" si="29"/>
        <v>0</v>
      </c>
      <c r="E947" s="44"/>
      <c r="F947" s="44"/>
      <c r="G947" s="44"/>
      <c r="I947" s="61">
        <f t="shared" si="30"/>
        <v>0</v>
      </c>
      <c r="J947" s="59">
        <f t="shared" si="31"/>
        <v>0</v>
      </c>
    </row>
    <row r="948" spans="4:10">
      <c r="D948" s="44">
        <f t="shared" si="29"/>
        <v>0</v>
      </c>
      <c r="E948" s="44"/>
      <c r="F948" s="44"/>
      <c r="G948" s="44"/>
      <c r="I948" s="61">
        <f t="shared" si="30"/>
        <v>0</v>
      </c>
      <c r="J948" s="59">
        <f t="shared" si="31"/>
        <v>0</v>
      </c>
    </row>
    <row r="949" spans="4:10">
      <c r="D949" s="44">
        <f t="shared" si="29"/>
        <v>0</v>
      </c>
      <c r="E949" s="44"/>
      <c r="F949" s="44"/>
      <c r="G949" s="44"/>
      <c r="I949" s="61">
        <f t="shared" si="30"/>
        <v>0</v>
      </c>
      <c r="J949" s="59">
        <f t="shared" si="31"/>
        <v>0</v>
      </c>
    </row>
    <row r="950" spans="4:10">
      <c r="D950" s="44">
        <f t="shared" si="29"/>
        <v>0</v>
      </c>
      <c r="E950" s="44"/>
      <c r="F950" s="44"/>
      <c r="G950" s="44"/>
      <c r="I950" s="61">
        <f t="shared" si="30"/>
        <v>0</v>
      </c>
      <c r="J950" s="59">
        <f t="shared" si="31"/>
        <v>0</v>
      </c>
    </row>
    <row r="951" spans="4:10">
      <c r="D951" s="44">
        <f t="shared" si="29"/>
        <v>0</v>
      </c>
      <c r="E951" s="44"/>
      <c r="F951" s="44"/>
      <c r="G951" s="44"/>
      <c r="I951" s="61">
        <f t="shared" si="30"/>
        <v>0</v>
      </c>
      <c r="J951" s="59">
        <f t="shared" si="31"/>
        <v>0</v>
      </c>
    </row>
    <row r="952" spans="4:10">
      <c r="D952" s="44">
        <f t="shared" si="29"/>
        <v>0</v>
      </c>
      <c r="E952" s="44"/>
      <c r="F952" s="44"/>
      <c r="G952" s="44"/>
      <c r="I952" s="61">
        <f t="shared" si="30"/>
        <v>0</v>
      </c>
      <c r="J952" s="59">
        <f t="shared" si="31"/>
        <v>0</v>
      </c>
    </row>
    <row r="953" spans="4:10">
      <c r="D953" s="44">
        <f t="shared" si="29"/>
        <v>0</v>
      </c>
      <c r="E953" s="44"/>
      <c r="F953" s="44"/>
      <c r="G953" s="44"/>
      <c r="I953" s="61">
        <f t="shared" si="30"/>
        <v>0</v>
      </c>
      <c r="J953" s="59">
        <f t="shared" si="31"/>
        <v>0</v>
      </c>
    </row>
    <row r="954" spans="4:10">
      <c r="D954" s="44">
        <f t="shared" si="29"/>
        <v>0</v>
      </c>
      <c r="E954" s="44"/>
      <c r="F954" s="44"/>
      <c r="G954" s="44"/>
      <c r="I954" s="61">
        <f t="shared" si="30"/>
        <v>0</v>
      </c>
      <c r="J954" s="59">
        <f t="shared" si="31"/>
        <v>0</v>
      </c>
    </row>
    <row r="955" spans="4:10">
      <c r="D955" s="44">
        <f t="shared" si="29"/>
        <v>0</v>
      </c>
      <c r="E955" s="44"/>
      <c r="F955" s="44"/>
      <c r="G955" s="44"/>
      <c r="I955" s="61">
        <f t="shared" si="30"/>
        <v>0</v>
      </c>
      <c r="J955" s="59">
        <f t="shared" si="31"/>
        <v>0</v>
      </c>
    </row>
    <row r="956" spans="4:10">
      <c r="D956" s="44">
        <f t="shared" si="29"/>
        <v>0</v>
      </c>
      <c r="E956" s="44"/>
      <c r="F956" s="44"/>
      <c r="G956" s="44"/>
      <c r="I956" s="61">
        <f t="shared" si="30"/>
        <v>0</v>
      </c>
      <c r="J956" s="59">
        <f t="shared" si="31"/>
        <v>0</v>
      </c>
    </row>
    <row r="957" spans="4:10">
      <c r="D957" s="44">
        <f t="shared" si="29"/>
        <v>0</v>
      </c>
      <c r="E957" s="44"/>
      <c r="F957" s="44"/>
      <c r="G957" s="44"/>
      <c r="I957" s="61">
        <f t="shared" si="30"/>
        <v>0</v>
      </c>
      <c r="J957" s="59">
        <f t="shared" si="31"/>
        <v>0</v>
      </c>
    </row>
    <row r="958" spans="4:10">
      <c r="D958" s="44">
        <f t="shared" si="29"/>
        <v>0</v>
      </c>
      <c r="E958" s="44"/>
      <c r="F958" s="44"/>
      <c r="G958" s="44"/>
      <c r="I958" s="61">
        <f t="shared" si="30"/>
        <v>0</v>
      </c>
      <c r="J958" s="59">
        <f t="shared" si="31"/>
        <v>0</v>
      </c>
    </row>
    <row r="959" spans="4:10">
      <c r="D959" s="44">
        <f t="shared" si="29"/>
        <v>0</v>
      </c>
      <c r="E959" s="44"/>
      <c r="F959" s="44"/>
      <c r="G959" s="44"/>
      <c r="I959" s="61">
        <f t="shared" si="30"/>
        <v>0</v>
      </c>
      <c r="J959" s="59">
        <f t="shared" si="31"/>
        <v>0</v>
      </c>
    </row>
    <row r="960" spans="4:10">
      <c r="D960" s="44"/>
      <c r="E960" s="44"/>
      <c r="F960" s="44"/>
      <c r="G960" s="44"/>
      <c r="I960" s="61">
        <f t="shared" si="30"/>
        <v>0</v>
      </c>
      <c r="J960" s="59">
        <f t="shared" si="31"/>
        <v>0</v>
      </c>
    </row>
  </sheetData>
  <mergeCells count="11">
    <mergeCell ref="B4:B5"/>
    <mergeCell ref="H4:H5"/>
    <mergeCell ref="I4:I5"/>
    <mergeCell ref="J4:J5"/>
    <mergeCell ref="K4:K5"/>
    <mergeCell ref="D4:G4"/>
    <mergeCell ref="K25:K27"/>
    <mergeCell ref="K22:K23"/>
    <mergeCell ref="K31:K36"/>
    <mergeCell ref="K8:K12"/>
    <mergeCell ref="K14:K19"/>
  </mergeCells>
  <phoneticPr fontId="37" type="noConversion"/>
  <pageMargins left="0.7" right="0.7" top="0.75" bottom="0.75" header="0.3" footer="0.3"/>
  <pageSetup paperSize="9" scale="70" fitToHeight="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tabColor theme="0"/>
    <pageSetUpPr fitToPage="1"/>
  </sheetPr>
  <dimension ref="A2:M961"/>
  <sheetViews>
    <sheetView zoomScaleNormal="100" workbookViewId="0">
      <selection activeCell="C11" sqref="C11"/>
    </sheetView>
  </sheetViews>
  <sheetFormatPr defaultColWidth="8.69921875" defaultRowHeight="17.399999999999999"/>
  <cols>
    <col min="1" max="1" width="8.69921875" style="23"/>
    <col min="2" max="2" width="35.69921875" style="15" customWidth="1"/>
    <col min="3" max="3" width="15.3984375" style="40" bestFit="1" customWidth="1"/>
    <col min="4" max="7" width="13.3984375" style="40" customWidth="1"/>
    <col min="8" max="8" width="17.09765625" style="40" customWidth="1"/>
    <col min="9" max="10" width="17.69921875" style="40" customWidth="1"/>
    <col min="11" max="11" width="11.59765625" style="23" customWidth="1"/>
    <col min="12" max="16384" width="8.69921875" style="23"/>
  </cols>
  <sheetData>
    <row r="2" spans="1:13">
      <c r="A2" s="43"/>
      <c r="B2" s="48" t="s">
        <v>111</v>
      </c>
      <c r="C2" s="44"/>
      <c r="D2" s="44"/>
      <c r="E2" s="44"/>
      <c r="F2" s="44"/>
      <c r="G2" s="44"/>
      <c r="H2" s="44"/>
      <c r="I2" s="44"/>
      <c r="J2" s="44"/>
      <c r="K2" s="43"/>
      <c r="L2" s="43"/>
      <c r="M2" s="43"/>
    </row>
    <row r="3" spans="1:13">
      <c r="A3" s="43"/>
      <c r="B3" s="49"/>
      <c r="C3" s="44"/>
      <c r="D3" s="44"/>
      <c r="E3" s="44"/>
      <c r="F3" s="44"/>
      <c r="G3" s="44"/>
      <c r="H3" s="59"/>
      <c r="I3" s="71">
        <v>0.15</v>
      </c>
      <c r="J3" s="71">
        <v>0.85</v>
      </c>
      <c r="K3" s="43"/>
      <c r="L3" s="43"/>
      <c r="M3" s="43"/>
    </row>
    <row r="4" spans="1:13" ht="26.25" customHeight="1">
      <c r="A4" s="43"/>
      <c r="B4" s="161" t="s">
        <v>154</v>
      </c>
      <c r="C4" s="88" t="s">
        <v>62</v>
      </c>
      <c r="D4" s="158" t="s">
        <v>4</v>
      </c>
      <c r="E4" s="159"/>
      <c r="F4" s="159"/>
      <c r="G4" s="159"/>
      <c r="H4" s="162" t="s">
        <v>28</v>
      </c>
      <c r="I4" s="162" t="s">
        <v>27</v>
      </c>
      <c r="J4" s="162" t="s">
        <v>26</v>
      </c>
      <c r="K4" s="156" t="s">
        <v>8</v>
      </c>
      <c r="L4" s="43"/>
      <c r="M4" s="43"/>
    </row>
    <row r="5" spans="1:13" ht="36.75" customHeight="1">
      <c r="A5" s="43"/>
      <c r="B5" s="157"/>
      <c r="C5" s="85" t="s">
        <v>60</v>
      </c>
      <c r="D5" s="105" t="s">
        <v>61</v>
      </c>
      <c r="E5" s="105" t="s">
        <v>115</v>
      </c>
      <c r="F5" s="105" t="s">
        <v>114</v>
      </c>
      <c r="G5" s="105" t="s">
        <v>116</v>
      </c>
      <c r="H5" s="163"/>
      <c r="I5" s="163"/>
      <c r="J5" s="163"/>
      <c r="K5" s="157"/>
      <c r="L5" s="43"/>
      <c r="M5" s="43"/>
    </row>
    <row r="6" spans="1:13">
      <c r="B6" s="56" t="s">
        <v>15</v>
      </c>
      <c r="C6" s="47">
        <f t="shared" ref="C6:J6" si="0">ROUND(SUM(C7:C1981),0)</f>
        <v>7323</v>
      </c>
      <c r="D6" s="47">
        <f t="shared" si="0"/>
        <v>2197</v>
      </c>
      <c r="E6" s="47">
        <f t="shared" si="0"/>
        <v>5126</v>
      </c>
      <c r="F6" s="47">
        <f t="shared" si="0"/>
        <v>3588</v>
      </c>
      <c r="G6" s="47">
        <f t="shared" si="0"/>
        <v>1538</v>
      </c>
      <c r="H6" s="47">
        <f t="shared" si="0"/>
        <v>1538</v>
      </c>
      <c r="I6" s="47">
        <f t="shared" si="0"/>
        <v>231</v>
      </c>
      <c r="J6" s="47">
        <f t="shared" si="0"/>
        <v>1307</v>
      </c>
      <c r="K6" s="41"/>
    </row>
    <row r="7" spans="1:13">
      <c r="B7" s="90" t="s">
        <v>119</v>
      </c>
      <c r="C7" s="91">
        <v>0</v>
      </c>
      <c r="D7" s="92">
        <f>C7*0.3</f>
        <v>0</v>
      </c>
      <c r="E7" s="92">
        <f>C7-D7</f>
        <v>0</v>
      </c>
      <c r="F7" s="92">
        <f>E7*0.7</f>
        <v>0</v>
      </c>
      <c r="G7" s="92">
        <f>E7-F7</f>
        <v>0</v>
      </c>
      <c r="H7" s="92">
        <f>G7</f>
        <v>0</v>
      </c>
      <c r="I7" s="93">
        <f>H7*15%</f>
        <v>0</v>
      </c>
      <c r="J7" s="92">
        <f>H7*85%</f>
        <v>0</v>
      </c>
      <c r="K7" s="92"/>
      <c r="L7" s="52"/>
    </row>
    <row r="8" spans="1:13">
      <c r="B8" s="90" t="s">
        <v>120</v>
      </c>
      <c r="C8" s="91">
        <v>2500</v>
      </c>
      <c r="D8" s="92">
        <f>C8*0.3</f>
        <v>750</v>
      </c>
      <c r="E8" s="92">
        <f>C8-D8</f>
        <v>1750</v>
      </c>
      <c r="F8" s="92">
        <f>E8*0.7</f>
        <v>1225</v>
      </c>
      <c r="G8" s="107">
        <f>E8-F8</f>
        <v>525</v>
      </c>
      <c r="H8" s="119">
        <f>G8</f>
        <v>525</v>
      </c>
      <c r="I8" s="93">
        <f>H8*15%</f>
        <v>78.75</v>
      </c>
      <c r="J8" s="92">
        <f>H8*85%</f>
        <v>446.25</v>
      </c>
      <c r="K8" s="92"/>
      <c r="L8" s="52"/>
    </row>
    <row r="9" spans="1:13">
      <c r="B9" s="90" t="s">
        <v>121</v>
      </c>
      <c r="C9" s="91">
        <v>0</v>
      </c>
      <c r="D9" s="92">
        <f>C9*0.3</f>
        <v>0</v>
      </c>
      <c r="E9" s="92">
        <f>C9-D9</f>
        <v>0</v>
      </c>
      <c r="F9" s="92">
        <f>E9*0.7</f>
        <v>0</v>
      </c>
      <c r="G9" s="107">
        <f>E9-F9</f>
        <v>0</v>
      </c>
      <c r="H9" s="119">
        <f>G9</f>
        <v>0</v>
      </c>
      <c r="I9" s="93">
        <f>H9*15%</f>
        <v>0</v>
      </c>
      <c r="J9" s="92">
        <f>H9*85%</f>
        <v>0</v>
      </c>
      <c r="K9" s="92"/>
      <c r="L9" s="52"/>
    </row>
    <row r="10" spans="1:13">
      <c r="B10" s="90" t="s">
        <v>122</v>
      </c>
      <c r="C10" s="91">
        <v>4823</v>
      </c>
      <c r="D10" s="92">
        <f>C10*0.3</f>
        <v>1446.8999999999999</v>
      </c>
      <c r="E10" s="92">
        <f>C10-D10</f>
        <v>3376.1000000000004</v>
      </c>
      <c r="F10" s="92">
        <f>E10*0.7</f>
        <v>2363.27</v>
      </c>
      <c r="G10" s="107">
        <f>E10-F10</f>
        <v>1012.8300000000004</v>
      </c>
      <c r="H10" s="119">
        <f>G10</f>
        <v>1012.8300000000004</v>
      </c>
      <c r="I10" s="93">
        <f>H10*15%</f>
        <v>151.92450000000005</v>
      </c>
      <c r="J10" s="92">
        <f>H10*85%</f>
        <v>860.9055000000003</v>
      </c>
      <c r="K10" s="92"/>
      <c r="L10" s="52"/>
    </row>
    <row r="11" spans="1:13">
      <c r="B11" s="90"/>
      <c r="C11" s="91"/>
      <c r="D11" s="92"/>
      <c r="E11" s="92"/>
      <c r="F11" s="92"/>
      <c r="G11" s="92"/>
      <c r="H11" s="92"/>
      <c r="I11" s="93"/>
      <c r="J11" s="92"/>
      <c r="K11" s="92"/>
      <c r="L11" s="52"/>
    </row>
    <row r="12" spans="1:13">
      <c r="B12" s="90"/>
      <c r="C12" s="91"/>
      <c r="D12" s="92"/>
      <c r="E12" s="92"/>
      <c r="F12" s="92"/>
      <c r="G12" s="92"/>
      <c r="H12" s="92"/>
      <c r="I12" s="93"/>
      <c r="J12" s="92"/>
      <c r="K12" s="92"/>
      <c r="L12" s="52"/>
    </row>
    <row r="13" spans="1:13">
      <c r="B13" s="90"/>
      <c r="C13" s="91"/>
      <c r="D13" s="92"/>
      <c r="E13" s="92"/>
      <c r="F13" s="92"/>
      <c r="G13" s="92"/>
      <c r="H13" s="92"/>
      <c r="I13" s="93"/>
      <c r="J13" s="92"/>
      <c r="K13" s="92"/>
      <c r="L13" s="52"/>
    </row>
    <row r="14" spans="1:13">
      <c r="B14" s="90"/>
      <c r="C14" s="91"/>
      <c r="D14" s="92"/>
      <c r="E14" s="92"/>
      <c r="F14" s="92"/>
      <c r="G14" s="92"/>
      <c r="H14" s="92"/>
      <c r="I14" s="93"/>
      <c r="J14" s="92"/>
      <c r="K14" s="92"/>
      <c r="L14" s="52"/>
    </row>
    <row r="15" spans="1:13">
      <c r="B15" s="90"/>
      <c r="C15" s="91"/>
      <c r="D15" s="92"/>
      <c r="E15" s="92"/>
      <c r="F15" s="92"/>
      <c r="G15" s="92"/>
      <c r="H15" s="92"/>
      <c r="I15" s="93"/>
      <c r="J15" s="92"/>
      <c r="K15" s="92"/>
      <c r="L15" s="52"/>
    </row>
    <row r="16" spans="1:13">
      <c r="B16" s="90"/>
      <c r="C16" s="91"/>
      <c r="D16" s="92"/>
      <c r="E16" s="92"/>
      <c r="F16" s="92"/>
      <c r="G16" s="92"/>
      <c r="H16" s="92"/>
      <c r="I16" s="93"/>
      <c r="J16" s="92"/>
      <c r="K16" s="92"/>
      <c r="L16" s="52"/>
    </row>
    <row r="17" spans="2:12">
      <c r="B17" s="90"/>
      <c r="C17" s="91"/>
      <c r="D17" s="92"/>
      <c r="E17" s="92"/>
      <c r="F17" s="92"/>
      <c r="G17" s="92"/>
      <c r="H17" s="92"/>
      <c r="I17" s="93"/>
      <c r="J17" s="92"/>
      <c r="K17" s="92"/>
      <c r="L17" s="52"/>
    </row>
    <row r="18" spans="2:12">
      <c r="B18" s="90"/>
      <c r="C18" s="91"/>
      <c r="D18" s="92"/>
      <c r="E18" s="92"/>
      <c r="F18" s="92"/>
      <c r="G18" s="92"/>
      <c r="H18" s="92"/>
      <c r="I18" s="93"/>
      <c r="J18" s="92"/>
      <c r="K18" s="92"/>
      <c r="L18" s="52"/>
    </row>
    <row r="19" spans="2:12">
      <c r="B19" s="90"/>
      <c r="C19" s="91"/>
      <c r="D19" s="92"/>
      <c r="E19" s="92"/>
      <c r="F19" s="92"/>
      <c r="G19" s="92"/>
      <c r="H19" s="92"/>
      <c r="I19" s="93"/>
      <c r="J19" s="92"/>
      <c r="K19" s="92"/>
      <c r="L19" s="52"/>
    </row>
    <row r="20" spans="2:12">
      <c r="B20" s="90"/>
      <c r="C20" s="91"/>
      <c r="D20" s="92"/>
      <c r="E20" s="92"/>
      <c r="F20" s="92"/>
      <c r="G20" s="92"/>
      <c r="H20" s="92"/>
      <c r="I20" s="93"/>
      <c r="J20" s="92"/>
      <c r="K20" s="92"/>
      <c r="L20" s="52"/>
    </row>
    <row r="21" spans="2:12">
      <c r="B21" s="90"/>
      <c r="C21" s="91"/>
      <c r="D21" s="92"/>
      <c r="E21" s="92"/>
      <c r="F21" s="92"/>
      <c r="G21" s="92"/>
      <c r="H21" s="92"/>
      <c r="I21" s="93"/>
      <c r="J21" s="92"/>
      <c r="K21" s="92"/>
      <c r="L21" s="52"/>
    </row>
    <row r="22" spans="2:12">
      <c r="B22" s="50"/>
      <c r="D22" s="44"/>
      <c r="E22" s="44"/>
      <c r="F22" s="44"/>
      <c r="G22" s="44"/>
      <c r="H22" s="44"/>
      <c r="I22" s="61"/>
      <c r="J22" s="44"/>
      <c r="K22" s="44"/>
      <c r="L22" s="52"/>
    </row>
    <row r="23" spans="2:12">
      <c r="B23" s="50"/>
      <c r="D23" s="44"/>
      <c r="E23" s="44"/>
      <c r="F23" s="44"/>
      <c r="G23" s="44"/>
      <c r="H23" s="44"/>
      <c r="I23" s="61"/>
      <c r="J23" s="44"/>
      <c r="K23" s="44"/>
      <c r="L23" s="52"/>
    </row>
    <row r="24" spans="2:12">
      <c r="B24" s="50"/>
      <c r="D24" s="44"/>
      <c r="E24" s="44"/>
      <c r="F24" s="44"/>
      <c r="G24" s="44"/>
      <c r="H24" s="44"/>
      <c r="I24" s="61"/>
      <c r="J24" s="44"/>
      <c r="K24" s="44"/>
      <c r="L24" s="52"/>
    </row>
    <row r="25" spans="2:12">
      <c r="B25" s="50"/>
      <c r="D25" s="44"/>
      <c r="E25" s="44"/>
      <c r="F25" s="44"/>
      <c r="G25" s="44"/>
      <c r="H25" s="44"/>
      <c r="I25" s="61"/>
      <c r="J25" s="44"/>
      <c r="K25" s="44"/>
      <c r="L25" s="52"/>
    </row>
    <row r="26" spans="2:12">
      <c r="B26" s="50"/>
      <c r="D26" s="44"/>
      <c r="E26" s="44"/>
      <c r="F26" s="44"/>
      <c r="G26" s="44"/>
      <c r="H26" s="44"/>
      <c r="I26" s="61"/>
      <c r="J26" s="44"/>
      <c r="K26" s="44"/>
      <c r="L26" s="52"/>
    </row>
    <row r="27" spans="2:12">
      <c r="B27" s="50"/>
      <c r="D27" s="44"/>
      <c r="E27" s="44"/>
      <c r="F27" s="44"/>
      <c r="G27" s="44"/>
      <c r="H27" s="44"/>
      <c r="I27" s="61"/>
      <c r="J27" s="44"/>
      <c r="K27" s="44"/>
      <c r="L27" s="52"/>
    </row>
    <row r="28" spans="2:12">
      <c r="B28" s="50"/>
      <c r="D28" s="44"/>
      <c r="E28" s="44"/>
      <c r="F28" s="44"/>
      <c r="G28" s="44"/>
      <c r="H28" s="44"/>
      <c r="I28" s="61"/>
      <c r="J28" s="44"/>
      <c r="K28" s="44"/>
      <c r="L28" s="52"/>
    </row>
    <row r="29" spans="2:12">
      <c r="B29" s="50"/>
      <c r="D29" s="44"/>
      <c r="E29" s="44"/>
      <c r="F29" s="44"/>
      <c r="G29" s="44"/>
      <c r="H29" s="44"/>
      <c r="I29" s="61"/>
      <c r="J29" s="44"/>
      <c r="K29" s="44"/>
      <c r="L29" s="52"/>
    </row>
    <row r="30" spans="2:12">
      <c r="B30" s="50"/>
      <c r="C30" s="51"/>
      <c r="D30" s="44"/>
      <c r="E30" s="44"/>
      <c r="F30" s="44"/>
      <c r="G30" s="44"/>
      <c r="H30" s="44"/>
      <c r="I30" s="61"/>
      <c r="J30" s="59"/>
      <c r="K30" s="58"/>
      <c r="L30" s="52"/>
    </row>
    <row r="31" spans="2:12">
      <c r="B31" s="50"/>
      <c r="C31" s="51"/>
      <c r="D31" s="44"/>
      <c r="E31" s="44"/>
      <c r="F31" s="44"/>
      <c r="G31" s="44"/>
      <c r="H31" s="44"/>
      <c r="I31" s="61"/>
      <c r="J31" s="59"/>
      <c r="K31" s="58"/>
      <c r="L31" s="52"/>
    </row>
    <row r="32" spans="2:12">
      <c r="B32" s="50"/>
      <c r="C32" s="51"/>
      <c r="D32" s="44"/>
      <c r="E32" s="44"/>
      <c r="F32" s="44"/>
      <c r="G32" s="44"/>
      <c r="H32" s="44"/>
      <c r="I32" s="61"/>
      <c r="J32" s="59"/>
      <c r="K32" s="58"/>
      <c r="L32" s="52"/>
    </row>
    <row r="33" spans="2:12">
      <c r="B33" s="50"/>
      <c r="C33" s="51"/>
      <c r="D33" s="44"/>
      <c r="E33" s="44"/>
      <c r="F33" s="44"/>
      <c r="G33" s="44"/>
      <c r="H33" s="44"/>
      <c r="I33" s="61"/>
      <c r="J33" s="59"/>
      <c r="K33" s="58"/>
      <c r="L33" s="52"/>
    </row>
    <row r="34" spans="2:12">
      <c r="B34" s="50"/>
      <c r="C34" s="51"/>
      <c r="D34" s="44"/>
      <c r="E34" s="44"/>
      <c r="F34" s="44"/>
      <c r="G34" s="44"/>
      <c r="H34" s="44"/>
      <c r="I34" s="61"/>
      <c r="J34" s="59"/>
      <c r="K34" s="58"/>
      <c r="L34" s="52"/>
    </row>
    <row r="35" spans="2:12">
      <c r="B35" s="50"/>
      <c r="C35" s="51"/>
      <c r="D35" s="44"/>
      <c r="E35" s="44"/>
      <c r="F35" s="44"/>
      <c r="G35" s="44"/>
      <c r="H35" s="44"/>
      <c r="I35" s="61"/>
      <c r="J35" s="59"/>
      <c r="K35" s="58"/>
      <c r="L35" s="52"/>
    </row>
    <row r="36" spans="2:12">
      <c r="B36" s="50"/>
      <c r="C36" s="51"/>
      <c r="D36" s="44"/>
      <c r="E36" s="44"/>
      <c r="F36" s="44"/>
      <c r="G36" s="44"/>
      <c r="H36" s="44"/>
      <c r="I36" s="61"/>
      <c r="J36" s="59"/>
      <c r="K36" s="58"/>
      <c r="L36" s="52"/>
    </row>
    <row r="37" spans="2:12">
      <c r="B37" s="50"/>
      <c r="C37" s="51"/>
      <c r="D37" s="44"/>
      <c r="E37" s="44"/>
      <c r="F37" s="44"/>
      <c r="G37" s="44"/>
      <c r="H37" s="44"/>
      <c r="I37" s="61"/>
      <c r="J37" s="59"/>
      <c r="K37" s="58"/>
      <c r="L37" s="52"/>
    </row>
    <row r="38" spans="2:12">
      <c r="B38" s="50"/>
      <c r="C38" s="51"/>
      <c r="D38" s="44"/>
      <c r="E38" s="44"/>
      <c r="F38" s="44"/>
      <c r="G38" s="44"/>
      <c r="H38" s="44"/>
      <c r="I38" s="61"/>
      <c r="J38" s="59"/>
      <c r="K38" s="58"/>
      <c r="L38" s="52"/>
    </row>
    <row r="39" spans="2:12">
      <c r="B39" s="50"/>
      <c r="C39" s="51"/>
      <c r="D39" s="44"/>
      <c r="E39" s="44"/>
      <c r="F39" s="44"/>
      <c r="G39" s="44"/>
      <c r="H39" s="44"/>
      <c r="I39" s="61"/>
      <c r="J39" s="59"/>
      <c r="K39" s="58"/>
      <c r="L39" s="52"/>
    </row>
    <row r="40" spans="2:12">
      <c r="B40" s="50"/>
      <c r="C40" s="51"/>
      <c r="D40" s="44"/>
      <c r="E40" s="44"/>
      <c r="F40" s="44"/>
      <c r="G40" s="44"/>
      <c r="H40" s="44"/>
      <c r="I40" s="61"/>
      <c r="J40" s="59"/>
      <c r="K40" s="58"/>
      <c r="L40" s="52"/>
    </row>
    <row r="41" spans="2:12">
      <c r="B41" s="50"/>
      <c r="C41" s="51"/>
      <c r="D41" s="44"/>
      <c r="E41" s="44"/>
      <c r="F41" s="44"/>
      <c r="G41" s="44"/>
      <c r="H41" s="44"/>
      <c r="I41" s="61"/>
      <c r="J41" s="59"/>
      <c r="K41" s="58"/>
      <c r="L41" s="52"/>
    </row>
    <row r="42" spans="2:12">
      <c r="B42" s="50"/>
      <c r="C42" s="51"/>
      <c r="D42" s="44"/>
      <c r="E42" s="44"/>
      <c r="F42" s="44"/>
      <c r="G42" s="44"/>
      <c r="H42" s="44"/>
      <c r="I42" s="61"/>
      <c r="J42" s="59"/>
      <c r="K42" s="58"/>
      <c r="L42" s="52"/>
    </row>
    <row r="43" spans="2:12">
      <c r="B43" s="50"/>
      <c r="C43" s="51"/>
      <c r="D43" s="44"/>
      <c r="E43" s="44"/>
      <c r="F43" s="44"/>
      <c r="G43" s="44"/>
      <c r="H43" s="44"/>
      <c r="I43" s="61"/>
      <c r="J43" s="59"/>
      <c r="K43" s="58"/>
      <c r="L43" s="52"/>
    </row>
    <row r="44" spans="2:12">
      <c r="B44" s="50"/>
      <c r="C44" s="51"/>
      <c r="D44" s="44"/>
      <c r="E44" s="44"/>
      <c r="F44" s="44"/>
      <c r="G44" s="44"/>
      <c r="H44" s="44"/>
      <c r="I44" s="61"/>
      <c r="J44" s="59"/>
      <c r="K44" s="58"/>
      <c r="L44" s="52"/>
    </row>
    <row r="45" spans="2:12">
      <c r="B45" s="50"/>
      <c r="C45" s="51"/>
      <c r="D45" s="44"/>
      <c r="E45" s="44"/>
      <c r="F45" s="44"/>
      <c r="G45" s="44"/>
      <c r="H45" s="44"/>
      <c r="I45" s="61"/>
      <c r="J45" s="59"/>
      <c r="K45" s="58"/>
      <c r="L45" s="52"/>
    </row>
    <row r="46" spans="2:12">
      <c r="B46" s="50"/>
      <c r="C46" s="51"/>
      <c r="D46" s="44"/>
      <c r="E46" s="44"/>
      <c r="F46" s="44"/>
      <c r="G46" s="44"/>
      <c r="H46" s="44"/>
      <c r="I46" s="61"/>
      <c r="J46" s="59"/>
      <c r="K46" s="58"/>
      <c r="L46" s="52"/>
    </row>
    <row r="47" spans="2:12">
      <c r="B47" s="50"/>
      <c r="C47" s="51"/>
      <c r="D47" s="44"/>
      <c r="E47" s="44"/>
      <c r="F47" s="44"/>
      <c r="G47" s="44"/>
      <c r="H47" s="44"/>
      <c r="I47" s="61"/>
      <c r="J47" s="59"/>
      <c r="K47" s="58"/>
      <c r="L47" s="52"/>
    </row>
    <row r="48" spans="2:12">
      <c r="B48" s="50"/>
      <c r="C48" s="51"/>
      <c r="D48" s="44"/>
      <c r="E48" s="44"/>
      <c r="F48" s="44"/>
      <c r="G48" s="44"/>
      <c r="H48" s="44"/>
      <c r="I48" s="61"/>
      <c r="J48" s="59"/>
      <c r="K48" s="58"/>
      <c r="L48" s="52"/>
    </row>
    <row r="49" spans="2:12">
      <c r="B49" s="50"/>
      <c r="C49" s="51"/>
      <c r="D49" s="44"/>
      <c r="E49" s="44"/>
      <c r="F49" s="44"/>
      <c r="G49" s="44"/>
      <c r="H49" s="44"/>
      <c r="I49" s="61"/>
      <c r="J49" s="59"/>
      <c r="K49" s="58"/>
      <c r="L49" s="52"/>
    </row>
    <row r="50" spans="2:12">
      <c r="B50" s="50"/>
      <c r="C50" s="51"/>
      <c r="D50" s="44"/>
      <c r="E50" s="44"/>
      <c r="F50" s="44"/>
      <c r="G50" s="44"/>
      <c r="H50" s="44"/>
      <c r="I50" s="61"/>
      <c r="J50" s="59"/>
      <c r="K50" s="58"/>
      <c r="L50" s="52"/>
    </row>
    <row r="51" spans="2:12">
      <c r="B51" s="50"/>
      <c r="C51" s="51"/>
      <c r="D51" s="44"/>
      <c r="E51" s="44"/>
      <c r="F51" s="44"/>
      <c r="G51" s="44"/>
      <c r="H51" s="44"/>
      <c r="I51" s="61"/>
      <c r="J51" s="59"/>
      <c r="K51" s="58"/>
      <c r="L51" s="52"/>
    </row>
    <row r="52" spans="2:12">
      <c r="B52" s="50"/>
      <c r="C52" s="51"/>
      <c r="D52" s="44"/>
      <c r="E52" s="44"/>
      <c r="F52" s="44"/>
      <c r="G52" s="44"/>
      <c r="H52" s="44"/>
      <c r="I52" s="61"/>
      <c r="J52" s="59"/>
      <c r="K52" s="58"/>
      <c r="L52" s="52"/>
    </row>
    <row r="53" spans="2:12">
      <c r="B53" s="50"/>
      <c r="C53" s="51"/>
      <c r="D53" s="44"/>
      <c r="E53" s="44"/>
      <c r="F53" s="44"/>
      <c r="G53" s="44"/>
      <c r="H53" s="44"/>
      <c r="I53" s="61"/>
      <c r="J53" s="59"/>
      <c r="K53" s="58"/>
      <c r="L53" s="52"/>
    </row>
    <row r="54" spans="2:12">
      <c r="B54" s="50"/>
      <c r="C54" s="51"/>
      <c r="D54" s="44"/>
      <c r="E54" s="44"/>
      <c r="F54" s="44"/>
      <c r="G54" s="44"/>
      <c r="H54" s="44"/>
      <c r="I54" s="61"/>
      <c r="J54" s="59"/>
      <c r="K54" s="58"/>
      <c r="L54" s="52"/>
    </row>
    <row r="55" spans="2:12">
      <c r="B55" s="50"/>
      <c r="C55" s="51"/>
      <c r="D55" s="44"/>
      <c r="E55" s="44"/>
      <c r="F55" s="44"/>
      <c r="G55" s="44"/>
      <c r="H55" s="44"/>
      <c r="I55" s="61"/>
      <c r="J55" s="59"/>
      <c r="K55" s="58"/>
      <c r="L55" s="52"/>
    </row>
    <row r="56" spans="2:12">
      <c r="B56" s="50"/>
      <c r="C56" s="51"/>
      <c r="D56" s="44"/>
      <c r="E56" s="44"/>
      <c r="F56" s="44"/>
      <c r="G56" s="44"/>
      <c r="H56" s="44"/>
      <c r="I56" s="61"/>
      <c r="J56" s="59"/>
      <c r="K56" s="58"/>
      <c r="L56" s="52"/>
    </row>
    <row r="57" spans="2:12">
      <c r="B57" s="50"/>
      <c r="C57" s="51"/>
      <c r="D57" s="44"/>
      <c r="E57" s="44"/>
      <c r="F57" s="44"/>
      <c r="G57" s="44"/>
      <c r="H57" s="44"/>
      <c r="I57" s="61"/>
      <c r="J57" s="59"/>
      <c r="K57" s="58"/>
      <c r="L57" s="52"/>
    </row>
    <row r="58" spans="2:12">
      <c r="B58" s="50"/>
      <c r="C58" s="51"/>
      <c r="D58" s="44"/>
      <c r="E58" s="44"/>
      <c r="F58" s="44"/>
      <c r="G58" s="44"/>
      <c r="H58" s="44"/>
      <c r="I58" s="61"/>
      <c r="J58" s="59"/>
      <c r="K58" s="58"/>
      <c r="L58" s="52"/>
    </row>
    <row r="59" spans="2:12">
      <c r="B59" s="50"/>
      <c r="C59" s="51"/>
      <c r="D59" s="44"/>
      <c r="E59" s="44"/>
      <c r="F59" s="44"/>
      <c r="G59" s="44"/>
      <c r="H59" s="44"/>
      <c r="I59" s="61"/>
      <c r="J59" s="59"/>
      <c r="K59" s="58"/>
      <c r="L59" s="52"/>
    </row>
    <row r="60" spans="2:12">
      <c r="B60" s="50"/>
      <c r="C60" s="51"/>
      <c r="D60" s="44"/>
      <c r="E60" s="44"/>
      <c r="F60" s="44"/>
      <c r="G60" s="44"/>
      <c r="H60" s="44"/>
      <c r="I60" s="61"/>
      <c r="J60" s="59"/>
      <c r="K60" s="58"/>
      <c r="L60" s="52"/>
    </row>
    <row r="61" spans="2:12">
      <c r="B61" s="50"/>
      <c r="C61" s="51"/>
      <c r="D61" s="44"/>
      <c r="E61" s="44"/>
      <c r="F61" s="44"/>
      <c r="G61" s="44"/>
      <c r="H61" s="44"/>
      <c r="I61" s="61"/>
      <c r="J61" s="59"/>
      <c r="K61" s="58"/>
      <c r="L61" s="52"/>
    </row>
    <row r="62" spans="2:12">
      <c r="B62" s="50"/>
      <c r="C62" s="51"/>
      <c r="D62" s="44"/>
      <c r="E62" s="44"/>
      <c r="F62" s="44"/>
      <c r="G62" s="44"/>
      <c r="H62" s="44"/>
      <c r="I62" s="61"/>
      <c r="J62" s="59"/>
      <c r="K62" s="58"/>
      <c r="L62" s="52"/>
    </row>
    <row r="63" spans="2:12">
      <c r="B63" s="50"/>
      <c r="C63" s="51"/>
      <c r="D63" s="44"/>
      <c r="E63" s="44"/>
      <c r="F63" s="44"/>
      <c r="G63" s="44"/>
      <c r="H63" s="44"/>
      <c r="I63" s="61"/>
      <c r="J63" s="59"/>
      <c r="K63" s="58"/>
      <c r="L63" s="52"/>
    </row>
    <row r="64" spans="2:12">
      <c r="B64" s="50"/>
      <c r="C64" s="51"/>
      <c r="D64" s="44"/>
      <c r="E64" s="44"/>
      <c r="F64" s="44"/>
      <c r="G64" s="44"/>
      <c r="H64" s="44"/>
      <c r="I64" s="61"/>
      <c r="J64" s="59"/>
      <c r="K64" s="58"/>
      <c r="L64" s="52"/>
    </row>
    <row r="65" spans="2:12">
      <c r="B65" s="50"/>
      <c r="C65" s="51"/>
      <c r="D65" s="44"/>
      <c r="E65" s="44"/>
      <c r="F65" s="44"/>
      <c r="G65" s="44"/>
      <c r="H65" s="44"/>
      <c r="I65" s="61"/>
      <c r="J65" s="59"/>
      <c r="K65" s="58"/>
      <c r="L65" s="52"/>
    </row>
    <row r="66" spans="2:12">
      <c r="B66" s="50"/>
      <c r="C66" s="51"/>
      <c r="D66" s="44"/>
      <c r="E66" s="44"/>
      <c r="F66" s="44"/>
      <c r="G66" s="44"/>
      <c r="H66" s="44"/>
      <c r="I66" s="61"/>
      <c r="J66" s="59"/>
      <c r="K66" s="58"/>
      <c r="L66" s="52"/>
    </row>
    <row r="67" spans="2:12">
      <c r="B67" s="50"/>
      <c r="C67" s="51"/>
      <c r="D67" s="44"/>
      <c r="E67" s="44"/>
      <c r="F67" s="44"/>
      <c r="G67" s="44"/>
      <c r="H67" s="44"/>
      <c r="I67" s="61"/>
      <c r="J67" s="59"/>
      <c r="K67" s="58"/>
      <c r="L67" s="52"/>
    </row>
    <row r="68" spans="2:12">
      <c r="B68" s="50"/>
      <c r="C68" s="51"/>
      <c r="D68" s="44"/>
      <c r="E68" s="44"/>
      <c r="F68" s="44"/>
      <c r="G68" s="44"/>
      <c r="H68" s="44"/>
      <c r="I68" s="61"/>
      <c r="J68" s="59"/>
      <c r="K68" s="58"/>
      <c r="L68" s="52"/>
    </row>
    <row r="69" spans="2:12">
      <c r="B69" s="50"/>
      <c r="C69" s="51"/>
      <c r="D69" s="44"/>
      <c r="E69" s="44"/>
      <c r="F69" s="44"/>
      <c r="G69" s="44"/>
      <c r="H69" s="44"/>
      <c r="I69" s="61"/>
      <c r="J69" s="59"/>
      <c r="K69" s="58"/>
      <c r="L69" s="52"/>
    </row>
    <row r="70" spans="2:12">
      <c r="B70" s="50"/>
      <c r="C70" s="51"/>
      <c r="D70" s="44"/>
      <c r="E70" s="44"/>
      <c r="F70" s="44"/>
      <c r="G70" s="44"/>
      <c r="H70" s="44"/>
      <c r="I70" s="61"/>
      <c r="J70" s="59"/>
      <c r="K70" s="58"/>
      <c r="L70" s="52"/>
    </row>
    <row r="71" spans="2:12">
      <c r="B71" s="50"/>
      <c r="C71" s="51"/>
      <c r="D71" s="44"/>
      <c r="E71" s="44"/>
      <c r="F71" s="44"/>
      <c r="G71" s="44"/>
      <c r="H71" s="44"/>
      <c r="I71" s="61"/>
      <c r="J71" s="59"/>
      <c r="K71" s="58"/>
      <c r="L71" s="52"/>
    </row>
    <row r="72" spans="2:12">
      <c r="B72" s="50"/>
      <c r="C72" s="51"/>
      <c r="D72" s="44"/>
      <c r="E72" s="44"/>
      <c r="F72" s="44"/>
      <c r="G72" s="44"/>
      <c r="H72" s="44"/>
      <c r="I72" s="61"/>
      <c r="J72" s="59"/>
      <c r="K72" s="58"/>
      <c r="L72" s="52"/>
    </row>
    <row r="73" spans="2:12">
      <c r="B73" s="50"/>
      <c r="C73" s="51"/>
      <c r="D73" s="44"/>
      <c r="E73" s="44"/>
      <c r="F73" s="44"/>
      <c r="G73" s="44"/>
      <c r="H73" s="44"/>
      <c r="I73" s="61"/>
      <c r="J73" s="59"/>
      <c r="K73" s="58"/>
      <c r="L73" s="52"/>
    </row>
    <row r="74" spans="2:12">
      <c r="B74" s="50"/>
      <c r="C74" s="51"/>
      <c r="D74" s="44"/>
      <c r="E74" s="44"/>
      <c r="F74" s="44"/>
      <c r="G74" s="44"/>
      <c r="H74" s="44"/>
      <c r="I74" s="61"/>
      <c r="J74" s="59"/>
      <c r="K74" s="58"/>
      <c r="L74" s="52"/>
    </row>
    <row r="75" spans="2:12">
      <c r="B75" s="50"/>
      <c r="C75" s="51"/>
      <c r="D75" s="44"/>
      <c r="E75" s="44"/>
      <c r="F75" s="44"/>
      <c r="G75" s="44"/>
      <c r="H75" s="44"/>
      <c r="I75" s="61"/>
      <c r="J75" s="59"/>
      <c r="K75" s="58"/>
      <c r="L75" s="52"/>
    </row>
    <row r="76" spans="2:12">
      <c r="B76" s="50"/>
      <c r="C76" s="51"/>
      <c r="D76" s="44"/>
      <c r="E76" s="44"/>
      <c r="F76" s="44"/>
      <c r="G76" s="44"/>
      <c r="H76" s="44"/>
      <c r="I76" s="61"/>
      <c r="J76" s="59"/>
      <c r="K76" s="58"/>
      <c r="L76" s="52"/>
    </row>
    <row r="77" spans="2:12">
      <c r="B77" s="50"/>
      <c r="C77" s="51"/>
      <c r="D77" s="44"/>
      <c r="E77" s="44"/>
      <c r="F77" s="44"/>
      <c r="G77" s="44"/>
      <c r="H77" s="44"/>
      <c r="I77" s="61"/>
      <c r="J77" s="59"/>
      <c r="K77" s="58"/>
      <c r="L77" s="52"/>
    </row>
    <row r="78" spans="2:12">
      <c r="B78" s="50"/>
      <c r="C78" s="51"/>
      <c r="D78" s="44"/>
      <c r="E78" s="44"/>
      <c r="F78" s="44"/>
      <c r="G78" s="44"/>
      <c r="H78" s="44"/>
      <c r="I78" s="61"/>
      <c r="J78" s="59"/>
      <c r="K78" s="58"/>
      <c r="L78" s="52"/>
    </row>
    <row r="79" spans="2:12">
      <c r="B79" s="50"/>
      <c r="C79" s="51"/>
      <c r="D79" s="44"/>
      <c r="E79" s="44"/>
      <c r="F79" s="44"/>
      <c r="G79" s="44"/>
      <c r="H79" s="44"/>
      <c r="I79" s="61"/>
      <c r="J79" s="59"/>
      <c r="K79" s="58"/>
      <c r="L79" s="52"/>
    </row>
    <row r="80" spans="2:12">
      <c r="B80" s="50"/>
      <c r="C80" s="51"/>
      <c r="D80" s="44"/>
      <c r="E80" s="44"/>
      <c r="F80" s="44"/>
      <c r="G80" s="44"/>
      <c r="H80" s="44"/>
      <c r="I80" s="61"/>
      <c r="J80" s="59"/>
      <c r="K80" s="58"/>
      <c r="L80" s="52"/>
    </row>
    <row r="81" spans="2:12">
      <c r="B81" s="50"/>
      <c r="C81" s="51"/>
      <c r="D81" s="44"/>
      <c r="E81" s="44"/>
      <c r="F81" s="44"/>
      <c r="G81" s="44"/>
      <c r="H81" s="44"/>
      <c r="I81" s="61"/>
      <c r="J81" s="59"/>
      <c r="K81" s="58"/>
      <c r="L81" s="52"/>
    </row>
    <row r="82" spans="2:12">
      <c r="B82" s="50"/>
      <c r="C82" s="51"/>
      <c r="D82" s="44"/>
      <c r="E82" s="44"/>
      <c r="F82" s="44"/>
      <c r="G82" s="44"/>
      <c r="H82" s="44"/>
      <c r="I82" s="61"/>
      <c r="J82" s="59"/>
      <c r="K82" s="58"/>
      <c r="L82" s="52"/>
    </row>
    <row r="83" spans="2:12">
      <c r="B83" s="50"/>
      <c r="C83" s="51"/>
      <c r="D83" s="44"/>
      <c r="E83" s="44"/>
      <c r="F83" s="44"/>
      <c r="G83" s="44"/>
      <c r="H83" s="44"/>
      <c r="I83" s="61"/>
      <c r="J83" s="59"/>
      <c r="K83" s="58"/>
      <c r="L83" s="52"/>
    </row>
    <row r="84" spans="2:12">
      <c r="B84" s="50"/>
      <c r="C84" s="51"/>
      <c r="D84" s="44"/>
      <c r="E84" s="44"/>
      <c r="F84" s="44"/>
      <c r="G84" s="44"/>
      <c r="H84" s="44"/>
      <c r="I84" s="61"/>
      <c r="J84" s="59"/>
      <c r="K84" s="58"/>
      <c r="L84" s="52"/>
    </row>
    <row r="85" spans="2:12">
      <c r="B85" s="50"/>
      <c r="C85" s="51"/>
      <c r="D85" s="44"/>
      <c r="E85" s="44"/>
      <c r="F85" s="44"/>
      <c r="G85" s="44"/>
      <c r="H85" s="44"/>
      <c r="I85" s="61"/>
      <c r="J85" s="59"/>
      <c r="K85" s="58"/>
      <c r="L85" s="52"/>
    </row>
    <row r="86" spans="2:12">
      <c r="B86" s="50"/>
      <c r="C86" s="51"/>
      <c r="D86" s="44"/>
      <c r="E86" s="44"/>
      <c r="F86" s="44"/>
      <c r="G86" s="44"/>
      <c r="H86" s="44"/>
      <c r="I86" s="61"/>
      <c r="J86" s="59"/>
      <c r="K86" s="58"/>
      <c r="L86" s="52"/>
    </row>
    <row r="87" spans="2:12">
      <c r="B87" s="50"/>
      <c r="C87" s="51"/>
      <c r="D87" s="44"/>
      <c r="E87" s="44"/>
      <c r="F87" s="44"/>
      <c r="G87" s="44"/>
      <c r="H87" s="44"/>
      <c r="I87" s="61"/>
      <c r="J87" s="59"/>
      <c r="K87" s="58"/>
      <c r="L87" s="52"/>
    </row>
    <row r="88" spans="2:12">
      <c r="B88" s="50"/>
      <c r="C88" s="51"/>
      <c r="D88" s="44"/>
      <c r="E88" s="44"/>
      <c r="F88" s="44"/>
      <c r="G88" s="44"/>
      <c r="H88" s="44"/>
      <c r="I88" s="61"/>
      <c r="J88" s="59"/>
      <c r="K88" s="58"/>
      <c r="L88" s="52"/>
    </row>
    <row r="89" spans="2:12">
      <c r="B89" s="50"/>
      <c r="C89" s="51"/>
      <c r="D89" s="44"/>
      <c r="E89" s="44"/>
      <c r="F89" s="44"/>
      <c r="G89" s="44"/>
      <c r="H89" s="44"/>
      <c r="I89" s="61"/>
      <c r="J89" s="59"/>
      <c r="K89" s="58"/>
      <c r="L89" s="52"/>
    </row>
    <row r="90" spans="2:12">
      <c r="B90" s="50"/>
      <c r="C90" s="51"/>
      <c r="D90" s="44"/>
      <c r="E90" s="44"/>
      <c r="F90" s="44"/>
      <c r="G90" s="44"/>
      <c r="H90" s="44"/>
      <c r="I90" s="61"/>
      <c r="J90" s="59"/>
      <c r="K90" s="58"/>
      <c r="L90" s="52"/>
    </row>
    <row r="91" spans="2:12">
      <c r="B91" s="50"/>
      <c r="C91" s="51"/>
      <c r="D91" s="44"/>
      <c r="E91" s="44"/>
      <c r="F91" s="44"/>
      <c r="G91" s="44"/>
      <c r="H91" s="44"/>
      <c r="I91" s="61"/>
      <c r="J91" s="59"/>
      <c r="K91" s="58"/>
      <c r="L91" s="52"/>
    </row>
    <row r="92" spans="2:12">
      <c r="B92" s="50"/>
      <c r="C92" s="51"/>
      <c r="D92" s="44"/>
      <c r="E92" s="44"/>
      <c r="F92" s="44"/>
      <c r="G92" s="44"/>
      <c r="H92" s="44"/>
      <c r="I92" s="61"/>
      <c r="J92" s="59"/>
      <c r="K92" s="58"/>
      <c r="L92" s="52"/>
    </row>
    <row r="93" spans="2:12">
      <c r="B93" s="50"/>
      <c r="C93" s="51"/>
      <c r="D93" s="44"/>
      <c r="E93" s="44"/>
      <c r="F93" s="44"/>
      <c r="G93" s="44"/>
      <c r="H93" s="44"/>
      <c r="I93" s="61"/>
      <c r="J93" s="59"/>
      <c r="K93" s="58"/>
      <c r="L93" s="52"/>
    </row>
    <row r="94" spans="2:12">
      <c r="B94" s="50"/>
      <c r="C94" s="51"/>
      <c r="D94" s="44"/>
      <c r="E94" s="44"/>
      <c r="F94" s="44"/>
      <c r="G94" s="44"/>
      <c r="H94" s="44"/>
      <c r="I94" s="61"/>
      <c r="J94" s="59"/>
      <c r="K94" s="58"/>
      <c r="L94" s="52"/>
    </row>
    <row r="95" spans="2:12">
      <c r="B95" s="50"/>
      <c r="C95" s="51"/>
      <c r="D95" s="44"/>
      <c r="E95" s="44"/>
      <c r="F95" s="44"/>
      <c r="G95" s="44"/>
      <c r="H95" s="44"/>
      <c r="I95" s="61"/>
      <c r="J95" s="59"/>
      <c r="K95" s="58"/>
      <c r="L95" s="52"/>
    </row>
    <row r="96" spans="2:12">
      <c r="B96" s="50"/>
      <c r="C96" s="51"/>
      <c r="D96" s="44"/>
      <c r="E96" s="44"/>
      <c r="F96" s="44"/>
      <c r="G96" s="44"/>
      <c r="H96" s="44"/>
      <c r="I96" s="61"/>
      <c r="J96" s="59"/>
      <c r="K96" s="58"/>
      <c r="L96" s="52"/>
    </row>
    <row r="97" spans="2:12">
      <c r="B97" s="50"/>
      <c r="C97" s="51"/>
      <c r="D97" s="44"/>
      <c r="E97" s="44"/>
      <c r="F97" s="44"/>
      <c r="G97" s="44"/>
      <c r="H97" s="44"/>
      <c r="I97" s="61"/>
      <c r="J97" s="59"/>
      <c r="K97" s="58"/>
      <c r="L97" s="52"/>
    </row>
    <row r="98" spans="2:12">
      <c r="B98" s="50"/>
      <c r="C98" s="51"/>
      <c r="D98" s="44"/>
      <c r="E98" s="44"/>
      <c r="F98" s="44"/>
      <c r="G98" s="44"/>
      <c r="H98" s="44"/>
      <c r="I98" s="61"/>
      <c r="J98" s="59"/>
      <c r="K98" s="58"/>
      <c r="L98" s="52"/>
    </row>
    <row r="99" spans="2:12">
      <c r="B99" s="50"/>
      <c r="C99" s="51"/>
      <c r="D99" s="44"/>
      <c r="E99" s="44"/>
      <c r="F99" s="44"/>
      <c r="G99" s="44"/>
      <c r="H99" s="44"/>
      <c r="I99" s="61"/>
      <c r="J99" s="59"/>
      <c r="K99" s="58"/>
      <c r="L99" s="52"/>
    </row>
    <row r="100" spans="2:12">
      <c r="B100" s="50"/>
      <c r="C100" s="51"/>
      <c r="D100" s="44"/>
      <c r="E100" s="44"/>
      <c r="F100" s="44"/>
      <c r="G100" s="44"/>
      <c r="H100" s="44"/>
      <c r="I100" s="61"/>
      <c r="J100" s="59"/>
      <c r="K100" s="58"/>
      <c r="L100" s="52"/>
    </row>
    <row r="101" spans="2:12">
      <c r="B101" s="50"/>
      <c r="C101" s="51"/>
      <c r="D101" s="44"/>
      <c r="E101" s="44"/>
      <c r="F101" s="44"/>
      <c r="G101" s="44"/>
      <c r="H101" s="44"/>
      <c r="I101" s="61"/>
      <c r="J101" s="59"/>
      <c r="K101" s="58"/>
      <c r="L101" s="52"/>
    </row>
    <row r="102" spans="2:12">
      <c r="B102" s="50"/>
      <c r="C102" s="51"/>
      <c r="D102" s="44"/>
      <c r="E102" s="44"/>
      <c r="F102" s="44"/>
      <c r="G102" s="44"/>
      <c r="H102" s="44"/>
      <c r="I102" s="61"/>
      <c r="J102" s="59"/>
      <c r="K102" s="58"/>
      <c r="L102" s="52"/>
    </row>
    <row r="103" spans="2:12">
      <c r="B103" s="50"/>
      <c r="C103" s="51"/>
      <c r="D103" s="44"/>
      <c r="E103" s="44"/>
      <c r="F103" s="44"/>
      <c r="G103" s="44"/>
      <c r="H103" s="44"/>
      <c r="I103" s="61"/>
      <c r="J103" s="59"/>
      <c r="K103" s="58"/>
      <c r="L103" s="52"/>
    </row>
    <row r="104" spans="2:12">
      <c r="B104" s="50"/>
      <c r="C104" s="51"/>
      <c r="D104" s="44"/>
      <c r="E104" s="44"/>
      <c r="F104" s="44"/>
      <c r="G104" s="44"/>
      <c r="H104" s="44"/>
      <c r="I104" s="61"/>
      <c r="J104" s="59"/>
      <c r="K104" s="58"/>
      <c r="L104" s="52"/>
    </row>
    <row r="105" spans="2:12">
      <c r="B105" s="50"/>
      <c r="C105" s="51"/>
      <c r="D105" s="44"/>
      <c r="E105" s="44"/>
      <c r="F105" s="44"/>
      <c r="G105" s="44"/>
      <c r="H105" s="44"/>
      <c r="I105" s="61"/>
      <c r="J105" s="59"/>
      <c r="K105" s="58"/>
      <c r="L105" s="52"/>
    </row>
    <row r="106" spans="2:12">
      <c r="B106" s="50"/>
      <c r="C106" s="51"/>
      <c r="D106" s="44"/>
      <c r="E106" s="44"/>
      <c r="F106" s="44"/>
      <c r="G106" s="44"/>
      <c r="H106" s="44"/>
      <c r="I106" s="61"/>
      <c r="J106" s="59"/>
      <c r="K106" s="58"/>
      <c r="L106" s="52"/>
    </row>
    <row r="107" spans="2:12">
      <c r="B107" s="50"/>
      <c r="C107" s="51"/>
      <c r="D107" s="44"/>
      <c r="E107" s="44"/>
      <c r="F107" s="44"/>
      <c r="G107" s="44"/>
      <c r="H107" s="44"/>
      <c r="I107" s="61"/>
      <c r="J107" s="59"/>
      <c r="K107" s="58"/>
      <c r="L107" s="52"/>
    </row>
    <row r="108" spans="2:12">
      <c r="B108" s="50"/>
      <c r="C108" s="51"/>
      <c r="D108" s="44"/>
      <c r="E108" s="44"/>
      <c r="F108" s="44"/>
      <c r="G108" s="44"/>
      <c r="H108" s="44"/>
      <c r="I108" s="61"/>
      <c r="J108" s="59"/>
      <c r="K108" s="58"/>
      <c r="L108" s="52"/>
    </row>
    <row r="109" spans="2:12">
      <c r="B109" s="50"/>
      <c r="C109" s="51"/>
      <c r="D109" s="44"/>
      <c r="E109" s="44"/>
      <c r="F109" s="44"/>
      <c r="G109" s="44"/>
      <c r="H109" s="44"/>
      <c r="I109" s="61"/>
      <c r="J109" s="59"/>
      <c r="K109" s="58"/>
      <c r="L109" s="52"/>
    </row>
    <row r="110" spans="2:12">
      <c r="B110" s="50"/>
      <c r="C110" s="51"/>
      <c r="D110" s="44"/>
      <c r="E110" s="44"/>
      <c r="F110" s="44"/>
      <c r="G110" s="44"/>
      <c r="H110" s="44"/>
      <c r="I110" s="61"/>
      <c r="J110" s="59"/>
      <c r="K110" s="58"/>
      <c r="L110" s="52"/>
    </row>
    <row r="111" spans="2:12">
      <c r="B111" s="50"/>
      <c r="C111" s="51"/>
      <c r="D111" s="44"/>
      <c r="E111" s="44"/>
      <c r="F111" s="44"/>
      <c r="G111" s="44"/>
      <c r="H111" s="44"/>
      <c r="I111" s="61"/>
      <c r="J111" s="59"/>
      <c r="K111" s="58"/>
      <c r="L111" s="52"/>
    </row>
    <row r="112" spans="2:12">
      <c r="B112" s="50"/>
      <c r="C112" s="51"/>
      <c r="D112" s="44"/>
      <c r="E112" s="44"/>
      <c r="F112" s="44"/>
      <c r="G112" s="44"/>
      <c r="H112" s="44"/>
      <c r="I112" s="61"/>
      <c r="J112" s="59"/>
      <c r="K112" s="58"/>
      <c r="L112" s="52"/>
    </row>
    <row r="113" spans="2:12">
      <c r="B113" s="50"/>
      <c r="C113" s="51"/>
      <c r="D113" s="44"/>
      <c r="E113" s="44"/>
      <c r="F113" s="44"/>
      <c r="G113" s="44"/>
      <c r="H113" s="44"/>
      <c r="I113" s="61"/>
      <c r="J113" s="59"/>
      <c r="K113" s="58"/>
      <c r="L113" s="52"/>
    </row>
    <row r="114" spans="2:12">
      <c r="B114" s="50"/>
      <c r="C114" s="51"/>
      <c r="D114" s="44"/>
      <c r="E114" s="44"/>
      <c r="F114" s="44"/>
      <c r="G114" s="44"/>
      <c r="H114" s="44"/>
      <c r="I114" s="61"/>
      <c r="J114" s="59"/>
      <c r="K114" s="58"/>
      <c r="L114" s="52"/>
    </row>
    <row r="115" spans="2:12">
      <c r="B115" s="50"/>
      <c r="C115" s="51"/>
      <c r="D115" s="44"/>
      <c r="E115" s="44"/>
      <c r="F115" s="44"/>
      <c r="G115" s="44"/>
      <c r="H115" s="44"/>
      <c r="I115" s="61"/>
      <c r="J115" s="59"/>
      <c r="K115" s="58"/>
      <c r="L115" s="52"/>
    </row>
    <row r="116" spans="2:12">
      <c r="B116" s="50"/>
      <c r="C116" s="51"/>
      <c r="D116" s="44"/>
      <c r="E116" s="44"/>
      <c r="F116" s="44"/>
      <c r="G116" s="44"/>
      <c r="H116" s="44"/>
      <c r="I116" s="61"/>
      <c r="J116" s="59"/>
      <c r="K116" s="58"/>
      <c r="L116" s="52"/>
    </row>
    <row r="117" spans="2:12">
      <c r="B117" s="50"/>
      <c r="C117" s="51"/>
      <c r="D117" s="44"/>
      <c r="E117" s="44"/>
      <c r="F117" s="44"/>
      <c r="G117" s="44"/>
      <c r="H117" s="44"/>
      <c r="I117" s="61"/>
      <c r="J117" s="59"/>
      <c r="K117" s="58"/>
      <c r="L117" s="52"/>
    </row>
    <row r="118" spans="2:12">
      <c r="B118" s="50"/>
      <c r="C118" s="51"/>
      <c r="D118" s="44"/>
      <c r="E118" s="44"/>
      <c r="F118" s="44"/>
      <c r="G118" s="44"/>
      <c r="H118" s="44"/>
      <c r="I118" s="61"/>
      <c r="J118" s="59"/>
      <c r="K118" s="58"/>
      <c r="L118" s="52"/>
    </row>
    <row r="119" spans="2:12">
      <c r="B119" s="50"/>
      <c r="C119" s="51"/>
      <c r="D119" s="44"/>
      <c r="E119" s="44"/>
      <c r="F119" s="44"/>
      <c r="G119" s="44"/>
      <c r="H119" s="44"/>
      <c r="I119" s="61"/>
      <c r="J119" s="59"/>
      <c r="K119" s="58"/>
      <c r="L119" s="52"/>
    </row>
    <row r="120" spans="2:12">
      <c r="B120" s="50"/>
      <c r="C120" s="51"/>
      <c r="D120" s="44"/>
      <c r="E120" s="44"/>
      <c r="F120" s="44"/>
      <c r="G120" s="44"/>
      <c r="H120" s="44"/>
      <c r="I120" s="61"/>
      <c r="J120" s="59"/>
      <c r="K120" s="58"/>
      <c r="L120" s="52"/>
    </row>
    <row r="121" spans="2:12">
      <c r="B121" s="50"/>
      <c r="C121" s="51"/>
      <c r="D121" s="44"/>
      <c r="E121" s="44"/>
      <c r="F121" s="44"/>
      <c r="G121" s="44"/>
      <c r="H121" s="44"/>
      <c r="I121" s="61"/>
      <c r="J121" s="59"/>
      <c r="K121" s="58"/>
      <c r="L121" s="52"/>
    </row>
    <row r="122" spans="2:12">
      <c r="B122" s="50"/>
      <c r="C122" s="51"/>
      <c r="D122" s="44"/>
      <c r="E122" s="44"/>
      <c r="F122" s="44"/>
      <c r="G122" s="44"/>
      <c r="H122" s="44"/>
      <c r="I122" s="61"/>
      <c r="J122" s="59"/>
      <c r="K122" s="58"/>
      <c r="L122" s="52"/>
    </row>
    <row r="123" spans="2:12">
      <c r="B123" s="50"/>
      <c r="C123" s="51"/>
      <c r="D123" s="44"/>
      <c r="E123" s="44"/>
      <c r="F123" s="44"/>
      <c r="G123" s="44"/>
      <c r="H123" s="44"/>
      <c r="I123" s="61"/>
      <c r="J123" s="59"/>
      <c r="K123" s="58"/>
      <c r="L123" s="52"/>
    </row>
    <row r="124" spans="2:12">
      <c r="B124" s="50"/>
      <c r="C124" s="51"/>
      <c r="D124" s="44"/>
      <c r="E124" s="44"/>
      <c r="F124" s="44"/>
      <c r="G124" s="44"/>
      <c r="H124" s="44"/>
      <c r="I124" s="61"/>
      <c r="J124" s="59"/>
      <c r="K124" s="58"/>
      <c r="L124" s="52"/>
    </row>
    <row r="125" spans="2:12">
      <c r="B125" s="50"/>
      <c r="C125" s="51"/>
      <c r="D125" s="44"/>
      <c r="E125" s="44"/>
      <c r="F125" s="44"/>
      <c r="G125" s="44"/>
      <c r="H125" s="44"/>
      <c r="I125" s="61"/>
      <c r="J125" s="59"/>
      <c r="K125" s="58"/>
      <c r="L125" s="52"/>
    </row>
    <row r="126" spans="2:12">
      <c r="B126" s="50"/>
      <c r="C126" s="51"/>
      <c r="D126" s="44"/>
      <c r="E126" s="44"/>
      <c r="F126" s="44"/>
      <c r="G126" s="44"/>
      <c r="H126" s="44"/>
      <c r="I126" s="61"/>
      <c r="J126" s="59"/>
      <c r="K126" s="58"/>
      <c r="L126" s="52"/>
    </row>
    <row r="127" spans="2:12">
      <c r="B127" s="50"/>
      <c r="C127" s="51"/>
      <c r="D127" s="44"/>
      <c r="E127" s="44"/>
      <c r="F127" s="44"/>
      <c r="G127" s="44"/>
      <c r="H127" s="44"/>
      <c r="I127" s="61"/>
      <c r="J127" s="59"/>
      <c r="K127" s="58"/>
      <c r="L127" s="52"/>
    </row>
    <row r="128" spans="2:12">
      <c r="B128" s="50"/>
      <c r="C128" s="51"/>
      <c r="D128" s="44"/>
      <c r="E128" s="44"/>
      <c r="F128" s="44"/>
      <c r="G128" s="44"/>
      <c r="H128" s="44"/>
      <c r="I128" s="61"/>
      <c r="J128" s="59"/>
      <c r="K128" s="58"/>
      <c r="L128" s="52"/>
    </row>
    <row r="129" spans="2:12">
      <c r="B129" s="50"/>
      <c r="C129" s="51"/>
      <c r="D129" s="44"/>
      <c r="E129" s="44"/>
      <c r="F129" s="44"/>
      <c r="G129" s="44"/>
      <c r="H129" s="44"/>
      <c r="I129" s="61"/>
      <c r="J129" s="59"/>
      <c r="K129" s="58"/>
      <c r="L129" s="52"/>
    </row>
    <row r="130" spans="2:12">
      <c r="B130" s="50"/>
      <c r="C130" s="51"/>
      <c r="D130" s="44"/>
      <c r="E130" s="44"/>
      <c r="F130" s="44"/>
      <c r="G130" s="44"/>
      <c r="H130" s="44"/>
      <c r="I130" s="61"/>
      <c r="J130" s="59"/>
      <c r="K130" s="58"/>
      <c r="L130" s="52"/>
    </row>
    <row r="131" spans="2:12">
      <c r="B131" s="50"/>
      <c r="C131" s="51"/>
      <c r="D131" s="44"/>
      <c r="E131" s="44"/>
      <c r="F131" s="44"/>
      <c r="G131" s="44"/>
      <c r="H131" s="44"/>
      <c r="I131" s="61"/>
      <c r="J131" s="59"/>
      <c r="K131" s="58"/>
      <c r="L131" s="52"/>
    </row>
    <row r="132" spans="2:12">
      <c r="B132" s="50"/>
      <c r="C132" s="51"/>
      <c r="D132" s="44"/>
      <c r="E132" s="44"/>
      <c r="F132" s="44"/>
      <c r="G132" s="44"/>
      <c r="H132" s="44"/>
      <c r="I132" s="61"/>
      <c r="J132" s="59"/>
      <c r="K132" s="58"/>
      <c r="L132" s="52"/>
    </row>
    <row r="133" spans="2:12">
      <c r="B133" s="50"/>
      <c r="C133" s="51"/>
      <c r="D133" s="44"/>
      <c r="E133" s="44"/>
      <c r="F133" s="44"/>
      <c r="G133" s="44"/>
      <c r="H133" s="44"/>
      <c r="I133" s="61"/>
      <c r="J133" s="59"/>
      <c r="K133" s="58"/>
      <c r="L133" s="52"/>
    </row>
    <row r="134" spans="2:12">
      <c r="B134" s="50"/>
      <c r="C134" s="51"/>
      <c r="D134" s="44"/>
      <c r="E134" s="44"/>
      <c r="F134" s="44"/>
      <c r="G134" s="44"/>
      <c r="H134" s="44"/>
      <c r="I134" s="61"/>
      <c r="J134" s="59"/>
      <c r="K134" s="58"/>
      <c r="L134" s="52"/>
    </row>
    <row r="135" spans="2:12">
      <c r="B135" s="50"/>
      <c r="C135" s="51"/>
      <c r="D135" s="44"/>
      <c r="E135" s="44"/>
      <c r="F135" s="44"/>
      <c r="G135" s="44"/>
      <c r="H135" s="44"/>
      <c r="I135" s="61"/>
      <c r="J135" s="59"/>
      <c r="K135" s="58"/>
      <c r="L135" s="52"/>
    </row>
    <row r="136" spans="2:12">
      <c r="B136" s="50"/>
      <c r="C136" s="51"/>
      <c r="D136" s="44"/>
      <c r="E136" s="44"/>
      <c r="F136" s="44"/>
      <c r="G136" s="44"/>
      <c r="H136" s="44"/>
      <c r="I136" s="61"/>
      <c r="J136" s="59"/>
      <c r="K136" s="58"/>
      <c r="L136" s="52"/>
    </row>
    <row r="137" spans="2:12">
      <c r="B137" s="50"/>
      <c r="C137" s="51"/>
      <c r="D137" s="44"/>
      <c r="E137" s="44"/>
      <c r="F137" s="44"/>
      <c r="G137" s="44"/>
      <c r="H137" s="44"/>
      <c r="I137" s="61"/>
      <c r="J137" s="59"/>
      <c r="K137" s="58"/>
      <c r="L137" s="52"/>
    </row>
    <row r="138" spans="2:12">
      <c r="B138" s="50"/>
      <c r="C138" s="51"/>
      <c r="D138" s="44"/>
      <c r="E138" s="44"/>
      <c r="F138" s="44"/>
      <c r="G138" s="44"/>
      <c r="H138" s="44"/>
      <c r="I138" s="61"/>
      <c r="J138" s="59"/>
      <c r="K138" s="58"/>
      <c r="L138" s="52"/>
    </row>
    <row r="139" spans="2:12">
      <c r="B139" s="50"/>
      <c r="C139" s="51"/>
      <c r="D139" s="44"/>
      <c r="E139" s="44"/>
      <c r="F139" s="44"/>
      <c r="G139" s="44"/>
      <c r="H139" s="44"/>
      <c r="I139" s="61"/>
      <c r="J139" s="59"/>
      <c r="K139" s="58"/>
      <c r="L139" s="52"/>
    </row>
    <row r="140" spans="2:12">
      <c r="B140" s="50"/>
      <c r="C140" s="51"/>
      <c r="D140" s="44"/>
      <c r="E140" s="44"/>
      <c r="F140" s="44"/>
      <c r="G140" s="44"/>
      <c r="H140" s="44"/>
      <c r="I140" s="61"/>
      <c r="J140" s="59"/>
      <c r="K140" s="58"/>
      <c r="L140" s="52"/>
    </row>
    <row r="141" spans="2:12">
      <c r="B141" s="50"/>
      <c r="C141" s="51"/>
      <c r="D141" s="44"/>
      <c r="E141" s="44"/>
      <c r="F141" s="44"/>
      <c r="G141" s="44"/>
      <c r="H141" s="44"/>
      <c r="I141" s="61"/>
      <c r="J141" s="59"/>
      <c r="K141" s="58"/>
      <c r="L141" s="52"/>
    </row>
    <row r="142" spans="2:12">
      <c r="B142" s="50"/>
      <c r="C142" s="51"/>
      <c r="D142" s="44"/>
      <c r="E142" s="44"/>
      <c r="F142" s="44"/>
      <c r="G142" s="44"/>
      <c r="H142" s="44"/>
      <c r="I142" s="61"/>
      <c r="J142" s="59"/>
      <c r="K142" s="58"/>
      <c r="L142" s="52"/>
    </row>
    <row r="143" spans="2:12">
      <c r="B143" s="50"/>
      <c r="C143" s="51"/>
      <c r="D143" s="44"/>
      <c r="E143" s="44"/>
      <c r="F143" s="44"/>
      <c r="G143" s="44"/>
      <c r="H143" s="44"/>
      <c r="I143" s="61"/>
      <c r="J143" s="59"/>
      <c r="K143" s="58"/>
      <c r="L143" s="52"/>
    </row>
    <row r="144" spans="2:12">
      <c r="B144" s="50"/>
      <c r="C144" s="51"/>
      <c r="D144" s="44"/>
      <c r="E144" s="44"/>
      <c r="F144" s="44"/>
      <c r="G144" s="44"/>
      <c r="H144" s="44"/>
      <c r="I144" s="61"/>
      <c r="J144" s="59"/>
      <c r="K144" s="58"/>
      <c r="L144" s="52"/>
    </row>
    <row r="145" spans="2:12">
      <c r="B145" s="50"/>
      <c r="C145" s="51"/>
      <c r="D145" s="44"/>
      <c r="E145" s="44"/>
      <c r="F145" s="44"/>
      <c r="G145" s="44"/>
      <c r="H145" s="44"/>
      <c r="I145" s="61"/>
      <c r="J145" s="59"/>
      <c r="K145" s="58"/>
      <c r="L145" s="52"/>
    </row>
    <row r="146" spans="2:12">
      <c r="B146" s="50"/>
      <c r="C146" s="51"/>
      <c r="D146" s="44"/>
      <c r="E146" s="44"/>
      <c r="F146" s="44"/>
      <c r="G146" s="44"/>
      <c r="H146" s="44"/>
      <c r="I146" s="61"/>
      <c r="J146" s="59"/>
      <c r="K146" s="58"/>
      <c r="L146" s="52"/>
    </row>
    <row r="147" spans="2:12">
      <c r="B147" s="50"/>
      <c r="C147" s="51"/>
      <c r="D147" s="44"/>
      <c r="E147" s="44"/>
      <c r="F147" s="44"/>
      <c r="G147" s="44"/>
      <c r="H147" s="44"/>
      <c r="I147" s="61"/>
      <c r="J147" s="59"/>
      <c r="K147" s="58"/>
      <c r="L147" s="52"/>
    </row>
    <row r="148" spans="2:12">
      <c r="B148" s="50"/>
      <c r="C148" s="51"/>
      <c r="D148" s="44"/>
      <c r="E148" s="44"/>
      <c r="F148" s="44"/>
      <c r="G148" s="44"/>
      <c r="H148" s="44"/>
      <c r="I148" s="61"/>
      <c r="J148" s="59"/>
      <c r="K148" s="58"/>
      <c r="L148" s="52"/>
    </row>
    <row r="149" spans="2:12">
      <c r="B149" s="50"/>
      <c r="C149" s="51"/>
      <c r="D149" s="44"/>
      <c r="E149" s="44"/>
      <c r="F149" s="44"/>
      <c r="G149" s="44"/>
      <c r="H149" s="44"/>
      <c r="I149" s="61"/>
      <c r="J149" s="59"/>
      <c r="K149" s="58"/>
      <c r="L149" s="52"/>
    </row>
    <row r="150" spans="2:12">
      <c r="B150" s="50"/>
      <c r="C150" s="51"/>
      <c r="D150" s="44"/>
      <c r="E150" s="44"/>
      <c r="F150" s="44"/>
      <c r="G150" s="44"/>
      <c r="H150" s="44"/>
      <c r="I150" s="61"/>
      <c r="J150" s="59"/>
      <c r="K150" s="58"/>
      <c r="L150" s="52"/>
    </row>
    <row r="151" spans="2:12">
      <c r="B151" s="50"/>
      <c r="C151" s="51"/>
      <c r="D151" s="44"/>
      <c r="E151" s="44"/>
      <c r="F151" s="44"/>
      <c r="G151" s="44"/>
      <c r="H151" s="44"/>
      <c r="I151" s="61"/>
      <c r="J151" s="59"/>
      <c r="K151" s="58"/>
      <c r="L151" s="52"/>
    </row>
    <row r="152" spans="2:12">
      <c r="B152" s="50"/>
      <c r="C152" s="51"/>
      <c r="D152" s="44"/>
      <c r="E152" s="44"/>
      <c r="F152" s="44"/>
      <c r="G152" s="44"/>
      <c r="H152" s="44"/>
      <c r="I152" s="61"/>
      <c r="J152" s="59"/>
      <c r="K152" s="58"/>
      <c r="L152" s="52"/>
    </row>
    <row r="153" spans="2:12">
      <c r="B153" s="50"/>
      <c r="C153" s="51"/>
      <c r="D153" s="44"/>
      <c r="E153" s="44"/>
      <c r="F153" s="44"/>
      <c r="G153" s="44"/>
      <c r="H153" s="44"/>
      <c r="I153" s="61"/>
      <c r="J153" s="59"/>
      <c r="K153" s="58"/>
      <c r="L153" s="52"/>
    </row>
    <row r="154" spans="2:12">
      <c r="B154" s="50"/>
      <c r="C154" s="51"/>
      <c r="D154" s="44"/>
      <c r="E154" s="44"/>
      <c r="F154" s="44"/>
      <c r="G154" s="44"/>
      <c r="H154" s="44"/>
      <c r="I154" s="61"/>
      <c r="J154" s="59"/>
      <c r="K154" s="58"/>
      <c r="L154" s="52"/>
    </row>
    <row r="155" spans="2:12">
      <c r="B155" s="50"/>
      <c r="C155" s="51"/>
      <c r="D155" s="44"/>
      <c r="E155" s="44"/>
      <c r="F155" s="44"/>
      <c r="G155" s="44"/>
      <c r="H155" s="44"/>
      <c r="I155" s="61"/>
      <c r="J155" s="59"/>
      <c r="K155" s="58"/>
      <c r="L155" s="52"/>
    </row>
    <row r="156" spans="2:12">
      <c r="B156" s="50"/>
      <c r="C156" s="51"/>
      <c r="D156" s="44"/>
      <c r="E156" s="44"/>
      <c r="F156" s="44"/>
      <c r="G156" s="44"/>
      <c r="H156" s="44"/>
      <c r="I156" s="61"/>
      <c r="J156" s="59"/>
      <c r="K156" s="58"/>
      <c r="L156" s="52"/>
    </row>
    <row r="157" spans="2:12">
      <c r="B157" s="50"/>
      <c r="C157" s="51"/>
      <c r="D157" s="44"/>
      <c r="E157" s="44"/>
      <c r="F157" s="44"/>
      <c r="G157" s="44"/>
      <c r="H157" s="44"/>
      <c r="I157" s="61"/>
      <c r="J157" s="59"/>
      <c r="K157" s="58"/>
      <c r="L157" s="52"/>
    </row>
    <row r="158" spans="2:12">
      <c r="B158" s="50"/>
      <c r="C158" s="51"/>
      <c r="D158" s="44"/>
      <c r="E158" s="44"/>
      <c r="F158" s="44"/>
      <c r="G158" s="44"/>
      <c r="H158" s="44"/>
      <c r="I158" s="61"/>
      <c r="J158" s="59"/>
      <c r="K158" s="58"/>
      <c r="L158" s="52"/>
    </row>
    <row r="159" spans="2:12">
      <c r="B159" s="50"/>
      <c r="C159" s="51"/>
      <c r="D159" s="44"/>
      <c r="E159" s="44"/>
      <c r="F159" s="44"/>
      <c r="G159" s="44"/>
      <c r="H159" s="44"/>
      <c r="I159" s="61"/>
      <c r="J159" s="59"/>
      <c r="K159" s="58"/>
      <c r="L159" s="52"/>
    </row>
    <row r="160" spans="2:12">
      <c r="B160" s="50"/>
      <c r="C160" s="51"/>
      <c r="D160" s="44"/>
      <c r="E160" s="44"/>
      <c r="F160" s="44"/>
      <c r="G160" s="44"/>
      <c r="H160" s="44"/>
      <c r="I160" s="61"/>
      <c r="J160" s="59"/>
      <c r="K160" s="58"/>
      <c r="L160" s="52"/>
    </row>
    <row r="161" spans="2:12">
      <c r="B161" s="50"/>
      <c r="C161" s="51"/>
      <c r="D161" s="44"/>
      <c r="E161" s="44"/>
      <c r="F161" s="44"/>
      <c r="G161" s="44"/>
      <c r="H161" s="44"/>
      <c r="I161" s="61"/>
      <c r="J161" s="59"/>
      <c r="K161" s="58"/>
      <c r="L161" s="52"/>
    </row>
    <row r="162" spans="2:12">
      <c r="B162" s="50"/>
      <c r="C162" s="51"/>
      <c r="D162" s="44"/>
      <c r="E162" s="44"/>
      <c r="F162" s="44"/>
      <c r="G162" s="44"/>
      <c r="H162" s="44"/>
      <c r="I162" s="61"/>
      <c r="J162" s="59"/>
      <c r="K162" s="58"/>
      <c r="L162" s="52"/>
    </row>
    <row r="163" spans="2:12">
      <c r="B163" s="50"/>
      <c r="C163" s="51"/>
      <c r="D163" s="44"/>
      <c r="E163" s="44"/>
      <c r="F163" s="44"/>
      <c r="G163" s="44"/>
      <c r="H163" s="44"/>
      <c r="I163" s="61"/>
      <c r="J163" s="59"/>
      <c r="K163" s="58"/>
      <c r="L163" s="52"/>
    </row>
    <row r="164" spans="2:12">
      <c r="B164" s="50"/>
      <c r="C164" s="51"/>
      <c r="D164" s="44"/>
      <c r="E164" s="44"/>
      <c r="F164" s="44"/>
      <c r="G164" s="44"/>
      <c r="H164" s="44"/>
      <c r="I164" s="61"/>
      <c r="J164" s="59"/>
      <c r="K164" s="58"/>
      <c r="L164" s="52"/>
    </row>
    <row r="165" spans="2:12">
      <c r="B165" s="50"/>
      <c r="C165" s="51"/>
      <c r="D165" s="44"/>
      <c r="E165" s="44"/>
      <c r="F165" s="44"/>
      <c r="G165" s="44"/>
      <c r="H165" s="44"/>
      <c r="I165" s="61"/>
      <c r="J165" s="59"/>
      <c r="K165" s="58"/>
      <c r="L165" s="52"/>
    </row>
    <row r="166" spans="2:12">
      <c r="B166" s="50"/>
      <c r="C166" s="51"/>
      <c r="D166" s="44"/>
      <c r="E166" s="44"/>
      <c r="F166" s="44"/>
      <c r="G166" s="44"/>
      <c r="H166" s="44"/>
      <c r="I166" s="61"/>
      <c r="J166" s="59"/>
      <c r="K166" s="58"/>
      <c r="L166" s="52"/>
    </row>
    <row r="167" spans="2:12">
      <c r="B167" s="50"/>
      <c r="C167" s="51"/>
      <c r="D167" s="44"/>
      <c r="E167" s="44"/>
      <c r="F167" s="44"/>
      <c r="G167" s="44"/>
      <c r="H167" s="44"/>
      <c r="I167" s="61"/>
      <c r="J167" s="59"/>
      <c r="K167" s="58"/>
      <c r="L167" s="52"/>
    </row>
    <row r="168" spans="2:12">
      <c r="B168" s="50"/>
      <c r="C168" s="51"/>
      <c r="D168" s="44"/>
      <c r="E168" s="44"/>
      <c r="F168" s="44"/>
      <c r="G168" s="44"/>
      <c r="H168" s="44"/>
      <c r="I168" s="61"/>
      <c r="J168" s="59"/>
      <c r="K168" s="58"/>
      <c r="L168" s="52"/>
    </row>
    <row r="169" spans="2:12">
      <c r="B169" s="50"/>
      <c r="C169" s="51"/>
      <c r="D169" s="44"/>
      <c r="E169" s="44"/>
      <c r="F169" s="44"/>
      <c r="G169" s="44"/>
      <c r="H169" s="44"/>
      <c r="I169" s="61"/>
      <c r="J169" s="59"/>
      <c r="K169" s="58"/>
      <c r="L169" s="52"/>
    </row>
    <row r="170" spans="2:12">
      <c r="B170" s="50"/>
      <c r="C170" s="51"/>
      <c r="D170" s="44"/>
      <c r="E170" s="44"/>
      <c r="F170" s="44"/>
      <c r="G170" s="44"/>
      <c r="H170" s="44"/>
      <c r="I170" s="61"/>
      <c r="J170" s="59"/>
      <c r="K170" s="58"/>
      <c r="L170" s="52"/>
    </row>
    <row r="171" spans="2:12">
      <c r="B171" s="50"/>
      <c r="C171" s="51"/>
      <c r="D171" s="44"/>
      <c r="E171" s="44"/>
      <c r="F171" s="44"/>
      <c r="G171" s="44"/>
      <c r="H171" s="44"/>
      <c r="I171" s="61"/>
      <c r="J171" s="59"/>
      <c r="K171" s="58"/>
      <c r="L171" s="52"/>
    </row>
    <row r="172" spans="2:12">
      <c r="B172" s="50"/>
      <c r="C172" s="51"/>
      <c r="D172" s="44"/>
      <c r="E172" s="44"/>
      <c r="F172" s="44"/>
      <c r="G172" s="44"/>
      <c r="H172" s="44"/>
      <c r="I172" s="61"/>
      <c r="J172" s="59"/>
      <c r="K172" s="58"/>
      <c r="L172" s="52"/>
    </row>
    <row r="173" spans="2:12">
      <c r="B173" s="50"/>
      <c r="C173" s="51"/>
      <c r="D173" s="44"/>
      <c r="E173" s="44"/>
      <c r="F173" s="44"/>
      <c r="G173" s="44"/>
      <c r="H173" s="44"/>
      <c r="I173" s="61"/>
      <c r="J173" s="59"/>
      <c r="K173" s="58"/>
      <c r="L173" s="52"/>
    </row>
    <row r="174" spans="2:12">
      <c r="B174" s="50"/>
      <c r="C174" s="51"/>
      <c r="D174" s="44"/>
      <c r="E174" s="44"/>
      <c r="F174" s="44"/>
      <c r="G174" s="44"/>
      <c r="H174" s="44"/>
      <c r="I174" s="61"/>
      <c r="J174" s="59"/>
      <c r="K174" s="58"/>
      <c r="L174" s="52"/>
    </row>
    <row r="175" spans="2:12">
      <c r="B175" s="50"/>
      <c r="C175" s="51"/>
      <c r="D175" s="44"/>
      <c r="E175" s="44"/>
      <c r="F175" s="44"/>
      <c r="G175" s="44"/>
      <c r="H175" s="44"/>
      <c r="I175" s="61"/>
      <c r="J175" s="59"/>
      <c r="K175" s="58"/>
      <c r="L175" s="52"/>
    </row>
    <row r="176" spans="2:12">
      <c r="B176" s="50"/>
      <c r="C176" s="51"/>
      <c r="D176" s="44"/>
      <c r="E176" s="44"/>
      <c r="F176" s="44"/>
      <c r="G176" s="44"/>
      <c r="H176" s="44"/>
      <c r="I176" s="61"/>
      <c r="J176" s="59"/>
      <c r="K176" s="58"/>
      <c r="L176" s="52"/>
    </row>
    <row r="177" spans="2:12">
      <c r="B177" s="50"/>
      <c r="C177" s="51"/>
      <c r="D177" s="44"/>
      <c r="E177" s="44"/>
      <c r="F177" s="44"/>
      <c r="G177" s="44"/>
      <c r="H177" s="44"/>
      <c r="I177" s="61"/>
      <c r="J177" s="59"/>
      <c r="K177" s="58"/>
      <c r="L177" s="52"/>
    </row>
    <row r="178" spans="2:12">
      <c r="B178" s="50"/>
      <c r="C178" s="51"/>
      <c r="D178" s="44"/>
      <c r="E178" s="44"/>
      <c r="F178" s="44"/>
      <c r="G178" s="44"/>
      <c r="H178" s="44"/>
      <c r="I178" s="61"/>
      <c r="J178" s="59"/>
      <c r="K178" s="58"/>
      <c r="L178" s="52"/>
    </row>
    <row r="179" spans="2:12">
      <c r="B179" s="50"/>
      <c r="C179" s="51"/>
      <c r="D179" s="44"/>
      <c r="E179" s="44"/>
      <c r="F179" s="44"/>
      <c r="G179" s="44"/>
      <c r="H179" s="44"/>
      <c r="I179" s="61"/>
      <c r="J179" s="59"/>
      <c r="K179" s="58"/>
      <c r="L179" s="52"/>
    </row>
    <row r="180" spans="2:12">
      <c r="B180" s="50"/>
      <c r="C180" s="51"/>
      <c r="D180" s="44"/>
      <c r="E180" s="44"/>
      <c r="F180" s="44"/>
      <c r="G180" s="44"/>
      <c r="H180" s="44"/>
      <c r="I180" s="61"/>
      <c r="J180" s="59"/>
      <c r="K180" s="58"/>
      <c r="L180" s="52"/>
    </row>
    <row r="181" spans="2:12">
      <c r="B181" s="50"/>
      <c r="C181" s="51"/>
      <c r="D181" s="44"/>
      <c r="E181" s="44"/>
      <c r="F181" s="44"/>
      <c r="G181" s="44"/>
      <c r="H181" s="44"/>
      <c r="I181" s="61"/>
      <c r="J181" s="59"/>
      <c r="K181" s="58"/>
      <c r="L181" s="52"/>
    </row>
    <row r="182" spans="2:12">
      <c r="B182" s="50"/>
      <c r="C182" s="51"/>
      <c r="D182" s="44"/>
      <c r="E182" s="44"/>
      <c r="F182" s="44"/>
      <c r="G182" s="44"/>
      <c r="H182" s="44"/>
      <c r="I182" s="61"/>
      <c r="J182" s="59"/>
      <c r="K182" s="58"/>
      <c r="L182" s="52"/>
    </row>
    <row r="183" spans="2:12">
      <c r="B183" s="50"/>
      <c r="C183" s="51"/>
      <c r="D183" s="44"/>
      <c r="E183" s="44"/>
      <c r="F183" s="44"/>
      <c r="G183" s="44"/>
      <c r="H183" s="44"/>
      <c r="I183" s="61"/>
      <c r="J183" s="59"/>
      <c r="K183" s="58"/>
      <c r="L183" s="52"/>
    </row>
    <row r="184" spans="2:12">
      <c r="B184" s="50"/>
      <c r="C184" s="51"/>
      <c r="D184" s="44"/>
      <c r="E184" s="44"/>
      <c r="F184" s="44"/>
      <c r="G184" s="44"/>
      <c r="H184" s="44"/>
      <c r="I184" s="61"/>
      <c r="J184" s="59"/>
      <c r="K184" s="58"/>
      <c r="L184" s="52"/>
    </row>
    <row r="185" spans="2:12">
      <c r="B185" s="50"/>
      <c r="C185" s="51"/>
      <c r="D185" s="44"/>
      <c r="E185" s="44"/>
      <c r="F185" s="44"/>
      <c r="G185" s="44"/>
      <c r="H185" s="44"/>
      <c r="I185" s="61"/>
      <c r="J185" s="59"/>
      <c r="K185" s="58"/>
      <c r="L185" s="52"/>
    </row>
    <row r="186" spans="2:12">
      <c r="B186" s="50"/>
      <c r="C186" s="51"/>
      <c r="D186" s="44"/>
      <c r="E186" s="44"/>
      <c r="F186" s="44"/>
      <c r="G186" s="44"/>
      <c r="H186" s="44"/>
      <c r="I186" s="61"/>
      <c r="J186" s="59"/>
      <c r="K186" s="58"/>
      <c r="L186" s="52"/>
    </row>
    <row r="187" spans="2:12">
      <c r="B187" s="50"/>
      <c r="C187" s="51"/>
      <c r="D187" s="44"/>
      <c r="E187" s="44"/>
      <c r="F187" s="44"/>
      <c r="G187" s="44"/>
      <c r="H187" s="44"/>
      <c r="I187" s="61"/>
      <c r="J187" s="59"/>
      <c r="K187" s="58"/>
      <c r="L187" s="52"/>
    </row>
    <row r="188" spans="2:12">
      <c r="B188" s="50"/>
      <c r="C188" s="51"/>
      <c r="D188" s="44"/>
      <c r="E188" s="44"/>
      <c r="F188" s="44"/>
      <c r="G188" s="44"/>
      <c r="H188" s="44"/>
      <c r="I188" s="61"/>
      <c r="J188" s="59"/>
      <c r="K188" s="58"/>
      <c r="L188" s="52"/>
    </row>
    <row r="189" spans="2:12">
      <c r="B189" s="50"/>
      <c r="C189" s="51"/>
      <c r="D189" s="44"/>
      <c r="E189" s="44"/>
      <c r="F189" s="44"/>
      <c r="G189" s="44"/>
      <c r="H189" s="44"/>
      <c r="I189" s="61"/>
      <c r="J189" s="59"/>
      <c r="K189" s="58"/>
      <c r="L189" s="52"/>
    </row>
    <row r="190" spans="2:12">
      <c r="B190" s="50"/>
      <c r="C190" s="51"/>
      <c r="D190" s="44"/>
      <c r="E190" s="44"/>
      <c r="F190" s="44"/>
      <c r="G190" s="44"/>
      <c r="H190" s="44"/>
      <c r="I190" s="61"/>
      <c r="J190" s="59"/>
      <c r="K190" s="58"/>
      <c r="L190" s="52"/>
    </row>
    <row r="191" spans="2:12">
      <c r="B191" s="50"/>
      <c r="C191" s="51"/>
      <c r="D191" s="44"/>
      <c r="E191" s="44"/>
      <c r="F191" s="44"/>
      <c r="G191" s="44"/>
      <c r="H191" s="44"/>
      <c r="I191" s="61"/>
      <c r="J191" s="59"/>
      <c r="K191" s="58"/>
      <c r="L191" s="52"/>
    </row>
    <row r="192" spans="2:12">
      <c r="B192" s="50"/>
      <c r="C192" s="51"/>
      <c r="D192" s="44"/>
      <c r="E192" s="44"/>
      <c r="F192" s="44"/>
      <c r="G192" s="44"/>
      <c r="H192" s="44"/>
      <c r="I192" s="61"/>
      <c r="J192" s="59"/>
      <c r="K192" s="58"/>
      <c r="L192" s="52"/>
    </row>
    <row r="193" spans="2:12">
      <c r="B193" s="50"/>
      <c r="C193" s="51"/>
      <c r="D193" s="44"/>
      <c r="E193" s="44"/>
      <c r="F193" s="44"/>
      <c r="G193" s="44"/>
      <c r="H193" s="44"/>
      <c r="I193" s="61"/>
      <c r="J193" s="59"/>
      <c r="K193" s="58"/>
      <c r="L193" s="52"/>
    </row>
    <row r="194" spans="2:12">
      <c r="B194" s="50"/>
      <c r="C194" s="51"/>
      <c r="D194" s="44"/>
      <c r="E194" s="44"/>
      <c r="F194" s="44"/>
      <c r="G194" s="44"/>
      <c r="H194" s="44"/>
      <c r="I194" s="61"/>
      <c r="J194" s="59"/>
      <c r="K194" s="58"/>
      <c r="L194" s="52"/>
    </row>
    <row r="195" spans="2:12">
      <c r="B195" s="50"/>
      <c r="C195" s="51"/>
      <c r="D195" s="44"/>
      <c r="E195" s="44"/>
      <c r="F195" s="44"/>
      <c r="G195" s="44"/>
      <c r="H195" s="44"/>
      <c r="I195" s="61"/>
      <c r="J195" s="59"/>
      <c r="K195" s="58"/>
      <c r="L195" s="52"/>
    </row>
    <row r="196" spans="2:12">
      <c r="B196" s="50"/>
      <c r="C196" s="51"/>
      <c r="D196" s="44"/>
      <c r="E196" s="44"/>
      <c r="F196" s="44"/>
      <c r="G196" s="44"/>
      <c r="H196" s="44"/>
      <c r="I196" s="61"/>
      <c r="J196" s="59"/>
      <c r="K196" s="58"/>
      <c r="L196" s="52"/>
    </row>
    <row r="197" spans="2:12">
      <c r="B197" s="50"/>
      <c r="C197" s="51"/>
      <c r="D197" s="44"/>
      <c r="E197" s="44"/>
      <c r="F197" s="44"/>
      <c r="G197" s="44"/>
      <c r="H197" s="44"/>
      <c r="I197" s="61"/>
      <c r="J197" s="59"/>
      <c r="K197" s="58"/>
      <c r="L197" s="52"/>
    </row>
    <row r="198" spans="2:12">
      <c r="B198" s="50"/>
      <c r="C198" s="51"/>
      <c r="D198" s="44"/>
      <c r="E198" s="44"/>
      <c r="F198" s="44"/>
      <c r="G198" s="44"/>
      <c r="H198" s="44"/>
      <c r="I198" s="61"/>
      <c r="J198" s="59"/>
      <c r="K198" s="58"/>
      <c r="L198" s="52"/>
    </row>
    <row r="199" spans="2:12">
      <c r="B199" s="50"/>
      <c r="C199" s="51"/>
      <c r="D199" s="44"/>
      <c r="E199" s="44"/>
      <c r="F199" s="44"/>
      <c r="G199" s="44"/>
      <c r="H199" s="44"/>
      <c r="I199" s="61"/>
      <c r="J199" s="59"/>
      <c r="K199" s="58"/>
      <c r="L199" s="52"/>
    </row>
    <row r="200" spans="2:12">
      <c r="B200" s="50"/>
      <c r="C200" s="51"/>
      <c r="D200" s="44"/>
      <c r="E200" s="44"/>
      <c r="F200" s="44"/>
      <c r="G200" s="44"/>
      <c r="H200" s="44"/>
      <c r="I200" s="61"/>
      <c r="J200" s="59"/>
      <c r="K200" s="58"/>
      <c r="L200" s="52"/>
    </row>
    <row r="201" spans="2:12">
      <c r="B201" s="50"/>
      <c r="C201" s="51"/>
      <c r="D201" s="44"/>
      <c r="E201" s="44"/>
      <c r="F201" s="44"/>
      <c r="G201" s="44"/>
      <c r="H201" s="44"/>
      <c r="I201" s="61"/>
      <c r="J201" s="59"/>
      <c r="K201" s="58"/>
      <c r="L201" s="52"/>
    </row>
    <row r="202" spans="2:12">
      <c r="B202" s="50"/>
      <c r="C202" s="51"/>
      <c r="D202" s="44"/>
      <c r="E202" s="44"/>
      <c r="F202" s="44"/>
      <c r="G202" s="44"/>
      <c r="H202" s="44"/>
      <c r="I202" s="61"/>
      <c r="J202" s="59"/>
      <c r="K202" s="58"/>
      <c r="L202" s="52"/>
    </row>
    <row r="203" spans="2:12">
      <c r="B203" s="50"/>
      <c r="C203" s="51"/>
      <c r="D203" s="44"/>
      <c r="E203" s="44"/>
      <c r="F203" s="44"/>
      <c r="G203" s="44"/>
      <c r="H203" s="44"/>
      <c r="I203" s="61"/>
      <c r="J203" s="59"/>
      <c r="K203" s="58"/>
      <c r="L203" s="52"/>
    </row>
    <row r="204" spans="2:12">
      <c r="B204" s="50"/>
      <c r="C204" s="51"/>
      <c r="D204" s="44"/>
      <c r="E204" s="44"/>
      <c r="F204" s="44"/>
      <c r="G204" s="44"/>
      <c r="H204" s="44"/>
      <c r="I204" s="61"/>
      <c r="J204" s="59"/>
      <c r="K204" s="58"/>
      <c r="L204" s="52"/>
    </row>
    <row r="205" spans="2:12">
      <c r="B205" s="50"/>
      <c r="C205" s="51"/>
      <c r="D205" s="44"/>
      <c r="E205" s="44"/>
      <c r="F205" s="44"/>
      <c r="G205" s="44"/>
      <c r="H205" s="44"/>
      <c r="I205" s="61"/>
      <c r="J205" s="59"/>
      <c r="K205" s="58"/>
      <c r="L205" s="52"/>
    </row>
    <row r="206" spans="2:12">
      <c r="B206" s="50"/>
      <c r="C206" s="51"/>
      <c r="D206" s="44"/>
      <c r="E206" s="44"/>
      <c r="F206" s="44"/>
      <c r="G206" s="44"/>
      <c r="H206" s="44"/>
      <c r="I206" s="61"/>
      <c r="J206" s="59"/>
      <c r="K206" s="58"/>
      <c r="L206" s="52"/>
    </row>
    <row r="207" spans="2:12">
      <c r="B207" s="50"/>
      <c r="C207" s="51"/>
      <c r="D207" s="44"/>
      <c r="E207" s="44"/>
      <c r="F207" s="44"/>
      <c r="G207" s="44"/>
      <c r="H207" s="44"/>
      <c r="I207" s="61"/>
      <c r="J207" s="59"/>
      <c r="K207" s="58"/>
      <c r="L207" s="52"/>
    </row>
    <row r="208" spans="2:12">
      <c r="B208" s="50"/>
      <c r="C208" s="51"/>
      <c r="D208" s="44"/>
      <c r="E208" s="44"/>
      <c r="F208" s="44"/>
      <c r="G208" s="44"/>
      <c r="H208" s="44"/>
      <c r="I208" s="61"/>
      <c r="J208" s="59"/>
      <c r="K208" s="58"/>
      <c r="L208" s="52"/>
    </row>
    <row r="209" spans="2:12">
      <c r="B209" s="50"/>
      <c r="C209" s="51"/>
      <c r="D209" s="44"/>
      <c r="E209" s="44"/>
      <c r="F209" s="44"/>
      <c r="G209" s="44"/>
      <c r="H209" s="44"/>
      <c r="I209" s="61"/>
      <c r="J209" s="59"/>
      <c r="K209" s="58"/>
      <c r="L209" s="52"/>
    </row>
    <row r="210" spans="2:12">
      <c r="B210" s="50"/>
      <c r="C210" s="51"/>
      <c r="D210" s="44"/>
      <c r="E210" s="44"/>
      <c r="F210" s="44"/>
      <c r="G210" s="44"/>
      <c r="H210" s="44"/>
      <c r="I210" s="61"/>
      <c r="J210" s="59"/>
      <c r="K210" s="58"/>
      <c r="L210" s="52"/>
    </row>
    <row r="211" spans="2:12">
      <c r="B211" s="50"/>
      <c r="C211" s="51"/>
      <c r="D211" s="44"/>
      <c r="E211" s="44"/>
      <c r="F211" s="44"/>
      <c r="G211" s="44"/>
      <c r="H211" s="44"/>
      <c r="I211" s="61"/>
      <c r="J211" s="59"/>
      <c r="K211" s="58"/>
      <c r="L211" s="52"/>
    </row>
    <row r="212" spans="2:12">
      <c r="B212" s="50"/>
      <c r="C212" s="51"/>
      <c r="D212" s="44"/>
      <c r="E212" s="44"/>
      <c r="F212" s="44"/>
      <c r="G212" s="44"/>
      <c r="H212" s="44"/>
      <c r="I212" s="61"/>
      <c r="J212" s="59"/>
      <c r="K212" s="58"/>
      <c r="L212" s="52"/>
    </row>
    <row r="213" spans="2:12">
      <c r="B213" s="50"/>
      <c r="C213" s="51"/>
      <c r="D213" s="44"/>
      <c r="E213" s="44"/>
      <c r="F213" s="44"/>
      <c r="G213" s="44"/>
      <c r="H213" s="44"/>
      <c r="I213" s="61"/>
      <c r="J213" s="59"/>
      <c r="K213" s="58"/>
      <c r="L213" s="52"/>
    </row>
    <row r="214" spans="2:12">
      <c r="B214" s="50"/>
      <c r="C214" s="51"/>
      <c r="D214" s="44"/>
      <c r="E214" s="44"/>
      <c r="F214" s="44"/>
      <c r="G214" s="44"/>
      <c r="H214" s="44"/>
      <c r="I214" s="61"/>
      <c r="J214" s="59"/>
      <c r="K214" s="58"/>
      <c r="L214" s="52"/>
    </row>
    <row r="215" spans="2:12">
      <c r="B215" s="50"/>
      <c r="C215" s="51"/>
      <c r="D215" s="44"/>
      <c r="E215" s="44"/>
      <c r="F215" s="44"/>
      <c r="G215" s="44"/>
      <c r="H215" s="44"/>
      <c r="I215" s="61"/>
      <c r="J215" s="59"/>
      <c r="K215" s="58"/>
      <c r="L215" s="52"/>
    </row>
    <row r="216" spans="2:12">
      <c r="B216" s="50"/>
      <c r="C216" s="51"/>
      <c r="D216" s="44"/>
      <c r="E216" s="44"/>
      <c r="F216" s="44"/>
      <c r="G216" s="44"/>
      <c r="H216" s="44"/>
      <c r="I216" s="61"/>
      <c r="J216" s="59"/>
      <c r="K216" s="58"/>
      <c r="L216" s="52"/>
    </row>
    <row r="217" spans="2:12">
      <c r="B217" s="50"/>
      <c r="C217" s="51"/>
      <c r="D217" s="44"/>
      <c r="E217" s="44"/>
      <c r="F217" s="44"/>
      <c r="G217" s="44"/>
      <c r="H217" s="44"/>
      <c r="I217" s="61"/>
      <c r="J217" s="59"/>
      <c r="K217" s="58"/>
      <c r="L217" s="52"/>
    </row>
    <row r="218" spans="2:12">
      <c r="B218" s="50"/>
      <c r="C218" s="51"/>
      <c r="D218" s="44"/>
      <c r="E218" s="44"/>
      <c r="F218" s="44"/>
      <c r="G218" s="44"/>
      <c r="H218" s="44"/>
      <c r="I218" s="61"/>
      <c r="J218" s="59"/>
      <c r="K218" s="58"/>
      <c r="L218" s="52"/>
    </row>
    <row r="219" spans="2:12">
      <c r="B219" s="50"/>
      <c r="C219" s="51"/>
      <c r="D219" s="44"/>
      <c r="E219" s="44"/>
      <c r="F219" s="44"/>
      <c r="G219" s="44"/>
      <c r="H219" s="44"/>
      <c r="I219" s="61"/>
      <c r="J219" s="59"/>
      <c r="K219" s="58"/>
      <c r="L219" s="52"/>
    </row>
    <row r="220" spans="2:12">
      <c r="B220" s="50"/>
      <c r="C220" s="51"/>
      <c r="D220" s="44"/>
      <c r="E220" s="44"/>
      <c r="F220" s="44"/>
      <c r="G220" s="44"/>
      <c r="H220" s="44"/>
      <c r="I220" s="61"/>
      <c r="J220" s="59"/>
      <c r="K220" s="58"/>
      <c r="L220" s="52"/>
    </row>
    <row r="221" spans="2:12">
      <c r="B221" s="50"/>
      <c r="C221" s="51"/>
      <c r="D221" s="44"/>
      <c r="E221" s="44"/>
      <c r="F221" s="44"/>
      <c r="G221" s="44"/>
      <c r="H221" s="44"/>
      <c r="I221" s="61"/>
      <c r="J221" s="59"/>
      <c r="K221" s="58"/>
      <c r="L221" s="52"/>
    </row>
    <row r="222" spans="2:12">
      <c r="B222" s="50"/>
      <c r="C222" s="51"/>
      <c r="D222" s="44"/>
      <c r="E222" s="44"/>
      <c r="F222" s="44"/>
      <c r="G222" s="44"/>
      <c r="H222" s="44"/>
      <c r="I222" s="61"/>
      <c r="J222" s="59"/>
      <c r="K222" s="58"/>
      <c r="L222" s="52"/>
    </row>
    <row r="223" spans="2:12">
      <c r="B223" s="50"/>
      <c r="C223" s="51"/>
      <c r="D223" s="44"/>
      <c r="E223" s="44"/>
      <c r="F223" s="44"/>
      <c r="G223" s="44"/>
      <c r="H223" s="44"/>
      <c r="I223" s="61"/>
      <c r="J223" s="59"/>
      <c r="K223" s="58"/>
      <c r="L223" s="52"/>
    </row>
    <row r="224" spans="2:12">
      <c r="B224" s="50"/>
      <c r="C224" s="51"/>
      <c r="D224" s="44"/>
      <c r="E224" s="44"/>
      <c r="F224" s="44"/>
      <c r="G224" s="44"/>
      <c r="H224" s="44"/>
      <c r="I224" s="61"/>
      <c r="J224" s="59"/>
      <c r="K224" s="58"/>
      <c r="L224" s="52"/>
    </row>
    <row r="225" spans="2:12">
      <c r="B225" s="50"/>
      <c r="C225" s="51"/>
      <c r="D225" s="44"/>
      <c r="E225" s="44"/>
      <c r="F225" s="44"/>
      <c r="G225" s="44"/>
      <c r="H225" s="44"/>
      <c r="I225" s="61"/>
      <c r="J225" s="59"/>
      <c r="K225" s="58"/>
      <c r="L225" s="52"/>
    </row>
    <row r="226" spans="2:12">
      <c r="B226" s="50"/>
      <c r="C226" s="51"/>
      <c r="D226" s="44"/>
      <c r="E226" s="44"/>
      <c r="F226" s="44"/>
      <c r="G226" s="44"/>
      <c r="H226" s="44"/>
      <c r="I226" s="61"/>
      <c r="J226" s="59"/>
      <c r="K226" s="58"/>
      <c r="L226" s="52"/>
    </row>
    <row r="227" spans="2:12">
      <c r="B227" s="50"/>
      <c r="C227" s="51"/>
      <c r="D227" s="44"/>
      <c r="E227" s="44"/>
      <c r="F227" s="44"/>
      <c r="G227" s="44"/>
      <c r="H227" s="44"/>
      <c r="I227" s="61"/>
      <c r="J227" s="59"/>
      <c r="K227" s="58"/>
      <c r="L227" s="52"/>
    </row>
    <row r="228" spans="2:12">
      <c r="B228" s="50"/>
      <c r="C228" s="51"/>
      <c r="D228" s="44"/>
      <c r="E228" s="44"/>
      <c r="F228" s="44"/>
      <c r="G228" s="44"/>
      <c r="H228" s="44"/>
      <c r="I228" s="61"/>
      <c r="J228" s="59"/>
      <c r="K228" s="58"/>
      <c r="L228" s="52"/>
    </row>
    <row r="229" spans="2:12">
      <c r="B229" s="50"/>
      <c r="C229" s="51"/>
      <c r="D229" s="44"/>
      <c r="E229" s="44"/>
      <c r="F229" s="44"/>
      <c r="G229" s="44"/>
      <c r="H229" s="44"/>
      <c r="I229" s="61"/>
      <c r="J229" s="59"/>
      <c r="K229" s="58"/>
      <c r="L229" s="52"/>
    </row>
    <row r="230" spans="2:12">
      <c r="B230" s="50"/>
      <c r="C230" s="51"/>
      <c r="D230" s="44"/>
      <c r="E230" s="44"/>
      <c r="F230" s="44"/>
      <c r="G230" s="44"/>
      <c r="H230" s="44"/>
      <c r="I230" s="61"/>
      <c r="J230" s="59"/>
      <c r="K230" s="58"/>
      <c r="L230" s="52"/>
    </row>
    <row r="231" spans="2:12">
      <c r="B231" s="50"/>
      <c r="C231" s="51"/>
      <c r="D231" s="44"/>
      <c r="E231" s="44"/>
      <c r="F231" s="44"/>
      <c r="G231" s="44"/>
      <c r="H231" s="44"/>
      <c r="I231" s="61"/>
      <c r="J231" s="59"/>
      <c r="K231" s="58"/>
      <c r="L231" s="52"/>
    </row>
    <row r="232" spans="2:12">
      <c r="B232" s="50"/>
      <c r="C232" s="51"/>
      <c r="D232" s="44"/>
      <c r="E232" s="44"/>
      <c r="F232" s="44"/>
      <c r="G232" s="44"/>
      <c r="H232" s="44"/>
      <c r="I232" s="61"/>
      <c r="J232" s="59"/>
      <c r="K232" s="58"/>
      <c r="L232" s="52"/>
    </row>
    <row r="233" spans="2:12">
      <c r="B233" s="50"/>
      <c r="C233" s="51"/>
      <c r="D233" s="44"/>
      <c r="E233" s="44"/>
      <c r="F233" s="44"/>
      <c r="G233" s="44"/>
      <c r="H233" s="44"/>
      <c r="I233" s="61"/>
      <c r="J233" s="59"/>
      <c r="K233" s="58"/>
      <c r="L233" s="52"/>
    </row>
    <row r="234" spans="2:12">
      <c r="B234" s="50"/>
      <c r="C234" s="51"/>
      <c r="D234" s="44"/>
      <c r="E234" s="44"/>
      <c r="F234" s="44"/>
      <c r="G234" s="44"/>
      <c r="H234" s="44"/>
      <c r="I234" s="61"/>
      <c r="J234" s="59"/>
      <c r="K234" s="58"/>
      <c r="L234" s="52"/>
    </row>
    <row r="235" spans="2:12">
      <c r="B235" s="50"/>
      <c r="C235" s="51"/>
      <c r="D235" s="44"/>
      <c r="E235" s="44"/>
      <c r="F235" s="44"/>
      <c r="G235" s="44"/>
      <c r="H235" s="44"/>
      <c r="I235" s="61"/>
      <c r="J235" s="59"/>
      <c r="K235" s="58"/>
      <c r="L235" s="52"/>
    </row>
    <row r="236" spans="2:12">
      <c r="B236" s="50"/>
      <c r="C236" s="51"/>
      <c r="D236" s="44"/>
      <c r="E236" s="44"/>
      <c r="F236" s="44"/>
      <c r="G236" s="44"/>
      <c r="H236" s="44"/>
      <c r="I236" s="61"/>
      <c r="J236" s="59"/>
      <c r="K236" s="58"/>
      <c r="L236" s="52"/>
    </row>
    <row r="237" spans="2:12">
      <c r="B237" s="50"/>
      <c r="C237" s="51"/>
      <c r="D237" s="44"/>
      <c r="E237" s="44"/>
      <c r="F237" s="44"/>
      <c r="G237" s="44"/>
      <c r="H237" s="44"/>
      <c r="I237" s="61"/>
      <c r="J237" s="59"/>
      <c r="K237" s="58"/>
      <c r="L237" s="52"/>
    </row>
    <row r="238" spans="2:12">
      <c r="B238" s="50"/>
      <c r="C238" s="51"/>
      <c r="D238" s="44"/>
      <c r="E238" s="44"/>
      <c r="F238" s="44"/>
      <c r="G238" s="44"/>
      <c r="H238" s="44"/>
      <c r="I238" s="61"/>
      <c r="J238" s="59"/>
      <c r="K238" s="58"/>
      <c r="L238" s="52"/>
    </row>
    <row r="239" spans="2:12">
      <c r="B239" s="50"/>
      <c r="C239" s="51"/>
      <c r="D239" s="44"/>
      <c r="E239" s="44"/>
      <c r="F239" s="44"/>
      <c r="G239" s="44"/>
      <c r="H239" s="44"/>
      <c r="I239" s="61"/>
      <c r="J239" s="59"/>
      <c r="K239" s="58"/>
      <c r="L239" s="52"/>
    </row>
    <row r="240" spans="2:12">
      <c r="B240" s="50"/>
      <c r="C240" s="51"/>
      <c r="D240" s="44"/>
      <c r="E240" s="44"/>
      <c r="F240" s="44"/>
      <c r="G240" s="44"/>
      <c r="H240" s="44"/>
      <c r="I240" s="61"/>
      <c r="J240" s="59"/>
      <c r="K240" s="58"/>
      <c r="L240" s="52"/>
    </row>
    <row r="241" spans="2:12">
      <c r="B241" s="50"/>
      <c r="C241" s="51"/>
      <c r="D241" s="44"/>
      <c r="E241" s="44"/>
      <c r="F241" s="44"/>
      <c r="G241" s="44"/>
      <c r="H241" s="44"/>
      <c r="I241" s="61"/>
      <c r="J241" s="59"/>
      <c r="K241" s="58"/>
      <c r="L241" s="52"/>
    </row>
    <row r="242" spans="2:12">
      <c r="B242" s="50"/>
      <c r="C242" s="51"/>
      <c r="D242" s="44"/>
      <c r="E242" s="44"/>
      <c r="F242" s="44"/>
      <c r="G242" s="44"/>
      <c r="H242" s="44"/>
      <c r="I242" s="61"/>
      <c r="J242" s="59"/>
      <c r="K242" s="58"/>
      <c r="L242" s="52"/>
    </row>
    <row r="243" spans="2:12">
      <c r="B243" s="50"/>
      <c r="C243" s="51"/>
      <c r="D243" s="44"/>
      <c r="E243" s="44"/>
      <c r="F243" s="44"/>
      <c r="G243" s="44"/>
      <c r="H243" s="44"/>
      <c r="I243" s="61"/>
      <c r="J243" s="59"/>
      <c r="K243" s="58"/>
      <c r="L243" s="52"/>
    </row>
    <row r="244" spans="2:12">
      <c r="B244" s="50"/>
      <c r="C244" s="51"/>
      <c r="D244" s="44"/>
      <c r="E244" s="44"/>
      <c r="F244" s="44"/>
      <c r="G244" s="44"/>
      <c r="H244" s="44"/>
      <c r="I244" s="61"/>
      <c r="J244" s="59"/>
      <c r="K244" s="58"/>
      <c r="L244" s="52"/>
    </row>
    <row r="245" spans="2:12">
      <c r="B245" s="50"/>
      <c r="C245" s="51"/>
      <c r="D245" s="44"/>
      <c r="E245" s="44"/>
      <c r="F245" s="44"/>
      <c r="G245" s="44"/>
      <c r="H245" s="44"/>
      <c r="I245" s="61"/>
      <c r="J245" s="59"/>
      <c r="K245" s="58"/>
      <c r="L245" s="52"/>
    </row>
    <row r="246" spans="2:12">
      <c r="B246" s="50"/>
      <c r="C246" s="51"/>
      <c r="D246" s="44"/>
      <c r="E246" s="44"/>
      <c r="F246" s="44"/>
      <c r="G246" s="44"/>
      <c r="H246" s="44"/>
      <c r="I246" s="61"/>
      <c r="J246" s="59"/>
      <c r="K246" s="58"/>
      <c r="L246" s="52"/>
    </row>
    <row r="247" spans="2:12">
      <c r="B247" s="50"/>
      <c r="C247" s="51"/>
      <c r="D247" s="44"/>
      <c r="E247" s="44"/>
      <c r="F247" s="44"/>
      <c r="G247" s="44"/>
      <c r="H247" s="44"/>
      <c r="I247" s="61"/>
      <c r="J247" s="59"/>
      <c r="K247" s="58"/>
      <c r="L247" s="52"/>
    </row>
    <row r="248" spans="2:12">
      <c r="B248" s="50"/>
      <c r="C248" s="51"/>
      <c r="D248" s="44"/>
      <c r="E248" s="44"/>
      <c r="F248" s="44"/>
      <c r="G248" s="44"/>
      <c r="H248" s="44"/>
      <c r="I248" s="61"/>
      <c r="J248" s="59"/>
      <c r="K248" s="58"/>
      <c r="L248" s="52"/>
    </row>
    <row r="249" spans="2:12">
      <c r="B249" s="50"/>
      <c r="C249" s="51"/>
      <c r="D249" s="44"/>
      <c r="E249" s="44"/>
      <c r="F249" s="44"/>
      <c r="G249" s="44"/>
      <c r="H249" s="44"/>
      <c r="I249" s="61"/>
      <c r="J249" s="59"/>
      <c r="K249" s="58"/>
      <c r="L249" s="52"/>
    </row>
    <row r="250" spans="2:12">
      <c r="B250" s="50"/>
      <c r="C250" s="51"/>
      <c r="D250" s="44"/>
      <c r="E250" s="44"/>
      <c r="F250" s="44"/>
      <c r="G250" s="44"/>
      <c r="H250" s="44"/>
      <c r="I250" s="61"/>
      <c r="J250" s="59"/>
      <c r="K250" s="58"/>
      <c r="L250" s="52"/>
    </row>
    <row r="251" spans="2:12">
      <c r="B251" s="50"/>
      <c r="C251" s="51"/>
      <c r="D251" s="44"/>
      <c r="E251" s="44"/>
      <c r="F251" s="44"/>
      <c r="G251" s="44"/>
      <c r="H251" s="44"/>
      <c r="I251" s="61"/>
      <c r="J251" s="59"/>
      <c r="K251" s="58"/>
      <c r="L251" s="52"/>
    </row>
    <row r="252" spans="2:12">
      <c r="B252" s="50"/>
      <c r="C252" s="51"/>
      <c r="D252" s="44"/>
      <c r="E252" s="44"/>
      <c r="F252" s="44"/>
      <c r="G252" s="44"/>
      <c r="H252" s="44"/>
      <c r="I252" s="61"/>
      <c r="J252" s="59"/>
      <c r="K252" s="58"/>
      <c r="L252" s="52"/>
    </row>
    <row r="253" spans="2:12">
      <c r="B253" s="50"/>
      <c r="C253" s="51"/>
      <c r="D253" s="44"/>
      <c r="E253" s="44"/>
      <c r="F253" s="44"/>
      <c r="G253" s="44"/>
      <c r="H253" s="44"/>
      <c r="I253" s="61"/>
      <c r="J253" s="59"/>
      <c r="K253" s="58"/>
      <c r="L253" s="52"/>
    </row>
    <row r="254" spans="2:12">
      <c r="B254" s="50"/>
      <c r="C254" s="51"/>
      <c r="D254" s="44"/>
      <c r="E254" s="44"/>
      <c r="F254" s="44"/>
      <c r="G254" s="44"/>
      <c r="H254" s="44"/>
      <c r="I254" s="61"/>
      <c r="J254" s="59"/>
      <c r="K254" s="58"/>
      <c r="L254" s="52"/>
    </row>
    <row r="255" spans="2:12">
      <c r="B255" s="50"/>
      <c r="C255" s="51"/>
      <c r="D255" s="44"/>
      <c r="E255" s="44"/>
      <c r="F255" s="44"/>
      <c r="G255" s="44"/>
      <c r="H255" s="44"/>
      <c r="I255" s="61"/>
      <c r="J255" s="59"/>
      <c r="K255" s="58"/>
      <c r="L255" s="52"/>
    </row>
    <row r="256" spans="2:12">
      <c r="B256" s="50"/>
      <c r="C256" s="51"/>
      <c r="D256" s="44"/>
      <c r="E256" s="44"/>
      <c r="F256" s="44"/>
      <c r="G256" s="44"/>
      <c r="H256" s="44"/>
      <c r="I256" s="61"/>
      <c r="J256" s="59"/>
      <c r="K256" s="58"/>
      <c r="L256" s="52"/>
    </row>
    <row r="257" spans="2:12">
      <c r="B257" s="50"/>
      <c r="C257" s="51"/>
      <c r="D257" s="44"/>
      <c r="E257" s="44"/>
      <c r="F257" s="44"/>
      <c r="G257" s="44"/>
      <c r="H257" s="44"/>
      <c r="I257" s="61"/>
      <c r="J257" s="59"/>
      <c r="K257" s="58"/>
      <c r="L257" s="52"/>
    </row>
    <row r="258" spans="2:12">
      <c r="B258" s="50"/>
      <c r="C258" s="51"/>
      <c r="D258" s="44"/>
      <c r="E258" s="44"/>
      <c r="F258" s="44"/>
      <c r="G258" s="44"/>
      <c r="H258" s="44"/>
      <c r="I258" s="61"/>
      <c r="J258" s="59"/>
      <c r="K258" s="58"/>
      <c r="L258" s="52"/>
    </row>
    <row r="259" spans="2:12">
      <c r="B259" s="50"/>
      <c r="C259" s="51"/>
      <c r="D259" s="44"/>
      <c r="E259" s="44"/>
      <c r="F259" s="44"/>
      <c r="G259" s="44"/>
      <c r="H259" s="44"/>
      <c r="I259" s="61"/>
      <c r="J259" s="59"/>
      <c r="K259" s="58"/>
      <c r="L259" s="52"/>
    </row>
    <row r="260" spans="2:12">
      <c r="B260" s="50"/>
      <c r="C260" s="51"/>
      <c r="D260" s="44"/>
      <c r="E260" s="44"/>
      <c r="F260" s="44"/>
      <c r="G260" s="44"/>
      <c r="H260" s="44"/>
      <c r="I260" s="61"/>
      <c r="J260" s="59"/>
      <c r="K260" s="58"/>
      <c r="L260" s="52"/>
    </row>
    <row r="261" spans="2:12">
      <c r="B261" s="50"/>
      <c r="C261" s="51"/>
      <c r="D261" s="44"/>
      <c r="E261" s="44"/>
      <c r="F261" s="44"/>
      <c r="G261" s="44"/>
      <c r="H261" s="44"/>
      <c r="I261" s="61"/>
      <c r="J261" s="59"/>
      <c r="K261" s="58"/>
      <c r="L261" s="52"/>
    </row>
    <row r="262" spans="2:12">
      <c r="B262" s="50"/>
      <c r="C262" s="51"/>
      <c r="D262" s="44"/>
      <c r="E262" s="44"/>
      <c r="F262" s="44"/>
      <c r="G262" s="44"/>
      <c r="H262" s="44"/>
      <c r="I262" s="61"/>
      <c r="J262" s="59"/>
      <c r="K262" s="58"/>
      <c r="L262" s="52"/>
    </row>
    <row r="263" spans="2:12">
      <c r="B263" s="50"/>
      <c r="C263" s="51"/>
      <c r="D263" s="44"/>
      <c r="E263" s="44"/>
      <c r="F263" s="44"/>
      <c r="G263" s="44"/>
      <c r="H263" s="44"/>
      <c r="I263" s="61"/>
      <c r="J263" s="59"/>
      <c r="K263" s="58"/>
      <c r="L263" s="52"/>
    </row>
    <row r="264" spans="2:12">
      <c r="B264" s="50"/>
      <c r="C264" s="51"/>
      <c r="D264" s="44"/>
      <c r="E264" s="44"/>
      <c r="F264" s="44"/>
      <c r="G264" s="44"/>
      <c r="H264" s="44"/>
      <c r="I264" s="61"/>
      <c r="J264" s="59"/>
      <c r="K264" s="58"/>
      <c r="L264" s="52"/>
    </row>
    <row r="265" spans="2:12">
      <c r="B265" s="50"/>
      <c r="C265" s="51"/>
      <c r="D265" s="44"/>
      <c r="E265" s="44"/>
      <c r="F265" s="44"/>
      <c r="G265" s="44"/>
      <c r="H265" s="44"/>
      <c r="I265" s="61"/>
      <c r="J265" s="59"/>
      <c r="K265" s="58"/>
      <c r="L265" s="52"/>
    </row>
    <row r="266" spans="2:12">
      <c r="B266" s="50"/>
      <c r="C266" s="51"/>
      <c r="D266" s="44"/>
      <c r="E266" s="44"/>
      <c r="F266" s="44"/>
      <c r="G266" s="44"/>
      <c r="H266" s="44"/>
      <c r="I266" s="61"/>
      <c r="J266" s="59"/>
      <c r="K266" s="58"/>
      <c r="L266" s="52"/>
    </row>
    <row r="267" spans="2:12">
      <c r="B267" s="50"/>
      <c r="C267" s="51"/>
      <c r="D267" s="44"/>
      <c r="E267" s="44"/>
      <c r="F267" s="44"/>
      <c r="G267" s="44"/>
      <c r="H267" s="44"/>
      <c r="I267" s="61"/>
      <c r="J267" s="59"/>
      <c r="K267" s="58"/>
      <c r="L267" s="52"/>
    </row>
    <row r="268" spans="2:12">
      <c r="B268" s="50"/>
      <c r="C268" s="51"/>
      <c r="D268" s="44"/>
      <c r="E268" s="44"/>
      <c r="F268" s="44"/>
      <c r="G268" s="44"/>
      <c r="H268" s="44"/>
      <c r="I268" s="61"/>
      <c r="J268" s="59"/>
      <c r="K268" s="58"/>
      <c r="L268" s="52"/>
    </row>
    <row r="269" spans="2:12">
      <c r="B269" s="50"/>
      <c r="C269" s="51"/>
      <c r="D269" s="44"/>
      <c r="E269" s="44"/>
      <c r="F269" s="44"/>
      <c r="G269" s="44"/>
      <c r="H269" s="44"/>
      <c r="I269" s="61"/>
      <c r="J269" s="59"/>
      <c r="K269" s="58"/>
      <c r="L269" s="52"/>
    </row>
    <row r="270" spans="2:12">
      <c r="B270" s="50"/>
      <c r="C270" s="51"/>
      <c r="D270" s="44"/>
      <c r="E270" s="44"/>
      <c r="F270" s="44"/>
      <c r="G270" s="44"/>
      <c r="H270" s="44"/>
      <c r="I270" s="61"/>
      <c r="J270" s="59"/>
      <c r="K270" s="58"/>
      <c r="L270" s="52"/>
    </row>
    <row r="271" spans="2:12">
      <c r="B271" s="50"/>
      <c r="C271" s="51"/>
      <c r="D271" s="44"/>
      <c r="E271" s="44"/>
      <c r="F271" s="44"/>
      <c r="G271" s="44"/>
      <c r="H271" s="44"/>
      <c r="I271" s="61"/>
      <c r="J271" s="59"/>
      <c r="K271" s="58"/>
      <c r="L271" s="52"/>
    </row>
    <row r="272" spans="2:12">
      <c r="B272" s="50"/>
      <c r="C272" s="51"/>
      <c r="D272" s="44"/>
      <c r="E272" s="44"/>
      <c r="F272" s="44"/>
      <c r="G272" s="44"/>
      <c r="H272" s="44"/>
      <c r="I272" s="61"/>
      <c r="J272" s="59"/>
      <c r="K272" s="58"/>
      <c r="L272" s="52"/>
    </row>
    <row r="273" spans="2:12">
      <c r="B273" s="50"/>
      <c r="C273" s="51"/>
      <c r="D273" s="44"/>
      <c r="E273" s="44"/>
      <c r="F273" s="44"/>
      <c r="G273" s="44"/>
      <c r="H273" s="44"/>
      <c r="I273" s="61"/>
      <c r="J273" s="59"/>
      <c r="K273" s="58"/>
      <c r="L273" s="52"/>
    </row>
    <row r="274" spans="2:12">
      <c r="B274" s="50"/>
      <c r="C274" s="51"/>
      <c r="D274" s="44"/>
      <c r="E274" s="44"/>
      <c r="F274" s="44"/>
      <c r="G274" s="44"/>
      <c r="H274" s="44"/>
      <c r="I274" s="61"/>
      <c r="J274" s="59"/>
      <c r="K274" s="58"/>
      <c r="L274" s="52"/>
    </row>
    <row r="275" spans="2:12">
      <c r="B275" s="50"/>
      <c r="C275" s="51"/>
      <c r="D275" s="44"/>
      <c r="E275" s="44"/>
      <c r="F275" s="44"/>
      <c r="G275" s="44"/>
      <c r="H275" s="44"/>
      <c r="I275" s="61"/>
      <c r="J275" s="59"/>
      <c r="K275" s="58"/>
      <c r="L275" s="52"/>
    </row>
    <row r="276" spans="2:12">
      <c r="B276" s="50"/>
      <c r="C276" s="51"/>
      <c r="D276" s="44"/>
      <c r="E276" s="44"/>
      <c r="F276" s="44"/>
      <c r="G276" s="44"/>
      <c r="H276" s="44"/>
      <c r="I276" s="61"/>
      <c r="J276" s="59"/>
      <c r="K276" s="58"/>
      <c r="L276" s="52"/>
    </row>
    <row r="277" spans="2:12">
      <c r="B277" s="50"/>
      <c r="C277" s="51"/>
      <c r="D277" s="44"/>
      <c r="E277" s="44"/>
      <c r="F277" s="44"/>
      <c r="G277" s="44"/>
      <c r="H277" s="44"/>
      <c r="I277" s="61"/>
      <c r="J277" s="59"/>
      <c r="K277" s="58"/>
      <c r="L277" s="52"/>
    </row>
    <row r="278" spans="2:12">
      <c r="B278" s="50"/>
      <c r="C278" s="51"/>
      <c r="D278" s="44"/>
      <c r="E278" s="44"/>
      <c r="F278" s="44"/>
      <c r="G278" s="44"/>
      <c r="H278" s="44"/>
      <c r="I278" s="61"/>
      <c r="J278" s="59"/>
      <c r="K278" s="58"/>
      <c r="L278" s="52"/>
    </row>
    <row r="279" spans="2:12">
      <c r="B279" s="50"/>
      <c r="C279" s="51"/>
      <c r="D279" s="44"/>
      <c r="E279" s="44"/>
      <c r="F279" s="44"/>
      <c r="G279" s="44"/>
      <c r="H279" s="44"/>
      <c r="I279" s="61"/>
      <c r="J279" s="59"/>
      <c r="K279" s="58"/>
      <c r="L279" s="52"/>
    </row>
    <row r="280" spans="2:12">
      <c r="B280" s="50"/>
      <c r="C280" s="51"/>
      <c r="D280" s="44"/>
      <c r="E280" s="44"/>
      <c r="F280" s="44"/>
      <c r="G280" s="44"/>
      <c r="H280" s="44"/>
      <c r="I280" s="61"/>
      <c r="J280" s="59"/>
      <c r="K280" s="58"/>
      <c r="L280" s="52"/>
    </row>
    <row r="281" spans="2:12">
      <c r="B281" s="50"/>
      <c r="C281" s="51"/>
      <c r="D281" s="44"/>
      <c r="E281" s="44"/>
      <c r="F281" s="44"/>
      <c r="G281" s="44"/>
      <c r="H281" s="44"/>
      <c r="I281" s="61"/>
      <c r="J281" s="59"/>
      <c r="K281" s="58"/>
      <c r="L281" s="52"/>
    </row>
    <row r="282" spans="2:12">
      <c r="B282" s="50"/>
      <c r="C282" s="51"/>
      <c r="D282" s="44"/>
      <c r="E282" s="44"/>
      <c r="F282" s="44"/>
      <c r="G282" s="44"/>
      <c r="H282" s="44"/>
      <c r="I282" s="61"/>
      <c r="J282" s="59"/>
      <c r="K282" s="58"/>
      <c r="L282" s="52"/>
    </row>
    <row r="283" spans="2:12">
      <c r="B283" s="50"/>
      <c r="C283" s="51"/>
      <c r="D283" s="44"/>
      <c r="E283" s="44"/>
      <c r="F283" s="44"/>
      <c r="G283" s="44"/>
      <c r="H283" s="44"/>
      <c r="I283" s="61"/>
      <c r="J283" s="59"/>
      <c r="K283" s="58"/>
      <c r="L283" s="52"/>
    </row>
    <row r="284" spans="2:12">
      <c r="B284" s="50"/>
      <c r="C284" s="51"/>
      <c r="D284" s="44"/>
      <c r="E284" s="44"/>
      <c r="F284" s="44"/>
      <c r="G284" s="44"/>
      <c r="H284" s="44"/>
      <c r="I284" s="61"/>
      <c r="J284" s="59"/>
      <c r="K284" s="58"/>
      <c r="L284" s="52"/>
    </row>
    <row r="285" spans="2:12">
      <c r="B285" s="50"/>
      <c r="C285" s="51"/>
      <c r="D285" s="44"/>
      <c r="E285" s="44"/>
      <c r="F285" s="44"/>
      <c r="G285" s="44"/>
      <c r="H285" s="44"/>
      <c r="I285" s="61"/>
      <c r="J285" s="59"/>
      <c r="K285" s="58"/>
      <c r="L285" s="52"/>
    </row>
    <row r="286" spans="2:12">
      <c r="B286" s="50"/>
      <c r="C286" s="51"/>
      <c r="D286" s="44"/>
      <c r="E286" s="44"/>
      <c r="F286" s="44"/>
      <c r="G286" s="44"/>
      <c r="H286" s="44"/>
      <c r="I286" s="61"/>
      <c r="J286" s="59"/>
      <c r="K286" s="58"/>
      <c r="L286" s="52"/>
    </row>
    <row r="287" spans="2:12">
      <c r="B287" s="50"/>
      <c r="C287" s="51"/>
      <c r="D287" s="44"/>
      <c r="E287" s="44"/>
      <c r="F287" s="44"/>
      <c r="G287" s="44"/>
      <c r="H287" s="44"/>
      <c r="I287" s="61"/>
      <c r="J287" s="59"/>
      <c r="K287" s="58"/>
      <c r="L287" s="52"/>
    </row>
    <row r="288" spans="2:12">
      <c r="B288" s="50"/>
      <c r="C288" s="51"/>
      <c r="D288" s="44"/>
      <c r="E288" s="44"/>
      <c r="F288" s="44"/>
      <c r="G288" s="44"/>
      <c r="H288" s="44"/>
      <c r="I288" s="61"/>
      <c r="J288" s="59"/>
      <c r="K288" s="58"/>
      <c r="L288" s="52"/>
    </row>
    <row r="289" spans="2:12">
      <c r="B289" s="50"/>
      <c r="C289" s="51"/>
      <c r="D289" s="44"/>
      <c r="E289" s="44"/>
      <c r="F289" s="44"/>
      <c r="G289" s="44"/>
      <c r="H289" s="44"/>
      <c r="I289" s="61"/>
      <c r="J289" s="59"/>
      <c r="K289" s="58"/>
      <c r="L289" s="52"/>
    </row>
    <row r="290" spans="2:12">
      <c r="B290" s="50"/>
      <c r="C290" s="51"/>
      <c r="D290" s="44"/>
      <c r="E290" s="44"/>
      <c r="F290" s="44"/>
      <c r="G290" s="44"/>
      <c r="H290" s="44"/>
      <c r="I290" s="61"/>
      <c r="J290" s="59"/>
      <c r="K290" s="58"/>
      <c r="L290" s="52"/>
    </row>
    <row r="291" spans="2:12">
      <c r="B291" s="50"/>
      <c r="C291" s="51"/>
      <c r="D291" s="44"/>
      <c r="E291" s="44"/>
      <c r="F291" s="44"/>
      <c r="G291" s="44"/>
      <c r="H291" s="44"/>
      <c r="I291" s="61"/>
      <c r="J291" s="59"/>
      <c r="K291" s="58"/>
      <c r="L291" s="52"/>
    </row>
    <row r="292" spans="2:12">
      <c r="B292" s="50"/>
      <c r="C292" s="51"/>
      <c r="D292" s="44"/>
      <c r="E292" s="44"/>
      <c r="F292" s="44"/>
      <c r="G292" s="44"/>
      <c r="H292" s="44"/>
      <c r="I292" s="61"/>
      <c r="J292" s="59"/>
      <c r="K292" s="58"/>
      <c r="L292" s="52"/>
    </row>
    <row r="293" spans="2:12">
      <c r="B293" s="50"/>
      <c r="C293" s="51"/>
      <c r="D293" s="44"/>
      <c r="E293" s="44"/>
      <c r="F293" s="44"/>
      <c r="G293" s="44"/>
      <c r="H293" s="44"/>
      <c r="I293" s="61"/>
      <c r="J293" s="59"/>
      <c r="K293" s="58"/>
      <c r="L293" s="52"/>
    </row>
    <row r="294" spans="2:12">
      <c r="B294" s="50"/>
      <c r="C294" s="51"/>
      <c r="D294" s="44"/>
      <c r="E294" s="44"/>
      <c r="F294" s="44"/>
      <c r="G294" s="44"/>
      <c r="H294" s="44"/>
      <c r="I294" s="61"/>
      <c r="J294" s="59"/>
      <c r="K294" s="58"/>
      <c r="L294" s="52"/>
    </row>
    <row r="295" spans="2:12">
      <c r="B295" s="50"/>
      <c r="C295" s="51"/>
      <c r="D295" s="44"/>
      <c r="E295" s="44"/>
      <c r="F295" s="44"/>
      <c r="G295" s="44"/>
      <c r="H295" s="44"/>
      <c r="I295" s="61"/>
      <c r="J295" s="59"/>
      <c r="K295" s="58"/>
      <c r="L295" s="52"/>
    </row>
    <row r="296" spans="2:12">
      <c r="B296" s="50"/>
      <c r="C296" s="51"/>
      <c r="D296" s="44"/>
      <c r="E296" s="44"/>
      <c r="F296" s="44"/>
      <c r="G296" s="44"/>
      <c r="H296" s="44"/>
      <c r="I296" s="61"/>
      <c r="J296" s="59"/>
      <c r="K296" s="58"/>
      <c r="L296" s="52"/>
    </row>
    <row r="297" spans="2:12">
      <c r="B297" s="50"/>
      <c r="C297" s="51"/>
      <c r="D297" s="44"/>
      <c r="E297" s="44"/>
      <c r="F297" s="44"/>
      <c r="G297" s="44"/>
      <c r="H297" s="44"/>
      <c r="I297" s="61"/>
      <c r="J297" s="59"/>
      <c r="K297" s="58"/>
      <c r="L297" s="52"/>
    </row>
    <row r="298" spans="2:12">
      <c r="B298" s="50"/>
      <c r="C298" s="51"/>
      <c r="D298" s="44"/>
      <c r="E298" s="44"/>
      <c r="F298" s="44"/>
      <c r="G298" s="44"/>
      <c r="H298" s="44"/>
      <c r="I298" s="61"/>
      <c r="J298" s="59"/>
      <c r="K298" s="58"/>
      <c r="L298" s="52"/>
    </row>
    <row r="299" spans="2:12">
      <c r="B299" s="50"/>
      <c r="C299" s="51"/>
      <c r="D299" s="44"/>
      <c r="E299" s="44"/>
      <c r="F299" s="44"/>
      <c r="G299" s="44"/>
      <c r="H299" s="44"/>
      <c r="I299" s="61"/>
      <c r="J299" s="59"/>
      <c r="K299" s="58"/>
      <c r="L299" s="52"/>
    </row>
    <row r="300" spans="2:12">
      <c r="B300" s="50"/>
      <c r="C300" s="51"/>
      <c r="D300" s="44"/>
      <c r="E300" s="44"/>
      <c r="F300" s="44"/>
      <c r="G300" s="44"/>
      <c r="H300" s="44"/>
      <c r="I300" s="61"/>
      <c r="J300" s="59"/>
      <c r="K300" s="58"/>
      <c r="L300" s="52"/>
    </row>
    <row r="301" spans="2:12">
      <c r="B301" s="50"/>
      <c r="C301" s="51"/>
      <c r="D301" s="44"/>
      <c r="E301" s="44"/>
      <c r="F301" s="44"/>
      <c r="G301" s="44"/>
      <c r="H301" s="44"/>
      <c r="I301" s="61"/>
      <c r="J301" s="59"/>
      <c r="K301" s="58"/>
      <c r="L301" s="52"/>
    </row>
    <row r="302" spans="2:12">
      <c r="B302" s="50"/>
      <c r="C302" s="51"/>
      <c r="D302" s="44"/>
      <c r="E302" s="44"/>
      <c r="F302" s="44"/>
      <c r="G302" s="44"/>
      <c r="H302" s="44"/>
      <c r="I302" s="61"/>
      <c r="J302" s="59"/>
      <c r="K302" s="58"/>
      <c r="L302" s="52"/>
    </row>
    <row r="303" spans="2:12">
      <c r="B303" s="50"/>
      <c r="C303" s="51"/>
      <c r="D303" s="44"/>
      <c r="E303" s="44"/>
      <c r="F303" s="44"/>
      <c r="G303" s="44"/>
      <c r="H303" s="44"/>
      <c r="I303" s="61"/>
      <c r="J303" s="59"/>
      <c r="K303" s="58"/>
      <c r="L303" s="52"/>
    </row>
    <row r="304" spans="2:12">
      <c r="B304" s="50"/>
      <c r="C304" s="51"/>
      <c r="D304" s="44"/>
      <c r="E304" s="44"/>
      <c r="F304" s="44"/>
      <c r="G304" s="44"/>
      <c r="H304" s="44"/>
      <c r="I304" s="61"/>
      <c r="J304" s="59"/>
      <c r="K304" s="58"/>
      <c r="L304" s="52"/>
    </row>
    <row r="305" spans="2:12">
      <c r="B305" s="50"/>
      <c r="C305" s="51"/>
      <c r="D305" s="44"/>
      <c r="E305" s="44"/>
      <c r="F305" s="44"/>
      <c r="G305" s="44"/>
      <c r="H305" s="44"/>
      <c r="I305" s="61"/>
      <c r="J305" s="59"/>
      <c r="K305" s="58"/>
      <c r="L305" s="52"/>
    </row>
    <row r="306" spans="2:12">
      <c r="B306" s="50"/>
      <c r="C306" s="51"/>
      <c r="D306" s="44"/>
      <c r="E306" s="44"/>
      <c r="F306" s="44"/>
      <c r="G306" s="44"/>
      <c r="H306" s="44"/>
      <c r="I306" s="61"/>
      <c r="J306" s="59"/>
      <c r="K306" s="58"/>
      <c r="L306" s="52"/>
    </row>
    <row r="307" spans="2:12">
      <c r="B307" s="50"/>
      <c r="C307" s="51"/>
      <c r="D307" s="44"/>
      <c r="E307" s="44"/>
      <c r="F307" s="44"/>
      <c r="G307" s="44"/>
      <c r="H307" s="44"/>
      <c r="I307" s="61"/>
      <c r="J307" s="59"/>
      <c r="K307" s="58"/>
      <c r="L307" s="52"/>
    </row>
    <row r="308" spans="2:12">
      <c r="B308" s="50"/>
      <c r="C308" s="51"/>
      <c r="D308" s="44"/>
      <c r="E308" s="44"/>
      <c r="F308" s="44"/>
      <c r="G308" s="44"/>
      <c r="H308" s="44"/>
      <c r="I308" s="61"/>
      <c r="J308" s="59"/>
      <c r="K308" s="58"/>
      <c r="L308" s="52"/>
    </row>
    <row r="309" spans="2:12">
      <c r="B309" s="50"/>
      <c r="C309" s="51"/>
      <c r="D309" s="44"/>
      <c r="E309" s="44"/>
      <c r="F309" s="44"/>
      <c r="G309" s="44"/>
      <c r="H309" s="44"/>
      <c r="I309" s="61"/>
      <c r="J309" s="59"/>
      <c r="K309" s="58"/>
      <c r="L309" s="52"/>
    </row>
    <row r="310" spans="2:12">
      <c r="B310" s="50"/>
      <c r="C310" s="51"/>
      <c r="D310" s="44"/>
      <c r="E310" s="44"/>
      <c r="F310" s="44"/>
      <c r="G310" s="44"/>
      <c r="H310" s="44"/>
      <c r="I310" s="61"/>
      <c r="J310" s="59"/>
      <c r="K310" s="58"/>
      <c r="L310" s="52"/>
    </row>
    <row r="311" spans="2:12">
      <c r="B311" s="50"/>
      <c r="C311" s="51"/>
      <c r="D311" s="44"/>
      <c r="E311" s="44"/>
      <c r="F311" s="44"/>
      <c r="G311" s="44"/>
      <c r="H311" s="44"/>
      <c r="I311" s="61"/>
      <c r="J311" s="59"/>
      <c r="K311" s="58"/>
      <c r="L311" s="52"/>
    </row>
    <row r="312" spans="2:12">
      <c r="B312" s="50"/>
      <c r="C312" s="51"/>
      <c r="D312" s="44"/>
      <c r="E312" s="44"/>
      <c r="F312" s="44"/>
      <c r="G312" s="44"/>
      <c r="H312" s="44"/>
      <c r="I312" s="61"/>
      <c r="J312" s="59"/>
      <c r="K312" s="58"/>
      <c r="L312" s="52"/>
    </row>
    <row r="313" spans="2:12">
      <c r="B313" s="50"/>
      <c r="C313" s="51"/>
      <c r="D313" s="44"/>
      <c r="E313" s="44"/>
      <c r="F313" s="44"/>
      <c r="G313" s="44"/>
      <c r="H313" s="44"/>
      <c r="I313" s="61"/>
      <c r="J313" s="59"/>
      <c r="K313" s="58"/>
      <c r="L313" s="52"/>
    </row>
    <row r="314" spans="2:12">
      <c r="B314" s="50"/>
      <c r="C314" s="51"/>
      <c r="D314" s="44"/>
      <c r="E314" s="44"/>
      <c r="F314" s="44"/>
      <c r="G314" s="44"/>
      <c r="H314" s="44"/>
      <c r="I314" s="61"/>
      <c r="J314" s="59"/>
      <c r="K314" s="58"/>
      <c r="L314" s="52"/>
    </row>
    <row r="315" spans="2:12">
      <c r="B315" s="50"/>
      <c r="C315" s="51"/>
      <c r="D315" s="44"/>
      <c r="E315" s="44"/>
      <c r="F315" s="44"/>
      <c r="G315" s="44"/>
      <c r="H315" s="44"/>
      <c r="I315" s="61"/>
      <c r="J315" s="59"/>
      <c r="K315" s="58"/>
      <c r="L315" s="52"/>
    </row>
    <row r="316" spans="2:12">
      <c r="B316" s="50"/>
      <c r="C316" s="51"/>
      <c r="D316" s="44"/>
      <c r="E316" s="44"/>
      <c r="F316" s="44"/>
      <c r="G316" s="44"/>
      <c r="H316" s="44"/>
      <c r="I316" s="61"/>
      <c r="J316" s="59"/>
      <c r="K316" s="58"/>
      <c r="L316" s="52"/>
    </row>
    <row r="317" spans="2:12">
      <c r="B317" s="50"/>
      <c r="C317" s="51"/>
      <c r="D317" s="44"/>
      <c r="E317" s="44"/>
      <c r="F317" s="44"/>
      <c r="G317" s="44"/>
      <c r="H317" s="44"/>
      <c r="I317" s="61"/>
      <c r="J317" s="59"/>
      <c r="K317" s="58"/>
      <c r="L317" s="52"/>
    </row>
    <row r="318" spans="2:12">
      <c r="B318" s="50"/>
      <c r="C318" s="51"/>
      <c r="D318" s="44"/>
      <c r="E318" s="44"/>
      <c r="F318" s="44"/>
      <c r="G318" s="44"/>
      <c r="H318" s="44"/>
      <c r="I318" s="61"/>
      <c r="J318" s="59"/>
      <c r="K318" s="58"/>
      <c r="L318" s="52"/>
    </row>
    <row r="319" spans="2:12">
      <c r="B319" s="50"/>
      <c r="C319" s="51"/>
      <c r="D319" s="44"/>
      <c r="E319" s="44"/>
      <c r="F319" s="44"/>
      <c r="G319" s="44"/>
      <c r="H319" s="44"/>
      <c r="I319" s="61"/>
      <c r="J319" s="59"/>
      <c r="K319" s="58"/>
      <c r="L319" s="52"/>
    </row>
    <row r="320" spans="2:12">
      <c r="B320" s="50"/>
      <c r="C320" s="51"/>
      <c r="D320" s="44"/>
      <c r="E320" s="44"/>
      <c r="F320" s="44"/>
      <c r="G320" s="44"/>
      <c r="H320" s="44"/>
      <c r="I320" s="61"/>
      <c r="J320" s="59"/>
      <c r="K320" s="58"/>
      <c r="L320" s="52"/>
    </row>
    <row r="321" spans="2:12">
      <c r="B321" s="50"/>
      <c r="C321" s="51"/>
      <c r="D321" s="44"/>
      <c r="E321" s="44"/>
      <c r="F321" s="44"/>
      <c r="G321" s="44"/>
      <c r="H321" s="44"/>
      <c r="I321" s="61"/>
      <c r="J321" s="59"/>
      <c r="K321" s="58"/>
      <c r="L321" s="52"/>
    </row>
    <row r="322" spans="2:12">
      <c r="B322" s="50"/>
      <c r="C322" s="51"/>
      <c r="D322" s="44"/>
      <c r="E322" s="44"/>
      <c r="F322" s="44"/>
      <c r="G322" s="44"/>
      <c r="H322" s="44"/>
      <c r="I322" s="61"/>
      <c r="J322" s="59"/>
      <c r="K322" s="58"/>
      <c r="L322" s="52"/>
    </row>
    <row r="323" spans="2:12">
      <c r="B323" s="50"/>
      <c r="C323" s="51"/>
      <c r="D323" s="44"/>
      <c r="E323" s="44"/>
      <c r="F323" s="44"/>
      <c r="G323" s="44"/>
      <c r="H323" s="44"/>
      <c r="I323" s="61"/>
      <c r="J323" s="59"/>
      <c r="K323" s="58"/>
      <c r="L323" s="52"/>
    </row>
    <row r="324" spans="2:12">
      <c r="B324" s="50"/>
      <c r="C324" s="51"/>
      <c r="D324" s="44"/>
      <c r="E324" s="44"/>
      <c r="F324" s="44"/>
      <c r="G324" s="44"/>
      <c r="H324" s="44"/>
      <c r="I324" s="61"/>
      <c r="J324" s="59"/>
      <c r="K324" s="58"/>
      <c r="L324" s="52"/>
    </row>
    <row r="325" spans="2:12">
      <c r="B325" s="50"/>
      <c r="C325" s="51"/>
      <c r="D325" s="44"/>
      <c r="E325" s="44"/>
      <c r="F325" s="44"/>
      <c r="G325" s="44"/>
      <c r="H325" s="44"/>
      <c r="I325" s="61"/>
      <c r="J325" s="59"/>
      <c r="K325" s="58"/>
      <c r="L325" s="52"/>
    </row>
    <row r="326" spans="2:12">
      <c r="B326" s="50"/>
      <c r="C326" s="51"/>
      <c r="D326" s="44"/>
      <c r="E326" s="44"/>
      <c r="F326" s="44"/>
      <c r="G326" s="44"/>
      <c r="H326" s="44"/>
      <c r="I326" s="61"/>
      <c r="J326" s="59"/>
      <c r="K326" s="58"/>
      <c r="L326" s="52"/>
    </row>
    <row r="327" spans="2:12">
      <c r="B327" s="50"/>
      <c r="C327" s="51"/>
      <c r="D327" s="44"/>
      <c r="E327" s="44"/>
      <c r="F327" s="44"/>
      <c r="G327" s="44"/>
      <c r="H327" s="44"/>
      <c r="I327" s="61"/>
      <c r="J327" s="59"/>
      <c r="K327" s="58"/>
      <c r="L327" s="52"/>
    </row>
    <row r="328" spans="2:12">
      <c r="B328" s="50"/>
      <c r="C328" s="51"/>
      <c r="D328" s="44"/>
      <c r="E328" s="44"/>
      <c r="F328" s="44"/>
      <c r="G328" s="44"/>
      <c r="H328" s="44"/>
      <c r="I328" s="61"/>
      <c r="J328" s="59"/>
      <c r="K328" s="58"/>
      <c r="L328" s="52"/>
    </row>
    <row r="329" spans="2:12">
      <c r="B329" s="50"/>
      <c r="C329" s="51"/>
      <c r="D329" s="44"/>
      <c r="E329" s="44"/>
      <c r="F329" s="44"/>
      <c r="G329" s="44"/>
      <c r="H329" s="44"/>
      <c r="I329" s="61"/>
      <c r="J329" s="59"/>
      <c r="K329" s="58"/>
      <c r="L329" s="52"/>
    </row>
    <row r="330" spans="2:12">
      <c r="B330" s="50"/>
      <c r="C330" s="51"/>
      <c r="D330" s="44"/>
      <c r="E330" s="44"/>
      <c r="F330" s="44"/>
      <c r="G330" s="44"/>
      <c r="H330" s="44"/>
      <c r="I330" s="61"/>
      <c r="J330" s="59"/>
      <c r="K330" s="58"/>
      <c r="L330" s="52"/>
    </row>
    <row r="331" spans="2:12">
      <c r="B331" s="50"/>
      <c r="C331" s="51"/>
      <c r="D331" s="44"/>
      <c r="E331" s="44"/>
      <c r="F331" s="44"/>
      <c r="G331" s="44"/>
      <c r="H331" s="44"/>
      <c r="I331" s="61"/>
      <c r="J331" s="59"/>
      <c r="K331" s="58"/>
      <c r="L331" s="52"/>
    </row>
    <row r="332" spans="2:12">
      <c r="B332" s="50"/>
      <c r="C332" s="51"/>
      <c r="D332" s="44"/>
      <c r="E332" s="44"/>
      <c r="F332" s="44"/>
      <c r="G332" s="44"/>
      <c r="H332" s="44"/>
      <c r="I332" s="61"/>
      <c r="J332" s="59"/>
      <c r="K332" s="58"/>
      <c r="L332" s="52"/>
    </row>
    <row r="333" spans="2:12">
      <c r="B333" s="50"/>
      <c r="C333" s="51"/>
      <c r="D333" s="44"/>
      <c r="E333" s="44"/>
      <c r="F333" s="44"/>
      <c r="G333" s="44"/>
      <c r="I333" s="61"/>
      <c r="J333" s="59"/>
      <c r="K333" s="58"/>
      <c r="L333" s="52"/>
    </row>
    <row r="334" spans="2:12">
      <c r="B334" s="50"/>
      <c r="C334" s="51"/>
      <c r="D334" s="44"/>
      <c r="E334" s="44"/>
      <c r="F334" s="44"/>
      <c r="G334" s="44"/>
      <c r="I334" s="61"/>
      <c r="J334" s="59"/>
      <c r="K334" s="58"/>
      <c r="L334" s="52"/>
    </row>
    <row r="335" spans="2:12">
      <c r="B335" s="50"/>
      <c r="C335" s="51"/>
      <c r="D335" s="44"/>
      <c r="E335" s="44"/>
      <c r="F335" s="44"/>
      <c r="G335" s="44"/>
      <c r="I335" s="61"/>
      <c r="J335" s="59"/>
      <c r="K335" s="58"/>
      <c r="L335" s="52"/>
    </row>
    <row r="336" spans="2:12">
      <c r="B336" s="50"/>
      <c r="C336" s="51"/>
      <c r="D336" s="44"/>
      <c r="E336" s="44"/>
      <c r="F336" s="44"/>
      <c r="G336" s="44"/>
      <c r="I336" s="61"/>
      <c r="J336" s="59"/>
      <c r="K336" s="58"/>
      <c r="L336" s="52"/>
    </row>
    <row r="337" spans="2:12">
      <c r="B337" s="50"/>
      <c r="C337" s="51"/>
      <c r="D337" s="44"/>
      <c r="E337" s="44"/>
      <c r="F337" s="44"/>
      <c r="G337" s="44"/>
      <c r="I337" s="61"/>
      <c r="J337" s="59"/>
      <c r="K337" s="58"/>
      <c r="L337" s="52"/>
    </row>
    <row r="338" spans="2:12">
      <c r="B338" s="50"/>
      <c r="C338" s="51"/>
      <c r="D338" s="44"/>
      <c r="E338" s="44"/>
      <c r="F338" s="44"/>
      <c r="G338" s="44"/>
      <c r="I338" s="61"/>
      <c r="J338" s="59"/>
      <c r="K338" s="58"/>
      <c r="L338" s="52"/>
    </row>
    <row r="339" spans="2:12">
      <c r="B339" s="50"/>
      <c r="C339" s="51"/>
      <c r="D339" s="44"/>
      <c r="E339" s="44"/>
      <c r="F339" s="44"/>
      <c r="G339" s="44"/>
      <c r="I339" s="61"/>
      <c r="J339" s="59"/>
      <c r="K339" s="58"/>
      <c r="L339" s="52"/>
    </row>
    <row r="340" spans="2:12">
      <c r="B340" s="50"/>
      <c r="C340" s="51"/>
      <c r="D340" s="44"/>
      <c r="E340" s="44"/>
      <c r="F340" s="44"/>
      <c r="G340" s="44"/>
      <c r="I340" s="61"/>
      <c r="J340" s="59"/>
      <c r="K340" s="58"/>
      <c r="L340" s="52"/>
    </row>
    <row r="341" spans="2:12">
      <c r="B341" s="50"/>
      <c r="C341" s="51"/>
      <c r="D341" s="44"/>
      <c r="E341" s="44"/>
      <c r="F341" s="44"/>
      <c r="G341" s="44"/>
      <c r="I341" s="61"/>
      <c r="J341" s="59"/>
      <c r="K341" s="58"/>
      <c r="L341" s="52"/>
    </row>
    <row r="342" spans="2:12">
      <c r="B342" s="50"/>
      <c r="C342" s="51"/>
      <c r="D342" s="44"/>
      <c r="E342" s="44"/>
      <c r="F342" s="44"/>
      <c r="G342" s="44"/>
      <c r="I342" s="61"/>
      <c r="J342" s="59"/>
      <c r="K342" s="58"/>
      <c r="L342" s="52"/>
    </row>
    <row r="343" spans="2:12">
      <c r="B343" s="50"/>
      <c r="C343" s="51"/>
      <c r="D343" s="44"/>
      <c r="E343" s="44"/>
      <c r="F343" s="44"/>
      <c r="G343" s="44"/>
      <c r="I343" s="61"/>
      <c r="J343" s="59"/>
      <c r="K343" s="58"/>
      <c r="L343" s="52"/>
    </row>
    <row r="344" spans="2:12">
      <c r="B344" s="50"/>
      <c r="C344" s="51"/>
      <c r="D344" s="44"/>
      <c r="E344" s="44"/>
      <c r="F344" s="44"/>
      <c r="G344" s="44"/>
      <c r="I344" s="61"/>
      <c r="J344" s="59"/>
      <c r="K344" s="58"/>
      <c r="L344" s="52"/>
    </row>
    <row r="345" spans="2:12">
      <c r="B345" s="50"/>
      <c r="C345" s="51"/>
      <c r="D345" s="44"/>
      <c r="E345" s="44"/>
      <c r="F345" s="44"/>
      <c r="G345" s="44"/>
      <c r="I345" s="61"/>
      <c r="J345" s="59"/>
      <c r="K345" s="58"/>
      <c r="L345" s="52"/>
    </row>
    <row r="346" spans="2:12">
      <c r="B346" s="50"/>
      <c r="C346" s="51"/>
      <c r="D346" s="44"/>
      <c r="E346" s="44"/>
      <c r="F346" s="44"/>
      <c r="G346" s="44"/>
      <c r="I346" s="61"/>
      <c r="J346" s="59"/>
      <c r="K346" s="58"/>
      <c r="L346" s="52"/>
    </row>
    <row r="347" spans="2:12">
      <c r="B347" s="50"/>
      <c r="C347" s="51"/>
      <c r="D347" s="44"/>
      <c r="E347" s="44"/>
      <c r="F347" s="44"/>
      <c r="G347" s="44"/>
      <c r="I347" s="61"/>
      <c r="J347" s="59"/>
      <c r="K347" s="58"/>
      <c r="L347" s="52"/>
    </row>
    <row r="348" spans="2:12">
      <c r="B348" s="50"/>
      <c r="C348" s="51"/>
      <c r="D348" s="44"/>
      <c r="E348" s="44"/>
      <c r="F348" s="44"/>
      <c r="G348" s="44"/>
      <c r="I348" s="61"/>
      <c r="J348" s="59"/>
      <c r="K348" s="58"/>
      <c r="L348" s="52"/>
    </row>
    <row r="349" spans="2:12">
      <c r="B349" s="50"/>
      <c r="C349" s="51"/>
      <c r="D349" s="44"/>
      <c r="E349" s="44"/>
      <c r="F349" s="44"/>
      <c r="G349" s="44"/>
      <c r="I349" s="61"/>
      <c r="J349" s="59"/>
      <c r="K349" s="58"/>
      <c r="L349" s="52"/>
    </row>
    <row r="350" spans="2:12">
      <c r="B350" s="50"/>
      <c r="C350" s="51"/>
      <c r="D350" s="44"/>
      <c r="E350" s="44"/>
      <c r="F350" s="44"/>
      <c r="G350" s="44"/>
      <c r="I350" s="61"/>
      <c r="J350" s="59"/>
      <c r="K350" s="58"/>
      <c r="L350" s="52"/>
    </row>
    <row r="351" spans="2:12">
      <c r="B351" s="50"/>
      <c r="C351" s="51"/>
      <c r="D351" s="44"/>
      <c r="E351" s="44"/>
      <c r="F351" s="44"/>
      <c r="G351" s="44"/>
      <c r="I351" s="61"/>
      <c r="J351" s="59"/>
      <c r="K351" s="58"/>
      <c r="L351" s="52"/>
    </row>
    <row r="352" spans="2:12">
      <c r="B352" s="50"/>
      <c r="C352" s="51"/>
      <c r="D352" s="44"/>
      <c r="E352" s="44"/>
      <c r="F352" s="44"/>
      <c r="G352" s="44"/>
      <c r="I352" s="61"/>
      <c r="J352" s="59"/>
      <c r="K352" s="58"/>
      <c r="L352" s="52"/>
    </row>
    <row r="353" spans="2:12">
      <c r="B353" s="50"/>
      <c r="C353" s="51"/>
      <c r="D353" s="44"/>
      <c r="E353" s="44"/>
      <c r="F353" s="44"/>
      <c r="G353" s="44"/>
      <c r="I353" s="61"/>
      <c r="J353" s="59"/>
      <c r="K353" s="58"/>
      <c r="L353" s="52"/>
    </row>
    <row r="354" spans="2:12">
      <c r="B354" s="50"/>
      <c r="C354" s="51"/>
      <c r="D354" s="44"/>
      <c r="E354" s="44"/>
      <c r="F354" s="44"/>
      <c r="G354" s="44"/>
      <c r="I354" s="61"/>
      <c r="J354" s="59"/>
      <c r="K354" s="58"/>
      <c r="L354" s="52"/>
    </row>
    <row r="355" spans="2:12">
      <c r="B355" s="50"/>
      <c r="C355" s="51"/>
      <c r="D355" s="44"/>
      <c r="E355" s="44"/>
      <c r="F355" s="44"/>
      <c r="G355" s="44"/>
      <c r="I355" s="61"/>
      <c r="J355" s="59"/>
      <c r="K355" s="58"/>
      <c r="L355" s="52"/>
    </row>
    <row r="356" spans="2:12">
      <c r="B356" s="50"/>
      <c r="C356" s="51"/>
      <c r="D356" s="44"/>
      <c r="E356" s="44"/>
      <c r="F356" s="44"/>
      <c r="G356" s="44"/>
      <c r="I356" s="61"/>
      <c r="J356" s="59"/>
      <c r="K356" s="58"/>
      <c r="L356" s="52"/>
    </row>
    <row r="357" spans="2:12">
      <c r="B357" s="50"/>
      <c r="C357" s="51"/>
      <c r="D357" s="44"/>
      <c r="E357" s="44"/>
      <c r="F357" s="44"/>
      <c r="G357" s="44"/>
      <c r="I357" s="61"/>
      <c r="J357" s="59"/>
      <c r="K357" s="58"/>
      <c r="L357" s="52"/>
    </row>
    <row r="358" spans="2:12">
      <c r="B358" s="50"/>
      <c r="C358" s="51"/>
      <c r="D358" s="44"/>
      <c r="E358" s="44"/>
      <c r="F358" s="44"/>
      <c r="G358" s="44"/>
      <c r="I358" s="61"/>
      <c r="J358" s="59"/>
      <c r="K358" s="58"/>
      <c r="L358" s="52"/>
    </row>
    <row r="359" spans="2:12">
      <c r="B359" s="50"/>
      <c r="C359" s="51"/>
      <c r="D359" s="44"/>
      <c r="E359" s="44"/>
      <c r="F359" s="44"/>
      <c r="G359" s="44"/>
      <c r="I359" s="61"/>
      <c r="J359" s="59"/>
      <c r="K359" s="58"/>
      <c r="L359" s="52"/>
    </row>
    <row r="360" spans="2:12">
      <c r="B360" s="50"/>
      <c r="C360" s="51"/>
      <c r="D360" s="44"/>
      <c r="E360" s="44"/>
      <c r="F360" s="44"/>
      <c r="G360" s="44"/>
      <c r="I360" s="61"/>
      <c r="J360" s="59"/>
      <c r="K360" s="58"/>
      <c r="L360" s="52"/>
    </row>
    <row r="361" spans="2:12">
      <c r="B361" s="50"/>
      <c r="C361" s="51"/>
      <c r="D361" s="44"/>
      <c r="E361" s="44"/>
      <c r="F361" s="44"/>
      <c r="G361" s="44"/>
      <c r="I361" s="61"/>
      <c r="J361" s="59"/>
      <c r="K361" s="58"/>
      <c r="L361" s="52"/>
    </row>
    <row r="362" spans="2:12">
      <c r="B362" s="50"/>
      <c r="C362" s="51"/>
      <c r="D362" s="44"/>
      <c r="E362" s="44"/>
      <c r="F362" s="44"/>
      <c r="G362" s="44"/>
      <c r="I362" s="61"/>
      <c r="J362" s="59"/>
      <c r="K362" s="58"/>
      <c r="L362" s="52"/>
    </row>
    <row r="363" spans="2:12">
      <c r="B363" s="50"/>
      <c r="C363" s="51"/>
      <c r="D363" s="44"/>
      <c r="E363" s="44"/>
      <c r="F363" s="44"/>
      <c r="G363" s="44"/>
      <c r="I363" s="61"/>
      <c r="J363" s="59"/>
      <c r="K363" s="58"/>
      <c r="L363" s="52"/>
    </row>
    <row r="364" spans="2:12">
      <c r="B364" s="50"/>
      <c r="C364" s="51"/>
      <c r="D364" s="44"/>
      <c r="E364" s="44"/>
      <c r="F364" s="44"/>
      <c r="G364" s="44"/>
      <c r="I364" s="61"/>
      <c r="J364" s="59"/>
      <c r="K364" s="58"/>
      <c r="L364" s="52"/>
    </row>
    <row r="365" spans="2:12">
      <c r="B365" s="50"/>
      <c r="C365" s="51"/>
      <c r="D365" s="44"/>
      <c r="E365" s="44"/>
      <c r="F365" s="44"/>
      <c r="G365" s="44"/>
      <c r="I365" s="61"/>
      <c r="J365" s="59"/>
      <c r="K365" s="58"/>
      <c r="L365" s="52"/>
    </row>
    <row r="366" spans="2:12">
      <c r="B366" s="50"/>
      <c r="C366" s="51"/>
      <c r="D366" s="44"/>
      <c r="E366" s="44"/>
      <c r="F366" s="44"/>
      <c r="G366" s="44"/>
      <c r="I366" s="61"/>
      <c r="J366" s="59"/>
      <c r="K366" s="58"/>
      <c r="L366" s="52"/>
    </row>
    <row r="367" spans="2:12">
      <c r="B367" s="50"/>
      <c r="C367" s="51"/>
      <c r="D367" s="44"/>
      <c r="E367" s="44"/>
      <c r="F367" s="44"/>
      <c r="G367" s="44"/>
      <c r="I367" s="61"/>
      <c r="J367" s="59"/>
      <c r="K367" s="58"/>
      <c r="L367" s="52"/>
    </row>
    <row r="368" spans="2:12">
      <c r="B368" s="50"/>
      <c r="C368" s="51"/>
      <c r="D368" s="44"/>
      <c r="E368" s="44"/>
      <c r="F368" s="44"/>
      <c r="G368" s="44"/>
      <c r="I368" s="61"/>
      <c r="J368" s="59"/>
      <c r="K368" s="58"/>
      <c r="L368" s="52"/>
    </row>
    <row r="369" spans="2:12">
      <c r="B369" s="50"/>
      <c r="C369" s="51"/>
      <c r="D369" s="44"/>
      <c r="E369" s="44"/>
      <c r="F369" s="44"/>
      <c r="G369" s="44"/>
      <c r="I369" s="61"/>
      <c r="J369" s="59"/>
      <c r="K369" s="58"/>
      <c r="L369" s="52"/>
    </row>
    <row r="370" spans="2:12">
      <c r="B370" s="50"/>
      <c r="C370" s="51"/>
      <c r="D370" s="44"/>
      <c r="E370" s="44"/>
      <c r="F370" s="44"/>
      <c r="G370" s="44"/>
      <c r="I370" s="61"/>
      <c r="J370" s="59"/>
      <c r="K370" s="58"/>
      <c r="L370" s="52"/>
    </row>
    <row r="371" spans="2:12">
      <c r="B371" s="50"/>
      <c r="C371" s="51"/>
      <c r="D371" s="44"/>
      <c r="E371" s="44"/>
      <c r="F371" s="44"/>
      <c r="G371" s="44"/>
      <c r="H371" s="44"/>
      <c r="I371" s="61"/>
      <c r="J371" s="59"/>
      <c r="K371" s="58"/>
      <c r="L371" s="52"/>
    </row>
    <row r="372" spans="2:12">
      <c r="B372" s="50"/>
      <c r="C372" s="51"/>
      <c r="D372" s="44"/>
      <c r="E372" s="44"/>
      <c r="F372" s="44"/>
      <c r="G372" s="44"/>
      <c r="H372" s="44"/>
      <c r="I372" s="61"/>
      <c r="J372" s="59"/>
      <c r="K372" s="58"/>
      <c r="L372" s="52"/>
    </row>
    <row r="373" spans="2:12">
      <c r="B373" s="50"/>
      <c r="C373" s="51"/>
      <c r="D373" s="44"/>
      <c r="E373" s="44"/>
      <c r="F373" s="44"/>
      <c r="G373" s="44"/>
      <c r="H373" s="44"/>
      <c r="I373" s="61"/>
      <c r="J373" s="59"/>
      <c r="K373" s="58"/>
      <c r="L373" s="52"/>
    </row>
    <row r="374" spans="2:12">
      <c r="B374" s="50"/>
      <c r="C374" s="51"/>
      <c r="D374" s="44"/>
      <c r="E374" s="44"/>
      <c r="F374" s="44"/>
      <c r="G374" s="44"/>
      <c r="H374" s="44"/>
      <c r="I374" s="61"/>
      <c r="J374" s="59"/>
      <c r="K374" s="58"/>
      <c r="L374" s="52"/>
    </row>
    <row r="375" spans="2:12">
      <c r="B375" s="50"/>
      <c r="C375" s="51"/>
      <c r="D375" s="44"/>
      <c r="E375" s="44"/>
      <c r="F375" s="44"/>
      <c r="G375" s="44"/>
      <c r="H375" s="44"/>
      <c r="I375" s="61"/>
      <c r="J375" s="59"/>
      <c r="K375" s="58"/>
      <c r="L375" s="52"/>
    </row>
    <row r="376" spans="2:12">
      <c r="B376" s="50"/>
      <c r="C376" s="51"/>
      <c r="D376" s="44"/>
      <c r="E376" s="44"/>
      <c r="F376" s="44"/>
      <c r="G376" s="44"/>
      <c r="H376" s="44"/>
      <c r="I376" s="61"/>
      <c r="J376" s="59"/>
      <c r="K376" s="58"/>
      <c r="L376" s="52"/>
    </row>
    <row r="377" spans="2:12">
      <c r="B377" s="50"/>
      <c r="C377" s="51"/>
      <c r="D377" s="44"/>
      <c r="E377" s="44"/>
      <c r="F377" s="44"/>
      <c r="G377" s="44"/>
      <c r="H377" s="44"/>
      <c r="I377" s="61"/>
      <c r="J377" s="59"/>
      <c r="K377" s="58"/>
      <c r="L377" s="52"/>
    </row>
    <row r="378" spans="2:12">
      <c r="B378" s="50"/>
      <c r="C378" s="51"/>
      <c r="D378" s="44"/>
      <c r="E378" s="44"/>
      <c r="F378" s="44"/>
      <c r="G378" s="44"/>
      <c r="H378" s="44"/>
      <c r="I378" s="61"/>
      <c r="J378" s="59"/>
      <c r="K378" s="58"/>
      <c r="L378" s="52"/>
    </row>
    <row r="379" spans="2:12">
      <c r="B379" s="50"/>
      <c r="C379" s="51"/>
      <c r="D379" s="44"/>
      <c r="E379" s="44"/>
      <c r="F379" s="44"/>
      <c r="G379" s="44"/>
      <c r="I379" s="61"/>
      <c r="J379" s="59"/>
    </row>
    <row r="380" spans="2:12">
      <c r="B380" s="50"/>
      <c r="C380" s="51"/>
      <c r="D380" s="44"/>
      <c r="E380" s="44"/>
      <c r="F380" s="44"/>
      <c r="G380" s="44"/>
      <c r="I380" s="61"/>
      <c r="J380" s="59"/>
    </row>
    <row r="381" spans="2:12">
      <c r="B381" s="50"/>
      <c r="C381" s="51"/>
      <c r="D381" s="44"/>
      <c r="E381" s="44"/>
      <c r="F381" s="44"/>
      <c r="G381" s="44"/>
      <c r="I381" s="61"/>
      <c r="J381" s="59"/>
    </row>
    <row r="382" spans="2:12">
      <c r="B382" s="50"/>
      <c r="C382" s="51"/>
      <c r="D382" s="44"/>
      <c r="E382" s="44"/>
      <c r="F382" s="44"/>
      <c r="G382" s="44"/>
      <c r="I382" s="61"/>
      <c r="J382" s="59"/>
    </row>
    <row r="383" spans="2:12">
      <c r="B383" s="50"/>
      <c r="C383" s="51"/>
      <c r="D383" s="44"/>
      <c r="E383" s="44"/>
      <c r="F383" s="44"/>
      <c r="G383" s="44"/>
      <c r="I383" s="61"/>
      <c r="J383" s="59"/>
    </row>
    <row r="384" spans="2:12">
      <c r="B384" s="50"/>
      <c r="C384" s="51"/>
      <c r="D384" s="44"/>
      <c r="E384" s="44"/>
      <c r="F384" s="44"/>
      <c r="G384" s="44"/>
      <c r="I384" s="61"/>
      <c r="J384" s="59"/>
    </row>
    <row r="385" spans="2:10">
      <c r="B385" s="50"/>
      <c r="C385" s="51"/>
      <c r="D385" s="44"/>
      <c r="E385" s="44"/>
      <c r="F385" s="44"/>
      <c r="G385" s="44"/>
      <c r="I385" s="61"/>
      <c r="J385" s="59"/>
    </row>
    <row r="386" spans="2:10">
      <c r="B386" s="50"/>
      <c r="C386" s="51"/>
      <c r="D386" s="44"/>
      <c r="E386" s="44"/>
      <c r="F386" s="44"/>
      <c r="G386" s="44"/>
      <c r="I386" s="61"/>
      <c r="J386" s="59"/>
    </row>
    <row r="387" spans="2:10">
      <c r="B387" s="50"/>
      <c r="C387" s="51"/>
      <c r="D387" s="44"/>
      <c r="E387" s="44"/>
      <c r="F387" s="44"/>
      <c r="G387" s="44"/>
      <c r="I387" s="61"/>
      <c r="J387" s="59"/>
    </row>
    <row r="388" spans="2:10">
      <c r="B388" s="50"/>
      <c r="C388" s="51"/>
      <c r="D388" s="44"/>
      <c r="E388" s="44"/>
      <c r="F388" s="44"/>
      <c r="G388" s="44"/>
      <c r="I388" s="61"/>
      <c r="J388" s="59"/>
    </row>
    <row r="389" spans="2:10">
      <c r="B389" s="50"/>
      <c r="C389" s="51"/>
      <c r="D389" s="44"/>
      <c r="E389" s="44"/>
      <c r="F389" s="44"/>
      <c r="G389" s="44"/>
      <c r="I389" s="61"/>
      <c r="J389" s="59"/>
    </row>
    <row r="390" spans="2:10">
      <c r="B390" s="50"/>
      <c r="C390" s="51"/>
      <c r="D390" s="44"/>
      <c r="E390" s="44"/>
      <c r="F390" s="44"/>
      <c r="G390" s="44"/>
      <c r="I390" s="61"/>
      <c r="J390" s="59"/>
    </row>
    <row r="391" spans="2:10">
      <c r="B391" s="50"/>
      <c r="C391" s="51"/>
      <c r="D391" s="44"/>
      <c r="E391" s="44"/>
      <c r="F391" s="44"/>
      <c r="G391" s="44"/>
      <c r="I391" s="61"/>
      <c r="J391" s="59"/>
    </row>
    <row r="392" spans="2:10">
      <c r="B392" s="50"/>
      <c r="C392" s="51"/>
      <c r="D392" s="44"/>
      <c r="E392" s="44"/>
      <c r="F392" s="44"/>
      <c r="G392" s="44"/>
      <c r="I392" s="61"/>
      <c r="J392" s="59"/>
    </row>
    <row r="393" spans="2:10">
      <c r="B393" s="50"/>
      <c r="C393" s="51"/>
      <c r="D393" s="44"/>
      <c r="E393" s="44"/>
      <c r="F393" s="44"/>
      <c r="G393" s="44"/>
      <c r="I393" s="61"/>
      <c r="J393" s="59"/>
    </row>
    <row r="394" spans="2:10">
      <c r="B394" s="50"/>
      <c r="C394" s="51"/>
      <c r="D394" s="44"/>
      <c r="E394" s="44"/>
      <c r="F394" s="44"/>
      <c r="G394" s="44"/>
      <c r="I394" s="61"/>
      <c r="J394" s="59"/>
    </row>
    <row r="395" spans="2:10">
      <c r="B395" s="50"/>
      <c r="C395" s="51"/>
      <c r="D395" s="44"/>
      <c r="E395" s="44"/>
      <c r="F395" s="44"/>
      <c r="G395" s="44"/>
      <c r="I395" s="61"/>
      <c r="J395" s="59"/>
    </row>
    <row r="396" spans="2:10">
      <c r="B396" s="50"/>
      <c r="C396" s="51"/>
      <c r="D396" s="44"/>
      <c r="E396" s="44"/>
      <c r="F396" s="44"/>
      <c r="G396" s="44"/>
      <c r="I396" s="61"/>
      <c r="J396" s="59"/>
    </row>
    <row r="397" spans="2:10">
      <c r="B397" s="50"/>
      <c r="C397" s="51"/>
      <c r="D397" s="44"/>
      <c r="E397" s="44"/>
      <c r="F397" s="44"/>
      <c r="G397" s="44"/>
      <c r="I397" s="61"/>
      <c r="J397" s="59"/>
    </row>
    <row r="398" spans="2:10">
      <c r="B398" s="50"/>
      <c r="C398" s="51"/>
      <c r="D398" s="44"/>
      <c r="E398" s="44"/>
      <c r="F398" s="44"/>
      <c r="G398" s="44"/>
      <c r="I398" s="61"/>
      <c r="J398" s="59"/>
    </row>
    <row r="399" spans="2:10">
      <c r="B399" s="50"/>
      <c r="C399" s="51"/>
      <c r="D399" s="44"/>
      <c r="E399" s="44"/>
      <c r="F399" s="44"/>
      <c r="G399" s="44"/>
      <c r="I399" s="61"/>
      <c r="J399" s="59"/>
    </row>
    <row r="400" spans="2:10">
      <c r="B400" s="50"/>
      <c r="C400" s="51"/>
      <c r="D400" s="44"/>
      <c r="E400" s="44"/>
      <c r="F400" s="44"/>
      <c r="G400" s="44"/>
      <c r="I400" s="61"/>
      <c r="J400" s="59"/>
    </row>
    <row r="401" spans="2:10">
      <c r="B401" s="50"/>
      <c r="C401" s="51"/>
      <c r="D401" s="44"/>
      <c r="E401" s="44"/>
      <c r="F401" s="44"/>
      <c r="G401" s="44"/>
      <c r="I401" s="61"/>
      <c r="J401" s="59"/>
    </row>
    <row r="402" spans="2:10">
      <c r="B402" s="50"/>
      <c r="C402" s="51"/>
      <c r="D402" s="44"/>
      <c r="E402" s="44"/>
      <c r="F402" s="44"/>
      <c r="G402" s="44"/>
      <c r="I402" s="61"/>
      <c r="J402" s="59"/>
    </row>
    <row r="403" spans="2:10">
      <c r="B403" s="50"/>
      <c r="C403" s="51"/>
      <c r="D403" s="44"/>
      <c r="E403" s="44"/>
      <c r="F403" s="44"/>
      <c r="G403" s="44"/>
      <c r="I403" s="61"/>
      <c r="J403" s="59"/>
    </row>
    <row r="404" spans="2:10">
      <c r="B404" s="50"/>
      <c r="C404" s="51"/>
      <c r="D404" s="44"/>
      <c r="E404" s="44"/>
      <c r="F404" s="44"/>
      <c r="G404" s="44"/>
      <c r="I404" s="61"/>
      <c r="J404" s="59"/>
    </row>
    <row r="405" spans="2:10">
      <c r="B405" s="50"/>
      <c r="D405" s="44"/>
      <c r="E405" s="44"/>
      <c r="F405" s="44"/>
      <c r="G405" s="44"/>
      <c r="I405" s="61"/>
      <c r="J405" s="59"/>
    </row>
    <row r="406" spans="2:10">
      <c r="B406" s="50"/>
      <c r="D406" s="44"/>
      <c r="E406" s="44"/>
      <c r="F406" s="44"/>
      <c r="G406" s="44"/>
      <c r="I406" s="61"/>
      <c r="J406" s="59"/>
    </row>
    <row r="407" spans="2:10">
      <c r="B407" s="50"/>
      <c r="D407" s="44"/>
      <c r="E407" s="44"/>
      <c r="F407" s="44"/>
      <c r="G407" s="44"/>
      <c r="I407" s="61"/>
      <c r="J407" s="59"/>
    </row>
    <row r="408" spans="2:10">
      <c r="B408" s="50"/>
      <c r="D408" s="44"/>
      <c r="E408" s="44"/>
      <c r="F408" s="44"/>
      <c r="G408" s="44"/>
      <c r="I408" s="61"/>
      <c r="J408" s="59"/>
    </row>
    <row r="409" spans="2:10">
      <c r="B409" s="50"/>
      <c r="D409" s="44"/>
      <c r="E409" s="44"/>
      <c r="F409" s="44"/>
      <c r="G409" s="44"/>
      <c r="I409" s="61"/>
      <c r="J409" s="59"/>
    </row>
    <row r="410" spans="2:10">
      <c r="B410" s="50"/>
      <c r="D410" s="44"/>
      <c r="E410" s="44"/>
      <c r="F410" s="44"/>
      <c r="G410" s="44"/>
      <c r="I410" s="61"/>
      <c r="J410" s="59"/>
    </row>
    <row r="411" spans="2:10">
      <c r="B411" s="50"/>
      <c r="D411" s="44"/>
      <c r="E411" s="44"/>
      <c r="F411" s="44"/>
      <c r="G411" s="44"/>
      <c r="I411" s="61"/>
      <c r="J411" s="59"/>
    </row>
    <row r="412" spans="2:10">
      <c r="B412" s="50"/>
      <c r="D412" s="44"/>
      <c r="E412" s="44"/>
      <c r="F412" s="44"/>
      <c r="G412" s="44"/>
      <c r="I412" s="61"/>
      <c r="J412" s="59"/>
    </row>
    <row r="413" spans="2:10">
      <c r="B413" s="50"/>
      <c r="D413" s="44"/>
      <c r="E413" s="44"/>
      <c r="F413" s="44"/>
      <c r="G413" s="44"/>
      <c r="I413" s="61"/>
      <c r="J413" s="59"/>
    </row>
    <row r="414" spans="2:10">
      <c r="B414" s="50"/>
      <c r="D414" s="44"/>
      <c r="E414" s="44"/>
      <c r="F414" s="44"/>
      <c r="G414" s="44"/>
      <c r="I414" s="61"/>
      <c r="J414" s="59"/>
    </row>
    <row r="415" spans="2:10">
      <c r="B415" s="50"/>
      <c r="D415" s="44"/>
      <c r="E415" s="44"/>
      <c r="F415" s="44"/>
      <c r="G415" s="44"/>
      <c r="I415" s="61"/>
      <c r="J415" s="59"/>
    </row>
    <row r="416" spans="2:10">
      <c r="B416" s="50"/>
      <c r="D416" s="44"/>
      <c r="E416" s="44"/>
      <c r="F416" s="44"/>
      <c r="G416" s="44"/>
      <c r="I416" s="61"/>
      <c r="J416" s="59"/>
    </row>
    <row r="417" spans="2:10">
      <c r="B417" s="50"/>
      <c r="D417" s="44"/>
      <c r="E417" s="44"/>
      <c r="F417" s="44"/>
      <c r="G417" s="44"/>
      <c r="I417" s="61"/>
      <c r="J417" s="59"/>
    </row>
    <row r="418" spans="2:10">
      <c r="B418" s="50"/>
      <c r="D418" s="44"/>
      <c r="E418" s="44"/>
      <c r="F418" s="44"/>
      <c r="G418" s="44"/>
      <c r="I418" s="61"/>
      <c r="J418" s="59"/>
    </row>
    <row r="419" spans="2:10">
      <c r="B419" s="50"/>
      <c r="D419" s="44"/>
      <c r="E419" s="44"/>
      <c r="F419" s="44"/>
      <c r="G419" s="44"/>
      <c r="I419" s="61"/>
      <c r="J419" s="59"/>
    </row>
    <row r="420" spans="2:10">
      <c r="B420" s="50"/>
      <c r="D420" s="44"/>
      <c r="E420" s="44"/>
      <c r="F420" s="44"/>
      <c r="G420" s="44"/>
      <c r="I420" s="61"/>
      <c r="J420" s="59"/>
    </row>
    <row r="421" spans="2:10">
      <c r="B421" s="50"/>
      <c r="D421" s="44"/>
      <c r="E421" s="44"/>
      <c r="F421" s="44"/>
      <c r="G421" s="44"/>
      <c r="I421" s="61"/>
      <c r="J421" s="59"/>
    </row>
    <row r="422" spans="2:10">
      <c r="B422" s="50"/>
      <c r="D422" s="44"/>
      <c r="E422" s="44"/>
      <c r="F422" s="44"/>
      <c r="G422" s="44"/>
      <c r="I422" s="61"/>
      <c r="J422" s="59"/>
    </row>
    <row r="423" spans="2:10">
      <c r="B423" s="50"/>
      <c r="D423" s="44"/>
      <c r="E423" s="44"/>
      <c r="F423" s="44"/>
      <c r="G423" s="44"/>
      <c r="I423" s="61"/>
      <c r="J423" s="59"/>
    </row>
    <row r="424" spans="2:10">
      <c r="B424" s="50"/>
      <c r="D424" s="44"/>
      <c r="E424" s="44"/>
      <c r="F424" s="44"/>
      <c r="G424" s="44"/>
      <c r="I424" s="61"/>
      <c r="J424" s="59"/>
    </row>
    <row r="425" spans="2:10">
      <c r="B425" s="50"/>
      <c r="D425" s="44"/>
      <c r="E425" s="44"/>
      <c r="F425" s="44"/>
      <c r="G425" s="44"/>
      <c r="I425" s="61"/>
      <c r="J425" s="59"/>
    </row>
    <row r="426" spans="2:10">
      <c r="B426" s="50"/>
      <c r="D426" s="44"/>
      <c r="E426" s="44"/>
      <c r="F426" s="44"/>
      <c r="G426" s="44"/>
      <c r="I426" s="61"/>
      <c r="J426" s="59"/>
    </row>
    <row r="427" spans="2:10">
      <c r="B427" s="50"/>
      <c r="D427" s="44"/>
      <c r="E427" s="44"/>
      <c r="F427" s="44"/>
      <c r="G427" s="44"/>
      <c r="I427" s="61"/>
      <c r="J427" s="59"/>
    </row>
    <row r="428" spans="2:10">
      <c r="B428" s="50"/>
      <c r="D428" s="44"/>
      <c r="E428" s="44"/>
      <c r="F428" s="44"/>
      <c r="G428" s="44"/>
      <c r="I428" s="61"/>
      <c r="J428" s="59"/>
    </row>
    <row r="429" spans="2:10">
      <c r="B429" s="50"/>
      <c r="D429" s="44"/>
      <c r="E429" s="44"/>
      <c r="F429" s="44"/>
      <c r="G429" s="44"/>
      <c r="I429" s="61"/>
      <c r="J429" s="59"/>
    </row>
    <row r="430" spans="2:10">
      <c r="B430" s="50"/>
      <c r="D430" s="44"/>
      <c r="E430" s="44"/>
      <c r="F430" s="44"/>
      <c r="G430" s="44"/>
      <c r="I430" s="61"/>
      <c r="J430" s="59"/>
    </row>
    <row r="431" spans="2:10">
      <c r="B431" s="50"/>
      <c r="D431" s="44"/>
      <c r="E431" s="44"/>
      <c r="F431" s="44"/>
      <c r="G431" s="44"/>
      <c r="I431" s="61"/>
      <c r="J431" s="59"/>
    </row>
    <row r="432" spans="2:10">
      <c r="B432" s="50"/>
      <c r="D432" s="44"/>
      <c r="E432" s="44"/>
      <c r="F432" s="44"/>
      <c r="G432" s="44"/>
      <c r="I432" s="61"/>
      <c r="J432" s="59"/>
    </row>
    <row r="433" spans="2:10">
      <c r="B433" s="50"/>
      <c r="D433" s="44"/>
      <c r="E433" s="44"/>
      <c r="F433" s="44"/>
      <c r="G433" s="44"/>
      <c r="I433" s="61"/>
      <c r="J433" s="59"/>
    </row>
    <row r="434" spans="2:10">
      <c r="B434" s="50"/>
      <c r="D434" s="44"/>
      <c r="E434" s="44"/>
      <c r="F434" s="44"/>
      <c r="G434" s="44"/>
      <c r="I434" s="61"/>
      <c r="J434" s="59"/>
    </row>
    <row r="435" spans="2:10">
      <c r="B435" s="50"/>
      <c r="D435" s="44"/>
      <c r="E435" s="44"/>
      <c r="F435" s="44"/>
      <c r="G435" s="44"/>
      <c r="I435" s="61"/>
      <c r="J435" s="59"/>
    </row>
    <row r="436" spans="2:10">
      <c r="B436" s="50"/>
      <c r="D436" s="44"/>
      <c r="E436" s="44"/>
      <c r="F436" s="44"/>
      <c r="G436" s="44"/>
      <c r="I436" s="61"/>
      <c r="J436" s="59"/>
    </row>
    <row r="437" spans="2:10">
      <c r="B437" s="50"/>
      <c r="D437" s="44"/>
      <c r="E437" s="44"/>
      <c r="F437" s="44"/>
      <c r="G437" s="44"/>
      <c r="I437" s="61"/>
      <c r="J437" s="59"/>
    </row>
    <row r="438" spans="2:10">
      <c r="D438" s="44"/>
      <c r="E438" s="44"/>
      <c r="F438" s="44"/>
      <c r="G438" s="44"/>
      <c r="I438" s="61"/>
      <c r="J438" s="59"/>
    </row>
    <row r="439" spans="2:10">
      <c r="D439" s="44"/>
      <c r="E439" s="44"/>
      <c r="F439" s="44"/>
      <c r="G439" s="44"/>
      <c r="I439" s="61"/>
      <c r="J439" s="59"/>
    </row>
    <row r="440" spans="2:10">
      <c r="D440" s="44"/>
      <c r="E440" s="44"/>
      <c r="F440" s="44"/>
      <c r="G440" s="44"/>
      <c r="I440" s="61"/>
      <c r="J440" s="59"/>
    </row>
    <row r="441" spans="2:10">
      <c r="D441" s="44"/>
      <c r="E441" s="44"/>
      <c r="F441" s="44"/>
      <c r="G441" s="44"/>
      <c r="I441" s="61"/>
      <c r="J441" s="59"/>
    </row>
    <row r="442" spans="2:10">
      <c r="D442" s="44"/>
      <c r="E442" s="44"/>
      <c r="F442" s="44"/>
      <c r="G442" s="44"/>
      <c r="I442" s="61"/>
      <c r="J442" s="59"/>
    </row>
    <row r="443" spans="2:10">
      <c r="D443" s="44"/>
      <c r="E443" s="44"/>
      <c r="F443" s="44"/>
      <c r="G443" s="44"/>
      <c r="I443" s="61"/>
      <c r="J443" s="59"/>
    </row>
    <row r="444" spans="2:10">
      <c r="D444" s="44"/>
      <c r="E444" s="44"/>
      <c r="F444" s="44"/>
      <c r="G444" s="44"/>
      <c r="I444" s="61"/>
      <c r="J444" s="59"/>
    </row>
    <row r="445" spans="2:10">
      <c r="D445" s="44"/>
      <c r="E445" s="44"/>
      <c r="F445" s="44"/>
      <c r="G445" s="44"/>
      <c r="I445" s="61"/>
      <c r="J445" s="59"/>
    </row>
    <row r="446" spans="2:10">
      <c r="D446" s="44"/>
      <c r="E446" s="44"/>
      <c r="F446" s="44"/>
      <c r="G446" s="44"/>
      <c r="I446" s="61"/>
      <c r="J446" s="59"/>
    </row>
    <row r="447" spans="2:10">
      <c r="D447" s="44"/>
      <c r="E447" s="44"/>
      <c r="F447" s="44"/>
      <c r="G447" s="44"/>
      <c r="I447" s="61"/>
      <c r="J447" s="59"/>
    </row>
    <row r="448" spans="2:10">
      <c r="D448" s="44"/>
      <c r="E448" s="44"/>
      <c r="F448" s="44"/>
      <c r="G448" s="44"/>
      <c r="I448" s="61"/>
      <c r="J448" s="59"/>
    </row>
    <row r="449" spans="4:10">
      <c r="D449" s="44"/>
      <c r="E449" s="44"/>
      <c r="F449" s="44"/>
      <c r="G449" s="44"/>
      <c r="I449" s="61"/>
      <c r="J449" s="59"/>
    </row>
    <row r="450" spans="4:10">
      <c r="D450" s="44"/>
      <c r="E450" s="44"/>
      <c r="F450" s="44"/>
      <c r="G450" s="44"/>
      <c r="I450" s="61"/>
      <c r="J450" s="59"/>
    </row>
    <row r="451" spans="4:10">
      <c r="D451" s="44"/>
      <c r="E451" s="44"/>
      <c r="F451" s="44"/>
      <c r="G451" s="44"/>
      <c r="I451" s="61"/>
      <c r="J451" s="59"/>
    </row>
    <row r="452" spans="4:10">
      <c r="D452" s="44"/>
      <c r="E452" s="44"/>
      <c r="F452" s="44"/>
      <c r="G452" s="44"/>
      <c r="I452" s="61"/>
      <c r="J452" s="59"/>
    </row>
    <row r="453" spans="4:10">
      <c r="D453" s="44"/>
      <c r="E453" s="44"/>
      <c r="F453" s="44"/>
      <c r="G453" s="44"/>
      <c r="I453" s="61"/>
      <c r="J453" s="59"/>
    </row>
    <row r="454" spans="4:10">
      <c r="D454" s="44"/>
      <c r="E454" s="44"/>
      <c r="F454" s="44"/>
      <c r="G454" s="44"/>
      <c r="I454" s="61"/>
      <c r="J454" s="59"/>
    </row>
    <row r="455" spans="4:10">
      <c r="D455" s="44"/>
      <c r="E455" s="44"/>
      <c r="F455" s="44"/>
      <c r="G455" s="44"/>
      <c r="I455" s="61"/>
      <c r="J455" s="59"/>
    </row>
    <row r="456" spans="4:10">
      <c r="D456" s="44"/>
      <c r="E456" s="44"/>
      <c r="F456" s="44"/>
      <c r="G456" s="44"/>
      <c r="I456" s="61"/>
      <c r="J456" s="59"/>
    </row>
    <row r="457" spans="4:10">
      <c r="D457" s="44"/>
      <c r="E457" s="44"/>
      <c r="F457" s="44"/>
      <c r="G457" s="44"/>
      <c r="I457" s="61"/>
      <c r="J457" s="59"/>
    </row>
    <row r="458" spans="4:10">
      <c r="D458" s="44"/>
      <c r="E458" s="44"/>
      <c r="F458" s="44"/>
      <c r="G458" s="44"/>
      <c r="I458" s="61"/>
      <c r="J458" s="59"/>
    </row>
    <row r="459" spans="4:10">
      <c r="D459" s="44"/>
      <c r="E459" s="44"/>
      <c r="F459" s="44"/>
      <c r="G459" s="44"/>
      <c r="I459" s="61"/>
      <c r="J459" s="59"/>
    </row>
    <row r="460" spans="4:10">
      <c r="D460" s="44"/>
      <c r="E460" s="44"/>
      <c r="F460" s="44"/>
      <c r="G460" s="44"/>
      <c r="I460" s="61"/>
      <c r="J460" s="59"/>
    </row>
    <row r="461" spans="4:10">
      <c r="D461" s="44"/>
      <c r="E461" s="44"/>
      <c r="F461" s="44"/>
      <c r="G461" s="44"/>
      <c r="I461" s="61"/>
      <c r="J461" s="59"/>
    </row>
    <row r="462" spans="4:10">
      <c r="D462" s="44"/>
      <c r="E462" s="44"/>
      <c r="F462" s="44"/>
      <c r="G462" s="44"/>
      <c r="I462" s="61"/>
      <c r="J462" s="59"/>
    </row>
    <row r="463" spans="4:10">
      <c r="D463" s="44"/>
      <c r="E463" s="44"/>
      <c r="F463" s="44"/>
      <c r="G463" s="44"/>
      <c r="I463" s="61"/>
      <c r="J463" s="59"/>
    </row>
    <row r="464" spans="4:10">
      <c r="D464" s="44"/>
      <c r="E464" s="44"/>
      <c r="F464" s="44"/>
      <c r="G464" s="44"/>
      <c r="I464" s="61"/>
      <c r="J464" s="59"/>
    </row>
    <row r="465" spans="4:10">
      <c r="D465" s="44"/>
      <c r="E465" s="44"/>
      <c r="F465" s="44"/>
      <c r="G465" s="44"/>
      <c r="I465" s="61"/>
      <c r="J465" s="59"/>
    </row>
    <row r="466" spans="4:10">
      <c r="D466" s="44"/>
      <c r="E466" s="44"/>
      <c r="F466" s="44"/>
      <c r="G466" s="44"/>
      <c r="I466" s="61"/>
      <c r="J466" s="59"/>
    </row>
    <row r="467" spans="4:10">
      <c r="D467" s="44"/>
      <c r="E467" s="44"/>
      <c r="F467" s="44"/>
      <c r="G467" s="44"/>
      <c r="I467" s="61"/>
      <c r="J467" s="59"/>
    </row>
    <row r="468" spans="4:10">
      <c r="D468" s="44"/>
      <c r="E468" s="44"/>
      <c r="F468" s="44"/>
      <c r="G468" s="44"/>
      <c r="I468" s="61"/>
      <c r="J468" s="59"/>
    </row>
    <row r="469" spans="4:10">
      <c r="D469" s="44"/>
      <c r="E469" s="44"/>
      <c r="F469" s="44"/>
      <c r="G469" s="44"/>
      <c r="I469" s="61"/>
      <c r="J469" s="59"/>
    </row>
    <row r="470" spans="4:10">
      <c r="D470" s="44"/>
      <c r="E470" s="44"/>
      <c r="F470" s="44"/>
      <c r="G470" s="44"/>
      <c r="I470" s="61"/>
      <c r="J470" s="59"/>
    </row>
    <row r="471" spans="4:10">
      <c r="D471" s="44"/>
      <c r="E471" s="44"/>
      <c r="F471" s="44"/>
      <c r="G471" s="44"/>
      <c r="I471" s="61"/>
      <c r="J471" s="59"/>
    </row>
    <row r="472" spans="4:10">
      <c r="D472" s="44"/>
      <c r="E472" s="44"/>
      <c r="F472" s="44"/>
      <c r="G472" s="44"/>
      <c r="I472" s="61"/>
      <c r="J472" s="59"/>
    </row>
    <row r="473" spans="4:10">
      <c r="D473" s="44"/>
      <c r="E473" s="44"/>
      <c r="F473" s="44"/>
      <c r="G473" s="44"/>
      <c r="I473" s="61"/>
      <c r="J473" s="59"/>
    </row>
    <row r="474" spans="4:10">
      <c r="D474" s="44"/>
      <c r="E474" s="44"/>
      <c r="F474" s="44"/>
      <c r="G474" s="44"/>
      <c r="I474" s="61"/>
      <c r="J474" s="59"/>
    </row>
    <row r="475" spans="4:10">
      <c r="D475" s="44"/>
      <c r="E475" s="44"/>
      <c r="F475" s="44"/>
      <c r="G475" s="44"/>
      <c r="I475" s="61"/>
      <c r="J475" s="59"/>
    </row>
    <row r="476" spans="4:10">
      <c r="D476" s="44"/>
      <c r="E476" s="44"/>
      <c r="F476" s="44"/>
      <c r="G476" s="44"/>
      <c r="I476" s="61"/>
      <c r="J476" s="59"/>
    </row>
    <row r="477" spans="4:10">
      <c r="D477" s="44"/>
      <c r="E477" s="44"/>
      <c r="F477" s="44"/>
      <c r="G477" s="44"/>
      <c r="I477" s="61"/>
      <c r="J477" s="59"/>
    </row>
    <row r="478" spans="4:10">
      <c r="D478" s="44"/>
      <c r="E478" s="44"/>
      <c r="F478" s="44"/>
      <c r="G478" s="44"/>
      <c r="I478" s="61"/>
      <c r="J478" s="59"/>
    </row>
    <row r="479" spans="4:10">
      <c r="D479" s="44"/>
      <c r="E479" s="44"/>
      <c r="F479" s="44"/>
      <c r="G479" s="44"/>
      <c r="I479" s="61"/>
      <c r="J479" s="59"/>
    </row>
    <row r="480" spans="4:10">
      <c r="D480" s="44"/>
      <c r="E480" s="44"/>
      <c r="F480" s="44"/>
      <c r="G480" s="44"/>
      <c r="I480" s="61"/>
      <c r="J480" s="59"/>
    </row>
    <row r="481" spans="4:10">
      <c r="D481" s="44"/>
      <c r="E481" s="44"/>
      <c r="F481" s="44"/>
      <c r="G481" s="44"/>
      <c r="I481" s="61"/>
      <c r="J481" s="59"/>
    </row>
    <row r="482" spans="4:10">
      <c r="D482" s="44"/>
      <c r="E482" s="44"/>
      <c r="F482" s="44"/>
      <c r="G482" s="44"/>
      <c r="I482" s="61"/>
      <c r="J482" s="59"/>
    </row>
    <row r="483" spans="4:10">
      <c r="D483" s="44"/>
      <c r="E483" s="44"/>
      <c r="F483" s="44"/>
      <c r="G483" s="44"/>
      <c r="I483" s="61"/>
      <c r="J483" s="59"/>
    </row>
    <row r="484" spans="4:10">
      <c r="D484" s="44"/>
      <c r="E484" s="44"/>
      <c r="F484" s="44"/>
      <c r="G484" s="44"/>
      <c r="I484" s="61"/>
      <c r="J484" s="59"/>
    </row>
    <row r="485" spans="4:10">
      <c r="D485" s="44"/>
      <c r="E485" s="44"/>
      <c r="F485" s="44"/>
      <c r="G485" s="44"/>
      <c r="I485" s="61"/>
      <c r="J485" s="59"/>
    </row>
    <row r="486" spans="4:10">
      <c r="D486" s="44"/>
      <c r="E486" s="44"/>
      <c r="F486" s="44"/>
      <c r="G486" s="44"/>
      <c r="I486" s="61"/>
      <c r="J486" s="59"/>
    </row>
    <row r="487" spans="4:10">
      <c r="D487" s="44"/>
      <c r="E487" s="44"/>
      <c r="F487" s="44"/>
      <c r="G487" s="44"/>
      <c r="I487" s="61"/>
      <c r="J487" s="59"/>
    </row>
    <row r="488" spans="4:10">
      <c r="D488" s="44"/>
      <c r="E488" s="44"/>
      <c r="F488" s="44"/>
      <c r="G488" s="44"/>
      <c r="I488" s="61"/>
      <c r="J488" s="59"/>
    </row>
    <row r="489" spans="4:10">
      <c r="D489" s="44"/>
      <c r="E489" s="44"/>
      <c r="F489" s="44"/>
      <c r="G489" s="44"/>
      <c r="I489" s="61"/>
      <c r="J489" s="59"/>
    </row>
    <row r="490" spans="4:10">
      <c r="D490" s="44"/>
      <c r="E490" s="44"/>
      <c r="F490" s="44"/>
      <c r="G490" s="44"/>
      <c r="I490" s="61"/>
      <c r="J490" s="59"/>
    </row>
    <row r="491" spans="4:10">
      <c r="D491" s="44"/>
      <c r="E491" s="44"/>
      <c r="F491" s="44"/>
      <c r="G491" s="44"/>
      <c r="I491" s="61"/>
      <c r="J491" s="59"/>
    </row>
    <row r="492" spans="4:10">
      <c r="D492" s="44"/>
      <c r="E492" s="44"/>
      <c r="F492" s="44"/>
      <c r="G492" s="44"/>
      <c r="I492" s="61"/>
      <c r="J492" s="59"/>
    </row>
    <row r="493" spans="4:10">
      <c r="D493" s="44"/>
      <c r="E493" s="44"/>
      <c r="F493" s="44"/>
      <c r="G493" s="44"/>
      <c r="I493" s="61"/>
      <c r="J493" s="59"/>
    </row>
    <row r="494" spans="4:10">
      <c r="D494" s="44"/>
      <c r="E494" s="44"/>
      <c r="F494" s="44"/>
      <c r="G494" s="44"/>
      <c r="I494" s="61"/>
      <c r="J494" s="59"/>
    </row>
    <row r="495" spans="4:10">
      <c r="D495" s="44"/>
      <c r="E495" s="44"/>
      <c r="F495" s="44"/>
      <c r="G495" s="44"/>
      <c r="I495" s="61"/>
      <c r="J495" s="59"/>
    </row>
    <row r="496" spans="4:10">
      <c r="D496" s="44"/>
      <c r="E496" s="44"/>
      <c r="F496" s="44"/>
      <c r="G496" s="44"/>
      <c r="I496" s="61"/>
      <c r="J496" s="59"/>
    </row>
    <row r="497" spans="4:10">
      <c r="D497" s="44"/>
      <c r="E497" s="44"/>
      <c r="F497" s="44"/>
      <c r="G497" s="44"/>
      <c r="I497" s="61"/>
      <c r="J497" s="59"/>
    </row>
    <row r="498" spans="4:10">
      <c r="D498" s="44"/>
      <c r="E498" s="44"/>
      <c r="F498" s="44"/>
      <c r="G498" s="44"/>
      <c r="I498" s="61"/>
      <c r="J498" s="59"/>
    </row>
    <row r="499" spans="4:10">
      <c r="D499" s="44"/>
      <c r="E499" s="44"/>
      <c r="F499" s="44"/>
      <c r="G499" s="44"/>
      <c r="I499" s="61"/>
      <c r="J499" s="59"/>
    </row>
    <row r="500" spans="4:10">
      <c r="D500" s="44"/>
      <c r="E500" s="44"/>
      <c r="F500" s="44"/>
      <c r="G500" s="44"/>
      <c r="I500" s="61"/>
      <c r="J500" s="59"/>
    </row>
    <row r="501" spans="4:10">
      <c r="D501" s="44"/>
      <c r="E501" s="44"/>
      <c r="F501" s="44"/>
      <c r="G501" s="44"/>
      <c r="I501" s="61"/>
      <c r="J501" s="59"/>
    </row>
    <row r="502" spans="4:10">
      <c r="D502" s="44"/>
      <c r="E502" s="44"/>
      <c r="F502" s="44"/>
      <c r="G502" s="44"/>
      <c r="I502" s="61"/>
      <c r="J502" s="59"/>
    </row>
    <row r="503" spans="4:10">
      <c r="D503" s="44"/>
      <c r="E503" s="44"/>
      <c r="F503" s="44"/>
      <c r="G503" s="44"/>
      <c r="I503" s="61"/>
      <c r="J503" s="59"/>
    </row>
    <row r="504" spans="4:10">
      <c r="D504" s="44"/>
      <c r="E504" s="44"/>
      <c r="F504" s="44"/>
      <c r="G504" s="44"/>
      <c r="I504" s="61"/>
      <c r="J504" s="59"/>
    </row>
    <row r="505" spans="4:10">
      <c r="D505" s="44"/>
      <c r="E505" s="44"/>
      <c r="F505" s="44"/>
      <c r="G505" s="44"/>
      <c r="I505" s="61"/>
      <c r="J505" s="59"/>
    </row>
    <row r="506" spans="4:10">
      <c r="D506" s="44"/>
      <c r="E506" s="44"/>
      <c r="F506" s="44"/>
      <c r="G506" s="44"/>
      <c r="I506" s="61"/>
      <c r="J506" s="59"/>
    </row>
    <row r="507" spans="4:10">
      <c r="D507" s="44"/>
      <c r="E507" s="44"/>
      <c r="F507" s="44"/>
      <c r="G507" s="44"/>
      <c r="I507" s="61"/>
      <c r="J507" s="59"/>
    </row>
    <row r="508" spans="4:10">
      <c r="D508" s="44"/>
      <c r="E508" s="44"/>
      <c r="F508" s="44"/>
      <c r="G508" s="44"/>
      <c r="I508" s="61"/>
      <c r="J508" s="59"/>
    </row>
    <row r="509" spans="4:10">
      <c r="D509" s="44"/>
      <c r="E509" s="44"/>
      <c r="F509" s="44"/>
      <c r="G509" s="44"/>
      <c r="I509" s="61"/>
      <c r="J509" s="59"/>
    </row>
    <row r="510" spans="4:10">
      <c r="D510" s="44"/>
      <c r="E510" s="44"/>
      <c r="F510" s="44"/>
      <c r="G510" s="44"/>
      <c r="I510" s="61"/>
      <c r="J510" s="59"/>
    </row>
    <row r="511" spans="4:10">
      <c r="D511" s="44"/>
      <c r="E511" s="44"/>
      <c r="F511" s="44"/>
      <c r="G511" s="44"/>
      <c r="I511" s="61"/>
      <c r="J511" s="59"/>
    </row>
    <row r="512" spans="4:10">
      <c r="D512" s="44"/>
      <c r="E512" s="44"/>
      <c r="F512" s="44"/>
      <c r="G512" s="44"/>
      <c r="I512" s="61"/>
      <c r="J512" s="59"/>
    </row>
    <row r="513" spans="4:10">
      <c r="D513" s="44"/>
      <c r="E513" s="44"/>
      <c r="F513" s="44"/>
      <c r="G513" s="44"/>
      <c r="I513" s="61"/>
      <c r="J513" s="59"/>
    </row>
    <row r="514" spans="4:10">
      <c r="D514" s="44"/>
      <c r="E514" s="44"/>
      <c r="F514" s="44"/>
      <c r="G514" s="44"/>
      <c r="I514" s="61"/>
      <c r="J514" s="59"/>
    </row>
    <row r="515" spans="4:10">
      <c r="D515" s="44"/>
      <c r="E515" s="44"/>
      <c r="F515" s="44"/>
      <c r="G515" s="44"/>
      <c r="I515" s="61"/>
      <c r="J515" s="59"/>
    </row>
    <row r="516" spans="4:10">
      <c r="D516" s="44"/>
      <c r="E516" s="44"/>
      <c r="F516" s="44"/>
      <c r="G516" s="44"/>
      <c r="I516" s="61"/>
      <c r="J516" s="59"/>
    </row>
    <row r="517" spans="4:10">
      <c r="D517" s="44"/>
      <c r="E517" s="44"/>
      <c r="F517" s="44"/>
      <c r="G517" s="44"/>
      <c r="I517" s="61"/>
      <c r="J517" s="59"/>
    </row>
    <row r="518" spans="4:10">
      <c r="D518" s="44"/>
      <c r="E518" s="44"/>
      <c r="F518" s="44"/>
      <c r="G518" s="44"/>
      <c r="I518" s="61"/>
      <c r="J518" s="59"/>
    </row>
    <row r="519" spans="4:10">
      <c r="D519" s="44"/>
      <c r="E519" s="44"/>
      <c r="F519" s="44"/>
      <c r="G519" s="44"/>
      <c r="I519" s="61"/>
      <c r="J519" s="59"/>
    </row>
    <row r="520" spans="4:10">
      <c r="D520" s="44"/>
      <c r="E520" s="44"/>
      <c r="F520" s="44"/>
      <c r="G520" s="44"/>
      <c r="I520" s="61"/>
      <c r="J520" s="59"/>
    </row>
    <row r="521" spans="4:10">
      <c r="D521" s="44"/>
      <c r="E521" s="44"/>
      <c r="F521" s="44"/>
      <c r="G521" s="44"/>
      <c r="I521" s="61"/>
      <c r="J521" s="59"/>
    </row>
    <row r="522" spans="4:10">
      <c r="D522" s="44"/>
      <c r="E522" s="44"/>
      <c r="F522" s="44"/>
      <c r="G522" s="44"/>
      <c r="I522" s="61"/>
      <c r="J522" s="59"/>
    </row>
    <row r="523" spans="4:10">
      <c r="D523" s="44"/>
      <c r="E523" s="44"/>
      <c r="F523" s="44"/>
      <c r="G523" s="44"/>
      <c r="I523" s="61"/>
      <c r="J523" s="59"/>
    </row>
    <row r="524" spans="4:10">
      <c r="D524" s="44"/>
      <c r="E524" s="44"/>
      <c r="F524" s="44"/>
      <c r="G524" s="44"/>
      <c r="I524" s="61"/>
      <c r="J524" s="59"/>
    </row>
    <row r="525" spans="4:10">
      <c r="D525" s="44"/>
      <c r="E525" s="44"/>
      <c r="F525" s="44"/>
      <c r="G525" s="44"/>
      <c r="I525" s="61"/>
      <c r="J525" s="59"/>
    </row>
    <row r="526" spans="4:10">
      <c r="D526" s="44"/>
      <c r="E526" s="44"/>
      <c r="F526" s="44"/>
      <c r="G526" s="44"/>
      <c r="I526" s="61"/>
      <c r="J526" s="59"/>
    </row>
    <row r="527" spans="4:10">
      <c r="D527" s="44"/>
      <c r="E527" s="44"/>
      <c r="F527" s="44"/>
      <c r="G527" s="44"/>
      <c r="I527" s="61"/>
      <c r="J527" s="59"/>
    </row>
    <row r="528" spans="4:10">
      <c r="D528" s="44"/>
      <c r="E528" s="44"/>
      <c r="F528" s="44"/>
      <c r="G528" s="44"/>
      <c r="I528" s="61"/>
      <c r="J528" s="59"/>
    </row>
    <row r="529" spans="4:10">
      <c r="D529" s="44"/>
      <c r="E529" s="44"/>
      <c r="F529" s="44"/>
      <c r="G529" s="44"/>
      <c r="I529" s="61"/>
      <c r="J529" s="59"/>
    </row>
    <row r="530" spans="4:10">
      <c r="D530" s="44"/>
      <c r="E530" s="44"/>
      <c r="F530" s="44"/>
      <c r="G530" s="44"/>
      <c r="I530" s="61"/>
      <c r="J530" s="59"/>
    </row>
    <row r="531" spans="4:10">
      <c r="D531" s="44"/>
      <c r="E531" s="44"/>
      <c r="F531" s="44"/>
      <c r="G531" s="44"/>
      <c r="I531" s="61"/>
      <c r="J531" s="59"/>
    </row>
    <row r="532" spans="4:10">
      <c r="D532" s="44"/>
      <c r="E532" s="44"/>
      <c r="F532" s="44"/>
      <c r="G532" s="44"/>
      <c r="I532" s="61"/>
      <c r="J532" s="59"/>
    </row>
    <row r="533" spans="4:10">
      <c r="D533" s="44"/>
      <c r="E533" s="44"/>
      <c r="F533" s="44"/>
      <c r="G533" s="44"/>
      <c r="I533" s="61"/>
      <c r="J533" s="59"/>
    </row>
    <row r="534" spans="4:10">
      <c r="D534" s="44"/>
      <c r="E534" s="44"/>
      <c r="F534" s="44"/>
      <c r="G534" s="44"/>
      <c r="I534" s="61"/>
      <c r="J534" s="59"/>
    </row>
    <row r="535" spans="4:10">
      <c r="D535" s="44"/>
      <c r="E535" s="44"/>
      <c r="F535" s="44"/>
      <c r="G535" s="44"/>
      <c r="I535" s="61"/>
      <c r="J535" s="59"/>
    </row>
    <row r="536" spans="4:10">
      <c r="D536" s="44"/>
      <c r="E536" s="44"/>
      <c r="F536" s="44"/>
      <c r="G536" s="44"/>
      <c r="I536" s="61"/>
      <c r="J536" s="59"/>
    </row>
    <row r="537" spans="4:10">
      <c r="D537" s="44"/>
      <c r="E537" s="44"/>
      <c r="F537" s="44"/>
      <c r="G537" s="44"/>
      <c r="I537" s="61"/>
      <c r="J537" s="59"/>
    </row>
    <row r="538" spans="4:10">
      <c r="D538" s="44"/>
      <c r="E538" s="44"/>
      <c r="F538" s="44"/>
      <c r="G538" s="44"/>
      <c r="I538" s="61"/>
      <c r="J538" s="59"/>
    </row>
    <row r="539" spans="4:10">
      <c r="D539" s="44"/>
      <c r="E539" s="44"/>
      <c r="F539" s="44"/>
      <c r="G539" s="44"/>
      <c r="I539" s="61"/>
      <c r="J539" s="59"/>
    </row>
    <row r="540" spans="4:10">
      <c r="D540" s="44"/>
      <c r="E540" s="44"/>
      <c r="F540" s="44"/>
      <c r="G540" s="44"/>
      <c r="I540" s="61"/>
      <c r="J540" s="59"/>
    </row>
    <row r="541" spans="4:10">
      <c r="D541" s="44"/>
      <c r="E541" s="44"/>
      <c r="F541" s="44"/>
      <c r="G541" s="44"/>
      <c r="I541" s="61"/>
      <c r="J541" s="59"/>
    </row>
    <row r="542" spans="4:10">
      <c r="D542" s="44">
        <f t="shared" ref="D542:D605" si="1">C542-H542</f>
        <v>0</v>
      </c>
      <c r="E542" s="44"/>
      <c r="F542" s="44"/>
      <c r="G542" s="44"/>
      <c r="I542" s="61">
        <f t="shared" ref="I542:I605" si="2">H542*10%</f>
        <v>0</v>
      </c>
      <c r="J542" s="59">
        <f t="shared" ref="J542:J605" si="3">H542*90%</f>
        <v>0</v>
      </c>
    </row>
    <row r="543" spans="4:10">
      <c r="D543" s="44">
        <f t="shared" si="1"/>
        <v>0</v>
      </c>
      <c r="E543" s="44"/>
      <c r="F543" s="44"/>
      <c r="G543" s="44"/>
      <c r="I543" s="61">
        <f t="shared" si="2"/>
        <v>0</v>
      </c>
      <c r="J543" s="59">
        <f t="shared" si="3"/>
        <v>0</v>
      </c>
    </row>
    <row r="544" spans="4:10">
      <c r="D544" s="44">
        <f t="shared" si="1"/>
        <v>0</v>
      </c>
      <c r="E544" s="44"/>
      <c r="F544" s="44"/>
      <c r="G544" s="44"/>
      <c r="I544" s="61">
        <f t="shared" si="2"/>
        <v>0</v>
      </c>
      <c r="J544" s="59">
        <f t="shared" si="3"/>
        <v>0</v>
      </c>
    </row>
    <row r="545" spans="4:10">
      <c r="D545" s="44">
        <f t="shared" si="1"/>
        <v>0</v>
      </c>
      <c r="E545" s="44"/>
      <c r="F545" s="44"/>
      <c r="G545" s="44"/>
      <c r="I545" s="61">
        <f t="shared" si="2"/>
        <v>0</v>
      </c>
      <c r="J545" s="59">
        <f t="shared" si="3"/>
        <v>0</v>
      </c>
    </row>
    <row r="546" spans="4:10">
      <c r="D546" s="44">
        <f t="shared" si="1"/>
        <v>0</v>
      </c>
      <c r="E546" s="44"/>
      <c r="F546" s="44"/>
      <c r="G546" s="44"/>
      <c r="I546" s="61">
        <f t="shared" si="2"/>
        <v>0</v>
      </c>
      <c r="J546" s="59">
        <f t="shared" si="3"/>
        <v>0</v>
      </c>
    </row>
    <row r="547" spans="4:10">
      <c r="D547" s="44">
        <f t="shared" si="1"/>
        <v>0</v>
      </c>
      <c r="E547" s="44"/>
      <c r="F547" s="44"/>
      <c r="G547" s="44"/>
      <c r="I547" s="61">
        <f t="shared" si="2"/>
        <v>0</v>
      </c>
      <c r="J547" s="59">
        <f t="shared" si="3"/>
        <v>0</v>
      </c>
    </row>
    <row r="548" spans="4:10">
      <c r="D548" s="44">
        <f t="shared" si="1"/>
        <v>0</v>
      </c>
      <c r="E548" s="44"/>
      <c r="F548" s="44"/>
      <c r="G548" s="44"/>
      <c r="I548" s="61">
        <f t="shared" si="2"/>
        <v>0</v>
      </c>
      <c r="J548" s="59">
        <f t="shared" si="3"/>
        <v>0</v>
      </c>
    </row>
    <row r="549" spans="4:10">
      <c r="D549" s="44">
        <f t="shared" si="1"/>
        <v>0</v>
      </c>
      <c r="E549" s="44"/>
      <c r="F549" s="44"/>
      <c r="G549" s="44"/>
      <c r="I549" s="61">
        <f t="shared" si="2"/>
        <v>0</v>
      </c>
      <c r="J549" s="59">
        <f t="shared" si="3"/>
        <v>0</v>
      </c>
    </row>
    <row r="550" spans="4:10">
      <c r="D550" s="44">
        <f t="shared" si="1"/>
        <v>0</v>
      </c>
      <c r="E550" s="44"/>
      <c r="F550" s="44"/>
      <c r="G550" s="44"/>
      <c r="I550" s="61">
        <f t="shared" si="2"/>
        <v>0</v>
      </c>
      <c r="J550" s="59">
        <f t="shared" si="3"/>
        <v>0</v>
      </c>
    </row>
    <row r="551" spans="4:10">
      <c r="D551" s="44">
        <f t="shared" si="1"/>
        <v>0</v>
      </c>
      <c r="E551" s="44"/>
      <c r="F551" s="44"/>
      <c r="G551" s="44"/>
      <c r="I551" s="61">
        <f t="shared" si="2"/>
        <v>0</v>
      </c>
      <c r="J551" s="59">
        <f t="shared" si="3"/>
        <v>0</v>
      </c>
    </row>
    <row r="552" spans="4:10">
      <c r="D552" s="44">
        <f t="shared" si="1"/>
        <v>0</v>
      </c>
      <c r="E552" s="44"/>
      <c r="F552" s="44"/>
      <c r="G552" s="44"/>
      <c r="I552" s="61">
        <f t="shared" si="2"/>
        <v>0</v>
      </c>
      <c r="J552" s="59">
        <f t="shared" si="3"/>
        <v>0</v>
      </c>
    </row>
    <row r="553" spans="4:10">
      <c r="D553" s="44">
        <f t="shared" si="1"/>
        <v>0</v>
      </c>
      <c r="E553" s="44"/>
      <c r="F553" s="44"/>
      <c r="G553" s="44"/>
      <c r="I553" s="61">
        <f t="shared" si="2"/>
        <v>0</v>
      </c>
      <c r="J553" s="59">
        <f t="shared" si="3"/>
        <v>0</v>
      </c>
    </row>
    <row r="554" spans="4:10">
      <c r="D554" s="44">
        <f t="shared" si="1"/>
        <v>0</v>
      </c>
      <c r="E554" s="44"/>
      <c r="F554" s="44"/>
      <c r="G554" s="44"/>
      <c r="I554" s="61">
        <f t="shared" si="2"/>
        <v>0</v>
      </c>
      <c r="J554" s="59">
        <f t="shared" si="3"/>
        <v>0</v>
      </c>
    </row>
    <row r="555" spans="4:10">
      <c r="D555" s="44">
        <f t="shared" si="1"/>
        <v>0</v>
      </c>
      <c r="E555" s="44"/>
      <c r="F555" s="44"/>
      <c r="G555" s="44"/>
      <c r="I555" s="61">
        <f t="shared" si="2"/>
        <v>0</v>
      </c>
      <c r="J555" s="59">
        <f t="shared" si="3"/>
        <v>0</v>
      </c>
    </row>
    <row r="556" spans="4:10">
      <c r="D556" s="44">
        <f t="shared" si="1"/>
        <v>0</v>
      </c>
      <c r="E556" s="44"/>
      <c r="F556" s="44"/>
      <c r="G556" s="44"/>
      <c r="I556" s="61">
        <f t="shared" si="2"/>
        <v>0</v>
      </c>
      <c r="J556" s="59">
        <f t="shared" si="3"/>
        <v>0</v>
      </c>
    </row>
    <row r="557" spans="4:10">
      <c r="D557" s="44">
        <f t="shared" si="1"/>
        <v>0</v>
      </c>
      <c r="E557" s="44"/>
      <c r="F557" s="44"/>
      <c r="G557" s="44"/>
      <c r="I557" s="61">
        <f t="shared" si="2"/>
        <v>0</v>
      </c>
      <c r="J557" s="59">
        <f t="shared" si="3"/>
        <v>0</v>
      </c>
    </row>
    <row r="558" spans="4:10">
      <c r="D558" s="44">
        <f t="shared" si="1"/>
        <v>0</v>
      </c>
      <c r="E558" s="44"/>
      <c r="F558" s="44"/>
      <c r="G558" s="44"/>
      <c r="I558" s="61">
        <f t="shared" si="2"/>
        <v>0</v>
      </c>
      <c r="J558" s="59">
        <f t="shared" si="3"/>
        <v>0</v>
      </c>
    </row>
    <row r="559" spans="4:10">
      <c r="D559" s="44">
        <f t="shared" si="1"/>
        <v>0</v>
      </c>
      <c r="E559" s="44"/>
      <c r="F559" s="44"/>
      <c r="G559" s="44"/>
      <c r="I559" s="61">
        <f t="shared" si="2"/>
        <v>0</v>
      </c>
      <c r="J559" s="59">
        <f t="shared" si="3"/>
        <v>0</v>
      </c>
    </row>
    <row r="560" spans="4:10">
      <c r="D560" s="44">
        <f t="shared" si="1"/>
        <v>0</v>
      </c>
      <c r="E560" s="44"/>
      <c r="F560" s="44"/>
      <c r="G560" s="44"/>
      <c r="I560" s="61">
        <f t="shared" si="2"/>
        <v>0</v>
      </c>
      <c r="J560" s="59">
        <f t="shared" si="3"/>
        <v>0</v>
      </c>
    </row>
    <row r="561" spans="4:10">
      <c r="D561" s="44">
        <f t="shared" si="1"/>
        <v>0</v>
      </c>
      <c r="E561" s="44"/>
      <c r="F561" s="44"/>
      <c r="G561" s="44"/>
      <c r="I561" s="61">
        <f t="shared" si="2"/>
        <v>0</v>
      </c>
      <c r="J561" s="59">
        <f t="shared" si="3"/>
        <v>0</v>
      </c>
    </row>
    <row r="562" spans="4:10">
      <c r="D562" s="44">
        <f t="shared" si="1"/>
        <v>0</v>
      </c>
      <c r="E562" s="44"/>
      <c r="F562" s="44"/>
      <c r="G562" s="44"/>
      <c r="I562" s="61">
        <f t="shared" si="2"/>
        <v>0</v>
      </c>
      <c r="J562" s="59">
        <f t="shared" si="3"/>
        <v>0</v>
      </c>
    </row>
    <row r="563" spans="4:10">
      <c r="D563" s="44">
        <f t="shared" si="1"/>
        <v>0</v>
      </c>
      <c r="E563" s="44"/>
      <c r="F563" s="44"/>
      <c r="G563" s="44"/>
      <c r="I563" s="61">
        <f t="shared" si="2"/>
        <v>0</v>
      </c>
      <c r="J563" s="59">
        <f t="shared" si="3"/>
        <v>0</v>
      </c>
    </row>
    <row r="564" spans="4:10">
      <c r="D564" s="44">
        <f t="shared" si="1"/>
        <v>0</v>
      </c>
      <c r="E564" s="44"/>
      <c r="F564" s="44"/>
      <c r="G564" s="44"/>
      <c r="I564" s="61">
        <f t="shared" si="2"/>
        <v>0</v>
      </c>
      <c r="J564" s="59">
        <f t="shared" si="3"/>
        <v>0</v>
      </c>
    </row>
    <row r="565" spans="4:10">
      <c r="D565" s="44">
        <f t="shared" si="1"/>
        <v>0</v>
      </c>
      <c r="E565" s="44"/>
      <c r="F565" s="44"/>
      <c r="G565" s="44"/>
      <c r="I565" s="61">
        <f t="shared" si="2"/>
        <v>0</v>
      </c>
      <c r="J565" s="59">
        <f t="shared" si="3"/>
        <v>0</v>
      </c>
    </row>
    <row r="566" spans="4:10">
      <c r="D566" s="44">
        <f t="shared" si="1"/>
        <v>0</v>
      </c>
      <c r="E566" s="44"/>
      <c r="F566" s="44"/>
      <c r="G566" s="44"/>
      <c r="I566" s="61">
        <f t="shared" si="2"/>
        <v>0</v>
      </c>
      <c r="J566" s="59">
        <f t="shared" si="3"/>
        <v>0</v>
      </c>
    </row>
    <row r="567" spans="4:10">
      <c r="D567" s="44">
        <f t="shared" si="1"/>
        <v>0</v>
      </c>
      <c r="E567" s="44"/>
      <c r="F567" s="44"/>
      <c r="G567" s="44"/>
      <c r="I567" s="61">
        <f t="shared" si="2"/>
        <v>0</v>
      </c>
      <c r="J567" s="59">
        <f t="shared" si="3"/>
        <v>0</v>
      </c>
    </row>
    <row r="568" spans="4:10">
      <c r="D568" s="44">
        <f t="shared" si="1"/>
        <v>0</v>
      </c>
      <c r="E568" s="44"/>
      <c r="F568" s="44"/>
      <c r="G568" s="44"/>
      <c r="I568" s="61">
        <f t="shared" si="2"/>
        <v>0</v>
      </c>
      <c r="J568" s="59">
        <f t="shared" si="3"/>
        <v>0</v>
      </c>
    </row>
    <row r="569" spans="4:10">
      <c r="D569" s="44">
        <f t="shared" si="1"/>
        <v>0</v>
      </c>
      <c r="E569" s="44"/>
      <c r="F569" s="44"/>
      <c r="G569" s="44"/>
      <c r="I569" s="61">
        <f t="shared" si="2"/>
        <v>0</v>
      </c>
      <c r="J569" s="59">
        <f t="shared" si="3"/>
        <v>0</v>
      </c>
    </row>
    <row r="570" spans="4:10">
      <c r="D570" s="44">
        <f t="shared" si="1"/>
        <v>0</v>
      </c>
      <c r="E570" s="44"/>
      <c r="F570" s="44"/>
      <c r="G570" s="44"/>
      <c r="I570" s="61">
        <f t="shared" si="2"/>
        <v>0</v>
      </c>
      <c r="J570" s="59">
        <f t="shared" si="3"/>
        <v>0</v>
      </c>
    </row>
    <row r="571" spans="4:10">
      <c r="D571" s="44">
        <f t="shared" si="1"/>
        <v>0</v>
      </c>
      <c r="E571" s="44"/>
      <c r="F571" s="44"/>
      <c r="G571" s="44"/>
      <c r="I571" s="61">
        <f t="shared" si="2"/>
        <v>0</v>
      </c>
      <c r="J571" s="59">
        <f t="shared" si="3"/>
        <v>0</v>
      </c>
    </row>
    <row r="572" spans="4:10">
      <c r="D572" s="44">
        <f t="shared" si="1"/>
        <v>0</v>
      </c>
      <c r="E572" s="44"/>
      <c r="F572" s="44"/>
      <c r="G572" s="44"/>
      <c r="I572" s="61">
        <f t="shared" si="2"/>
        <v>0</v>
      </c>
      <c r="J572" s="59">
        <f t="shared" si="3"/>
        <v>0</v>
      </c>
    </row>
    <row r="573" spans="4:10">
      <c r="D573" s="44">
        <f t="shared" si="1"/>
        <v>0</v>
      </c>
      <c r="E573" s="44"/>
      <c r="F573" s="44"/>
      <c r="G573" s="44"/>
      <c r="I573" s="61">
        <f t="shared" si="2"/>
        <v>0</v>
      </c>
      <c r="J573" s="59">
        <f t="shared" si="3"/>
        <v>0</v>
      </c>
    </row>
    <row r="574" spans="4:10">
      <c r="D574" s="44">
        <f t="shared" si="1"/>
        <v>0</v>
      </c>
      <c r="E574" s="44"/>
      <c r="F574" s="44"/>
      <c r="G574" s="44"/>
      <c r="I574" s="61">
        <f t="shared" si="2"/>
        <v>0</v>
      </c>
      <c r="J574" s="59">
        <f t="shared" si="3"/>
        <v>0</v>
      </c>
    </row>
    <row r="575" spans="4:10">
      <c r="D575" s="44">
        <f t="shared" si="1"/>
        <v>0</v>
      </c>
      <c r="E575" s="44"/>
      <c r="F575" s="44"/>
      <c r="G575" s="44"/>
      <c r="I575" s="61">
        <f t="shared" si="2"/>
        <v>0</v>
      </c>
      <c r="J575" s="59">
        <f t="shared" si="3"/>
        <v>0</v>
      </c>
    </row>
    <row r="576" spans="4:10">
      <c r="D576" s="44">
        <f t="shared" si="1"/>
        <v>0</v>
      </c>
      <c r="E576" s="44"/>
      <c r="F576" s="44"/>
      <c r="G576" s="44"/>
      <c r="I576" s="61">
        <f t="shared" si="2"/>
        <v>0</v>
      </c>
      <c r="J576" s="59">
        <f t="shared" si="3"/>
        <v>0</v>
      </c>
    </row>
    <row r="577" spans="4:10">
      <c r="D577" s="44">
        <f t="shared" si="1"/>
        <v>0</v>
      </c>
      <c r="E577" s="44"/>
      <c r="F577" s="44"/>
      <c r="G577" s="44"/>
      <c r="I577" s="61">
        <f t="shared" si="2"/>
        <v>0</v>
      </c>
      <c r="J577" s="59">
        <f t="shared" si="3"/>
        <v>0</v>
      </c>
    </row>
    <row r="578" spans="4:10">
      <c r="D578" s="44">
        <f t="shared" si="1"/>
        <v>0</v>
      </c>
      <c r="E578" s="44"/>
      <c r="F578" s="44"/>
      <c r="G578" s="44"/>
      <c r="I578" s="61">
        <f t="shared" si="2"/>
        <v>0</v>
      </c>
      <c r="J578" s="59">
        <f t="shared" si="3"/>
        <v>0</v>
      </c>
    </row>
    <row r="579" spans="4:10">
      <c r="D579" s="44">
        <f t="shared" si="1"/>
        <v>0</v>
      </c>
      <c r="E579" s="44"/>
      <c r="F579" s="44"/>
      <c r="G579" s="44"/>
      <c r="I579" s="61">
        <f t="shared" si="2"/>
        <v>0</v>
      </c>
      <c r="J579" s="59">
        <f t="shared" si="3"/>
        <v>0</v>
      </c>
    </row>
    <row r="580" spans="4:10">
      <c r="D580" s="44">
        <f t="shared" si="1"/>
        <v>0</v>
      </c>
      <c r="E580" s="44"/>
      <c r="F580" s="44"/>
      <c r="G580" s="44"/>
      <c r="I580" s="61">
        <f t="shared" si="2"/>
        <v>0</v>
      </c>
      <c r="J580" s="59">
        <f t="shared" si="3"/>
        <v>0</v>
      </c>
    </row>
    <row r="581" spans="4:10">
      <c r="D581" s="44">
        <f t="shared" si="1"/>
        <v>0</v>
      </c>
      <c r="E581" s="44"/>
      <c r="F581" s="44"/>
      <c r="G581" s="44"/>
      <c r="I581" s="61">
        <f t="shared" si="2"/>
        <v>0</v>
      </c>
      <c r="J581" s="59">
        <f t="shared" si="3"/>
        <v>0</v>
      </c>
    </row>
    <row r="582" spans="4:10">
      <c r="D582" s="44">
        <f t="shared" si="1"/>
        <v>0</v>
      </c>
      <c r="E582" s="44"/>
      <c r="F582" s="44"/>
      <c r="G582" s="44"/>
      <c r="I582" s="61">
        <f t="shared" si="2"/>
        <v>0</v>
      </c>
      <c r="J582" s="59">
        <f t="shared" si="3"/>
        <v>0</v>
      </c>
    </row>
    <row r="583" spans="4:10">
      <c r="D583" s="44">
        <f t="shared" si="1"/>
        <v>0</v>
      </c>
      <c r="E583" s="44"/>
      <c r="F583" s="44"/>
      <c r="G583" s="44"/>
      <c r="I583" s="61">
        <f t="shared" si="2"/>
        <v>0</v>
      </c>
      <c r="J583" s="59">
        <f t="shared" si="3"/>
        <v>0</v>
      </c>
    </row>
    <row r="584" spans="4:10">
      <c r="D584" s="44">
        <f t="shared" si="1"/>
        <v>0</v>
      </c>
      <c r="E584" s="44"/>
      <c r="F584" s="44"/>
      <c r="G584" s="44"/>
      <c r="I584" s="61">
        <f t="shared" si="2"/>
        <v>0</v>
      </c>
      <c r="J584" s="59">
        <f t="shared" si="3"/>
        <v>0</v>
      </c>
    </row>
    <row r="585" spans="4:10">
      <c r="D585" s="44">
        <f t="shared" si="1"/>
        <v>0</v>
      </c>
      <c r="E585" s="44"/>
      <c r="F585" s="44"/>
      <c r="G585" s="44"/>
      <c r="I585" s="61">
        <f t="shared" si="2"/>
        <v>0</v>
      </c>
      <c r="J585" s="59">
        <f t="shared" si="3"/>
        <v>0</v>
      </c>
    </row>
    <row r="586" spans="4:10">
      <c r="D586" s="44">
        <f t="shared" si="1"/>
        <v>0</v>
      </c>
      <c r="E586" s="44"/>
      <c r="F586" s="44"/>
      <c r="G586" s="44"/>
      <c r="I586" s="61">
        <f t="shared" si="2"/>
        <v>0</v>
      </c>
      <c r="J586" s="59">
        <f t="shared" si="3"/>
        <v>0</v>
      </c>
    </row>
    <row r="587" spans="4:10">
      <c r="D587" s="44">
        <f t="shared" si="1"/>
        <v>0</v>
      </c>
      <c r="E587" s="44"/>
      <c r="F587" s="44"/>
      <c r="G587" s="44"/>
      <c r="I587" s="61">
        <f t="shared" si="2"/>
        <v>0</v>
      </c>
      <c r="J587" s="59">
        <f t="shared" si="3"/>
        <v>0</v>
      </c>
    </row>
    <row r="588" spans="4:10">
      <c r="D588" s="44">
        <f t="shared" si="1"/>
        <v>0</v>
      </c>
      <c r="E588" s="44"/>
      <c r="F588" s="44"/>
      <c r="G588" s="44"/>
      <c r="I588" s="61">
        <f t="shared" si="2"/>
        <v>0</v>
      </c>
      <c r="J588" s="59">
        <f t="shared" si="3"/>
        <v>0</v>
      </c>
    </row>
    <row r="589" spans="4:10">
      <c r="D589" s="44">
        <f t="shared" si="1"/>
        <v>0</v>
      </c>
      <c r="E589" s="44"/>
      <c r="F589" s="44"/>
      <c r="G589" s="44"/>
      <c r="I589" s="61">
        <f t="shared" si="2"/>
        <v>0</v>
      </c>
      <c r="J589" s="59">
        <f t="shared" si="3"/>
        <v>0</v>
      </c>
    </row>
    <row r="590" spans="4:10">
      <c r="D590" s="44">
        <f t="shared" si="1"/>
        <v>0</v>
      </c>
      <c r="E590" s="44"/>
      <c r="F590" s="44"/>
      <c r="G590" s="44"/>
      <c r="I590" s="61">
        <f t="shared" si="2"/>
        <v>0</v>
      </c>
      <c r="J590" s="59">
        <f t="shared" si="3"/>
        <v>0</v>
      </c>
    </row>
    <row r="591" spans="4:10">
      <c r="D591" s="44">
        <f t="shared" si="1"/>
        <v>0</v>
      </c>
      <c r="E591" s="44"/>
      <c r="F591" s="44"/>
      <c r="G591" s="44"/>
      <c r="I591" s="61">
        <f t="shared" si="2"/>
        <v>0</v>
      </c>
      <c r="J591" s="59">
        <f t="shared" si="3"/>
        <v>0</v>
      </c>
    </row>
    <row r="592" spans="4:10">
      <c r="D592" s="44">
        <f t="shared" si="1"/>
        <v>0</v>
      </c>
      <c r="E592" s="44"/>
      <c r="F592" s="44"/>
      <c r="G592" s="44"/>
      <c r="I592" s="61">
        <f t="shared" si="2"/>
        <v>0</v>
      </c>
      <c r="J592" s="59">
        <f t="shared" si="3"/>
        <v>0</v>
      </c>
    </row>
    <row r="593" spans="4:10">
      <c r="D593" s="44">
        <f t="shared" si="1"/>
        <v>0</v>
      </c>
      <c r="E593" s="44"/>
      <c r="F593" s="44"/>
      <c r="G593" s="44"/>
      <c r="I593" s="61">
        <f t="shared" si="2"/>
        <v>0</v>
      </c>
      <c r="J593" s="59">
        <f t="shared" si="3"/>
        <v>0</v>
      </c>
    </row>
    <row r="594" spans="4:10">
      <c r="D594" s="44">
        <f t="shared" si="1"/>
        <v>0</v>
      </c>
      <c r="E594" s="44"/>
      <c r="F594" s="44"/>
      <c r="G594" s="44"/>
      <c r="I594" s="61">
        <f t="shared" si="2"/>
        <v>0</v>
      </c>
      <c r="J594" s="59">
        <f t="shared" si="3"/>
        <v>0</v>
      </c>
    </row>
    <row r="595" spans="4:10">
      <c r="D595" s="44">
        <f t="shared" si="1"/>
        <v>0</v>
      </c>
      <c r="E595" s="44"/>
      <c r="F595" s="44"/>
      <c r="G595" s="44"/>
      <c r="I595" s="61">
        <f t="shared" si="2"/>
        <v>0</v>
      </c>
      <c r="J595" s="59">
        <f t="shared" si="3"/>
        <v>0</v>
      </c>
    </row>
    <row r="596" spans="4:10">
      <c r="D596" s="44">
        <f t="shared" si="1"/>
        <v>0</v>
      </c>
      <c r="E596" s="44"/>
      <c r="F596" s="44"/>
      <c r="G596" s="44"/>
      <c r="I596" s="61">
        <f t="shared" si="2"/>
        <v>0</v>
      </c>
      <c r="J596" s="59">
        <f t="shared" si="3"/>
        <v>0</v>
      </c>
    </row>
    <row r="597" spans="4:10">
      <c r="D597" s="44">
        <f t="shared" si="1"/>
        <v>0</v>
      </c>
      <c r="E597" s="44"/>
      <c r="F597" s="44"/>
      <c r="G597" s="44"/>
      <c r="I597" s="61">
        <f t="shared" si="2"/>
        <v>0</v>
      </c>
      <c r="J597" s="59">
        <f t="shared" si="3"/>
        <v>0</v>
      </c>
    </row>
    <row r="598" spans="4:10">
      <c r="D598" s="44">
        <f t="shared" si="1"/>
        <v>0</v>
      </c>
      <c r="E598" s="44"/>
      <c r="F598" s="44"/>
      <c r="G598" s="44"/>
      <c r="I598" s="61">
        <f t="shared" si="2"/>
        <v>0</v>
      </c>
      <c r="J598" s="59">
        <f t="shared" si="3"/>
        <v>0</v>
      </c>
    </row>
    <row r="599" spans="4:10">
      <c r="D599" s="44">
        <f t="shared" si="1"/>
        <v>0</v>
      </c>
      <c r="E599" s="44"/>
      <c r="F599" s="44"/>
      <c r="G599" s="44"/>
      <c r="I599" s="61">
        <f t="shared" si="2"/>
        <v>0</v>
      </c>
      <c r="J599" s="59">
        <f t="shared" si="3"/>
        <v>0</v>
      </c>
    </row>
    <row r="600" spans="4:10">
      <c r="D600" s="44">
        <f t="shared" si="1"/>
        <v>0</v>
      </c>
      <c r="E600" s="44"/>
      <c r="F600" s="44"/>
      <c r="G600" s="44"/>
      <c r="I600" s="61">
        <f t="shared" si="2"/>
        <v>0</v>
      </c>
      <c r="J600" s="59">
        <f t="shared" si="3"/>
        <v>0</v>
      </c>
    </row>
    <row r="601" spans="4:10">
      <c r="D601" s="44">
        <f t="shared" si="1"/>
        <v>0</v>
      </c>
      <c r="E601" s="44"/>
      <c r="F601" s="44"/>
      <c r="G601" s="44"/>
      <c r="I601" s="61">
        <f t="shared" si="2"/>
        <v>0</v>
      </c>
      <c r="J601" s="59">
        <f t="shared" si="3"/>
        <v>0</v>
      </c>
    </row>
    <row r="602" spans="4:10">
      <c r="D602" s="44">
        <f t="shared" si="1"/>
        <v>0</v>
      </c>
      <c r="E602" s="44"/>
      <c r="F602" s="44"/>
      <c r="G602" s="44"/>
      <c r="I602" s="61">
        <f t="shared" si="2"/>
        <v>0</v>
      </c>
      <c r="J602" s="59">
        <f t="shared" si="3"/>
        <v>0</v>
      </c>
    </row>
    <row r="603" spans="4:10">
      <c r="D603" s="44">
        <f t="shared" si="1"/>
        <v>0</v>
      </c>
      <c r="E603" s="44"/>
      <c r="F603" s="44"/>
      <c r="G603" s="44"/>
      <c r="I603" s="61">
        <f t="shared" si="2"/>
        <v>0</v>
      </c>
      <c r="J603" s="59">
        <f t="shared" si="3"/>
        <v>0</v>
      </c>
    </row>
    <row r="604" spans="4:10">
      <c r="D604" s="44">
        <f t="shared" si="1"/>
        <v>0</v>
      </c>
      <c r="E604" s="44"/>
      <c r="F604" s="44"/>
      <c r="G604" s="44"/>
      <c r="I604" s="61">
        <f t="shared" si="2"/>
        <v>0</v>
      </c>
      <c r="J604" s="59">
        <f t="shared" si="3"/>
        <v>0</v>
      </c>
    </row>
    <row r="605" spans="4:10">
      <c r="D605" s="44">
        <f t="shared" si="1"/>
        <v>0</v>
      </c>
      <c r="E605" s="44"/>
      <c r="F605" s="44"/>
      <c r="G605" s="44"/>
      <c r="I605" s="61">
        <f t="shared" si="2"/>
        <v>0</v>
      </c>
      <c r="J605" s="59">
        <f t="shared" si="3"/>
        <v>0</v>
      </c>
    </row>
    <row r="606" spans="4:10">
      <c r="D606" s="44">
        <f t="shared" ref="D606:D669" si="4">C606-H606</f>
        <v>0</v>
      </c>
      <c r="E606" s="44"/>
      <c r="F606" s="44"/>
      <c r="G606" s="44"/>
      <c r="I606" s="61">
        <f t="shared" ref="I606:I669" si="5">H606*10%</f>
        <v>0</v>
      </c>
      <c r="J606" s="59">
        <f t="shared" ref="J606:J669" si="6">H606*90%</f>
        <v>0</v>
      </c>
    </row>
    <row r="607" spans="4:10">
      <c r="D607" s="44">
        <f t="shared" si="4"/>
        <v>0</v>
      </c>
      <c r="E607" s="44"/>
      <c r="F607" s="44"/>
      <c r="G607" s="44"/>
      <c r="I607" s="61">
        <f t="shared" si="5"/>
        <v>0</v>
      </c>
      <c r="J607" s="59">
        <f t="shared" si="6"/>
        <v>0</v>
      </c>
    </row>
    <row r="608" spans="4:10">
      <c r="D608" s="44">
        <f t="shared" si="4"/>
        <v>0</v>
      </c>
      <c r="E608" s="44"/>
      <c r="F608" s="44"/>
      <c r="G608" s="44"/>
      <c r="I608" s="61">
        <f t="shared" si="5"/>
        <v>0</v>
      </c>
      <c r="J608" s="59">
        <f t="shared" si="6"/>
        <v>0</v>
      </c>
    </row>
    <row r="609" spans="4:10">
      <c r="D609" s="44">
        <f t="shared" si="4"/>
        <v>0</v>
      </c>
      <c r="E609" s="44"/>
      <c r="F609" s="44"/>
      <c r="G609" s="44"/>
      <c r="I609" s="61">
        <f t="shared" si="5"/>
        <v>0</v>
      </c>
      <c r="J609" s="59">
        <f t="shared" si="6"/>
        <v>0</v>
      </c>
    </row>
    <row r="610" spans="4:10">
      <c r="D610" s="44">
        <f t="shared" si="4"/>
        <v>0</v>
      </c>
      <c r="E610" s="44"/>
      <c r="F610" s="44"/>
      <c r="G610" s="44"/>
      <c r="I610" s="61">
        <f t="shared" si="5"/>
        <v>0</v>
      </c>
      <c r="J610" s="59">
        <f t="shared" si="6"/>
        <v>0</v>
      </c>
    </row>
    <row r="611" spans="4:10">
      <c r="D611" s="44">
        <f t="shared" si="4"/>
        <v>0</v>
      </c>
      <c r="E611" s="44"/>
      <c r="F611" s="44"/>
      <c r="G611" s="44"/>
      <c r="I611" s="61">
        <f t="shared" si="5"/>
        <v>0</v>
      </c>
      <c r="J611" s="59">
        <f t="shared" si="6"/>
        <v>0</v>
      </c>
    </row>
    <row r="612" spans="4:10">
      <c r="D612" s="44">
        <f t="shared" si="4"/>
        <v>0</v>
      </c>
      <c r="E612" s="44"/>
      <c r="F612" s="44"/>
      <c r="G612" s="44"/>
      <c r="I612" s="61">
        <f t="shared" si="5"/>
        <v>0</v>
      </c>
      <c r="J612" s="59">
        <f t="shared" si="6"/>
        <v>0</v>
      </c>
    </row>
    <row r="613" spans="4:10">
      <c r="D613" s="44">
        <f t="shared" si="4"/>
        <v>0</v>
      </c>
      <c r="E613" s="44"/>
      <c r="F613" s="44"/>
      <c r="G613" s="44"/>
      <c r="I613" s="61">
        <f t="shared" si="5"/>
        <v>0</v>
      </c>
      <c r="J613" s="59">
        <f t="shared" si="6"/>
        <v>0</v>
      </c>
    </row>
    <row r="614" spans="4:10">
      <c r="D614" s="44">
        <f t="shared" si="4"/>
        <v>0</v>
      </c>
      <c r="E614" s="44"/>
      <c r="F614" s="44"/>
      <c r="G614" s="44"/>
      <c r="I614" s="61">
        <f t="shared" si="5"/>
        <v>0</v>
      </c>
      <c r="J614" s="59">
        <f t="shared" si="6"/>
        <v>0</v>
      </c>
    </row>
    <row r="615" spans="4:10">
      <c r="D615" s="44">
        <f t="shared" si="4"/>
        <v>0</v>
      </c>
      <c r="E615" s="44"/>
      <c r="F615" s="44"/>
      <c r="G615" s="44"/>
      <c r="I615" s="61">
        <f t="shared" si="5"/>
        <v>0</v>
      </c>
      <c r="J615" s="59">
        <f t="shared" si="6"/>
        <v>0</v>
      </c>
    </row>
    <row r="616" spans="4:10">
      <c r="D616" s="44">
        <f t="shared" si="4"/>
        <v>0</v>
      </c>
      <c r="E616" s="44"/>
      <c r="F616" s="44"/>
      <c r="G616" s="44"/>
      <c r="I616" s="61">
        <f t="shared" si="5"/>
        <v>0</v>
      </c>
      <c r="J616" s="59">
        <f t="shared" si="6"/>
        <v>0</v>
      </c>
    </row>
    <row r="617" spans="4:10">
      <c r="D617" s="44">
        <f t="shared" si="4"/>
        <v>0</v>
      </c>
      <c r="E617" s="44"/>
      <c r="F617" s="44"/>
      <c r="G617" s="44"/>
      <c r="I617" s="61">
        <f t="shared" si="5"/>
        <v>0</v>
      </c>
      <c r="J617" s="59">
        <f t="shared" si="6"/>
        <v>0</v>
      </c>
    </row>
    <row r="618" spans="4:10">
      <c r="D618" s="44">
        <f t="shared" si="4"/>
        <v>0</v>
      </c>
      <c r="E618" s="44"/>
      <c r="F618" s="44"/>
      <c r="G618" s="44"/>
      <c r="I618" s="61">
        <f t="shared" si="5"/>
        <v>0</v>
      </c>
      <c r="J618" s="59">
        <f t="shared" si="6"/>
        <v>0</v>
      </c>
    </row>
    <row r="619" spans="4:10">
      <c r="D619" s="44">
        <f t="shared" si="4"/>
        <v>0</v>
      </c>
      <c r="E619" s="44"/>
      <c r="F619" s="44"/>
      <c r="G619" s="44"/>
      <c r="I619" s="61">
        <f t="shared" si="5"/>
        <v>0</v>
      </c>
      <c r="J619" s="59">
        <f t="shared" si="6"/>
        <v>0</v>
      </c>
    </row>
    <row r="620" spans="4:10">
      <c r="D620" s="44">
        <f t="shared" si="4"/>
        <v>0</v>
      </c>
      <c r="E620" s="44"/>
      <c r="F620" s="44"/>
      <c r="G620" s="44"/>
      <c r="I620" s="61">
        <f t="shared" si="5"/>
        <v>0</v>
      </c>
      <c r="J620" s="59">
        <f t="shared" si="6"/>
        <v>0</v>
      </c>
    </row>
    <row r="621" spans="4:10">
      <c r="D621" s="44">
        <f t="shared" si="4"/>
        <v>0</v>
      </c>
      <c r="E621" s="44"/>
      <c r="F621" s="44"/>
      <c r="G621" s="44"/>
      <c r="I621" s="61">
        <f t="shared" si="5"/>
        <v>0</v>
      </c>
      <c r="J621" s="59">
        <f t="shared" si="6"/>
        <v>0</v>
      </c>
    </row>
    <row r="622" spans="4:10">
      <c r="D622" s="44">
        <f t="shared" si="4"/>
        <v>0</v>
      </c>
      <c r="E622" s="44"/>
      <c r="F622" s="44"/>
      <c r="G622" s="44"/>
      <c r="I622" s="61">
        <f t="shared" si="5"/>
        <v>0</v>
      </c>
      <c r="J622" s="59">
        <f t="shared" si="6"/>
        <v>0</v>
      </c>
    </row>
    <row r="623" spans="4:10">
      <c r="D623" s="44">
        <f t="shared" si="4"/>
        <v>0</v>
      </c>
      <c r="E623" s="44"/>
      <c r="F623" s="44"/>
      <c r="G623" s="44"/>
      <c r="I623" s="61">
        <f t="shared" si="5"/>
        <v>0</v>
      </c>
      <c r="J623" s="59">
        <f t="shared" si="6"/>
        <v>0</v>
      </c>
    </row>
    <row r="624" spans="4:10">
      <c r="D624" s="44">
        <f t="shared" si="4"/>
        <v>0</v>
      </c>
      <c r="E624" s="44"/>
      <c r="F624" s="44"/>
      <c r="G624" s="44"/>
      <c r="I624" s="61">
        <f t="shared" si="5"/>
        <v>0</v>
      </c>
      <c r="J624" s="59">
        <f t="shared" si="6"/>
        <v>0</v>
      </c>
    </row>
    <row r="625" spans="4:10">
      <c r="D625" s="44">
        <f t="shared" si="4"/>
        <v>0</v>
      </c>
      <c r="E625" s="44"/>
      <c r="F625" s="44"/>
      <c r="G625" s="44"/>
      <c r="I625" s="61">
        <f t="shared" si="5"/>
        <v>0</v>
      </c>
      <c r="J625" s="59">
        <f t="shared" si="6"/>
        <v>0</v>
      </c>
    </row>
    <row r="626" spans="4:10">
      <c r="D626" s="44">
        <f t="shared" si="4"/>
        <v>0</v>
      </c>
      <c r="E626" s="44"/>
      <c r="F626" s="44"/>
      <c r="G626" s="44"/>
      <c r="I626" s="61">
        <f t="shared" si="5"/>
        <v>0</v>
      </c>
      <c r="J626" s="59">
        <f t="shared" si="6"/>
        <v>0</v>
      </c>
    </row>
    <row r="627" spans="4:10">
      <c r="D627" s="44">
        <f t="shared" si="4"/>
        <v>0</v>
      </c>
      <c r="E627" s="44"/>
      <c r="F627" s="44"/>
      <c r="G627" s="44"/>
      <c r="I627" s="61">
        <f t="shared" si="5"/>
        <v>0</v>
      </c>
      <c r="J627" s="59">
        <f t="shared" si="6"/>
        <v>0</v>
      </c>
    </row>
    <row r="628" spans="4:10">
      <c r="D628" s="44">
        <f t="shared" si="4"/>
        <v>0</v>
      </c>
      <c r="E628" s="44"/>
      <c r="F628" s="44"/>
      <c r="G628" s="44"/>
      <c r="I628" s="61">
        <f t="shared" si="5"/>
        <v>0</v>
      </c>
      <c r="J628" s="59">
        <f t="shared" si="6"/>
        <v>0</v>
      </c>
    </row>
    <row r="629" spans="4:10">
      <c r="D629" s="44">
        <f t="shared" si="4"/>
        <v>0</v>
      </c>
      <c r="E629" s="44"/>
      <c r="F629" s="44"/>
      <c r="G629" s="44"/>
      <c r="I629" s="61">
        <f t="shared" si="5"/>
        <v>0</v>
      </c>
      <c r="J629" s="59">
        <f t="shared" si="6"/>
        <v>0</v>
      </c>
    </row>
    <row r="630" spans="4:10">
      <c r="D630" s="44">
        <f t="shared" si="4"/>
        <v>0</v>
      </c>
      <c r="E630" s="44"/>
      <c r="F630" s="44"/>
      <c r="G630" s="44"/>
      <c r="I630" s="61">
        <f t="shared" si="5"/>
        <v>0</v>
      </c>
      <c r="J630" s="59">
        <f t="shared" si="6"/>
        <v>0</v>
      </c>
    </row>
    <row r="631" spans="4:10">
      <c r="D631" s="44">
        <f t="shared" si="4"/>
        <v>0</v>
      </c>
      <c r="E631" s="44"/>
      <c r="F631" s="44"/>
      <c r="G631" s="44"/>
      <c r="I631" s="61">
        <f t="shared" si="5"/>
        <v>0</v>
      </c>
      <c r="J631" s="59">
        <f t="shared" si="6"/>
        <v>0</v>
      </c>
    </row>
    <row r="632" spans="4:10">
      <c r="D632" s="44">
        <f t="shared" si="4"/>
        <v>0</v>
      </c>
      <c r="E632" s="44"/>
      <c r="F632" s="44"/>
      <c r="G632" s="44"/>
      <c r="I632" s="61">
        <f t="shared" si="5"/>
        <v>0</v>
      </c>
      <c r="J632" s="59">
        <f t="shared" si="6"/>
        <v>0</v>
      </c>
    </row>
    <row r="633" spans="4:10">
      <c r="D633" s="44">
        <f t="shared" si="4"/>
        <v>0</v>
      </c>
      <c r="E633" s="44"/>
      <c r="F633" s="44"/>
      <c r="G633" s="44"/>
      <c r="I633" s="61">
        <f t="shared" si="5"/>
        <v>0</v>
      </c>
      <c r="J633" s="59">
        <f t="shared" si="6"/>
        <v>0</v>
      </c>
    </row>
    <row r="634" spans="4:10">
      <c r="D634" s="44">
        <f t="shared" si="4"/>
        <v>0</v>
      </c>
      <c r="E634" s="44"/>
      <c r="F634" s="44"/>
      <c r="G634" s="44"/>
      <c r="I634" s="61">
        <f t="shared" si="5"/>
        <v>0</v>
      </c>
      <c r="J634" s="59">
        <f t="shared" si="6"/>
        <v>0</v>
      </c>
    </row>
    <row r="635" spans="4:10">
      <c r="D635" s="44">
        <f t="shared" si="4"/>
        <v>0</v>
      </c>
      <c r="E635" s="44"/>
      <c r="F635" s="44"/>
      <c r="G635" s="44"/>
      <c r="I635" s="61">
        <f t="shared" si="5"/>
        <v>0</v>
      </c>
      <c r="J635" s="59">
        <f t="shared" si="6"/>
        <v>0</v>
      </c>
    </row>
    <row r="636" spans="4:10">
      <c r="D636" s="44">
        <f t="shared" si="4"/>
        <v>0</v>
      </c>
      <c r="E636" s="44"/>
      <c r="F636" s="44"/>
      <c r="G636" s="44"/>
      <c r="I636" s="61">
        <f t="shared" si="5"/>
        <v>0</v>
      </c>
      <c r="J636" s="59">
        <f t="shared" si="6"/>
        <v>0</v>
      </c>
    </row>
    <row r="637" spans="4:10">
      <c r="D637" s="44">
        <f t="shared" si="4"/>
        <v>0</v>
      </c>
      <c r="E637" s="44"/>
      <c r="F637" s="44"/>
      <c r="G637" s="44"/>
      <c r="I637" s="61">
        <f t="shared" si="5"/>
        <v>0</v>
      </c>
      <c r="J637" s="59">
        <f t="shared" si="6"/>
        <v>0</v>
      </c>
    </row>
    <row r="638" spans="4:10">
      <c r="D638" s="44">
        <f t="shared" si="4"/>
        <v>0</v>
      </c>
      <c r="E638" s="44"/>
      <c r="F638" s="44"/>
      <c r="G638" s="44"/>
      <c r="I638" s="61">
        <f t="shared" si="5"/>
        <v>0</v>
      </c>
      <c r="J638" s="59">
        <f t="shared" si="6"/>
        <v>0</v>
      </c>
    </row>
    <row r="639" spans="4:10">
      <c r="D639" s="44">
        <f t="shared" si="4"/>
        <v>0</v>
      </c>
      <c r="E639" s="44"/>
      <c r="F639" s="44"/>
      <c r="G639" s="44"/>
      <c r="I639" s="61">
        <f t="shared" si="5"/>
        <v>0</v>
      </c>
      <c r="J639" s="59">
        <f t="shared" si="6"/>
        <v>0</v>
      </c>
    </row>
    <row r="640" spans="4:10">
      <c r="D640" s="44">
        <f t="shared" si="4"/>
        <v>0</v>
      </c>
      <c r="E640" s="44"/>
      <c r="F640" s="44"/>
      <c r="G640" s="44"/>
      <c r="I640" s="61">
        <f t="shared" si="5"/>
        <v>0</v>
      </c>
      <c r="J640" s="59">
        <f t="shared" si="6"/>
        <v>0</v>
      </c>
    </row>
    <row r="641" spans="4:10">
      <c r="D641" s="44">
        <f t="shared" si="4"/>
        <v>0</v>
      </c>
      <c r="E641" s="44"/>
      <c r="F641" s="44"/>
      <c r="G641" s="44"/>
      <c r="I641" s="61">
        <f t="shared" si="5"/>
        <v>0</v>
      </c>
      <c r="J641" s="59">
        <f t="shared" si="6"/>
        <v>0</v>
      </c>
    </row>
    <row r="642" spans="4:10">
      <c r="D642" s="44">
        <f t="shared" si="4"/>
        <v>0</v>
      </c>
      <c r="E642" s="44"/>
      <c r="F642" s="44"/>
      <c r="G642" s="44"/>
      <c r="I642" s="61">
        <f t="shared" si="5"/>
        <v>0</v>
      </c>
      <c r="J642" s="59">
        <f t="shared" si="6"/>
        <v>0</v>
      </c>
    </row>
    <row r="643" spans="4:10">
      <c r="D643" s="44">
        <f t="shared" si="4"/>
        <v>0</v>
      </c>
      <c r="E643" s="44"/>
      <c r="F643" s="44"/>
      <c r="G643" s="44"/>
      <c r="I643" s="61">
        <f t="shared" si="5"/>
        <v>0</v>
      </c>
      <c r="J643" s="59">
        <f t="shared" si="6"/>
        <v>0</v>
      </c>
    </row>
    <row r="644" spans="4:10">
      <c r="D644" s="44">
        <f t="shared" si="4"/>
        <v>0</v>
      </c>
      <c r="E644" s="44"/>
      <c r="F644" s="44"/>
      <c r="G644" s="44"/>
      <c r="I644" s="61">
        <f t="shared" si="5"/>
        <v>0</v>
      </c>
      <c r="J644" s="59">
        <f t="shared" si="6"/>
        <v>0</v>
      </c>
    </row>
    <row r="645" spans="4:10">
      <c r="D645" s="44">
        <f t="shared" si="4"/>
        <v>0</v>
      </c>
      <c r="E645" s="44"/>
      <c r="F645" s="44"/>
      <c r="G645" s="44"/>
      <c r="I645" s="61">
        <f t="shared" si="5"/>
        <v>0</v>
      </c>
      <c r="J645" s="59">
        <f t="shared" si="6"/>
        <v>0</v>
      </c>
    </row>
    <row r="646" spans="4:10">
      <c r="D646" s="44">
        <f t="shared" si="4"/>
        <v>0</v>
      </c>
      <c r="E646" s="44"/>
      <c r="F646" s="44"/>
      <c r="G646" s="44"/>
      <c r="I646" s="61">
        <f t="shared" si="5"/>
        <v>0</v>
      </c>
      <c r="J646" s="59">
        <f t="shared" si="6"/>
        <v>0</v>
      </c>
    </row>
    <row r="647" spans="4:10">
      <c r="D647" s="44">
        <f t="shared" si="4"/>
        <v>0</v>
      </c>
      <c r="E647" s="44"/>
      <c r="F647" s="44"/>
      <c r="G647" s="44"/>
      <c r="I647" s="61">
        <f t="shared" si="5"/>
        <v>0</v>
      </c>
      <c r="J647" s="59">
        <f t="shared" si="6"/>
        <v>0</v>
      </c>
    </row>
    <row r="648" spans="4:10">
      <c r="D648" s="44">
        <f t="shared" si="4"/>
        <v>0</v>
      </c>
      <c r="E648" s="44"/>
      <c r="F648" s="44"/>
      <c r="G648" s="44"/>
      <c r="I648" s="61">
        <f t="shared" si="5"/>
        <v>0</v>
      </c>
      <c r="J648" s="59">
        <f t="shared" si="6"/>
        <v>0</v>
      </c>
    </row>
    <row r="649" spans="4:10">
      <c r="D649" s="44">
        <f t="shared" si="4"/>
        <v>0</v>
      </c>
      <c r="E649" s="44"/>
      <c r="F649" s="44"/>
      <c r="G649" s="44"/>
      <c r="I649" s="61">
        <f t="shared" si="5"/>
        <v>0</v>
      </c>
      <c r="J649" s="59">
        <f t="shared" si="6"/>
        <v>0</v>
      </c>
    </row>
    <row r="650" spans="4:10">
      <c r="D650" s="44">
        <f t="shared" si="4"/>
        <v>0</v>
      </c>
      <c r="E650" s="44"/>
      <c r="F650" s="44"/>
      <c r="G650" s="44"/>
      <c r="I650" s="61">
        <f t="shared" si="5"/>
        <v>0</v>
      </c>
      <c r="J650" s="59">
        <f t="shared" si="6"/>
        <v>0</v>
      </c>
    </row>
    <row r="651" spans="4:10">
      <c r="D651" s="44">
        <f t="shared" si="4"/>
        <v>0</v>
      </c>
      <c r="E651" s="44"/>
      <c r="F651" s="44"/>
      <c r="G651" s="44"/>
      <c r="I651" s="61">
        <f t="shared" si="5"/>
        <v>0</v>
      </c>
      <c r="J651" s="59">
        <f t="shared" si="6"/>
        <v>0</v>
      </c>
    </row>
    <row r="652" spans="4:10">
      <c r="D652" s="44">
        <f t="shared" si="4"/>
        <v>0</v>
      </c>
      <c r="E652" s="44"/>
      <c r="F652" s="44"/>
      <c r="G652" s="44"/>
      <c r="I652" s="61">
        <f t="shared" si="5"/>
        <v>0</v>
      </c>
      <c r="J652" s="59">
        <f t="shared" si="6"/>
        <v>0</v>
      </c>
    </row>
    <row r="653" spans="4:10">
      <c r="D653" s="44">
        <f t="shared" si="4"/>
        <v>0</v>
      </c>
      <c r="E653" s="44"/>
      <c r="F653" s="44"/>
      <c r="G653" s="44"/>
      <c r="I653" s="61">
        <f t="shared" si="5"/>
        <v>0</v>
      </c>
      <c r="J653" s="59">
        <f t="shared" si="6"/>
        <v>0</v>
      </c>
    </row>
    <row r="654" spans="4:10">
      <c r="D654" s="44">
        <f t="shared" si="4"/>
        <v>0</v>
      </c>
      <c r="E654" s="44"/>
      <c r="F654" s="44"/>
      <c r="G654" s="44"/>
      <c r="I654" s="61">
        <f t="shared" si="5"/>
        <v>0</v>
      </c>
      <c r="J654" s="59">
        <f t="shared" si="6"/>
        <v>0</v>
      </c>
    </row>
    <row r="655" spans="4:10">
      <c r="D655" s="44">
        <f t="shared" si="4"/>
        <v>0</v>
      </c>
      <c r="E655" s="44"/>
      <c r="F655" s="44"/>
      <c r="G655" s="44"/>
      <c r="I655" s="61">
        <f t="shared" si="5"/>
        <v>0</v>
      </c>
      <c r="J655" s="59">
        <f t="shared" si="6"/>
        <v>0</v>
      </c>
    </row>
    <row r="656" spans="4:10">
      <c r="D656" s="44">
        <f t="shared" si="4"/>
        <v>0</v>
      </c>
      <c r="E656" s="44"/>
      <c r="F656" s="44"/>
      <c r="G656" s="44"/>
      <c r="I656" s="61">
        <f t="shared" si="5"/>
        <v>0</v>
      </c>
      <c r="J656" s="59">
        <f t="shared" si="6"/>
        <v>0</v>
      </c>
    </row>
    <row r="657" spans="4:10">
      <c r="D657" s="44">
        <f t="shared" si="4"/>
        <v>0</v>
      </c>
      <c r="E657" s="44"/>
      <c r="F657" s="44"/>
      <c r="G657" s="44"/>
      <c r="I657" s="61">
        <f t="shared" si="5"/>
        <v>0</v>
      </c>
      <c r="J657" s="59">
        <f t="shared" si="6"/>
        <v>0</v>
      </c>
    </row>
    <row r="658" spans="4:10">
      <c r="D658" s="44">
        <f t="shared" si="4"/>
        <v>0</v>
      </c>
      <c r="E658" s="44"/>
      <c r="F658" s="44"/>
      <c r="G658" s="44"/>
      <c r="I658" s="61">
        <f t="shared" si="5"/>
        <v>0</v>
      </c>
      <c r="J658" s="59">
        <f t="shared" si="6"/>
        <v>0</v>
      </c>
    </row>
    <row r="659" spans="4:10">
      <c r="D659" s="44">
        <f t="shared" si="4"/>
        <v>0</v>
      </c>
      <c r="E659" s="44"/>
      <c r="F659" s="44"/>
      <c r="G659" s="44"/>
      <c r="I659" s="61">
        <f t="shared" si="5"/>
        <v>0</v>
      </c>
      <c r="J659" s="59">
        <f t="shared" si="6"/>
        <v>0</v>
      </c>
    </row>
    <row r="660" spans="4:10">
      <c r="D660" s="44">
        <f t="shared" si="4"/>
        <v>0</v>
      </c>
      <c r="E660" s="44"/>
      <c r="F660" s="44"/>
      <c r="G660" s="44"/>
      <c r="I660" s="61">
        <f t="shared" si="5"/>
        <v>0</v>
      </c>
      <c r="J660" s="59">
        <f t="shared" si="6"/>
        <v>0</v>
      </c>
    </row>
    <row r="661" spans="4:10">
      <c r="D661" s="44">
        <f t="shared" si="4"/>
        <v>0</v>
      </c>
      <c r="E661" s="44"/>
      <c r="F661" s="44"/>
      <c r="G661" s="44"/>
      <c r="I661" s="61">
        <f t="shared" si="5"/>
        <v>0</v>
      </c>
      <c r="J661" s="59">
        <f t="shared" si="6"/>
        <v>0</v>
      </c>
    </row>
    <row r="662" spans="4:10">
      <c r="D662" s="44">
        <f t="shared" si="4"/>
        <v>0</v>
      </c>
      <c r="E662" s="44"/>
      <c r="F662" s="44"/>
      <c r="G662" s="44"/>
      <c r="I662" s="61">
        <f t="shared" si="5"/>
        <v>0</v>
      </c>
      <c r="J662" s="59">
        <f t="shared" si="6"/>
        <v>0</v>
      </c>
    </row>
    <row r="663" spans="4:10">
      <c r="D663" s="44">
        <f t="shared" si="4"/>
        <v>0</v>
      </c>
      <c r="E663" s="44"/>
      <c r="F663" s="44"/>
      <c r="G663" s="44"/>
      <c r="I663" s="61">
        <f t="shared" si="5"/>
        <v>0</v>
      </c>
      <c r="J663" s="59">
        <f t="shared" si="6"/>
        <v>0</v>
      </c>
    </row>
    <row r="664" spans="4:10">
      <c r="D664" s="44">
        <f t="shared" si="4"/>
        <v>0</v>
      </c>
      <c r="E664" s="44"/>
      <c r="F664" s="44"/>
      <c r="G664" s="44"/>
      <c r="I664" s="61">
        <f t="shared" si="5"/>
        <v>0</v>
      </c>
      <c r="J664" s="59">
        <f t="shared" si="6"/>
        <v>0</v>
      </c>
    </row>
    <row r="665" spans="4:10">
      <c r="D665" s="44">
        <f t="shared" si="4"/>
        <v>0</v>
      </c>
      <c r="E665" s="44"/>
      <c r="F665" s="44"/>
      <c r="G665" s="44"/>
      <c r="I665" s="61">
        <f t="shared" si="5"/>
        <v>0</v>
      </c>
      <c r="J665" s="59">
        <f t="shared" si="6"/>
        <v>0</v>
      </c>
    </row>
    <row r="666" spans="4:10">
      <c r="D666" s="44">
        <f t="shared" si="4"/>
        <v>0</v>
      </c>
      <c r="E666" s="44"/>
      <c r="F666" s="44"/>
      <c r="G666" s="44"/>
      <c r="I666" s="61">
        <f t="shared" si="5"/>
        <v>0</v>
      </c>
      <c r="J666" s="59">
        <f t="shared" si="6"/>
        <v>0</v>
      </c>
    </row>
    <row r="667" spans="4:10">
      <c r="D667" s="44">
        <f t="shared" si="4"/>
        <v>0</v>
      </c>
      <c r="E667" s="44"/>
      <c r="F667" s="44"/>
      <c r="G667" s="44"/>
      <c r="I667" s="61">
        <f t="shared" si="5"/>
        <v>0</v>
      </c>
      <c r="J667" s="59">
        <f t="shared" si="6"/>
        <v>0</v>
      </c>
    </row>
    <row r="668" spans="4:10">
      <c r="D668" s="44">
        <f t="shared" si="4"/>
        <v>0</v>
      </c>
      <c r="E668" s="44"/>
      <c r="F668" s="44"/>
      <c r="G668" s="44"/>
      <c r="I668" s="61">
        <f t="shared" si="5"/>
        <v>0</v>
      </c>
      <c r="J668" s="59">
        <f t="shared" si="6"/>
        <v>0</v>
      </c>
    </row>
    <row r="669" spans="4:10">
      <c r="D669" s="44">
        <f t="shared" si="4"/>
        <v>0</v>
      </c>
      <c r="E669" s="44"/>
      <c r="F669" s="44"/>
      <c r="G669" s="44"/>
      <c r="I669" s="61">
        <f t="shared" si="5"/>
        <v>0</v>
      </c>
      <c r="J669" s="59">
        <f t="shared" si="6"/>
        <v>0</v>
      </c>
    </row>
    <row r="670" spans="4:10">
      <c r="D670" s="44">
        <f t="shared" ref="D670:D733" si="7">C670-H670</f>
        <v>0</v>
      </c>
      <c r="E670" s="44"/>
      <c r="F670" s="44"/>
      <c r="G670" s="44"/>
      <c r="I670" s="61">
        <f t="shared" ref="I670:I733" si="8">H670*10%</f>
        <v>0</v>
      </c>
      <c r="J670" s="59">
        <f t="shared" ref="J670:J733" si="9">H670*90%</f>
        <v>0</v>
      </c>
    </row>
    <row r="671" spans="4:10">
      <c r="D671" s="44">
        <f t="shared" si="7"/>
        <v>0</v>
      </c>
      <c r="E671" s="44"/>
      <c r="F671" s="44"/>
      <c r="G671" s="44"/>
      <c r="I671" s="61">
        <f t="shared" si="8"/>
        <v>0</v>
      </c>
      <c r="J671" s="59">
        <f t="shared" si="9"/>
        <v>0</v>
      </c>
    </row>
    <row r="672" spans="4:10">
      <c r="D672" s="44">
        <f t="shared" si="7"/>
        <v>0</v>
      </c>
      <c r="E672" s="44"/>
      <c r="F672" s="44"/>
      <c r="G672" s="44"/>
      <c r="I672" s="61">
        <f t="shared" si="8"/>
        <v>0</v>
      </c>
      <c r="J672" s="59">
        <f t="shared" si="9"/>
        <v>0</v>
      </c>
    </row>
    <row r="673" spans="4:10">
      <c r="D673" s="44">
        <f t="shared" si="7"/>
        <v>0</v>
      </c>
      <c r="E673" s="44"/>
      <c r="F673" s="44"/>
      <c r="G673" s="44"/>
      <c r="I673" s="61">
        <f t="shared" si="8"/>
        <v>0</v>
      </c>
      <c r="J673" s="59">
        <f t="shared" si="9"/>
        <v>0</v>
      </c>
    </row>
    <row r="674" spans="4:10">
      <c r="D674" s="44">
        <f t="shared" si="7"/>
        <v>0</v>
      </c>
      <c r="E674" s="44"/>
      <c r="F674" s="44"/>
      <c r="G674" s="44"/>
      <c r="I674" s="61">
        <f t="shared" si="8"/>
        <v>0</v>
      </c>
      <c r="J674" s="59">
        <f t="shared" si="9"/>
        <v>0</v>
      </c>
    </row>
    <row r="675" spans="4:10">
      <c r="D675" s="44">
        <f t="shared" si="7"/>
        <v>0</v>
      </c>
      <c r="E675" s="44"/>
      <c r="F675" s="44"/>
      <c r="G675" s="44"/>
      <c r="I675" s="61">
        <f t="shared" si="8"/>
        <v>0</v>
      </c>
      <c r="J675" s="59">
        <f t="shared" si="9"/>
        <v>0</v>
      </c>
    </row>
    <row r="676" spans="4:10">
      <c r="D676" s="44">
        <f t="shared" si="7"/>
        <v>0</v>
      </c>
      <c r="E676" s="44"/>
      <c r="F676" s="44"/>
      <c r="G676" s="44"/>
      <c r="I676" s="61">
        <f t="shared" si="8"/>
        <v>0</v>
      </c>
      <c r="J676" s="59">
        <f t="shared" si="9"/>
        <v>0</v>
      </c>
    </row>
    <row r="677" spans="4:10">
      <c r="D677" s="44">
        <f t="shared" si="7"/>
        <v>0</v>
      </c>
      <c r="E677" s="44"/>
      <c r="F677" s="44"/>
      <c r="G677" s="44"/>
      <c r="I677" s="61">
        <f t="shared" si="8"/>
        <v>0</v>
      </c>
      <c r="J677" s="59">
        <f t="shared" si="9"/>
        <v>0</v>
      </c>
    </row>
    <row r="678" spans="4:10">
      <c r="D678" s="44">
        <f t="shared" si="7"/>
        <v>0</v>
      </c>
      <c r="E678" s="44"/>
      <c r="F678" s="44"/>
      <c r="G678" s="44"/>
      <c r="I678" s="61">
        <f t="shared" si="8"/>
        <v>0</v>
      </c>
      <c r="J678" s="59">
        <f t="shared" si="9"/>
        <v>0</v>
      </c>
    </row>
    <row r="679" spans="4:10">
      <c r="D679" s="44">
        <f t="shared" si="7"/>
        <v>0</v>
      </c>
      <c r="E679" s="44"/>
      <c r="F679" s="44"/>
      <c r="G679" s="44"/>
      <c r="I679" s="61">
        <f t="shared" si="8"/>
        <v>0</v>
      </c>
      <c r="J679" s="59">
        <f t="shared" si="9"/>
        <v>0</v>
      </c>
    </row>
    <row r="680" spans="4:10">
      <c r="D680" s="44">
        <f t="shared" si="7"/>
        <v>0</v>
      </c>
      <c r="E680" s="44"/>
      <c r="F680" s="44"/>
      <c r="G680" s="44"/>
      <c r="I680" s="61">
        <f t="shared" si="8"/>
        <v>0</v>
      </c>
      <c r="J680" s="59">
        <f t="shared" si="9"/>
        <v>0</v>
      </c>
    </row>
    <row r="681" spans="4:10">
      <c r="D681" s="44">
        <f t="shared" si="7"/>
        <v>0</v>
      </c>
      <c r="E681" s="44"/>
      <c r="F681" s="44"/>
      <c r="G681" s="44"/>
      <c r="I681" s="61">
        <f t="shared" si="8"/>
        <v>0</v>
      </c>
      <c r="J681" s="59">
        <f t="shared" si="9"/>
        <v>0</v>
      </c>
    </row>
    <row r="682" spans="4:10">
      <c r="D682" s="44">
        <f t="shared" si="7"/>
        <v>0</v>
      </c>
      <c r="E682" s="44"/>
      <c r="F682" s="44"/>
      <c r="G682" s="44"/>
      <c r="I682" s="61">
        <f t="shared" si="8"/>
        <v>0</v>
      </c>
      <c r="J682" s="59">
        <f t="shared" si="9"/>
        <v>0</v>
      </c>
    </row>
    <row r="683" spans="4:10">
      <c r="D683" s="44">
        <f t="shared" si="7"/>
        <v>0</v>
      </c>
      <c r="E683" s="44"/>
      <c r="F683" s="44"/>
      <c r="G683" s="44"/>
      <c r="I683" s="61">
        <f t="shared" si="8"/>
        <v>0</v>
      </c>
      <c r="J683" s="59">
        <f t="shared" si="9"/>
        <v>0</v>
      </c>
    </row>
    <row r="684" spans="4:10">
      <c r="D684" s="44">
        <f t="shared" si="7"/>
        <v>0</v>
      </c>
      <c r="E684" s="44"/>
      <c r="F684" s="44"/>
      <c r="G684" s="44"/>
      <c r="I684" s="61">
        <f t="shared" si="8"/>
        <v>0</v>
      </c>
      <c r="J684" s="59">
        <f t="shared" si="9"/>
        <v>0</v>
      </c>
    </row>
    <row r="685" spans="4:10">
      <c r="D685" s="44">
        <f t="shared" si="7"/>
        <v>0</v>
      </c>
      <c r="E685" s="44"/>
      <c r="F685" s="44"/>
      <c r="G685" s="44"/>
      <c r="I685" s="61">
        <f t="shared" si="8"/>
        <v>0</v>
      </c>
      <c r="J685" s="59">
        <f t="shared" si="9"/>
        <v>0</v>
      </c>
    </row>
    <row r="686" spans="4:10">
      <c r="D686" s="44">
        <f t="shared" si="7"/>
        <v>0</v>
      </c>
      <c r="E686" s="44"/>
      <c r="F686" s="44"/>
      <c r="G686" s="44"/>
      <c r="I686" s="61">
        <f t="shared" si="8"/>
        <v>0</v>
      </c>
      <c r="J686" s="59">
        <f t="shared" si="9"/>
        <v>0</v>
      </c>
    </row>
    <row r="687" spans="4:10">
      <c r="D687" s="44">
        <f t="shared" si="7"/>
        <v>0</v>
      </c>
      <c r="E687" s="44"/>
      <c r="F687" s="44"/>
      <c r="G687" s="44"/>
      <c r="I687" s="61">
        <f t="shared" si="8"/>
        <v>0</v>
      </c>
      <c r="J687" s="59">
        <f t="shared" si="9"/>
        <v>0</v>
      </c>
    </row>
    <row r="688" spans="4:10">
      <c r="D688" s="44">
        <f t="shared" si="7"/>
        <v>0</v>
      </c>
      <c r="E688" s="44"/>
      <c r="F688" s="44"/>
      <c r="G688" s="44"/>
      <c r="I688" s="61">
        <f t="shared" si="8"/>
        <v>0</v>
      </c>
      <c r="J688" s="59">
        <f t="shared" si="9"/>
        <v>0</v>
      </c>
    </row>
    <row r="689" spans="4:10">
      <c r="D689" s="44">
        <f t="shared" si="7"/>
        <v>0</v>
      </c>
      <c r="E689" s="44"/>
      <c r="F689" s="44"/>
      <c r="G689" s="44"/>
      <c r="I689" s="61">
        <f t="shared" si="8"/>
        <v>0</v>
      </c>
      <c r="J689" s="59">
        <f t="shared" si="9"/>
        <v>0</v>
      </c>
    </row>
    <row r="690" spans="4:10">
      <c r="D690" s="44">
        <f t="shared" si="7"/>
        <v>0</v>
      </c>
      <c r="E690" s="44"/>
      <c r="F690" s="44"/>
      <c r="G690" s="44"/>
      <c r="I690" s="61">
        <f t="shared" si="8"/>
        <v>0</v>
      </c>
      <c r="J690" s="59">
        <f t="shared" si="9"/>
        <v>0</v>
      </c>
    </row>
    <row r="691" spans="4:10">
      <c r="D691" s="44">
        <f t="shared" si="7"/>
        <v>0</v>
      </c>
      <c r="E691" s="44"/>
      <c r="F691" s="44"/>
      <c r="G691" s="44"/>
      <c r="I691" s="61">
        <f t="shared" si="8"/>
        <v>0</v>
      </c>
      <c r="J691" s="59">
        <f t="shared" si="9"/>
        <v>0</v>
      </c>
    </row>
    <row r="692" spans="4:10">
      <c r="D692" s="44">
        <f t="shared" si="7"/>
        <v>0</v>
      </c>
      <c r="E692" s="44"/>
      <c r="F692" s="44"/>
      <c r="G692" s="44"/>
      <c r="I692" s="61">
        <f t="shared" si="8"/>
        <v>0</v>
      </c>
      <c r="J692" s="59">
        <f t="shared" si="9"/>
        <v>0</v>
      </c>
    </row>
    <row r="693" spans="4:10">
      <c r="D693" s="44">
        <f t="shared" si="7"/>
        <v>0</v>
      </c>
      <c r="E693" s="44"/>
      <c r="F693" s="44"/>
      <c r="G693" s="44"/>
      <c r="I693" s="61">
        <f t="shared" si="8"/>
        <v>0</v>
      </c>
      <c r="J693" s="59">
        <f t="shared" si="9"/>
        <v>0</v>
      </c>
    </row>
    <row r="694" spans="4:10">
      <c r="D694" s="44">
        <f t="shared" si="7"/>
        <v>0</v>
      </c>
      <c r="E694" s="44"/>
      <c r="F694" s="44"/>
      <c r="G694" s="44"/>
      <c r="I694" s="61">
        <f t="shared" si="8"/>
        <v>0</v>
      </c>
      <c r="J694" s="59">
        <f t="shared" si="9"/>
        <v>0</v>
      </c>
    </row>
    <row r="695" spans="4:10">
      <c r="D695" s="44">
        <f t="shared" si="7"/>
        <v>0</v>
      </c>
      <c r="E695" s="44"/>
      <c r="F695" s="44"/>
      <c r="G695" s="44"/>
      <c r="I695" s="61">
        <f t="shared" si="8"/>
        <v>0</v>
      </c>
      <c r="J695" s="59">
        <f t="shared" si="9"/>
        <v>0</v>
      </c>
    </row>
    <row r="696" spans="4:10">
      <c r="D696" s="44">
        <f t="shared" si="7"/>
        <v>0</v>
      </c>
      <c r="E696" s="44"/>
      <c r="F696" s="44"/>
      <c r="G696" s="44"/>
      <c r="I696" s="61">
        <f t="shared" si="8"/>
        <v>0</v>
      </c>
      <c r="J696" s="59">
        <f t="shared" si="9"/>
        <v>0</v>
      </c>
    </row>
    <row r="697" spans="4:10">
      <c r="D697" s="44">
        <f t="shared" si="7"/>
        <v>0</v>
      </c>
      <c r="E697" s="44"/>
      <c r="F697" s="44"/>
      <c r="G697" s="44"/>
      <c r="I697" s="61">
        <f t="shared" si="8"/>
        <v>0</v>
      </c>
      <c r="J697" s="59">
        <f t="shared" si="9"/>
        <v>0</v>
      </c>
    </row>
    <row r="698" spans="4:10">
      <c r="D698" s="44">
        <f t="shared" si="7"/>
        <v>0</v>
      </c>
      <c r="E698" s="44"/>
      <c r="F698" s="44"/>
      <c r="G698" s="44"/>
      <c r="I698" s="61">
        <f t="shared" si="8"/>
        <v>0</v>
      </c>
      <c r="J698" s="59">
        <f t="shared" si="9"/>
        <v>0</v>
      </c>
    </row>
    <row r="699" spans="4:10">
      <c r="D699" s="44">
        <f t="shared" si="7"/>
        <v>0</v>
      </c>
      <c r="E699" s="44"/>
      <c r="F699" s="44"/>
      <c r="G699" s="44"/>
      <c r="I699" s="61">
        <f t="shared" si="8"/>
        <v>0</v>
      </c>
      <c r="J699" s="59">
        <f t="shared" si="9"/>
        <v>0</v>
      </c>
    </row>
    <row r="700" spans="4:10">
      <c r="D700" s="44">
        <f t="shared" si="7"/>
        <v>0</v>
      </c>
      <c r="E700" s="44"/>
      <c r="F700" s="44"/>
      <c r="G700" s="44"/>
      <c r="I700" s="61">
        <f t="shared" si="8"/>
        <v>0</v>
      </c>
      <c r="J700" s="59">
        <f t="shared" si="9"/>
        <v>0</v>
      </c>
    </row>
    <row r="701" spans="4:10">
      <c r="D701" s="44">
        <f t="shared" si="7"/>
        <v>0</v>
      </c>
      <c r="E701" s="44"/>
      <c r="F701" s="44"/>
      <c r="G701" s="44"/>
      <c r="I701" s="61">
        <f t="shared" si="8"/>
        <v>0</v>
      </c>
      <c r="J701" s="59">
        <f t="shared" si="9"/>
        <v>0</v>
      </c>
    </row>
    <row r="702" spans="4:10">
      <c r="D702" s="44">
        <f t="shared" si="7"/>
        <v>0</v>
      </c>
      <c r="E702" s="44"/>
      <c r="F702" s="44"/>
      <c r="G702" s="44"/>
      <c r="I702" s="61">
        <f t="shared" si="8"/>
        <v>0</v>
      </c>
      <c r="J702" s="59">
        <f t="shared" si="9"/>
        <v>0</v>
      </c>
    </row>
    <row r="703" spans="4:10">
      <c r="D703" s="44">
        <f t="shared" si="7"/>
        <v>0</v>
      </c>
      <c r="E703" s="44"/>
      <c r="F703" s="44"/>
      <c r="G703" s="44"/>
      <c r="I703" s="61">
        <f t="shared" si="8"/>
        <v>0</v>
      </c>
      <c r="J703" s="59">
        <f t="shared" si="9"/>
        <v>0</v>
      </c>
    </row>
    <row r="704" spans="4:10">
      <c r="D704" s="44">
        <f t="shared" si="7"/>
        <v>0</v>
      </c>
      <c r="E704" s="44"/>
      <c r="F704" s="44"/>
      <c r="G704" s="44"/>
      <c r="I704" s="61">
        <f t="shared" si="8"/>
        <v>0</v>
      </c>
      <c r="J704" s="59">
        <f t="shared" si="9"/>
        <v>0</v>
      </c>
    </row>
    <row r="705" spans="4:10">
      <c r="D705" s="44">
        <f t="shared" si="7"/>
        <v>0</v>
      </c>
      <c r="E705" s="44"/>
      <c r="F705" s="44"/>
      <c r="G705" s="44"/>
      <c r="I705" s="61">
        <f t="shared" si="8"/>
        <v>0</v>
      </c>
      <c r="J705" s="59">
        <f t="shared" si="9"/>
        <v>0</v>
      </c>
    </row>
    <row r="706" spans="4:10">
      <c r="D706" s="44">
        <f t="shared" si="7"/>
        <v>0</v>
      </c>
      <c r="E706" s="44"/>
      <c r="F706" s="44"/>
      <c r="G706" s="44"/>
      <c r="I706" s="61">
        <f t="shared" si="8"/>
        <v>0</v>
      </c>
      <c r="J706" s="59">
        <f t="shared" si="9"/>
        <v>0</v>
      </c>
    </row>
    <row r="707" spans="4:10">
      <c r="D707" s="44">
        <f t="shared" si="7"/>
        <v>0</v>
      </c>
      <c r="E707" s="44"/>
      <c r="F707" s="44"/>
      <c r="G707" s="44"/>
      <c r="I707" s="61">
        <f t="shared" si="8"/>
        <v>0</v>
      </c>
      <c r="J707" s="59">
        <f t="shared" si="9"/>
        <v>0</v>
      </c>
    </row>
    <row r="708" spans="4:10">
      <c r="D708" s="44">
        <f t="shared" si="7"/>
        <v>0</v>
      </c>
      <c r="E708" s="44"/>
      <c r="F708" s="44"/>
      <c r="G708" s="44"/>
      <c r="I708" s="61">
        <f t="shared" si="8"/>
        <v>0</v>
      </c>
      <c r="J708" s="59">
        <f t="shared" si="9"/>
        <v>0</v>
      </c>
    </row>
    <row r="709" spans="4:10">
      <c r="D709" s="44">
        <f t="shared" si="7"/>
        <v>0</v>
      </c>
      <c r="E709" s="44"/>
      <c r="F709" s="44"/>
      <c r="G709" s="44"/>
      <c r="I709" s="61">
        <f t="shared" si="8"/>
        <v>0</v>
      </c>
      <c r="J709" s="59">
        <f t="shared" si="9"/>
        <v>0</v>
      </c>
    </row>
    <row r="710" spans="4:10">
      <c r="D710" s="44">
        <f t="shared" si="7"/>
        <v>0</v>
      </c>
      <c r="E710" s="44"/>
      <c r="F710" s="44"/>
      <c r="G710" s="44"/>
      <c r="I710" s="61">
        <f t="shared" si="8"/>
        <v>0</v>
      </c>
      <c r="J710" s="59">
        <f t="shared" si="9"/>
        <v>0</v>
      </c>
    </row>
    <row r="711" spans="4:10">
      <c r="D711" s="44">
        <f t="shared" si="7"/>
        <v>0</v>
      </c>
      <c r="E711" s="44"/>
      <c r="F711" s="44"/>
      <c r="G711" s="44"/>
      <c r="I711" s="61">
        <f t="shared" si="8"/>
        <v>0</v>
      </c>
      <c r="J711" s="59">
        <f t="shared" si="9"/>
        <v>0</v>
      </c>
    </row>
    <row r="712" spans="4:10">
      <c r="D712" s="44">
        <f t="shared" si="7"/>
        <v>0</v>
      </c>
      <c r="E712" s="44"/>
      <c r="F712" s="44"/>
      <c r="G712" s="44"/>
      <c r="I712" s="61">
        <f t="shared" si="8"/>
        <v>0</v>
      </c>
      <c r="J712" s="59">
        <f t="shared" si="9"/>
        <v>0</v>
      </c>
    </row>
    <row r="713" spans="4:10">
      <c r="D713" s="44">
        <f t="shared" si="7"/>
        <v>0</v>
      </c>
      <c r="E713" s="44"/>
      <c r="F713" s="44"/>
      <c r="G713" s="44"/>
      <c r="I713" s="61">
        <f t="shared" si="8"/>
        <v>0</v>
      </c>
      <c r="J713" s="59">
        <f t="shared" si="9"/>
        <v>0</v>
      </c>
    </row>
    <row r="714" spans="4:10">
      <c r="D714" s="44">
        <f t="shared" si="7"/>
        <v>0</v>
      </c>
      <c r="E714" s="44"/>
      <c r="F714" s="44"/>
      <c r="G714" s="44"/>
      <c r="I714" s="61">
        <f t="shared" si="8"/>
        <v>0</v>
      </c>
      <c r="J714" s="59">
        <f t="shared" si="9"/>
        <v>0</v>
      </c>
    </row>
    <row r="715" spans="4:10">
      <c r="D715" s="44">
        <f t="shared" si="7"/>
        <v>0</v>
      </c>
      <c r="E715" s="44"/>
      <c r="F715" s="44"/>
      <c r="G715" s="44"/>
      <c r="I715" s="61">
        <f t="shared" si="8"/>
        <v>0</v>
      </c>
      <c r="J715" s="59">
        <f t="shared" si="9"/>
        <v>0</v>
      </c>
    </row>
    <row r="716" spans="4:10">
      <c r="D716" s="44">
        <f t="shared" si="7"/>
        <v>0</v>
      </c>
      <c r="E716" s="44"/>
      <c r="F716" s="44"/>
      <c r="G716" s="44"/>
      <c r="I716" s="61">
        <f t="shared" si="8"/>
        <v>0</v>
      </c>
      <c r="J716" s="59">
        <f t="shared" si="9"/>
        <v>0</v>
      </c>
    </row>
    <row r="717" spans="4:10">
      <c r="D717" s="44">
        <f t="shared" si="7"/>
        <v>0</v>
      </c>
      <c r="E717" s="44"/>
      <c r="F717" s="44"/>
      <c r="G717" s="44"/>
      <c r="I717" s="61">
        <f t="shared" si="8"/>
        <v>0</v>
      </c>
      <c r="J717" s="59">
        <f t="shared" si="9"/>
        <v>0</v>
      </c>
    </row>
    <row r="718" spans="4:10">
      <c r="D718" s="44">
        <f t="shared" si="7"/>
        <v>0</v>
      </c>
      <c r="E718" s="44"/>
      <c r="F718" s="44"/>
      <c r="G718" s="44"/>
      <c r="I718" s="61">
        <f t="shared" si="8"/>
        <v>0</v>
      </c>
      <c r="J718" s="59">
        <f t="shared" si="9"/>
        <v>0</v>
      </c>
    </row>
    <row r="719" spans="4:10">
      <c r="D719" s="44">
        <f t="shared" si="7"/>
        <v>0</v>
      </c>
      <c r="E719" s="44"/>
      <c r="F719" s="44"/>
      <c r="G719" s="44"/>
      <c r="I719" s="61">
        <f t="shared" si="8"/>
        <v>0</v>
      </c>
      <c r="J719" s="59">
        <f t="shared" si="9"/>
        <v>0</v>
      </c>
    </row>
    <row r="720" spans="4:10">
      <c r="D720" s="44">
        <f t="shared" si="7"/>
        <v>0</v>
      </c>
      <c r="E720" s="44"/>
      <c r="F720" s="44"/>
      <c r="G720" s="44"/>
      <c r="I720" s="61">
        <f t="shared" si="8"/>
        <v>0</v>
      </c>
      <c r="J720" s="59">
        <f t="shared" si="9"/>
        <v>0</v>
      </c>
    </row>
    <row r="721" spans="4:10">
      <c r="D721" s="44">
        <f t="shared" si="7"/>
        <v>0</v>
      </c>
      <c r="E721" s="44"/>
      <c r="F721" s="44"/>
      <c r="G721" s="44"/>
      <c r="I721" s="61">
        <f t="shared" si="8"/>
        <v>0</v>
      </c>
      <c r="J721" s="59">
        <f t="shared" si="9"/>
        <v>0</v>
      </c>
    </row>
    <row r="722" spans="4:10">
      <c r="D722" s="44">
        <f t="shared" si="7"/>
        <v>0</v>
      </c>
      <c r="E722" s="44"/>
      <c r="F722" s="44"/>
      <c r="G722" s="44"/>
      <c r="I722" s="61">
        <f t="shared" si="8"/>
        <v>0</v>
      </c>
      <c r="J722" s="59">
        <f t="shared" si="9"/>
        <v>0</v>
      </c>
    </row>
    <row r="723" spans="4:10">
      <c r="D723" s="44">
        <f t="shared" si="7"/>
        <v>0</v>
      </c>
      <c r="E723" s="44"/>
      <c r="F723" s="44"/>
      <c r="G723" s="44"/>
      <c r="I723" s="61">
        <f t="shared" si="8"/>
        <v>0</v>
      </c>
      <c r="J723" s="59">
        <f t="shared" si="9"/>
        <v>0</v>
      </c>
    </row>
    <row r="724" spans="4:10">
      <c r="D724" s="44">
        <f t="shared" si="7"/>
        <v>0</v>
      </c>
      <c r="E724" s="44"/>
      <c r="F724" s="44"/>
      <c r="G724" s="44"/>
      <c r="I724" s="61">
        <f t="shared" si="8"/>
        <v>0</v>
      </c>
      <c r="J724" s="59">
        <f t="shared" si="9"/>
        <v>0</v>
      </c>
    </row>
    <row r="725" spans="4:10">
      <c r="D725" s="44">
        <f t="shared" si="7"/>
        <v>0</v>
      </c>
      <c r="E725" s="44"/>
      <c r="F725" s="44"/>
      <c r="G725" s="44"/>
      <c r="I725" s="61">
        <f t="shared" si="8"/>
        <v>0</v>
      </c>
      <c r="J725" s="59">
        <f t="shared" si="9"/>
        <v>0</v>
      </c>
    </row>
    <row r="726" spans="4:10">
      <c r="D726" s="44">
        <f t="shared" si="7"/>
        <v>0</v>
      </c>
      <c r="E726" s="44"/>
      <c r="F726" s="44"/>
      <c r="G726" s="44"/>
      <c r="I726" s="61">
        <f t="shared" si="8"/>
        <v>0</v>
      </c>
      <c r="J726" s="59">
        <f t="shared" si="9"/>
        <v>0</v>
      </c>
    </row>
    <row r="727" spans="4:10">
      <c r="D727" s="44">
        <f t="shared" si="7"/>
        <v>0</v>
      </c>
      <c r="E727" s="44"/>
      <c r="F727" s="44"/>
      <c r="G727" s="44"/>
      <c r="I727" s="61">
        <f t="shared" si="8"/>
        <v>0</v>
      </c>
      <c r="J727" s="59">
        <f t="shared" si="9"/>
        <v>0</v>
      </c>
    </row>
    <row r="728" spans="4:10">
      <c r="D728" s="44">
        <f t="shared" si="7"/>
        <v>0</v>
      </c>
      <c r="E728" s="44"/>
      <c r="F728" s="44"/>
      <c r="G728" s="44"/>
      <c r="I728" s="61">
        <f t="shared" si="8"/>
        <v>0</v>
      </c>
      <c r="J728" s="59">
        <f t="shared" si="9"/>
        <v>0</v>
      </c>
    </row>
    <row r="729" spans="4:10">
      <c r="D729" s="44">
        <f t="shared" si="7"/>
        <v>0</v>
      </c>
      <c r="E729" s="44"/>
      <c r="F729" s="44"/>
      <c r="G729" s="44"/>
      <c r="I729" s="61">
        <f t="shared" si="8"/>
        <v>0</v>
      </c>
      <c r="J729" s="59">
        <f t="shared" si="9"/>
        <v>0</v>
      </c>
    </row>
    <row r="730" spans="4:10">
      <c r="D730" s="44">
        <f t="shared" si="7"/>
        <v>0</v>
      </c>
      <c r="E730" s="44"/>
      <c r="F730" s="44"/>
      <c r="G730" s="44"/>
      <c r="I730" s="61">
        <f t="shared" si="8"/>
        <v>0</v>
      </c>
      <c r="J730" s="59">
        <f t="shared" si="9"/>
        <v>0</v>
      </c>
    </row>
    <row r="731" spans="4:10">
      <c r="D731" s="44">
        <f t="shared" si="7"/>
        <v>0</v>
      </c>
      <c r="E731" s="44"/>
      <c r="F731" s="44"/>
      <c r="G731" s="44"/>
      <c r="I731" s="61">
        <f t="shared" si="8"/>
        <v>0</v>
      </c>
      <c r="J731" s="59">
        <f t="shared" si="9"/>
        <v>0</v>
      </c>
    </row>
    <row r="732" spans="4:10">
      <c r="D732" s="44">
        <f t="shared" si="7"/>
        <v>0</v>
      </c>
      <c r="E732" s="44"/>
      <c r="F732" s="44"/>
      <c r="G732" s="44"/>
      <c r="I732" s="61">
        <f t="shared" si="8"/>
        <v>0</v>
      </c>
      <c r="J732" s="59">
        <f t="shared" si="9"/>
        <v>0</v>
      </c>
    </row>
    <row r="733" spans="4:10">
      <c r="D733" s="44">
        <f t="shared" si="7"/>
        <v>0</v>
      </c>
      <c r="E733" s="44"/>
      <c r="F733" s="44"/>
      <c r="G733" s="44"/>
      <c r="I733" s="61">
        <f t="shared" si="8"/>
        <v>0</v>
      </c>
      <c r="J733" s="59">
        <f t="shared" si="9"/>
        <v>0</v>
      </c>
    </row>
    <row r="734" spans="4:10">
      <c r="D734" s="44">
        <f t="shared" ref="D734:D797" si="10">C734-H734</f>
        <v>0</v>
      </c>
      <c r="E734" s="44"/>
      <c r="F734" s="44"/>
      <c r="G734" s="44"/>
      <c r="I734" s="61">
        <f t="shared" ref="I734:I797" si="11">H734*10%</f>
        <v>0</v>
      </c>
      <c r="J734" s="59">
        <f t="shared" ref="J734:J797" si="12">H734*90%</f>
        <v>0</v>
      </c>
    </row>
    <row r="735" spans="4:10">
      <c r="D735" s="44">
        <f t="shared" si="10"/>
        <v>0</v>
      </c>
      <c r="E735" s="44"/>
      <c r="F735" s="44"/>
      <c r="G735" s="44"/>
      <c r="I735" s="61">
        <f t="shared" si="11"/>
        <v>0</v>
      </c>
      <c r="J735" s="59">
        <f t="shared" si="12"/>
        <v>0</v>
      </c>
    </row>
    <row r="736" spans="4:10">
      <c r="D736" s="44">
        <f t="shared" si="10"/>
        <v>0</v>
      </c>
      <c r="E736" s="44"/>
      <c r="F736" s="44"/>
      <c r="G736" s="44"/>
      <c r="I736" s="61">
        <f t="shared" si="11"/>
        <v>0</v>
      </c>
      <c r="J736" s="59">
        <f t="shared" si="12"/>
        <v>0</v>
      </c>
    </row>
    <row r="737" spans="4:10">
      <c r="D737" s="44">
        <f t="shared" si="10"/>
        <v>0</v>
      </c>
      <c r="E737" s="44"/>
      <c r="F737" s="44"/>
      <c r="G737" s="44"/>
      <c r="I737" s="61">
        <f t="shared" si="11"/>
        <v>0</v>
      </c>
      <c r="J737" s="59">
        <f t="shared" si="12"/>
        <v>0</v>
      </c>
    </row>
    <row r="738" spans="4:10">
      <c r="D738" s="44">
        <f t="shared" si="10"/>
        <v>0</v>
      </c>
      <c r="E738" s="44"/>
      <c r="F738" s="44"/>
      <c r="G738" s="44"/>
      <c r="I738" s="61">
        <f t="shared" si="11"/>
        <v>0</v>
      </c>
      <c r="J738" s="59">
        <f t="shared" si="12"/>
        <v>0</v>
      </c>
    </row>
    <row r="739" spans="4:10">
      <c r="D739" s="44">
        <f t="shared" si="10"/>
        <v>0</v>
      </c>
      <c r="E739" s="44"/>
      <c r="F739" s="44"/>
      <c r="G739" s="44"/>
      <c r="I739" s="61">
        <f t="shared" si="11"/>
        <v>0</v>
      </c>
      <c r="J739" s="59">
        <f t="shared" si="12"/>
        <v>0</v>
      </c>
    </row>
    <row r="740" spans="4:10">
      <c r="D740" s="44">
        <f t="shared" si="10"/>
        <v>0</v>
      </c>
      <c r="E740" s="44"/>
      <c r="F740" s="44"/>
      <c r="G740" s="44"/>
      <c r="I740" s="61">
        <f t="shared" si="11"/>
        <v>0</v>
      </c>
      <c r="J740" s="59">
        <f t="shared" si="12"/>
        <v>0</v>
      </c>
    </row>
    <row r="741" spans="4:10">
      <c r="D741" s="44">
        <f t="shared" si="10"/>
        <v>0</v>
      </c>
      <c r="E741" s="44"/>
      <c r="F741" s="44"/>
      <c r="G741" s="44"/>
      <c r="I741" s="61">
        <f t="shared" si="11"/>
        <v>0</v>
      </c>
      <c r="J741" s="59">
        <f t="shared" si="12"/>
        <v>0</v>
      </c>
    </row>
    <row r="742" spans="4:10">
      <c r="D742" s="44">
        <f t="shared" si="10"/>
        <v>0</v>
      </c>
      <c r="E742" s="44"/>
      <c r="F742" s="44"/>
      <c r="G742" s="44"/>
      <c r="I742" s="61">
        <f t="shared" si="11"/>
        <v>0</v>
      </c>
      <c r="J742" s="59">
        <f t="shared" si="12"/>
        <v>0</v>
      </c>
    </row>
    <row r="743" spans="4:10">
      <c r="D743" s="44">
        <f t="shared" si="10"/>
        <v>0</v>
      </c>
      <c r="E743" s="44"/>
      <c r="F743" s="44"/>
      <c r="G743" s="44"/>
      <c r="I743" s="61">
        <f t="shared" si="11"/>
        <v>0</v>
      </c>
      <c r="J743" s="59">
        <f t="shared" si="12"/>
        <v>0</v>
      </c>
    </row>
    <row r="744" spans="4:10">
      <c r="D744" s="44">
        <f t="shared" si="10"/>
        <v>0</v>
      </c>
      <c r="E744" s="44"/>
      <c r="F744" s="44"/>
      <c r="G744" s="44"/>
      <c r="I744" s="61">
        <f t="shared" si="11"/>
        <v>0</v>
      </c>
      <c r="J744" s="59">
        <f t="shared" si="12"/>
        <v>0</v>
      </c>
    </row>
    <row r="745" spans="4:10">
      <c r="D745" s="44">
        <f t="shared" si="10"/>
        <v>0</v>
      </c>
      <c r="E745" s="44"/>
      <c r="F745" s="44"/>
      <c r="G745" s="44"/>
      <c r="I745" s="61">
        <f t="shared" si="11"/>
        <v>0</v>
      </c>
      <c r="J745" s="59">
        <f t="shared" si="12"/>
        <v>0</v>
      </c>
    </row>
    <row r="746" spans="4:10">
      <c r="D746" s="44">
        <f t="shared" si="10"/>
        <v>0</v>
      </c>
      <c r="E746" s="44"/>
      <c r="F746" s="44"/>
      <c r="G746" s="44"/>
      <c r="I746" s="61">
        <f t="shared" si="11"/>
        <v>0</v>
      </c>
      <c r="J746" s="59">
        <f t="shared" si="12"/>
        <v>0</v>
      </c>
    </row>
    <row r="747" spans="4:10">
      <c r="D747" s="44">
        <f t="shared" si="10"/>
        <v>0</v>
      </c>
      <c r="E747" s="44"/>
      <c r="F747" s="44"/>
      <c r="G747" s="44"/>
      <c r="I747" s="61">
        <f t="shared" si="11"/>
        <v>0</v>
      </c>
      <c r="J747" s="59">
        <f t="shared" si="12"/>
        <v>0</v>
      </c>
    </row>
    <row r="748" spans="4:10">
      <c r="D748" s="44">
        <f t="shared" si="10"/>
        <v>0</v>
      </c>
      <c r="E748" s="44"/>
      <c r="F748" s="44"/>
      <c r="G748" s="44"/>
      <c r="I748" s="61">
        <f t="shared" si="11"/>
        <v>0</v>
      </c>
      <c r="J748" s="59">
        <f t="shared" si="12"/>
        <v>0</v>
      </c>
    </row>
    <row r="749" spans="4:10">
      <c r="D749" s="44">
        <f t="shared" si="10"/>
        <v>0</v>
      </c>
      <c r="E749" s="44"/>
      <c r="F749" s="44"/>
      <c r="G749" s="44"/>
      <c r="I749" s="61">
        <f t="shared" si="11"/>
        <v>0</v>
      </c>
      <c r="J749" s="59">
        <f t="shared" si="12"/>
        <v>0</v>
      </c>
    </row>
    <row r="750" spans="4:10">
      <c r="D750" s="44">
        <f t="shared" si="10"/>
        <v>0</v>
      </c>
      <c r="E750" s="44"/>
      <c r="F750" s="44"/>
      <c r="G750" s="44"/>
      <c r="I750" s="61">
        <f t="shared" si="11"/>
        <v>0</v>
      </c>
      <c r="J750" s="59">
        <f t="shared" si="12"/>
        <v>0</v>
      </c>
    </row>
    <row r="751" spans="4:10">
      <c r="D751" s="44">
        <f t="shared" si="10"/>
        <v>0</v>
      </c>
      <c r="E751" s="44"/>
      <c r="F751" s="44"/>
      <c r="G751" s="44"/>
      <c r="I751" s="61">
        <f t="shared" si="11"/>
        <v>0</v>
      </c>
      <c r="J751" s="59">
        <f t="shared" si="12"/>
        <v>0</v>
      </c>
    </row>
    <row r="752" spans="4:10">
      <c r="D752" s="44">
        <f t="shared" si="10"/>
        <v>0</v>
      </c>
      <c r="E752" s="44"/>
      <c r="F752" s="44"/>
      <c r="G752" s="44"/>
      <c r="I752" s="61">
        <f t="shared" si="11"/>
        <v>0</v>
      </c>
      <c r="J752" s="59">
        <f t="shared" si="12"/>
        <v>0</v>
      </c>
    </row>
    <row r="753" spans="4:10">
      <c r="D753" s="44">
        <f t="shared" si="10"/>
        <v>0</v>
      </c>
      <c r="E753" s="44"/>
      <c r="F753" s="44"/>
      <c r="G753" s="44"/>
      <c r="I753" s="61">
        <f t="shared" si="11"/>
        <v>0</v>
      </c>
      <c r="J753" s="59">
        <f t="shared" si="12"/>
        <v>0</v>
      </c>
    </row>
    <row r="754" spans="4:10">
      <c r="D754" s="44">
        <f t="shared" si="10"/>
        <v>0</v>
      </c>
      <c r="E754" s="44"/>
      <c r="F754" s="44"/>
      <c r="G754" s="44"/>
      <c r="I754" s="61">
        <f t="shared" si="11"/>
        <v>0</v>
      </c>
      <c r="J754" s="59">
        <f t="shared" si="12"/>
        <v>0</v>
      </c>
    </row>
    <row r="755" spans="4:10">
      <c r="D755" s="44">
        <f t="shared" si="10"/>
        <v>0</v>
      </c>
      <c r="E755" s="44"/>
      <c r="F755" s="44"/>
      <c r="G755" s="44"/>
      <c r="I755" s="61">
        <f t="shared" si="11"/>
        <v>0</v>
      </c>
      <c r="J755" s="59">
        <f t="shared" si="12"/>
        <v>0</v>
      </c>
    </row>
    <row r="756" spans="4:10">
      <c r="D756" s="44">
        <f t="shared" si="10"/>
        <v>0</v>
      </c>
      <c r="E756" s="44"/>
      <c r="F756" s="44"/>
      <c r="G756" s="44"/>
      <c r="I756" s="61">
        <f t="shared" si="11"/>
        <v>0</v>
      </c>
      <c r="J756" s="59">
        <f t="shared" si="12"/>
        <v>0</v>
      </c>
    </row>
    <row r="757" spans="4:10">
      <c r="D757" s="44">
        <f t="shared" si="10"/>
        <v>0</v>
      </c>
      <c r="E757" s="44"/>
      <c r="F757" s="44"/>
      <c r="G757" s="44"/>
      <c r="I757" s="61">
        <f t="shared" si="11"/>
        <v>0</v>
      </c>
      <c r="J757" s="59">
        <f t="shared" si="12"/>
        <v>0</v>
      </c>
    </row>
    <row r="758" spans="4:10">
      <c r="D758" s="44">
        <f t="shared" si="10"/>
        <v>0</v>
      </c>
      <c r="E758" s="44"/>
      <c r="F758" s="44"/>
      <c r="G758" s="44"/>
      <c r="I758" s="61">
        <f t="shared" si="11"/>
        <v>0</v>
      </c>
      <c r="J758" s="59">
        <f t="shared" si="12"/>
        <v>0</v>
      </c>
    </row>
    <row r="759" spans="4:10">
      <c r="D759" s="44">
        <f t="shared" si="10"/>
        <v>0</v>
      </c>
      <c r="E759" s="44"/>
      <c r="F759" s="44"/>
      <c r="G759" s="44"/>
      <c r="I759" s="61">
        <f t="shared" si="11"/>
        <v>0</v>
      </c>
      <c r="J759" s="59">
        <f t="shared" si="12"/>
        <v>0</v>
      </c>
    </row>
    <row r="760" spans="4:10">
      <c r="D760" s="44">
        <f t="shared" si="10"/>
        <v>0</v>
      </c>
      <c r="E760" s="44"/>
      <c r="F760" s="44"/>
      <c r="G760" s="44"/>
      <c r="I760" s="61">
        <f t="shared" si="11"/>
        <v>0</v>
      </c>
      <c r="J760" s="59">
        <f t="shared" si="12"/>
        <v>0</v>
      </c>
    </row>
    <row r="761" spans="4:10">
      <c r="D761" s="44">
        <f t="shared" si="10"/>
        <v>0</v>
      </c>
      <c r="E761" s="44"/>
      <c r="F761" s="44"/>
      <c r="G761" s="44"/>
      <c r="I761" s="61">
        <f t="shared" si="11"/>
        <v>0</v>
      </c>
      <c r="J761" s="59">
        <f t="shared" si="12"/>
        <v>0</v>
      </c>
    </row>
    <row r="762" spans="4:10">
      <c r="D762" s="44">
        <f t="shared" si="10"/>
        <v>0</v>
      </c>
      <c r="E762" s="44"/>
      <c r="F762" s="44"/>
      <c r="G762" s="44"/>
      <c r="I762" s="61">
        <f t="shared" si="11"/>
        <v>0</v>
      </c>
      <c r="J762" s="59">
        <f t="shared" si="12"/>
        <v>0</v>
      </c>
    </row>
    <row r="763" spans="4:10">
      <c r="D763" s="44">
        <f t="shared" si="10"/>
        <v>0</v>
      </c>
      <c r="E763" s="44"/>
      <c r="F763" s="44"/>
      <c r="G763" s="44"/>
      <c r="I763" s="61">
        <f t="shared" si="11"/>
        <v>0</v>
      </c>
      <c r="J763" s="59">
        <f t="shared" si="12"/>
        <v>0</v>
      </c>
    </row>
    <row r="764" spans="4:10">
      <c r="D764" s="44">
        <f t="shared" si="10"/>
        <v>0</v>
      </c>
      <c r="E764" s="44"/>
      <c r="F764" s="44"/>
      <c r="G764" s="44"/>
      <c r="I764" s="61">
        <f t="shared" si="11"/>
        <v>0</v>
      </c>
      <c r="J764" s="59">
        <f t="shared" si="12"/>
        <v>0</v>
      </c>
    </row>
    <row r="765" spans="4:10">
      <c r="D765" s="44">
        <f t="shared" si="10"/>
        <v>0</v>
      </c>
      <c r="E765" s="44"/>
      <c r="F765" s="44"/>
      <c r="G765" s="44"/>
      <c r="I765" s="61">
        <f t="shared" si="11"/>
        <v>0</v>
      </c>
      <c r="J765" s="59">
        <f t="shared" si="12"/>
        <v>0</v>
      </c>
    </row>
    <row r="766" spans="4:10">
      <c r="D766" s="44">
        <f t="shared" si="10"/>
        <v>0</v>
      </c>
      <c r="E766" s="44"/>
      <c r="F766" s="44"/>
      <c r="G766" s="44"/>
      <c r="I766" s="61">
        <f t="shared" si="11"/>
        <v>0</v>
      </c>
      <c r="J766" s="59">
        <f t="shared" si="12"/>
        <v>0</v>
      </c>
    </row>
    <row r="767" spans="4:10">
      <c r="D767" s="44">
        <f t="shared" si="10"/>
        <v>0</v>
      </c>
      <c r="E767" s="44"/>
      <c r="F767" s="44"/>
      <c r="G767" s="44"/>
      <c r="I767" s="61">
        <f t="shared" si="11"/>
        <v>0</v>
      </c>
      <c r="J767" s="59">
        <f t="shared" si="12"/>
        <v>0</v>
      </c>
    </row>
    <row r="768" spans="4:10">
      <c r="D768" s="44">
        <f t="shared" si="10"/>
        <v>0</v>
      </c>
      <c r="E768" s="44"/>
      <c r="F768" s="44"/>
      <c r="G768" s="44"/>
      <c r="I768" s="61">
        <f t="shared" si="11"/>
        <v>0</v>
      </c>
      <c r="J768" s="59">
        <f t="shared" si="12"/>
        <v>0</v>
      </c>
    </row>
    <row r="769" spans="4:10">
      <c r="D769" s="44">
        <f t="shared" si="10"/>
        <v>0</v>
      </c>
      <c r="E769" s="44"/>
      <c r="F769" s="44"/>
      <c r="G769" s="44"/>
      <c r="I769" s="61">
        <f t="shared" si="11"/>
        <v>0</v>
      </c>
      <c r="J769" s="59">
        <f t="shared" si="12"/>
        <v>0</v>
      </c>
    </row>
    <row r="770" spans="4:10">
      <c r="D770" s="44">
        <f t="shared" si="10"/>
        <v>0</v>
      </c>
      <c r="E770" s="44"/>
      <c r="F770" s="44"/>
      <c r="G770" s="44"/>
      <c r="I770" s="61">
        <f t="shared" si="11"/>
        <v>0</v>
      </c>
      <c r="J770" s="59">
        <f t="shared" si="12"/>
        <v>0</v>
      </c>
    </row>
    <row r="771" spans="4:10">
      <c r="D771" s="44">
        <f t="shared" si="10"/>
        <v>0</v>
      </c>
      <c r="E771" s="44"/>
      <c r="F771" s="44"/>
      <c r="G771" s="44"/>
      <c r="I771" s="61">
        <f t="shared" si="11"/>
        <v>0</v>
      </c>
      <c r="J771" s="59">
        <f t="shared" si="12"/>
        <v>0</v>
      </c>
    </row>
    <row r="772" spans="4:10">
      <c r="D772" s="44">
        <f t="shared" si="10"/>
        <v>0</v>
      </c>
      <c r="E772" s="44"/>
      <c r="F772" s="44"/>
      <c r="G772" s="44"/>
      <c r="I772" s="61">
        <f t="shared" si="11"/>
        <v>0</v>
      </c>
      <c r="J772" s="59">
        <f t="shared" si="12"/>
        <v>0</v>
      </c>
    </row>
    <row r="773" spans="4:10">
      <c r="D773" s="44">
        <f t="shared" si="10"/>
        <v>0</v>
      </c>
      <c r="E773" s="44"/>
      <c r="F773" s="44"/>
      <c r="G773" s="44"/>
      <c r="I773" s="61">
        <f t="shared" si="11"/>
        <v>0</v>
      </c>
      <c r="J773" s="59">
        <f t="shared" si="12"/>
        <v>0</v>
      </c>
    </row>
    <row r="774" spans="4:10">
      <c r="D774" s="44">
        <f t="shared" si="10"/>
        <v>0</v>
      </c>
      <c r="E774" s="44"/>
      <c r="F774" s="44"/>
      <c r="G774" s="44"/>
      <c r="I774" s="61">
        <f t="shared" si="11"/>
        <v>0</v>
      </c>
      <c r="J774" s="59">
        <f t="shared" si="12"/>
        <v>0</v>
      </c>
    </row>
    <row r="775" spans="4:10">
      <c r="D775" s="44">
        <f t="shared" si="10"/>
        <v>0</v>
      </c>
      <c r="E775" s="44"/>
      <c r="F775" s="44"/>
      <c r="G775" s="44"/>
      <c r="I775" s="61">
        <f t="shared" si="11"/>
        <v>0</v>
      </c>
      <c r="J775" s="59">
        <f t="shared" si="12"/>
        <v>0</v>
      </c>
    </row>
    <row r="776" spans="4:10">
      <c r="D776" s="44">
        <f t="shared" si="10"/>
        <v>0</v>
      </c>
      <c r="E776" s="44"/>
      <c r="F776" s="44"/>
      <c r="G776" s="44"/>
      <c r="I776" s="61">
        <f t="shared" si="11"/>
        <v>0</v>
      </c>
      <c r="J776" s="59">
        <f t="shared" si="12"/>
        <v>0</v>
      </c>
    </row>
    <row r="777" spans="4:10">
      <c r="D777" s="44">
        <f t="shared" si="10"/>
        <v>0</v>
      </c>
      <c r="E777" s="44"/>
      <c r="F777" s="44"/>
      <c r="G777" s="44"/>
      <c r="I777" s="61">
        <f t="shared" si="11"/>
        <v>0</v>
      </c>
      <c r="J777" s="59">
        <f t="shared" si="12"/>
        <v>0</v>
      </c>
    </row>
    <row r="778" spans="4:10">
      <c r="D778" s="44">
        <f t="shared" si="10"/>
        <v>0</v>
      </c>
      <c r="E778" s="44"/>
      <c r="F778" s="44"/>
      <c r="G778" s="44"/>
      <c r="I778" s="61">
        <f t="shared" si="11"/>
        <v>0</v>
      </c>
      <c r="J778" s="59">
        <f t="shared" si="12"/>
        <v>0</v>
      </c>
    </row>
    <row r="779" spans="4:10">
      <c r="D779" s="44">
        <f t="shared" si="10"/>
        <v>0</v>
      </c>
      <c r="E779" s="44"/>
      <c r="F779" s="44"/>
      <c r="G779" s="44"/>
      <c r="I779" s="61">
        <f t="shared" si="11"/>
        <v>0</v>
      </c>
      <c r="J779" s="59">
        <f t="shared" si="12"/>
        <v>0</v>
      </c>
    </row>
    <row r="780" spans="4:10">
      <c r="D780" s="44">
        <f t="shared" si="10"/>
        <v>0</v>
      </c>
      <c r="E780" s="44"/>
      <c r="F780" s="44"/>
      <c r="G780" s="44"/>
      <c r="I780" s="61">
        <f t="shared" si="11"/>
        <v>0</v>
      </c>
      <c r="J780" s="59">
        <f t="shared" si="12"/>
        <v>0</v>
      </c>
    </row>
    <row r="781" spans="4:10">
      <c r="D781" s="44">
        <f t="shared" si="10"/>
        <v>0</v>
      </c>
      <c r="E781" s="44"/>
      <c r="F781" s="44"/>
      <c r="G781" s="44"/>
      <c r="I781" s="61">
        <f t="shared" si="11"/>
        <v>0</v>
      </c>
      <c r="J781" s="59">
        <f t="shared" si="12"/>
        <v>0</v>
      </c>
    </row>
    <row r="782" spans="4:10">
      <c r="D782" s="44">
        <f t="shared" si="10"/>
        <v>0</v>
      </c>
      <c r="E782" s="44"/>
      <c r="F782" s="44"/>
      <c r="G782" s="44"/>
      <c r="I782" s="61">
        <f t="shared" si="11"/>
        <v>0</v>
      </c>
      <c r="J782" s="59">
        <f t="shared" si="12"/>
        <v>0</v>
      </c>
    </row>
    <row r="783" spans="4:10">
      <c r="D783" s="44">
        <f t="shared" si="10"/>
        <v>0</v>
      </c>
      <c r="E783" s="44"/>
      <c r="F783" s="44"/>
      <c r="G783" s="44"/>
      <c r="I783" s="61">
        <f t="shared" si="11"/>
        <v>0</v>
      </c>
      <c r="J783" s="59">
        <f t="shared" si="12"/>
        <v>0</v>
      </c>
    </row>
    <row r="784" spans="4:10">
      <c r="D784" s="44">
        <f t="shared" si="10"/>
        <v>0</v>
      </c>
      <c r="E784" s="44"/>
      <c r="F784" s="44"/>
      <c r="G784" s="44"/>
      <c r="I784" s="61">
        <f t="shared" si="11"/>
        <v>0</v>
      </c>
      <c r="J784" s="59">
        <f t="shared" si="12"/>
        <v>0</v>
      </c>
    </row>
    <row r="785" spans="4:10">
      <c r="D785" s="44">
        <f t="shared" si="10"/>
        <v>0</v>
      </c>
      <c r="E785" s="44"/>
      <c r="F785" s="44"/>
      <c r="G785" s="44"/>
      <c r="I785" s="61">
        <f t="shared" si="11"/>
        <v>0</v>
      </c>
      <c r="J785" s="59">
        <f t="shared" si="12"/>
        <v>0</v>
      </c>
    </row>
    <row r="786" spans="4:10">
      <c r="D786" s="44">
        <f t="shared" si="10"/>
        <v>0</v>
      </c>
      <c r="E786" s="44"/>
      <c r="F786" s="44"/>
      <c r="G786" s="44"/>
      <c r="I786" s="61">
        <f t="shared" si="11"/>
        <v>0</v>
      </c>
      <c r="J786" s="59">
        <f t="shared" si="12"/>
        <v>0</v>
      </c>
    </row>
    <row r="787" spans="4:10">
      <c r="D787" s="44">
        <f t="shared" si="10"/>
        <v>0</v>
      </c>
      <c r="E787" s="44"/>
      <c r="F787" s="44"/>
      <c r="G787" s="44"/>
      <c r="I787" s="61">
        <f t="shared" si="11"/>
        <v>0</v>
      </c>
      <c r="J787" s="59">
        <f t="shared" si="12"/>
        <v>0</v>
      </c>
    </row>
    <row r="788" spans="4:10">
      <c r="D788" s="44">
        <f t="shared" si="10"/>
        <v>0</v>
      </c>
      <c r="E788" s="44"/>
      <c r="F788" s="44"/>
      <c r="G788" s="44"/>
      <c r="I788" s="61">
        <f t="shared" si="11"/>
        <v>0</v>
      </c>
      <c r="J788" s="59">
        <f t="shared" si="12"/>
        <v>0</v>
      </c>
    </row>
    <row r="789" spans="4:10">
      <c r="D789" s="44">
        <f t="shared" si="10"/>
        <v>0</v>
      </c>
      <c r="E789" s="44"/>
      <c r="F789" s="44"/>
      <c r="G789" s="44"/>
      <c r="I789" s="61">
        <f t="shared" si="11"/>
        <v>0</v>
      </c>
      <c r="J789" s="59">
        <f t="shared" si="12"/>
        <v>0</v>
      </c>
    </row>
    <row r="790" spans="4:10">
      <c r="D790" s="44">
        <f t="shared" si="10"/>
        <v>0</v>
      </c>
      <c r="E790" s="44"/>
      <c r="F790" s="44"/>
      <c r="G790" s="44"/>
      <c r="I790" s="61">
        <f t="shared" si="11"/>
        <v>0</v>
      </c>
      <c r="J790" s="59">
        <f t="shared" si="12"/>
        <v>0</v>
      </c>
    </row>
    <row r="791" spans="4:10">
      <c r="D791" s="44">
        <f t="shared" si="10"/>
        <v>0</v>
      </c>
      <c r="E791" s="44"/>
      <c r="F791" s="44"/>
      <c r="G791" s="44"/>
      <c r="I791" s="61">
        <f t="shared" si="11"/>
        <v>0</v>
      </c>
      <c r="J791" s="59">
        <f t="shared" si="12"/>
        <v>0</v>
      </c>
    </row>
    <row r="792" spans="4:10">
      <c r="D792" s="44">
        <f t="shared" si="10"/>
        <v>0</v>
      </c>
      <c r="E792" s="44"/>
      <c r="F792" s="44"/>
      <c r="G792" s="44"/>
      <c r="I792" s="61">
        <f t="shared" si="11"/>
        <v>0</v>
      </c>
      <c r="J792" s="59">
        <f t="shared" si="12"/>
        <v>0</v>
      </c>
    </row>
    <row r="793" spans="4:10">
      <c r="D793" s="44">
        <f t="shared" si="10"/>
        <v>0</v>
      </c>
      <c r="E793" s="44"/>
      <c r="F793" s="44"/>
      <c r="G793" s="44"/>
      <c r="I793" s="61">
        <f t="shared" si="11"/>
        <v>0</v>
      </c>
      <c r="J793" s="59">
        <f t="shared" si="12"/>
        <v>0</v>
      </c>
    </row>
    <row r="794" spans="4:10">
      <c r="D794" s="44">
        <f t="shared" si="10"/>
        <v>0</v>
      </c>
      <c r="E794" s="44"/>
      <c r="F794" s="44"/>
      <c r="G794" s="44"/>
      <c r="I794" s="61">
        <f t="shared" si="11"/>
        <v>0</v>
      </c>
      <c r="J794" s="59">
        <f t="shared" si="12"/>
        <v>0</v>
      </c>
    </row>
    <row r="795" spans="4:10">
      <c r="D795" s="44">
        <f t="shared" si="10"/>
        <v>0</v>
      </c>
      <c r="E795" s="44"/>
      <c r="F795" s="44"/>
      <c r="G795" s="44"/>
      <c r="I795" s="61">
        <f t="shared" si="11"/>
        <v>0</v>
      </c>
      <c r="J795" s="59">
        <f t="shared" si="12"/>
        <v>0</v>
      </c>
    </row>
    <row r="796" spans="4:10">
      <c r="D796" s="44">
        <f t="shared" si="10"/>
        <v>0</v>
      </c>
      <c r="E796" s="44"/>
      <c r="F796" s="44"/>
      <c r="G796" s="44"/>
      <c r="I796" s="61">
        <f t="shared" si="11"/>
        <v>0</v>
      </c>
      <c r="J796" s="59">
        <f t="shared" si="12"/>
        <v>0</v>
      </c>
    </row>
    <row r="797" spans="4:10">
      <c r="D797" s="44">
        <f t="shared" si="10"/>
        <v>0</v>
      </c>
      <c r="E797" s="44"/>
      <c r="F797" s="44"/>
      <c r="G797" s="44"/>
      <c r="I797" s="61">
        <f t="shared" si="11"/>
        <v>0</v>
      </c>
      <c r="J797" s="59">
        <f t="shared" si="12"/>
        <v>0</v>
      </c>
    </row>
    <row r="798" spans="4:10">
      <c r="D798" s="44">
        <f t="shared" ref="D798:D861" si="13">C798-H798</f>
        <v>0</v>
      </c>
      <c r="E798" s="44"/>
      <c r="F798" s="44"/>
      <c r="G798" s="44"/>
      <c r="I798" s="61">
        <f t="shared" ref="I798:I861" si="14">H798*10%</f>
        <v>0</v>
      </c>
      <c r="J798" s="59">
        <f t="shared" ref="J798:J861" si="15">H798*90%</f>
        <v>0</v>
      </c>
    </row>
    <row r="799" spans="4:10">
      <c r="D799" s="44">
        <f t="shared" si="13"/>
        <v>0</v>
      </c>
      <c r="E799" s="44"/>
      <c r="F799" s="44"/>
      <c r="G799" s="44"/>
      <c r="I799" s="61">
        <f t="shared" si="14"/>
        <v>0</v>
      </c>
      <c r="J799" s="59">
        <f t="shared" si="15"/>
        <v>0</v>
      </c>
    </row>
    <row r="800" spans="4:10">
      <c r="D800" s="44">
        <f t="shared" si="13"/>
        <v>0</v>
      </c>
      <c r="E800" s="44"/>
      <c r="F800" s="44"/>
      <c r="G800" s="44"/>
      <c r="I800" s="61">
        <f t="shared" si="14"/>
        <v>0</v>
      </c>
      <c r="J800" s="59">
        <f t="shared" si="15"/>
        <v>0</v>
      </c>
    </row>
    <row r="801" spans="4:10">
      <c r="D801" s="44">
        <f t="shared" si="13"/>
        <v>0</v>
      </c>
      <c r="E801" s="44"/>
      <c r="F801" s="44"/>
      <c r="G801" s="44"/>
      <c r="I801" s="61">
        <f t="shared" si="14"/>
        <v>0</v>
      </c>
      <c r="J801" s="59">
        <f t="shared" si="15"/>
        <v>0</v>
      </c>
    </row>
    <row r="802" spans="4:10">
      <c r="D802" s="44">
        <f t="shared" si="13"/>
        <v>0</v>
      </c>
      <c r="E802" s="44"/>
      <c r="F802" s="44"/>
      <c r="G802" s="44"/>
      <c r="I802" s="61">
        <f t="shared" si="14"/>
        <v>0</v>
      </c>
      <c r="J802" s="59">
        <f t="shared" si="15"/>
        <v>0</v>
      </c>
    </row>
    <row r="803" spans="4:10">
      <c r="D803" s="44">
        <f t="shared" si="13"/>
        <v>0</v>
      </c>
      <c r="E803" s="44"/>
      <c r="F803" s="44"/>
      <c r="G803" s="44"/>
      <c r="I803" s="61">
        <f t="shared" si="14"/>
        <v>0</v>
      </c>
      <c r="J803" s="59">
        <f t="shared" si="15"/>
        <v>0</v>
      </c>
    </row>
    <row r="804" spans="4:10">
      <c r="D804" s="44">
        <f t="shared" si="13"/>
        <v>0</v>
      </c>
      <c r="E804" s="44"/>
      <c r="F804" s="44"/>
      <c r="G804" s="44"/>
      <c r="I804" s="61">
        <f t="shared" si="14"/>
        <v>0</v>
      </c>
      <c r="J804" s="59">
        <f t="shared" si="15"/>
        <v>0</v>
      </c>
    </row>
    <row r="805" spans="4:10">
      <c r="D805" s="44">
        <f t="shared" si="13"/>
        <v>0</v>
      </c>
      <c r="E805" s="44"/>
      <c r="F805" s="44"/>
      <c r="G805" s="44"/>
      <c r="I805" s="61">
        <f t="shared" si="14"/>
        <v>0</v>
      </c>
      <c r="J805" s="59">
        <f t="shared" si="15"/>
        <v>0</v>
      </c>
    </row>
    <row r="806" spans="4:10">
      <c r="D806" s="44">
        <f t="shared" si="13"/>
        <v>0</v>
      </c>
      <c r="E806" s="44"/>
      <c r="F806" s="44"/>
      <c r="G806" s="44"/>
      <c r="I806" s="61">
        <f t="shared" si="14"/>
        <v>0</v>
      </c>
      <c r="J806" s="59">
        <f t="shared" si="15"/>
        <v>0</v>
      </c>
    </row>
    <row r="807" spans="4:10">
      <c r="D807" s="44">
        <f t="shared" si="13"/>
        <v>0</v>
      </c>
      <c r="E807" s="44"/>
      <c r="F807" s="44"/>
      <c r="G807" s="44"/>
      <c r="I807" s="61">
        <f t="shared" si="14"/>
        <v>0</v>
      </c>
      <c r="J807" s="59">
        <f t="shared" si="15"/>
        <v>0</v>
      </c>
    </row>
    <row r="808" spans="4:10">
      <c r="D808" s="44">
        <f t="shared" si="13"/>
        <v>0</v>
      </c>
      <c r="E808" s="44"/>
      <c r="F808" s="44"/>
      <c r="G808" s="44"/>
      <c r="I808" s="61">
        <f t="shared" si="14"/>
        <v>0</v>
      </c>
      <c r="J808" s="59">
        <f t="shared" si="15"/>
        <v>0</v>
      </c>
    </row>
    <row r="809" spans="4:10">
      <c r="D809" s="44">
        <f t="shared" si="13"/>
        <v>0</v>
      </c>
      <c r="E809" s="44"/>
      <c r="F809" s="44"/>
      <c r="G809" s="44"/>
      <c r="I809" s="61">
        <f t="shared" si="14"/>
        <v>0</v>
      </c>
      <c r="J809" s="59">
        <f t="shared" si="15"/>
        <v>0</v>
      </c>
    </row>
    <row r="810" spans="4:10">
      <c r="D810" s="44">
        <f t="shared" si="13"/>
        <v>0</v>
      </c>
      <c r="E810" s="44"/>
      <c r="F810" s="44"/>
      <c r="G810" s="44"/>
      <c r="I810" s="61">
        <f t="shared" si="14"/>
        <v>0</v>
      </c>
      <c r="J810" s="59">
        <f t="shared" si="15"/>
        <v>0</v>
      </c>
    </row>
    <row r="811" spans="4:10">
      <c r="D811" s="44">
        <f t="shared" si="13"/>
        <v>0</v>
      </c>
      <c r="E811" s="44"/>
      <c r="F811" s="44"/>
      <c r="G811" s="44"/>
      <c r="I811" s="61">
        <f t="shared" si="14"/>
        <v>0</v>
      </c>
      <c r="J811" s="59">
        <f t="shared" si="15"/>
        <v>0</v>
      </c>
    </row>
    <row r="812" spans="4:10">
      <c r="D812" s="44">
        <f t="shared" si="13"/>
        <v>0</v>
      </c>
      <c r="E812" s="44"/>
      <c r="F812" s="44"/>
      <c r="G812" s="44"/>
      <c r="I812" s="61">
        <f t="shared" si="14"/>
        <v>0</v>
      </c>
      <c r="J812" s="59">
        <f t="shared" si="15"/>
        <v>0</v>
      </c>
    </row>
    <row r="813" spans="4:10">
      <c r="D813" s="44">
        <f t="shared" si="13"/>
        <v>0</v>
      </c>
      <c r="E813" s="44"/>
      <c r="F813" s="44"/>
      <c r="G813" s="44"/>
      <c r="I813" s="61">
        <f t="shared" si="14"/>
        <v>0</v>
      </c>
      <c r="J813" s="59">
        <f t="shared" si="15"/>
        <v>0</v>
      </c>
    </row>
    <row r="814" spans="4:10">
      <c r="D814" s="44">
        <f t="shared" si="13"/>
        <v>0</v>
      </c>
      <c r="E814" s="44"/>
      <c r="F814" s="44"/>
      <c r="G814" s="44"/>
      <c r="I814" s="61">
        <f t="shared" si="14"/>
        <v>0</v>
      </c>
      <c r="J814" s="59">
        <f t="shared" si="15"/>
        <v>0</v>
      </c>
    </row>
    <row r="815" spans="4:10">
      <c r="D815" s="44">
        <f t="shared" si="13"/>
        <v>0</v>
      </c>
      <c r="E815" s="44"/>
      <c r="F815" s="44"/>
      <c r="G815" s="44"/>
      <c r="I815" s="61">
        <f t="shared" si="14"/>
        <v>0</v>
      </c>
      <c r="J815" s="59">
        <f t="shared" si="15"/>
        <v>0</v>
      </c>
    </row>
    <row r="816" spans="4:10">
      <c r="D816" s="44">
        <f t="shared" si="13"/>
        <v>0</v>
      </c>
      <c r="E816" s="44"/>
      <c r="F816" s="44"/>
      <c r="G816" s="44"/>
      <c r="I816" s="61">
        <f t="shared" si="14"/>
        <v>0</v>
      </c>
      <c r="J816" s="59">
        <f t="shared" si="15"/>
        <v>0</v>
      </c>
    </row>
    <row r="817" spans="4:10">
      <c r="D817" s="44">
        <f t="shared" si="13"/>
        <v>0</v>
      </c>
      <c r="E817" s="44"/>
      <c r="F817" s="44"/>
      <c r="G817" s="44"/>
      <c r="I817" s="61">
        <f t="shared" si="14"/>
        <v>0</v>
      </c>
      <c r="J817" s="59">
        <f t="shared" si="15"/>
        <v>0</v>
      </c>
    </row>
    <row r="818" spans="4:10">
      <c r="D818" s="44">
        <f t="shared" si="13"/>
        <v>0</v>
      </c>
      <c r="E818" s="44"/>
      <c r="F818" s="44"/>
      <c r="G818" s="44"/>
      <c r="I818" s="61">
        <f t="shared" si="14"/>
        <v>0</v>
      </c>
      <c r="J818" s="59">
        <f t="shared" si="15"/>
        <v>0</v>
      </c>
    </row>
    <row r="819" spans="4:10">
      <c r="D819" s="44">
        <f t="shared" si="13"/>
        <v>0</v>
      </c>
      <c r="E819" s="44"/>
      <c r="F819" s="44"/>
      <c r="G819" s="44"/>
      <c r="I819" s="61">
        <f t="shared" si="14"/>
        <v>0</v>
      </c>
      <c r="J819" s="59">
        <f t="shared" si="15"/>
        <v>0</v>
      </c>
    </row>
    <row r="820" spans="4:10">
      <c r="D820" s="44">
        <f t="shared" si="13"/>
        <v>0</v>
      </c>
      <c r="E820" s="44"/>
      <c r="F820" s="44"/>
      <c r="G820" s="44"/>
      <c r="I820" s="61">
        <f t="shared" si="14"/>
        <v>0</v>
      </c>
      <c r="J820" s="59">
        <f t="shared" si="15"/>
        <v>0</v>
      </c>
    </row>
    <row r="821" spans="4:10">
      <c r="D821" s="44">
        <f t="shared" si="13"/>
        <v>0</v>
      </c>
      <c r="E821" s="44"/>
      <c r="F821" s="44"/>
      <c r="G821" s="44"/>
      <c r="I821" s="61">
        <f t="shared" si="14"/>
        <v>0</v>
      </c>
      <c r="J821" s="59">
        <f t="shared" si="15"/>
        <v>0</v>
      </c>
    </row>
    <row r="822" spans="4:10">
      <c r="D822" s="44">
        <f t="shared" si="13"/>
        <v>0</v>
      </c>
      <c r="E822" s="44"/>
      <c r="F822" s="44"/>
      <c r="G822" s="44"/>
      <c r="I822" s="61">
        <f t="shared" si="14"/>
        <v>0</v>
      </c>
      <c r="J822" s="59">
        <f t="shared" si="15"/>
        <v>0</v>
      </c>
    </row>
    <row r="823" spans="4:10">
      <c r="D823" s="44">
        <f t="shared" si="13"/>
        <v>0</v>
      </c>
      <c r="E823" s="44"/>
      <c r="F823" s="44"/>
      <c r="G823" s="44"/>
      <c r="I823" s="61">
        <f t="shared" si="14"/>
        <v>0</v>
      </c>
      <c r="J823" s="59">
        <f t="shared" si="15"/>
        <v>0</v>
      </c>
    </row>
    <row r="824" spans="4:10">
      <c r="D824" s="44">
        <f t="shared" si="13"/>
        <v>0</v>
      </c>
      <c r="E824" s="44"/>
      <c r="F824" s="44"/>
      <c r="G824" s="44"/>
      <c r="I824" s="61">
        <f t="shared" si="14"/>
        <v>0</v>
      </c>
      <c r="J824" s="59">
        <f t="shared" si="15"/>
        <v>0</v>
      </c>
    </row>
    <row r="825" spans="4:10">
      <c r="D825" s="44">
        <f t="shared" si="13"/>
        <v>0</v>
      </c>
      <c r="E825" s="44"/>
      <c r="F825" s="44"/>
      <c r="G825" s="44"/>
      <c r="I825" s="61">
        <f t="shared" si="14"/>
        <v>0</v>
      </c>
      <c r="J825" s="59">
        <f t="shared" si="15"/>
        <v>0</v>
      </c>
    </row>
    <row r="826" spans="4:10">
      <c r="D826" s="44">
        <f t="shared" si="13"/>
        <v>0</v>
      </c>
      <c r="E826" s="44"/>
      <c r="F826" s="44"/>
      <c r="G826" s="44"/>
      <c r="I826" s="61">
        <f t="shared" si="14"/>
        <v>0</v>
      </c>
      <c r="J826" s="59">
        <f t="shared" si="15"/>
        <v>0</v>
      </c>
    </row>
    <row r="827" spans="4:10">
      <c r="D827" s="44">
        <f t="shared" si="13"/>
        <v>0</v>
      </c>
      <c r="E827" s="44"/>
      <c r="F827" s="44"/>
      <c r="G827" s="44"/>
      <c r="I827" s="61">
        <f t="shared" si="14"/>
        <v>0</v>
      </c>
      <c r="J827" s="59">
        <f t="shared" si="15"/>
        <v>0</v>
      </c>
    </row>
    <row r="828" spans="4:10">
      <c r="D828" s="44">
        <f t="shared" si="13"/>
        <v>0</v>
      </c>
      <c r="E828" s="44"/>
      <c r="F828" s="44"/>
      <c r="G828" s="44"/>
      <c r="I828" s="61">
        <f t="shared" si="14"/>
        <v>0</v>
      </c>
      <c r="J828" s="59">
        <f t="shared" si="15"/>
        <v>0</v>
      </c>
    </row>
    <row r="829" spans="4:10">
      <c r="D829" s="44">
        <f t="shared" si="13"/>
        <v>0</v>
      </c>
      <c r="E829" s="44"/>
      <c r="F829" s="44"/>
      <c r="G829" s="44"/>
      <c r="I829" s="61">
        <f t="shared" si="14"/>
        <v>0</v>
      </c>
      <c r="J829" s="59">
        <f t="shared" si="15"/>
        <v>0</v>
      </c>
    </row>
    <row r="830" spans="4:10">
      <c r="D830" s="44">
        <f t="shared" si="13"/>
        <v>0</v>
      </c>
      <c r="E830" s="44"/>
      <c r="F830" s="44"/>
      <c r="G830" s="44"/>
      <c r="I830" s="61">
        <f t="shared" si="14"/>
        <v>0</v>
      </c>
      <c r="J830" s="59">
        <f t="shared" si="15"/>
        <v>0</v>
      </c>
    </row>
    <row r="831" spans="4:10">
      <c r="D831" s="44">
        <f t="shared" si="13"/>
        <v>0</v>
      </c>
      <c r="E831" s="44"/>
      <c r="F831" s="44"/>
      <c r="G831" s="44"/>
      <c r="I831" s="61">
        <f t="shared" si="14"/>
        <v>0</v>
      </c>
      <c r="J831" s="59">
        <f t="shared" si="15"/>
        <v>0</v>
      </c>
    </row>
    <row r="832" spans="4:10">
      <c r="D832" s="44">
        <f t="shared" si="13"/>
        <v>0</v>
      </c>
      <c r="E832" s="44"/>
      <c r="F832" s="44"/>
      <c r="G832" s="44"/>
      <c r="I832" s="61">
        <f t="shared" si="14"/>
        <v>0</v>
      </c>
      <c r="J832" s="59">
        <f t="shared" si="15"/>
        <v>0</v>
      </c>
    </row>
    <row r="833" spans="4:10">
      <c r="D833" s="44">
        <f t="shared" si="13"/>
        <v>0</v>
      </c>
      <c r="E833" s="44"/>
      <c r="F833" s="44"/>
      <c r="G833" s="44"/>
      <c r="I833" s="61">
        <f t="shared" si="14"/>
        <v>0</v>
      </c>
      <c r="J833" s="59">
        <f t="shared" si="15"/>
        <v>0</v>
      </c>
    </row>
    <row r="834" spans="4:10">
      <c r="D834" s="44">
        <f t="shared" si="13"/>
        <v>0</v>
      </c>
      <c r="E834" s="44"/>
      <c r="F834" s="44"/>
      <c r="G834" s="44"/>
      <c r="I834" s="61">
        <f t="shared" si="14"/>
        <v>0</v>
      </c>
      <c r="J834" s="59">
        <f t="shared" si="15"/>
        <v>0</v>
      </c>
    </row>
    <row r="835" spans="4:10">
      <c r="D835" s="44">
        <f t="shared" si="13"/>
        <v>0</v>
      </c>
      <c r="E835" s="44"/>
      <c r="F835" s="44"/>
      <c r="G835" s="44"/>
      <c r="I835" s="61">
        <f t="shared" si="14"/>
        <v>0</v>
      </c>
      <c r="J835" s="59">
        <f t="shared" si="15"/>
        <v>0</v>
      </c>
    </row>
    <row r="836" spans="4:10">
      <c r="D836" s="44">
        <f t="shared" si="13"/>
        <v>0</v>
      </c>
      <c r="E836" s="44"/>
      <c r="F836" s="44"/>
      <c r="G836" s="44"/>
      <c r="I836" s="61">
        <f t="shared" si="14"/>
        <v>0</v>
      </c>
      <c r="J836" s="59">
        <f t="shared" si="15"/>
        <v>0</v>
      </c>
    </row>
    <row r="837" spans="4:10">
      <c r="D837" s="44">
        <f t="shared" si="13"/>
        <v>0</v>
      </c>
      <c r="E837" s="44"/>
      <c r="F837" s="44"/>
      <c r="G837" s="44"/>
      <c r="I837" s="61">
        <f t="shared" si="14"/>
        <v>0</v>
      </c>
      <c r="J837" s="59">
        <f t="shared" si="15"/>
        <v>0</v>
      </c>
    </row>
    <row r="838" spans="4:10">
      <c r="D838" s="44">
        <f t="shared" si="13"/>
        <v>0</v>
      </c>
      <c r="E838" s="44"/>
      <c r="F838" s="44"/>
      <c r="G838" s="44"/>
      <c r="I838" s="61">
        <f t="shared" si="14"/>
        <v>0</v>
      </c>
      <c r="J838" s="59">
        <f t="shared" si="15"/>
        <v>0</v>
      </c>
    </row>
    <row r="839" spans="4:10">
      <c r="D839" s="44">
        <f t="shared" si="13"/>
        <v>0</v>
      </c>
      <c r="E839" s="44"/>
      <c r="F839" s="44"/>
      <c r="G839" s="44"/>
      <c r="I839" s="61">
        <f t="shared" si="14"/>
        <v>0</v>
      </c>
      <c r="J839" s="59">
        <f t="shared" si="15"/>
        <v>0</v>
      </c>
    </row>
    <row r="840" spans="4:10">
      <c r="D840" s="44">
        <f t="shared" si="13"/>
        <v>0</v>
      </c>
      <c r="E840" s="44"/>
      <c r="F840" s="44"/>
      <c r="G840" s="44"/>
      <c r="I840" s="61">
        <f t="shared" si="14"/>
        <v>0</v>
      </c>
      <c r="J840" s="59">
        <f t="shared" si="15"/>
        <v>0</v>
      </c>
    </row>
    <row r="841" spans="4:10">
      <c r="D841" s="44">
        <f t="shared" si="13"/>
        <v>0</v>
      </c>
      <c r="E841" s="44"/>
      <c r="F841" s="44"/>
      <c r="G841" s="44"/>
      <c r="I841" s="61">
        <f t="shared" si="14"/>
        <v>0</v>
      </c>
      <c r="J841" s="59">
        <f t="shared" si="15"/>
        <v>0</v>
      </c>
    </row>
    <row r="842" spans="4:10">
      <c r="D842" s="44">
        <f t="shared" si="13"/>
        <v>0</v>
      </c>
      <c r="E842" s="44"/>
      <c r="F842" s="44"/>
      <c r="G842" s="44"/>
      <c r="I842" s="61">
        <f t="shared" si="14"/>
        <v>0</v>
      </c>
      <c r="J842" s="59">
        <f t="shared" si="15"/>
        <v>0</v>
      </c>
    </row>
    <row r="843" spans="4:10">
      <c r="D843" s="44">
        <f t="shared" si="13"/>
        <v>0</v>
      </c>
      <c r="E843" s="44"/>
      <c r="F843" s="44"/>
      <c r="G843" s="44"/>
      <c r="I843" s="61">
        <f t="shared" si="14"/>
        <v>0</v>
      </c>
      <c r="J843" s="59">
        <f t="shared" si="15"/>
        <v>0</v>
      </c>
    </row>
    <row r="844" spans="4:10">
      <c r="D844" s="44">
        <f t="shared" si="13"/>
        <v>0</v>
      </c>
      <c r="E844" s="44"/>
      <c r="F844" s="44"/>
      <c r="G844" s="44"/>
      <c r="I844" s="61">
        <f t="shared" si="14"/>
        <v>0</v>
      </c>
      <c r="J844" s="59">
        <f t="shared" si="15"/>
        <v>0</v>
      </c>
    </row>
    <row r="845" spans="4:10">
      <c r="D845" s="44">
        <f t="shared" si="13"/>
        <v>0</v>
      </c>
      <c r="E845" s="44"/>
      <c r="F845" s="44"/>
      <c r="G845" s="44"/>
      <c r="I845" s="61">
        <f t="shared" si="14"/>
        <v>0</v>
      </c>
      <c r="J845" s="59">
        <f t="shared" si="15"/>
        <v>0</v>
      </c>
    </row>
    <row r="846" spans="4:10">
      <c r="D846" s="44">
        <f t="shared" si="13"/>
        <v>0</v>
      </c>
      <c r="E846" s="44"/>
      <c r="F846" s="44"/>
      <c r="G846" s="44"/>
      <c r="I846" s="61">
        <f t="shared" si="14"/>
        <v>0</v>
      </c>
      <c r="J846" s="59">
        <f t="shared" si="15"/>
        <v>0</v>
      </c>
    </row>
    <row r="847" spans="4:10">
      <c r="D847" s="44">
        <f t="shared" si="13"/>
        <v>0</v>
      </c>
      <c r="E847" s="44"/>
      <c r="F847" s="44"/>
      <c r="G847" s="44"/>
      <c r="I847" s="61">
        <f t="shared" si="14"/>
        <v>0</v>
      </c>
      <c r="J847" s="59">
        <f t="shared" si="15"/>
        <v>0</v>
      </c>
    </row>
    <row r="848" spans="4:10">
      <c r="D848" s="44">
        <f t="shared" si="13"/>
        <v>0</v>
      </c>
      <c r="E848" s="44"/>
      <c r="F848" s="44"/>
      <c r="G848" s="44"/>
      <c r="I848" s="61">
        <f t="shared" si="14"/>
        <v>0</v>
      </c>
      <c r="J848" s="59">
        <f t="shared" si="15"/>
        <v>0</v>
      </c>
    </row>
    <row r="849" spans="4:10">
      <c r="D849" s="44">
        <f t="shared" si="13"/>
        <v>0</v>
      </c>
      <c r="E849" s="44"/>
      <c r="F849" s="44"/>
      <c r="G849" s="44"/>
      <c r="I849" s="61">
        <f t="shared" si="14"/>
        <v>0</v>
      </c>
      <c r="J849" s="59">
        <f t="shared" si="15"/>
        <v>0</v>
      </c>
    </row>
    <row r="850" spans="4:10">
      <c r="D850" s="44">
        <f t="shared" si="13"/>
        <v>0</v>
      </c>
      <c r="E850" s="44"/>
      <c r="F850" s="44"/>
      <c r="G850" s="44"/>
      <c r="I850" s="61">
        <f t="shared" si="14"/>
        <v>0</v>
      </c>
      <c r="J850" s="59">
        <f t="shared" si="15"/>
        <v>0</v>
      </c>
    </row>
    <row r="851" spans="4:10">
      <c r="D851" s="44">
        <f t="shared" si="13"/>
        <v>0</v>
      </c>
      <c r="E851" s="44"/>
      <c r="F851" s="44"/>
      <c r="G851" s="44"/>
      <c r="I851" s="61">
        <f t="shared" si="14"/>
        <v>0</v>
      </c>
      <c r="J851" s="59">
        <f t="shared" si="15"/>
        <v>0</v>
      </c>
    </row>
    <row r="852" spans="4:10">
      <c r="D852" s="44">
        <f t="shared" si="13"/>
        <v>0</v>
      </c>
      <c r="E852" s="44"/>
      <c r="F852" s="44"/>
      <c r="G852" s="44"/>
      <c r="I852" s="61">
        <f t="shared" si="14"/>
        <v>0</v>
      </c>
      <c r="J852" s="59">
        <f t="shared" si="15"/>
        <v>0</v>
      </c>
    </row>
    <row r="853" spans="4:10">
      <c r="D853" s="44">
        <f t="shared" si="13"/>
        <v>0</v>
      </c>
      <c r="E853" s="44"/>
      <c r="F853" s="44"/>
      <c r="G853" s="44"/>
      <c r="I853" s="61">
        <f t="shared" si="14"/>
        <v>0</v>
      </c>
      <c r="J853" s="59">
        <f t="shared" si="15"/>
        <v>0</v>
      </c>
    </row>
    <row r="854" spans="4:10">
      <c r="D854" s="44">
        <f t="shared" si="13"/>
        <v>0</v>
      </c>
      <c r="E854" s="44"/>
      <c r="F854" s="44"/>
      <c r="G854" s="44"/>
      <c r="I854" s="61">
        <f t="shared" si="14"/>
        <v>0</v>
      </c>
      <c r="J854" s="59">
        <f t="shared" si="15"/>
        <v>0</v>
      </c>
    </row>
    <row r="855" spans="4:10">
      <c r="D855" s="44">
        <f t="shared" si="13"/>
        <v>0</v>
      </c>
      <c r="E855" s="44"/>
      <c r="F855" s="44"/>
      <c r="G855" s="44"/>
      <c r="I855" s="61">
        <f t="shared" si="14"/>
        <v>0</v>
      </c>
      <c r="J855" s="59">
        <f t="shared" si="15"/>
        <v>0</v>
      </c>
    </row>
    <row r="856" spans="4:10">
      <c r="D856" s="44">
        <f t="shared" si="13"/>
        <v>0</v>
      </c>
      <c r="E856" s="44"/>
      <c r="F856" s="44"/>
      <c r="G856" s="44"/>
      <c r="I856" s="61">
        <f t="shared" si="14"/>
        <v>0</v>
      </c>
      <c r="J856" s="59">
        <f t="shared" si="15"/>
        <v>0</v>
      </c>
    </row>
    <row r="857" spans="4:10">
      <c r="D857" s="44">
        <f t="shared" si="13"/>
        <v>0</v>
      </c>
      <c r="E857" s="44"/>
      <c r="F857" s="44"/>
      <c r="G857" s="44"/>
      <c r="I857" s="61">
        <f t="shared" si="14"/>
        <v>0</v>
      </c>
      <c r="J857" s="59">
        <f t="shared" si="15"/>
        <v>0</v>
      </c>
    </row>
    <row r="858" spans="4:10">
      <c r="D858" s="44">
        <f t="shared" si="13"/>
        <v>0</v>
      </c>
      <c r="E858" s="44"/>
      <c r="F858" s="44"/>
      <c r="G858" s="44"/>
      <c r="I858" s="61">
        <f t="shared" si="14"/>
        <v>0</v>
      </c>
      <c r="J858" s="59">
        <f t="shared" si="15"/>
        <v>0</v>
      </c>
    </row>
    <row r="859" spans="4:10">
      <c r="D859" s="44">
        <f t="shared" si="13"/>
        <v>0</v>
      </c>
      <c r="E859" s="44"/>
      <c r="F859" s="44"/>
      <c r="G859" s="44"/>
      <c r="I859" s="61">
        <f t="shared" si="14"/>
        <v>0</v>
      </c>
      <c r="J859" s="59">
        <f t="shared" si="15"/>
        <v>0</v>
      </c>
    </row>
    <row r="860" spans="4:10">
      <c r="D860" s="44">
        <f t="shared" si="13"/>
        <v>0</v>
      </c>
      <c r="E860" s="44"/>
      <c r="F860" s="44"/>
      <c r="G860" s="44"/>
      <c r="I860" s="61">
        <f t="shared" si="14"/>
        <v>0</v>
      </c>
      <c r="J860" s="59">
        <f t="shared" si="15"/>
        <v>0</v>
      </c>
    </row>
    <row r="861" spans="4:10">
      <c r="D861" s="44">
        <f t="shared" si="13"/>
        <v>0</v>
      </c>
      <c r="E861" s="44"/>
      <c r="F861" s="44"/>
      <c r="G861" s="44"/>
      <c r="I861" s="61">
        <f t="shared" si="14"/>
        <v>0</v>
      </c>
      <c r="J861" s="59">
        <f t="shared" si="15"/>
        <v>0</v>
      </c>
    </row>
    <row r="862" spans="4:10">
      <c r="D862" s="44">
        <f t="shared" ref="D862:D925" si="16">C862-H862</f>
        <v>0</v>
      </c>
      <c r="E862" s="44"/>
      <c r="F862" s="44"/>
      <c r="G862" s="44"/>
      <c r="I862" s="61">
        <f t="shared" ref="I862:I925" si="17">H862*10%</f>
        <v>0</v>
      </c>
      <c r="J862" s="59">
        <f t="shared" ref="J862:J925" si="18">H862*90%</f>
        <v>0</v>
      </c>
    </row>
    <row r="863" spans="4:10">
      <c r="D863" s="44">
        <f t="shared" si="16"/>
        <v>0</v>
      </c>
      <c r="E863" s="44"/>
      <c r="F863" s="44"/>
      <c r="G863" s="44"/>
      <c r="I863" s="61">
        <f t="shared" si="17"/>
        <v>0</v>
      </c>
      <c r="J863" s="59">
        <f t="shared" si="18"/>
        <v>0</v>
      </c>
    </row>
    <row r="864" spans="4:10">
      <c r="D864" s="44">
        <f t="shared" si="16"/>
        <v>0</v>
      </c>
      <c r="E864" s="44"/>
      <c r="F864" s="44"/>
      <c r="G864" s="44"/>
      <c r="I864" s="61">
        <f t="shared" si="17"/>
        <v>0</v>
      </c>
      <c r="J864" s="59">
        <f t="shared" si="18"/>
        <v>0</v>
      </c>
    </row>
    <row r="865" spans="4:10">
      <c r="D865" s="44">
        <f t="shared" si="16"/>
        <v>0</v>
      </c>
      <c r="E865" s="44"/>
      <c r="F865" s="44"/>
      <c r="G865" s="44"/>
      <c r="I865" s="61">
        <f t="shared" si="17"/>
        <v>0</v>
      </c>
      <c r="J865" s="59">
        <f t="shared" si="18"/>
        <v>0</v>
      </c>
    </row>
    <row r="866" spans="4:10">
      <c r="D866" s="44">
        <f t="shared" si="16"/>
        <v>0</v>
      </c>
      <c r="E866" s="44"/>
      <c r="F866" s="44"/>
      <c r="G866" s="44"/>
      <c r="I866" s="61">
        <f t="shared" si="17"/>
        <v>0</v>
      </c>
      <c r="J866" s="59">
        <f t="shared" si="18"/>
        <v>0</v>
      </c>
    </row>
    <row r="867" spans="4:10">
      <c r="D867" s="44">
        <f t="shared" si="16"/>
        <v>0</v>
      </c>
      <c r="E867" s="44"/>
      <c r="F867" s="44"/>
      <c r="G867" s="44"/>
      <c r="I867" s="61">
        <f t="shared" si="17"/>
        <v>0</v>
      </c>
      <c r="J867" s="59">
        <f t="shared" si="18"/>
        <v>0</v>
      </c>
    </row>
    <row r="868" spans="4:10">
      <c r="D868" s="44">
        <f t="shared" si="16"/>
        <v>0</v>
      </c>
      <c r="E868" s="44"/>
      <c r="F868" s="44"/>
      <c r="G868" s="44"/>
      <c r="I868" s="61">
        <f t="shared" si="17"/>
        <v>0</v>
      </c>
      <c r="J868" s="59">
        <f t="shared" si="18"/>
        <v>0</v>
      </c>
    </row>
    <row r="869" spans="4:10">
      <c r="D869" s="44">
        <f t="shared" si="16"/>
        <v>0</v>
      </c>
      <c r="E869" s="44"/>
      <c r="F869" s="44"/>
      <c r="G869" s="44"/>
      <c r="I869" s="61">
        <f t="shared" si="17"/>
        <v>0</v>
      </c>
      <c r="J869" s="59">
        <f t="shared" si="18"/>
        <v>0</v>
      </c>
    </row>
    <row r="870" spans="4:10">
      <c r="D870" s="44">
        <f t="shared" si="16"/>
        <v>0</v>
      </c>
      <c r="E870" s="44"/>
      <c r="F870" s="44"/>
      <c r="G870" s="44"/>
      <c r="I870" s="61">
        <f t="shared" si="17"/>
        <v>0</v>
      </c>
      <c r="J870" s="59">
        <f t="shared" si="18"/>
        <v>0</v>
      </c>
    </row>
    <row r="871" spans="4:10">
      <c r="D871" s="44">
        <f t="shared" si="16"/>
        <v>0</v>
      </c>
      <c r="E871" s="44"/>
      <c r="F871" s="44"/>
      <c r="G871" s="44"/>
      <c r="I871" s="61">
        <f t="shared" si="17"/>
        <v>0</v>
      </c>
      <c r="J871" s="59">
        <f t="shared" si="18"/>
        <v>0</v>
      </c>
    </row>
    <row r="872" spans="4:10">
      <c r="D872" s="44">
        <f t="shared" si="16"/>
        <v>0</v>
      </c>
      <c r="E872" s="44"/>
      <c r="F872" s="44"/>
      <c r="G872" s="44"/>
      <c r="I872" s="61">
        <f t="shared" si="17"/>
        <v>0</v>
      </c>
      <c r="J872" s="59">
        <f t="shared" si="18"/>
        <v>0</v>
      </c>
    </row>
    <row r="873" spans="4:10">
      <c r="D873" s="44">
        <f t="shared" si="16"/>
        <v>0</v>
      </c>
      <c r="E873" s="44"/>
      <c r="F873" s="44"/>
      <c r="G873" s="44"/>
      <c r="I873" s="61">
        <f t="shared" si="17"/>
        <v>0</v>
      </c>
      <c r="J873" s="59">
        <f t="shared" si="18"/>
        <v>0</v>
      </c>
    </row>
    <row r="874" spans="4:10">
      <c r="D874" s="44">
        <f t="shared" si="16"/>
        <v>0</v>
      </c>
      <c r="E874" s="44"/>
      <c r="F874" s="44"/>
      <c r="G874" s="44"/>
      <c r="I874" s="61">
        <f t="shared" si="17"/>
        <v>0</v>
      </c>
      <c r="J874" s="59">
        <f t="shared" si="18"/>
        <v>0</v>
      </c>
    </row>
    <row r="875" spans="4:10">
      <c r="D875" s="44">
        <f t="shared" si="16"/>
        <v>0</v>
      </c>
      <c r="E875" s="44"/>
      <c r="F875" s="44"/>
      <c r="G875" s="44"/>
      <c r="I875" s="61">
        <f t="shared" si="17"/>
        <v>0</v>
      </c>
      <c r="J875" s="59">
        <f t="shared" si="18"/>
        <v>0</v>
      </c>
    </row>
    <row r="876" spans="4:10">
      <c r="D876" s="44">
        <f t="shared" si="16"/>
        <v>0</v>
      </c>
      <c r="E876" s="44"/>
      <c r="F876" s="44"/>
      <c r="G876" s="44"/>
      <c r="I876" s="61">
        <f t="shared" si="17"/>
        <v>0</v>
      </c>
      <c r="J876" s="59">
        <f t="shared" si="18"/>
        <v>0</v>
      </c>
    </row>
    <row r="877" spans="4:10">
      <c r="D877" s="44">
        <f t="shared" si="16"/>
        <v>0</v>
      </c>
      <c r="E877" s="44"/>
      <c r="F877" s="44"/>
      <c r="G877" s="44"/>
      <c r="I877" s="61">
        <f t="shared" si="17"/>
        <v>0</v>
      </c>
      <c r="J877" s="59">
        <f t="shared" si="18"/>
        <v>0</v>
      </c>
    </row>
    <row r="878" spans="4:10">
      <c r="D878" s="44">
        <f t="shared" si="16"/>
        <v>0</v>
      </c>
      <c r="E878" s="44"/>
      <c r="F878" s="44"/>
      <c r="G878" s="44"/>
      <c r="I878" s="61">
        <f t="shared" si="17"/>
        <v>0</v>
      </c>
      <c r="J878" s="59">
        <f t="shared" si="18"/>
        <v>0</v>
      </c>
    </row>
    <row r="879" spans="4:10">
      <c r="D879" s="44">
        <f t="shared" si="16"/>
        <v>0</v>
      </c>
      <c r="E879" s="44"/>
      <c r="F879" s="44"/>
      <c r="G879" s="44"/>
      <c r="I879" s="61">
        <f t="shared" si="17"/>
        <v>0</v>
      </c>
      <c r="J879" s="59">
        <f t="shared" si="18"/>
        <v>0</v>
      </c>
    </row>
    <row r="880" spans="4:10">
      <c r="D880" s="44">
        <f t="shared" si="16"/>
        <v>0</v>
      </c>
      <c r="E880" s="44"/>
      <c r="F880" s="44"/>
      <c r="G880" s="44"/>
      <c r="I880" s="61">
        <f t="shared" si="17"/>
        <v>0</v>
      </c>
      <c r="J880" s="59">
        <f t="shared" si="18"/>
        <v>0</v>
      </c>
    </row>
    <row r="881" spans="4:10">
      <c r="D881" s="44">
        <f t="shared" si="16"/>
        <v>0</v>
      </c>
      <c r="E881" s="44"/>
      <c r="F881" s="44"/>
      <c r="G881" s="44"/>
      <c r="I881" s="61">
        <f t="shared" si="17"/>
        <v>0</v>
      </c>
      <c r="J881" s="59">
        <f t="shared" si="18"/>
        <v>0</v>
      </c>
    </row>
    <row r="882" spans="4:10">
      <c r="D882" s="44">
        <f t="shared" si="16"/>
        <v>0</v>
      </c>
      <c r="E882" s="44"/>
      <c r="F882" s="44"/>
      <c r="G882" s="44"/>
      <c r="I882" s="61">
        <f t="shared" si="17"/>
        <v>0</v>
      </c>
      <c r="J882" s="59">
        <f t="shared" si="18"/>
        <v>0</v>
      </c>
    </row>
    <row r="883" spans="4:10">
      <c r="D883" s="44">
        <f t="shared" si="16"/>
        <v>0</v>
      </c>
      <c r="E883" s="44"/>
      <c r="F883" s="44"/>
      <c r="G883" s="44"/>
      <c r="I883" s="61">
        <f t="shared" si="17"/>
        <v>0</v>
      </c>
      <c r="J883" s="59">
        <f t="shared" si="18"/>
        <v>0</v>
      </c>
    </row>
    <row r="884" spans="4:10">
      <c r="D884" s="44">
        <f t="shared" si="16"/>
        <v>0</v>
      </c>
      <c r="E884" s="44"/>
      <c r="F884" s="44"/>
      <c r="G884" s="44"/>
      <c r="I884" s="61">
        <f t="shared" si="17"/>
        <v>0</v>
      </c>
      <c r="J884" s="59">
        <f t="shared" si="18"/>
        <v>0</v>
      </c>
    </row>
    <row r="885" spans="4:10">
      <c r="D885" s="44">
        <f t="shared" si="16"/>
        <v>0</v>
      </c>
      <c r="E885" s="44"/>
      <c r="F885" s="44"/>
      <c r="G885" s="44"/>
      <c r="I885" s="61">
        <f t="shared" si="17"/>
        <v>0</v>
      </c>
      <c r="J885" s="59">
        <f t="shared" si="18"/>
        <v>0</v>
      </c>
    </row>
    <row r="886" spans="4:10">
      <c r="D886" s="44">
        <f t="shared" si="16"/>
        <v>0</v>
      </c>
      <c r="E886" s="44"/>
      <c r="F886" s="44"/>
      <c r="G886" s="44"/>
      <c r="I886" s="61">
        <f t="shared" si="17"/>
        <v>0</v>
      </c>
      <c r="J886" s="59">
        <f t="shared" si="18"/>
        <v>0</v>
      </c>
    </row>
    <row r="887" spans="4:10">
      <c r="D887" s="44">
        <f t="shared" si="16"/>
        <v>0</v>
      </c>
      <c r="E887" s="44"/>
      <c r="F887" s="44"/>
      <c r="G887" s="44"/>
      <c r="I887" s="61">
        <f t="shared" si="17"/>
        <v>0</v>
      </c>
      <c r="J887" s="59">
        <f t="shared" si="18"/>
        <v>0</v>
      </c>
    </row>
    <row r="888" spans="4:10">
      <c r="D888" s="44">
        <f t="shared" si="16"/>
        <v>0</v>
      </c>
      <c r="E888" s="44"/>
      <c r="F888" s="44"/>
      <c r="G888" s="44"/>
      <c r="I888" s="61">
        <f t="shared" si="17"/>
        <v>0</v>
      </c>
      <c r="J888" s="59">
        <f t="shared" si="18"/>
        <v>0</v>
      </c>
    </row>
    <row r="889" spans="4:10">
      <c r="D889" s="44">
        <f t="shared" si="16"/>
        <v>0</v>
      </c>
      <c r="E889" s="44"/>
      <c r="F889" s="44"/>
      <c r="G889" s="44"/>
      <c r="I889" s="61">
        <f t="shared" si="17"/>
        <v>0</v>
      </c>
      <c r="J889" s="59">
        <f t="shared" si="18"/>
        <v>0</v>
      </c>
    </row>
    <row r="890" spans="4:10">
      <c r="D890" s="44">
        <f t="shared" si="16"/>
        <v>0</v>
      </c>
      <c r="E890" s="44"/>
      <c r="F890" s="44"/>
      <c r="G890" s="44"/>
      <c r="I890" s="61">
        <f t="shared" si="17"/>
        <v>0</v>
      </c>
      <c r="J890" s="59">
        <f t="shared" si="18"/>
        <v>0</v>
      </c>
    </row>
    <row r="891" spans="4:10">
      <c r="D891" s="44">
        <f t="shared" si="16"/>
        <v>0</v>
      </c>
      <c r="E891" s="44"/>
      <c r="F891" s="44"/>
      <c r="G891" s="44"/>
      <c r="I891" s="61">
        <f t="shared" si="17"/>
        <v>0</v>
      </c>
      <c r="J891" s="59">
        <f t="shared" si="18"/>
        <v>0</v>
      </c>
    </row>
    <row r="892" spans="4:10">
      <c r="D892" s="44">
        <f t="shared" si="16"/>
        <v>0</v>
      </c>
      <c r="E892" s="44"/>
      <c r="F892" s="44"/>
      <c r="G892" s="44"/>
      <c r="I892" s="61">
        <f t="shared" si="17"/>
        <v>0</v>
      </c>
      <c r="J892" s="59">
        <f t="shared" si="18"/>
        <v>0</v>
      </c>
    </row>
    <row r="893" spans="4:10">
      <c r="D893" s="44">
        <f t="shared" si="16"/>
        <v>0</v>
      </c>
      <c r="E893" s="44"/>
      <c r="F893" s="44"/>
      <c r="G893" s="44"/>
      <c r="I893" s="61">
        <f t="shared" si="17"/>
        <v>0</v>
      </c>
      <c r="J893" s="59">
        <f t="shared" si="18"/>
        <v>0</v>
      </c>
    </row>
    <row r="894" spans="4:10">
      <c r="D894" s="44">
        <f t="shared" si="16"/>
        <v>0</v>
      </c>
      <c r="E894" s="44"/>
      <c r="F894" s="44"/>
      <c r="G894" s="44"/>
      <c r="I894" s="61">
        <f t="shared" si="17"/>
        <v>0</v>
      </c>
      <c r="J894" s="59">
        <f t="shared" si="18"/>
        <v>0</v>
      </c>
    </row>
    <row r="895" spans="4:10">
      <c r="D895" s="44">
        <f t="shared" si="16"/>
        <v>0</v>
      </c>
      <c r="E895" s="44"/>
      <c r="F895" s="44"/>
      <c r="G895" s="44"/>
      <c r="I895" s="61">
        <f t="shared" si="17"/>
        <v>0</v>
      </c>
      <c r="J895" s="59">
        <f t="shared" si="18"/>
        <v>0</v>
      </c>
    </row>
    <row r="896" spans="4:10">
      <c r="D896" s="44">
        <f t="shared" si="16"/>
        <v>0</v>
      </c>
      <c r="E896" s="44"/>
      <c r="F896" s="44"/>
      <c r="G896" s="44"/>
      <c r="I896" s="61">
        <f t="shared" si="17"/>
        <v>0</v>
      </c>
      <c r="J896" s="59">
        <f t="shared" si="18"/>
        <v>0</v>
      </c>
    </row>
    <row r="897" spans="4:10">
      <c r="D897" s="44">
        <f t="shared" si="16"/>
        <v>0</v>
      </c>
      <c r="E897" s="44"/>
      <c r="F897" s="44"/>
      <c r="G897" s="44"/>
      <c r="I897" s="61">
        <f t="shared" si="17"/>
        <v>0</v>
      </c>
      <c r="J897" s="59">
        <f t="shared" si="18"/>
        <v>0</v>
      </c>
    </row>
    <row r="898" spans="4:10">
      <c r="D898" s="44">
        <f t="shared" si="16"/>
        <v>0</v>
      </c>
      <c r="E898" s="44"/>
      <c r="F898" s="44"/>
      <c r="G898" s="44"/>
      <c r="I898" s="61">
        <f t="shared" si="17"/>
        <v>0</v>
      </c>
      <c r="J898" s="59">
        <f t="shared" si="18"/>
        <v>0</v>
      </c>
    </row>
    <row r="899" spans="4:10">
      <c r="D899" s="44">
        <f t="shared" si="16"/>
        <v>0</v>
      </c>
      <c r="E899" s="44"/>
      <c r="F899" s="44"/>
      <c r="G899" s="44"/>
      <c r="I899" s="61">
        <f t="shared" si="17"/>
        <v>0</v>
      </c>
      <c r="J899" s="59">
        <f t="shared" si="18"/>
        <v>0</v>
      </c>
    </row>
    <row r="900" spans="4:10">
      <c r="D900" s="44">
        <f t="shared" si="16"/>
        <v>0</v>
      </c>
      <c r="E900" s="44"/>
      <c r="F900" s="44"/>
      <c r="G900" s="44"/>
      <c r="I900" s="61">
        <f t="shared" si="17"/>
        <v>0</v>
      </c>
      <c r="J900" s="59">
        <f t="shared" si="18"/>
        <v>0</v>
      </c>
    </row>
    <row r="901" spans="4:10">
      <c r="D901" s="44">
        <f t="shared" si="16"/>
        <v>0</v>
      </c>
      <c r="E901" s="44"/>
      <c r="F901" s="44"/>
      <c r="G901" s="44"/>
      <c r="I901" s="61">
        <f t="shared" si="17"/>
        <v>0</v>
      </c>
      <c r="J901" s="59">
        <f t="shared" si="18"/>
        <v>0</v>
      </c>
    </row>
    <row r="902" spans="4:10">
      <c r="D902" s="44">
        <f t="shared" si="16"/>
        <v>0</v>
      </c>
      <c r="E902" s="44"/>
      <c r="F902" s="44"/>
      <c r="G902" s="44"/>
      <c r="I902" s="61">
        <f t="shared" si="17"/>
        <v>0</v>
      </c>
      <c r="J902" s="59">
        <f t="shared" si="18"/>
        <v>0</v>
      </c>
    </row>
    <row r="903" spans="4:10">
      <c r="D903" s="44">
        <f t="shared" si="16"/>
        <v>0</v>
      </c>
      <c r="E903" s="44"/>
      <c r="F903" s="44"/>
      <c r="G903" s="44"/>
      <c r="I903" s="61">
        <f t="shared" si="17"/>
        <v>0</v>
      </c>
      <c r="J903" s="59">
        <f t="shared" si="18"/>
        <v>0</v>
      </c>
    </row>
    <row r="904" spans="4:10">
      <c r="D904" s="44">
        <f t="shared" si="16"/>
        <v>0</v>
      </c>
      <c r="E904" s="44"/>
      <c r="F904" s="44"/>
      <c r="G904" s="44"/>
      <c r="I904" s="61">
        <f t="shared" si="17"/>
        <v>0</v>
      </c>
      <c r="J904" s="59">
        <f t="shared" si="18"/>
        <v>0</v>
      </c>
    </row>
    <row r="905" spans="4:10">
      <c r="D905" s="44">
        <f t="shared" si="16"/>
        <v>0</v>
      </c>
      <c r="E905" s="44"/>
      <c r="F905" s="44"/>
      <c r="G905" s="44"/>
      <c r="I905" s="61">
        <f t="shared" si="17"/>
        <v>0</v>
      </c>
      <c r="J905" s="59">
        <f t="shared" si="18"/>
        <v>0</v>
      </c>
    </row>
    <row r="906" spans="4:10">
      <c r="D906" s="44">
        <f t="shared" si="16"/>
        <v>0</v>
      </c>
      <c r="E906" s="44"/>
      <c r="F906" s="44"/>
      <c r="G906" s="44"/>
      <c r="I906" s="61">
        <f t="shared" si="17"/>
        <v>0</v>
      </c>
      <c r="J906" s="59">
        <f t="shared" si="18"/>
        <v>0</v>
      </c>
    </row>
    <row r="907" spans="4:10">
      <c r="D907" s="44">
        <f t="shared" si="16"/>
        <v>0</v>
      </c>
      <c r="E907" s="44"/>
      <c r="F907" s="44"/>
      <c r="G907" s="44"/>
      <c r="I907" s="61">
        <f t="shared" si="17"/>
        <v>0</v>
      </c>
      <c r="J907" s="59">
        <f t="shared" si="18"/>
        <v>0</v>
      </c>
    </row>
    <row r="908" spans="4:10">
      <c r="D908" s="44">
        <f t="shared" si="16"/>
        <v>0</v>
      </c>
      <c r="E908" s="44"/>
      <c r="F908" s="44"/>
      <c r="G908" s="44"/>
      <c r="I908" s="61">
        <f t="shared" si="17"/>
        <v>0</v>
      </c>
      <c r="J908" s="59">
        <f t="shared" si="18"/>
        <v>0</v>
      </c>
    </row>
    <row r="909" spans="4:10">
      <c r="D909" s="44">
        <f t="shared" si="16"/>
        <v>0</v>
      </c>
      <c r="E909" s="44"/>
      <c r="F909" s="44"/>
      <c r="G909" s="44"/>
      <c r="I909" s="61">
        <f t="shared" si="17"/>
        <v>0</v>
      </c>
      <c r="J909" s="59">
        <f t="shared" si="18"/>
        <v>0</v>
      </c>
    </row>
    <row r="910" spans="4:10">
      <c r="D910" s="44">
        <f t="shared" si="16"/>
        <v>0</v>
      </c>
      <c r="E910" s="44"/>
      <c r="F910" s="44"/>
      <c r="G910" s="44"/>
      <c r="I910" s="61">
        <f t="shared" si="17"/>
        <v>0</v>
      </c>
      <c r="J910" s="59">
        <f t="shared" si="18"/>
        <v>0</v>
      </c>
    </row>
    <row r="911" spans="4:10">
      <c r="D911" s="44">
        <f t="shared" si="16"/>
        <v>0</v>
      </c>
      <c r="E911" s="44"/>
      <c r="F911" s="44"/>
      <c r="G911" s="44"/>
      <c r="I911" s="61">
        <f t="shared" si="17"/>
        <v>0</v>
      </c>
      <c r="J911" s="59">
        <f t="shared" si="18"/>
        <v>0</v>
      </c>
    </row>
    <row r="912" spans="4:10">
      <c r="D912" s="44">
        <f t="shared" si="16"/>
        <v>0</v>
      </c>
      <c r="E912" s="44"/>
      <c r="F912" s="44"/>
      <c r="G912" s="44"/>
      <c r="I912" s="61">
        <f t="shared" si="17"/>
        <v>0</v>
      </c>
      <c r="J912" s="59">
        <f t="shared" si="18"/>
        <v>0</v>
      </c>
    </row>
    <row r="913" spans="4:10">
      <c r="D913" s="44">
        <f t="shared" si="16"/>
        <v>0</v>
      </c>
      <c r="E913" s="44"/>
      <c r="F913" s="44"/>
      <c r="G913" s="44"/>
      <c r="I913" s="61">
        <f t="shared" si="17"/>
        <v>0</v>
      </c>
      <c r="J913" s="59">
        <f t="shared" si="18"/>
        <v>0</v>
      </c>
    </row>
    <row r="914" spans="4:10">
      <c r="D914" s="44">
        <f t="shared" si="16"/>
        <v>0</v>
      </c>
      <c r="E914" s="44"/>
      <c r="F914" s="44"/>
      <c r="G914" s="44"/>
      <c r="I914" s="61">
        <f t="shared" si="17"/>
        <v>0</v>
      </c>
      <c r="J914" s="59">
        <f t="shared" si="18"/>
        <v>0</v>
      </c>
    </row>
    <row r="915" spans="4:10">
      <c r="D915" s="44">
        <f t="shared" si="16"/>
        <v>0</v>
      </c>
      <c r="E915" s="44"/>
      <c r="F915" s="44"/>
      <c r="G915" s="44"/>
      <c r="I915" s="61">
        <f t="shared" si="17"/>
        <v>0</v>
      </c>
      <c r="J915" s="59">
        <f t="shared" si="18"/>
        <v>0</v>
      </c>
    </row>
    <row r="916" spans="4:10">
      <c r="D916" s="44">
        <f t="shared" si="16"/>
        <v>0</v>
      </c>
      <c r="E916" s="44"/>
      <c r="F916" s="44"/>
      <c r="G916" s="44"/>
      <c r="I916" s="61">
        <f t="shared" si="17"/>
        <v>0</v>
      </c>
      <c r="J916" s="59">
        <f t="shared" si="18"/>
        <v>0</v>
      </c>
    </row>
    <row r="917" spans="4:10">
      <c r="D917" s="44">
        <f t="shared" si="16"/>
        <v>0</v>
      </c>
      <c r="E917" s="44"/>
      <c r="F917" s="44"/>
      <c r="G917" s="44"/>
      <c r="I917" s="61">
        <f t="shared" si="17"/>
        <v>0</v>
      </c>
      <c r="J917" s="59">
        <f t="shared" si="18"/>
        <v>0</v>
      </c>
    </row>
    <row r="918" spans="4:10">
      <c r="D918" s="44">
        <f t="shared" si="16"/>
        <v>0</v>
      </c>
      <c r="E918" s="44"/>
      <c r="F918" s="44"/>
      <c r="G918" s="44"/>
      <c r="I918" s="61">
        <f t="shared" si="17"/>
        <v>0</v>
      </c>
      <c r="J918" s="59">
        <f t="shared" si="18"/>
        <v>0</v>
      </c>
    </row>
    <row r="919" spans="4:10">
      <c r="D919" s="44">
        <f t="shared" si="16"/>
        <v>0</v>
      </c>
      <c r="E919" s="44"/>
      <c r="F919" s="44"/>
      <c r="G919" s="44"/>
      <c r="I919" s="61">
        <f t="shared" si="17"/>
        <v>0</v>
      </c>
      <c r="J919" s="59">
        <f t="shared" si="18"/>
        <v>0</v>
      </c>
    </row>
    <row r="920" spans="4:10">
      <c r="D920" s="44">
        <f t="shared" si="16"/>
        <v>0</v>
      </c>
      <c r="E920" s="44"/>
      <c r="F920" s="44"/>
      <c r="G920" s="44"/>
      <c r="I920" s="61">
        <f t="shared" si="17"/>
        <v>0</v>
      </c>
      <c r="J920" s="59">
        <f t="shared" si="18"/>
        <v>0</v>
      </c>
    </row>
    <row r="921" spans="4:10">
      <c r="D921" s="44">
        <f t="shared" si="16"/>
        <v>0</v>
      </c>
      <c r="E921" s="44"/>
      <c r="F921" s="44"/>
      <c r="G921" s="44"/>
      <c r="I921" s="61">
        <f t="shared" si="17"/>
        <v>0</v>
      </c>
      <c r="J921" s="59">
        <f t="shared" si="18"/>
        <v>0</v>
      </c>
    </row>
    <row r="922" spans="4:10">
      <c r="D922" s="44">
        <f t="shared" si="16"/>
        <v>0</v>
      </c>
      <c r="E922" s="44"/>
      <c r="F922" s="44"/>
      <c r="G922" s="44"/>
      <c r="I922" s="61">
        <f t="shared" si="17"/>
        <v>0</v>
      </c>
      <c r="J922" s="59">
        <f t="shared" si="18"/>
        <v>0</v>
      </c>
    </row>
    <row r="923" spans="4:10">
      <c r="D923" s="44">
        <f t="shared" si="16"/>
        <v>0</v>
      </c>
      <c r="E923" s="44"/>
      <c r="F923" s="44"/>
      <c r="G923" s="44"/>
      <c r="I923" s="61">
        <f t="shared" si="17"/>
        <v>0</v>
      </c>
      <c r="J923" s="59">
        <f t="shared" si="18"/>
        <v>0</v>
      </c>
    </row>
    <row r="924" spans="4:10">
      <c r="D924" s="44">
        <f t="shared" si="16"/>
        <v>0</v>
      </c>
      <c r="E924" s="44"/>
      <c r="F924" s="44"/>
      <c r="G924" s="44"/>
      <c r="I924" s="61">
        <f t="shared" si="17"/>
        <v>0</v>
      </c>
      <c r="J924" s="59">
        <f t="shared" si="18"/>
        <v>0</v>
      </c>
    </row>
    <row r="925" spans="4:10">
      <c r="D925" s="44">
        <f t="shared" si="16"/>
        <v>0</v>
      </c>
      <c r="E925" s="44"/>
      <c r="F925" s="44"/>
      <c r="G925" s="44"/>
      <c r="I925" s="61">
        <f t="shared" si="17"/>
        <v>0</v>
      </c>
      <c r="J925" s="59">
        <f t="shared" si="18"/>
        <v>0</v>
      </c>
    </row>
    <row r="926" spans="4:10">
      <c r="D926" s="44">
        <f t="shared" ref="D926:D960" si="19">C926-H926</f>
        <v>0</v>
      </c>
      <c r="E926" s="44"/>
      <c r="F926" s="44"/>
      <c r="G926" s="44"/>
      <c r="I926" s="61">
        <f t="shared" ref="I926:I961" si="20">H926*10%</f>
        <v>0</v>
      </c>
      <c r="J926" s="59">
        <f t="shared" ref="J926:J961" si="21">H926*90%</f>
        <v>0</v>
      </c>
    </row>
    <row r="927" spans="4:10">
      <c r="D927" s="44">
        <f t="shared" si="19"/>
        <v>0</v>
      </c>
      <c r="E927" s="44"/>
      <c r="F927" s="44"/>
      <c r="G927" s="44"/>
      <c r="I927" s="61">
        <f t="shared" si="20"/>
        <v>0</v>
      </c>
      <c r="J927" s="59">
        <f t="shared" si="21"/>
        <v>0</v>
      </c>
    </row>
    <row r="928" spans="4:10">
      <c r="D928" s="44">
        <f t="shared" si="19"/>
        <v>0</v>
      </c>
      <c r="E928" s="44"/>
      <c r="F928" s="44"/>
      <c r="G928" s="44"/>
      <c r="I928" s="61">
        <f t="shared" si="20"/>
        <v>0</v>
      </c>
      <c r="J928" s="59">
        <f t="shared" si="21"/>
        <v>0</v>
      </c>
    </row>
    <row r="929" spans="4:10">
      <c r="D929" s="44">
        <f t="shared" si="19"/>
        <v>0</v>
      </c>
      <c r="E929" s="44"/>
      <c r="F929" s="44"/>
      <c r="G929" s="44"/>
      <c r="I929" s="61">
        <f t="shared" si="20"/>
        <v>0</v>
      </c>
      <c r="J929" s="59">
        <f t="shared" si="21"/>
        <v>0</v>
      </c>
    </row>
    <row r="930" spans="4:10">
      <c r="D930" s="44">
        <f t="shared" si="19"/>
        <v>0</v>
      </c>
      <c r="E930" s="44"/>
      <c r="F930" s="44"/>
      <c r="G930" s="44"/>
      <c r="I930" s="61">
        <f t="shared" si="20"/>
        <v>0</v>
      </c>
      <c r="J930" s="59">
        <f t="shared" si="21"/>
        <v>0</v>
      </c>
    </row>
    <row r="931" spans="4:10">
      <c r="D931" s="44">
        <f t="shared" si="19"/>
        <v>0</v>
      </c>
      <c r="E931" s="44"/>
      <c r="F931" s="44"/>
      <c r="G931" s="44"/>
      <c r="I931" s="61">
        <f t="shared" si="20"/>
        <v>0</v>
      </c>
      <c r="J931" s="59">
        <f t="shared" si="21"/>
        <v>0</v>
      </c>
    </row>
    <row r="932" spans="4:10">
      <c r="D932" s="44">
        <f t="shared" si="19"/>
        <v>0</v>
      </c>
      <c r="E932" s="44"/>
      <c r="F932" s="44"/>
      <c r="G932" s="44"/>
      <c r="I932" s="61">
        <f t="shared" si="20"/>
        <v>0</v>
      </c>
      <c r="J932" s="59">
        <f t="shared" si="21"/>
        <v>0</v>
      </c>
    </row>
    <row r="933" spans="4:10">
      <c r="D933" s="44">
        <f t="shared" si="19"/>
        <v>0</v>
      </c>
      <c r="E933" s="44"/>
      <c r="F933" s="44"/>
      <c r="G933" s="44"/>
      <c r="I933" s="61">
        <f t="shared" si="20"/>
        <v>0</v>
      </c>
      <c r="J933" s="59">
        <f t="shared" si="21"/>
        <v>0</v>
      </c>
    </row>
    <row r="934" spans="4:10">
      <c r="D934" s="44">
        <f t="shared" si="19"/>
        <v>0</v>
      </c>
      <c r="E934" s="44"/>
      <c r="F934" s="44"/>
      <c r="G934" s="44"/>
      <c r="I934" s="61">
        <f t="shared" si="20"/>
        <v>0</v>
      </c>
      <c r="J934" s="59">
        <f t="shared" si="21"/>
        <v>0</v>
      </c>
    </row>
    <row r="935" spans="4:10">
      <c r="D935" s="44">
        <f t="shared" si="19"/>
        <v>0</v>
      </c>
      <c r="E935" s="44"/>
      <c r="F935" s="44"/>
      <c r="G935" s="44"/>
      <c r="I935" s="61">
        <f t="shared" si="20"/>
        <v>0</v>
      </c>
      <c r="J935" s="59">
        <f t="shared" si="21"/>
        <v>0</v>
      </c>
    </row>
    <row r="936" spans="4:10">
      <c r="D936" s="44">
        <f t="shared" si="19"/>
        <v>0</v>
      </c>
      <c r="E936" s="44"/>
      <c r="F936" s="44"/>
      <c r="G936" s="44"/>
      <c r="I936" s="61">
        <f t="shared" si="20"/>
        <v>0</v>
      </c>
      <c r="J936" s="59">
        <f t="shared" si="21"/>
        <v>0</v>
      </c>
    </row>
    <row r="937" spans="4:10">
      <c r="D937" s="44">
        <f t="shared" si="19"/>
        <v>0</v>
      </c>
      <c r="E937" s="44"/>
      <c r="F937" s="44"/>
      <c r="G937" s="44"/>
      <c r="I937" s="61">
        <f t="shared" si="20"/>
        <v>0</v>
      </c>
      <c r="J937" s="59">
        <f t="shared" si="21"/>
        <v>0</v>
      </c>
    </row>
    <row r="938" spans="4:10">
      <c r="D938" s="44">
        <f t="shared" si="19"/>
        <v>0</v>
      </c>
      <c r="E938" s="44"/>
      <c r="F938" s="44"/>
      <c r="G938" s="44"/>
      <c r="I938" s="61">
        <f t="shared" si="20"/>
        <v>0</v>
      </c>
      <c r="J938" s="59">
        <f t="shared" si="21"/>
        <v>0</v>
      </c>
    </row>
    <row r="939" spans="4:10">
      <c r="D939" s="44">
        <f t="shared" si="19"/>
        <v>0</v>
      </c>
      <c r="E939" s="44"/>
      <c r="F939" s="44"/>
      <c r="G939" s="44"/>
      <c r="I939" s="61">
        <f t="shared" si="20"/>
        <v>0</v>
      </c>
      <c r="J939" s="59">
        <f t="shared" si="21"/>
        <v>0</v>
      </c>
    </row>
    <row r="940" spans="4:10">
      <c r="D940" s="44">
        <f t="shared" si="19"/>
        <v>0</v>
      </c>
      <c r="E940" s="44"/>
      <c r="F940" s="44"/>
      <c r="G940" s="44"/>
      <c r="I940" s="61">
        <f t="shared" si="20"/>
        <v>0</v>
      </c>
      <c r="J940" s="59">
        <f t="shared" si="21"/>
        <v>0</v>
      </c>
    </row>
    <row r="941" spans="4:10">
      <c r="D941" s="44">
        <f t="shared" si="19"/>
        <v>0</v>
      </c>
      <c r="E941" s="44"/>
      <c r="F941" s="44"/>
      <c r="G941" s="44"/>
      <c r="I941" s="61">
        <f t="shared" si="20"/>
        <v>0</v>
      </c>
      <c r="J941" s="59">
        <f t="shared" si="21"/>
        <v>0</v>
      </c>
    </row>
    <row r="942" spans="4:10">
      <c r="D942" s="44">
        <f t="shared" si="19"/>
        <v>0</v>
      </c>
      <c r="E942" s="44"/>
      <c r="F942" s="44"/>
      <c r="G942" s="44"/>
      <c r="I942" s="61">
        <f t="shared" si="20"/>
        <v>0</v>
      </c>
      <c r="J942" s="59">
        <f t="shared" si="21"/>
        <v>0</v>
      </c>
    </row>
    <row r="943" spans="4:10">
      <c r="D943" s="44">
        <f t="shared" si="19"/>
        <v>0</v>
      </c>
      <c r="E943" s="44"/>
      <c r="F943" s="44"/>
      <c r="G943" s="44"/>
      <c r="I943" s="61">
        <f t="shared" si="20"/>
        <v>0</v>
      </c>
      <c r="J943" s="59">
        <f t="shared" si="21"/>
        <v>0</v>
      </c>
    </row>
    <row r="944" spans="4:10">
      <c r="D944" s="44">
        <f t="shared" si="19"/>
        <v>0</v>
      </c>
      <c r="E944" s="44"/>
      <c r="F944" s="44"/>
      <c r="G944" s="44"/>
      <c r="I944" s="61">
        <f t="shared" si="20"/>
        <v>0</v>
      </c>
      <c r="J944" s="59">
        <f t="shared" si="21"/>
        <v>0</v>
      </c>
    </row>
    <row r="945" spans="4:10">
      <c r="D945" s="44">
        <f t="shared" si="19"/>
        <v>0</v>
      </c>
      <c r="E945" s="44"/>
      <c r="F945" s="44"/>
      <c r="G945" s="44"/>
      <c r="I945" s="61">
        <f t="shared" si="20"/>
        <v>0</v>
      </c>
      <c r="J945" s="59">
        <f t="shared" si="21"/>
        <v>0</v>
      </c>
    </row>
    <row r="946" spans="4:10">
      <c r="D946" s="44">
        <f t="shared" si="19"/>
        <v>0</v>
      </c>
      <c r="E946" s="44"/>
      <c r="F946" s="44"/>
      <c r="G946" s="44"/>
      <c r="I946" s="61">
        <f t="shared" si="20"/>
        <v>0</v>
      </c>
      <c r="J946" s="59">
        <f t="shared" si="21"/>
        <v>0</v>
      </c>
    </row>
    <row r="947" spans="4:10">
      <c r="D947" s="44">
        <f t="shared" si="19"/>
        <v>0</v>
      </c>
      <c r="E947" s="44"/>
      <c r="F947" s="44"/>
      <c r="G947" s="44"/>
      <c r="I947" s="61">
        <f t="shared" si="20"/>
        <v>0</v>
      </c>
      <c r="J947" s="59">
        <f t="shared" si="21"/>
        <v>0</v>
      </c>
    </row>
    <row r="948" spans="4:10">
      <c r="D948" s="44">
        <f t="shared" si="19"/>
        <v>0</v>
      </c>
      <c r="E948" s="44"/>
      <c r="F948" s="44"/>
      <c r="G948" s="44"/>
      <c r="I948" s="61">
        <f t="shared" si="20"/>
        <v>0</v>
      </c>
      <c r="J948" s="59">
        <f t="shared" si="21"/>
        <v>0</v>
      </c>
    </row>
    <row r="949" spans="4:10">
      <c r="D949" s="44">
        <f t="shared" si="19"/>
        <v>0</v>
      </c>
      <c r="E949" s="44"/>
      <c r="F949" s="44"/>
      <c r="G949" s="44"/>
      <c r="I949" s="61">
        <f t="shared" si="20"/>
        <v>0</v>
      </c>
      <c r="J949" s="59">
        <f t="shared" si="21"/>
        <v>0</v>
      </c>
    </row>
    <row r="950" spans="4:10">
      <c r="D950" s="44">
        <f t="shared" si="19"/>
        <v>0</v>
      </c>
      <c r="E950" s="44"/>
      <c r="F950" s="44"/>
      <c r="G950" s="44"/>
      <c r="I950" s="61">
        <f t="shared" si="20"/>
        <v>0</v>
      </c>
      <c r="J950" s="59">
        <f t="shared" si="21"/>
        <v>0</v>
      </c>
    </row>
    <row r="951" spans="4:10">
      <c r="D951" s="44">
        <f t="shared" si="19"/>
        <v>0</v>
      </c>
      <c r="E951" s="44"/>
      <c r="F951" s="44"/>
      <c r="G951" s="44"/>
      <c r="I951" s="61">
        <f t="shared" si="20"/>
        <v>0</v>
      </c>
      <c r="J951" s="59">
        <f t="shared" si="21"/>
        <v>0</v>
      </c>
    </row>
    <row r="952" spans="4:10">
      <c r="D952" s="44">
        <f t="shared" si="19"/>
        <v>0</v>
      </c>
      <c r="E952" s="44"/>
      <c r="F952" s="44"/>
      <c r="G952" s="44"/>
      <c r="I952" s="61">
        <f t="shared" si="20"/>
        <v>0</v>
      </c>
      <c r="J952" s="59">
        <f t="shared" si="21"/>
        <v>0</v>
      </c>
    </row>
    <row r="953" spans="4:10">
      <c r="D953" s="44">
        <f t="shared" si="19"/>
        <v>0</v>
      </c>
      <c r="E953" s="44"/>
      <c r="F953" s="44"/>
      <c r="G953" s="44"/>
      <c r="I953" s="61">
        <f t="shared" si="20"/>
        <v>0</v>
      </c>
      <c r="J953" s="59">
        <f t="shared" si="21"/>
        <v>0</v>
      </c>
    </row>
    <row r="954" spans="4:10">
      <c r="D954" s="44">
        <f t="shared" si="19"/>
        <v>0</v>
      </c>
      <c r="E954" s="44"/>
      <c r="F954" s="44"/>
      <c r="G954" s="44"/>
      <c r="I954" s="61">
        <f t="shared" si="20"/>
        <v>0</v>
      </c>
      <c r="J954" s="59">
        <f t="shared" si="21"/>
        <v>0</v>
      </c>
    </row>
    <row r="955" spans="4:10">
      <c r="D955" s="44">
        <f t="shared" si="19"/>
        <v>0</v>
      </c>
      <c r="E955" s="44"/>
      <c r="F955" s="44"/>
      <c r="G955" s="44"/>
      <c r="I955" s="61">
        <f t="shared" si="20"/>
        <v>0</v>
      </c>
      <c r="J955" s="59">
        <f t="shared" si="21"/>
        <v>0</v>
      </c>
    </row>
    <row r="956" spans="4:10">
      <c r="D956" s="44">
        <f t="shared" si="19"/>
        <v>0</v>
      </c>
      <c r="E956" s="44"/>
      <c r="F956" s="44"/>
      <c r="G956" s="44"/>
      <c r="I956" s="61">
        <f t="shared" si="20"/>
        <v>0</v>
      </c>
      <c r="J956" s="59">
        <f t="shared" si="21"/>
        <v>0</v>
      </c>
    </row>
    <row r="957" spans="4:10">
      <c r="D957" s="44">
        <f t="shared" si="19"/>
        <v>0</v>
      </c>
      <c r="E957" s="44"/>
      <c r="F957" s="44"/>
      <c r="G957" s="44"/>
      <c r="I957" s="61">
        <f t="shared" si="20"/>
        <v>0</v>
      </c>
      <c r="J957" s="59">
        <f t="shared" si="21"/>
        <v>0</v>
      </c>
    </row>
    <row r="958" spans="4:10">
      <c r="D958" s="44">
        <f t="shared" si="19"/>
        <v>0</v>
      </c>
      <c r="E958" s="44"/>
      <c r="F958" s="44"/>
      <c r="G958" s="44"/>
      <c r="I958" s="61">
        <f t="shared" si="20"/>
        <v>0</v>
      </c>
      <c r="J958" s="59">
        <f t="shared" si="21"/>
        <v>0</v>
      </c>
    </row>
    <row r="959" spans="4:10">
      <c r="D959" s="44">
        <f t="shared" si="19"/>
        <v>0</v>
      </c>
      <c r="E959" s="44"/>
      <c r="F959" s="44"/>
      <c r="G959" s="44"/>
      <c r="I959" s="61">
        <f t="shared" si="20"/>
        <v>0</v>
      </c>
      <c r="J959" s="59">
        <f t="shared" si="21"/>
        <v>0</v>
      </c>
    </row>
    <row r="960" spans="4:10">
      <c r="D960" s="44">
        <f t="shared" si="19"/>
        <v>0</v>
      </c>
      <c r="E960" s="44"/>
      <c r="F960" s="44"/>
      <c r="G960" s="44"/>
      <c r="I960" s="61">
        <f t="shared" si="20"/>
        <v>0</v>
      </c>
      <c r="J960" s="59">
        <f t="shared" si="21"/>
        <v>0</v>
      </c>
    </row>
    <row r="961" spans="4:10">
      <c r="D961" s="44"/>
      <c r="E961" s="44"/>
      <c r="F961" s="44"/>
      <c r="G961" s="44"/>
      <c r="I961" s="61">
        <f t="shared" si="20"/>
        <v>0</v>
      </c>
      <c r="J961" s="59">
        <f t="shared" si="21"/>
        <v>0</v>
      </c>
    </row>
  </sheetData>
  <mergeCells count="6">
    <mergeCell ref="K4:K5"/>
    <mergeCell ref="B4:B5"/>
    <mergeCell ref="D4:G4"/>
    <mergeCell ref="H4:H5"/>
    <mergeCell ref="I4:I5"/>
    <mergeCell ref="J4:J5"/>
  </mergeCells>
  <phoneticPr fontId="37" type="noConversion"/>
  <pageMargins left="0.25" right="0.25" top="0.75" bottom="0.75" header="0.3" footer="0.3"/>
  <pageSetup paperSize="9" scale="77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theme="0"/>
    <pageSetUpPr fitToPage="1"/>
  </sheetPr>
  <dimension ref="A2:M961"/>
  <sheetViews>
    <sheetView zoomScaleNormal="100" workbookViewId="0">
      <selection activeCell="C9" sqref="C9"/>
    </sheetView>
  </sheetViews>
  <sheetFormatPr defaultColWidth="8.69921875" defaultRowHeight="17.399999999999999"/>
  <cols>
    <col min="1" max="1" width="8.69921875" style="23"/>
    <col min="2" max="2" width="35.69921875" style="15" customWidth="1"/>
    <col min="3" max="3" width="15.3984375" style="40" bestFit="1" customWidth="1"/>
    <col min="4" max="7" width="13.3984375" style="40" customWidth="1"/>
    <col min="8" max="8" width="17.09765625" style="40" customWidth="1"/>
    <col min="9" max="10" width="17.69921875" style="40" customWidth="1"/>
    <col min="11" max="11" width="11.59765625" style="23" customWidth="1"/>
    <col min="12" max="16384" width="8.69921875" style="23"/>
  </cols>
  <sheetData>
    <row r="2" spans="1:13">
      <c r="A2" s="43"/>
      <c r="B2" s="48" t="s">
        <v>111</v>
      </c>
      <c r="C2" s="44"/>
      <c r="D2" s="44"/>
      <c r="E2" s="44"/>
      <c r="F2" s="44"/>
      <c r="G2" s="44"/>
      <c r="H2" s="44"/>
      <c r="I2" s="44"/>
      <c r="J2" s="44"/>
      <c r="K2" s="43"/>
      <c r="L2" s="43"/>
      <c r="M2" s="43"/>
    </row>
    <row r="3" spans="1:13">
      <c r="A3" s="43"/>
      <c r="B3" s="49"/>
      <c r="C3" s="44"/>
      <c r="D3" s="44"/>
      <c r="E3" s="44"/>
      <c r="F3" s="44"/>
      <c r="G3" s="44"/>
      <c r="H3" s="59"/>
      <c r="I3" s="71">
        <v>0.15</v>
      </c>
      <c r="J3" s="71">
        <v>0.85</v>
      </c>
      <c r="K3" s="43"/>
      <c r="L3" s="43"/>
      <c r="M3" s="43"/>
    </row>
    <row r="4" spans="1:13" ht="26.25" customHeight="1">
      <c r="A4" s="43"/>
      <c r="B4" s="161" t="s">
        <v>155</v>
      </c>
      <c r="C4" s="88" t="s">
        <v>62</v>
      </c>
      <c r="D4" s="158" t="s">
        <v>4</v>
      </c>
      <c r="E4" s="159"/>
      <c r="F4" s="159"/>
      <c r="G4" s="159"/>
      <c r="H4" s="162" t="s">
        <v>28</v>
      </c>
      <c r="I4" s="162" t="s">
        <v>27</v>
      </c>
      <c r="J4" s="162" t="s">
        <v>26</v>
      </c>
      <c r="K4" s="156" t="s">
        <v>8</v>
      </c>
      <c r="L4" s="43"/>
      <c r="M4" s="43"/>
    </row>
    <row r="5" spans="1:13" ht="36.75" customHeight="1">
      <c r="A5" s="43"/>
      <c r="B5" s="157"/>
      <c r="C5" s="85" t="s">
        <v>60</v>
      </c>
      <c r="D5" s="105" t="s">
        <v>61</v>
      </c>
      <c r="E5" s="105" t="s">
        <v>115</v>
      </c>
      <c r="F5" s="105" t="s">
        <v>114</v>
      </c>
      <c r="G5" s="105" t="s">
        <v>116</v>
      </c>
      <c r="H5" s="163"/>
      <c r="I5" s="163"/>
      <c r="J5" s="163"/>
      <c r="K5" s="157"/>
      <c r="L5" s="43"/>
      <c r="M5" s="43"/>
    </row>
    <row r="6" spans="1:13">
      <c r="B6" s="56" t="s">
        <v>15</v>
      </c>
      <c r="C6" s="47">
        <f t="shared" ref="C6:J6" si="0">ROUND(SUM(C7:C1981),0)</f>
        <v>10500</v>
      </c>
      <c r="D6" s="47">
        <f t="shared" si="0"/>
        <v>3150</v>
      </c>
      <c r="E6" s="47">
        <f t="shared" si="0"/>
        <v>7350</v>
      </c>
      <c r="F6" s="47">
        <f t="shared" si="0"/>
        <v>5145</v>
      </c>
      <c r="G6" s="127">
        <f t="shared" si="0"/>
        <v>2205</v>
      </c>
      <c r="H6" s="47">
        <f>ROUND(SUM(H7:H1981),0)</f>
        <v>2205</v>
      </c>
      <c r="I6" s="47">
        <f t="shared" si="0"/>
        <v>331</v>
      </c>
      <c r="J6" s="47">
        <f t="shared" si="0"/>
        <v>1874</v>
      </c>
      <c r="K6" s="41"/>
    </row>
    <row r="7" spans="1:13">
      <c r="B7" s="90" t="s">
        <v>112</v>
      </c>
      <c r="C7" s="91">
        <f>8000</f>
        <v>8000</v>
      </c>
      <c r="D7" s="92">
        <f>C7*0.3</f>
        <v>2400</v>
      </c>
      <c r="E7" s="92">
        <f>C7-D7</f>
        <v>5600</v>
      </c>
      <c r="F7" s="92">
        <f>E7*0.7</f>
        <v>3919.9999999999995</v>
      </c>
      <c r="G7" s="128">
        <f>E7-F7</f>
        <v>1680.0000000000005</v>
      </c>
      <c r="H7" s="92">
        <f>G7</f>
        <v>1680.0000000000005</v>
      </c>
      <c r="I7" s="93">
        <f>H7*15%</f>
        <v>252.00000000000006</v>
      </c>
      <c r="J7" s="92">
        <f>H7*85%</f>
        <v>1428.0000000000005</v>
      </c>
      <c r="K7" s="92"/>
      <c r="L7" s="52"/>
    </row>
    <row r="8" spans="1:13">
      <c r="B8" s="90" t="s">
        <v>113</v>
      </c>
      <c r="C8" s="91">
        <v>2500</v>
      </c>
      <c r="D8" s="92">
        <f>C8*0.3</f>
        <v>750</v>
      </c>
      <c r="E8" s="92">
        <f>C8-D8</f>
        <v>1750</v>
      </c>
      <c r="F8" s="123">
        <f>E8*0.7</f>
        <v>1225</v>
      </c>
      <c r="G8" s="128">
        <f>E8-F8</f>
        <v>525</v>
      </c>
      <c r="H8" s="118">
        <f>G8</f>
        <v>525</v>
      </c>
      <c r="I8" s="93">
        <f>H8*15%</f>
        <v>78.75</v>
      </c>
      <c r="J8" s="92">
        <f>H8*85%</f>
        <v>446.25</v>
      </c>
      <c r="K8" s="92"/>
      <c r="L8" s="52"/>
    </row>
    <row r="9" spans="1:13">
      <c r="B9" s="90"/>
      <c r="C9" s="91"/>
      <c r="D9" s="92"/>
      <c r="E9" s="92"/>
      <c r="F9" s="92"/>
      <c r="G9" s="92">
        <f t="shared" ref="G9:G16" si="1">C9-D9-E9-F9</f>
        <v>0</v>
      </c>
      <c r="H9" s="92"/>
      <c r="I9" s="93"/>
      <c r="J9" s="92"/>
      <c r="K9" s="92"/>
      <c r="L9" s="52"/>
    </row>
    <row r="10" spans="1:13">
      <c r="B10" s="90"/>
      <c r="C10" s="91"/>
      <c r="D10" s="92"/>
      <c r="E10" s="92"/>
      <c r="F10" s="92"/>
      <c r="G10" s="92">
        <f t="shared" si="1"/>
        <v>0</v>
      </c>
      <c r="H10" s="92"/>
      <c r="I10" s="93"/>
      <c r="J10" s="92"/>
      <c r="K10" s="92"/>
      <c r="L10" s="52"/>
    </row>
    <row r="11" spans="1:13">
      <c r="B11" s="90"/>
      <c r="C11" s="91"/>
      <c r="D11" s="92"/>
      <c r="E11" s="92"/>
      <c r="F11" s="92"/>
      <c r="G11" s="92">
        <f t="shared" si="1"/>
        <v>0</v>
      </c>
      <c r="H11" s="92"/>
      <c r="I11" s="93"/>
      <c r="J11" s="92"/>
      <c r="K11" s="92"/>
      <c r="L11" s="52"/>
    </row>
    <row r="12" spans="1:13">
      <c r="B12" s="90"/>
      <c r="C12" s="91"/>
      <c r="D12" s="92"/>
      <c r="E12" s="92"/>
      <c r="F12" s="92"/>
      <c r="G12" s="92">
        <f t="shared" si="1"/>
        <v>0</v>
      </c>
      <c r="H12" s="92"/>
      <c r="I12" s="93"/>
      <c r="J12" s="92"/>
      <c r="K12" s="92"/>
      <c r="L12" s="52"/>
    </row>
    <row r="13" spans="1:13">
      <c r="B13" s="90"/>
      <c r="C13" s="91"/>
      <c r="D13" s="92"/>
      <c r="E13" s="92"/>
      <c r="F13" s="92"/>
      <c r="G13" s="92">
        <f t="shared" si="1"/>
        <v>0</v>
      </c>
      <c r="H13" s="92"/>
      <c r="I13" s="93"/>
      <c r="J13" s="92"/>
      <c r="K13" s="92"/>
      <c r="L13" s="52"/>
    </row>
    <row r="14" spans="1:13">
      <c r="B14" s="90"/>
      <c r="C14" s="91"/>
      <c r="D14" s="92"/>
      <c r="E14" s="92"/>
      <c r="F14" s="92"/>
      <c r="G14" s="92">
        <f t="shared" si="1"/>
        <v>0</v>
      </c>
      <c r="H14" s="92"/>
      <c r="I14" s="93"/>
      <c r="J14" s="92"/>
      <c r="K14" s="92"/>
      <c r="L14" s="52"/>
    </row>
    <row r="15" spans="1:13">
      <c r="B15" s="90"/>
      <c r="C15" s="91"/>
      <c r="D15" s="92"/>
      <c r="E15" s="92"/>
      <c r="F15" s="92"/>
      <c r="G15" s="92">
        <f t="shared" si="1"/>
        <v>0</v>
      </c>
      <c r="H15" s="92"/>
      <c r="I15" s="93"/>
      <c r="J15" s="92"/>
      <c r="K15" s="92"/>
      <c r="L15" s="52"/>
    </row>
    <row r="16" spans="1:13">
      <c r="B16" s="90"/>
      <c r="C16" s="91"/>
      <c r="D16" s="92"/>
      <c r="E16" s="92"/>
      <c r="F16" s="92"/>
      <c r="G16" s="92">
        <f t="shared" si="1"/>
        <v>0</v>
      </c>
      <c r="H16" s="92"/>
      <c r="I16" s="93"/>
      <c r="J16" s="92"/>
      <c r="K16" s="92"/>
      <c r="L16" s="52"/>
    </row>
    <row r="17" spans="2:12">
      <c r="B17" s="90"/>
      <c r="C17" s="91"/>
      <c r="D17" s="92"/>
      <c r="E17" s="92"/>
      <c r="F17" s="92"/>
      <c r="G17" s="92"/>
      <c r="H17" s="92"/>
      <c r="I17" s="93"/>
      <c r="J17" s="92"/>
      <c r="K17" s="92"/>
      <c r="L17" s="52"/>
    </row>
    <row r="18" spans="2:12">
      <c r="B18" s="90"/>
      <c r="C18" s="91"/>
      <c r="D18" s="92"/>
      <c r="E18" s="92"/>
      <c r="F18" s="92"/>
      <c r="G18" s="92"/>
      <c r="H18" s="92"/>
      <c r="I18" s="93"/>
      <c r="J18" s="92"/>
      <c r="K18" s="92"/>
      <c r="L18" s="52"/>
    </row>
    <row r="19" spans="2:12">
      <c r="B19" s="90"/>
      <c r="C19" s="91"/>
      <c r="D19" s="92"/>
      <c r="E19" s="92"/>
      <c r="F19" s="92"/>
      <c r="G19" s="92"/>
      <c r="H19" s="92"/>
      <c r="I19" s="93"/>
      <c r="J19" s="92"/>
      <c r="K19" s="92"/>
      <c r="L19" s="52"/>
    </row>
    <row r="20" spans="2:12">
      <c r="B20" s="90"/>
      <c r="C20" s="91"/>
      <c r="D20" s="92"/>
      <c r="E20" s="92"/>
      <c r="F20" s="92"/>
      <c r="G20" s="92"/>
      <c r="H20" s="92"/>
      <c r="I20" s="93"/>
      <c r="J20" s="92"/>
      <c r="K20" s="92"/>
      <c r="L20" s="52"/>
    </row>
    <row r="21" spans="2:12">
      <c r="B21" s="90"/>
      <c r="C21" s="91"/>
      <c r="D21" s="92"/>
      <c r="E21" s="92"/>
      <c r="F21" s="92"/>
      <c r="G21" s="92"/>
      <c r="H21" s="92"/>
      <c r="I21" s="93"/>
      <c r="J21" s="92"/>
      <c r="K21" s="92"/>
      <c r="L21" s="52"/>
    </row>
    <row r="22" spans="2:12">
      <c r="B22" s="50"/>
      <c r="D22" s="44"/>
      <c r="E22" s="44"/>
      <c r="F22" s="44"/>
      <c r="G22" s="44"/>
      <c r="H22" s="44"/>
      <c r="I22" s="61"/>
      <c r="J22" s="44"/>
      <c r="K22" s="44"/>
      <c r="L22" s="52"/>
    </row>
    <row r="23" spans="2:12">
      <c r="B23" s="50"/>
      <c r="D23" s="44"/>
      <c r="E23" s="44"/>
      <c r="F23" s="44"/>
      <c r="G23" s="44"/>
      <c r="H23" s="44"/>
      <c r="I23" s="61"/>
      <c r="J23" s="44"/>
      <c r="K23" s="44"/>
      <c r="L23" s="52"/>
    </row>
    <row r="24" spans="2:12">
      <c r="B24" s="50"/>
      <c r="D24" s="44"/>
      <c r="E24" s="44"/>
      <c r="F24" s="44"/>
      <c r="G24" s="44"/>
      <c r="H24" s="44"/>
      <c r="I24" s="61"/>
      <c r="J24" s="44"/>
      <c r="K24" s="44"/>
      <c r="L24" s="52"/>
    </row>
    <row r="25" spans="2:12">
      <c r="B25" s="50"/>
      <c r="D25" s="44"/>
      <c r="E25" s="44"/>
      <c r="F25" s="44"/>
      <c r="G25" s="44"/>
      <c r="H25" s="44"/>
      <c r="I25" s="61"/>
      <c r="J25" s="44"/>
      <c r="K25" s="44"/>
      <c r="L25" s="52"/>
    </row>
    <row r="26" spans="2:12">
      <c r="B26" s="50"/>
      <c r="D26" s="44"/>
      <c r="E26" s="44"/>
      <c r="F26" s="44"/>
      <c r="G26" s="44"/>
      <c r="H26" s="44"/>
      <c r="I26" s="61"/>
      <c r="J26" s="44"/>
      <c r="K26" s="44"/>
      <c r="L26" s="52"/>
    </row>
    <row r="27" spans="2:12">
      <c r="B27" s="50"/>
      <c r="D27" s="44"/>
      <c r="E27" s="44"/>
      <c r="F27" s="44"/>
      <c r="G27" s="44"/>
      <c r="H27" s="44"/>
      <c r="I27" s="61"/>
      <c r="J27" s="44"/>
      <c r="K27" s="44"/>
      <c r="L27" s="52"/>
    </row>
    <row r="28" spans="2:12">
      <c r="B28" s="50"/>
      <c r="D28" s="44"/>
      <c r="E28" s="44"/>
      <c r="F28" s="44"/>
      <c r="G28" s="44"/>
      <c r="H28" s="44"/>
      <c r="I28" s="61"/>
      <c r="J28" s="44"/>
      <c r="K28" s="44"/>
      <c r="L28" s="52"/>
    </row>
    <row r="29" spans="2:12">
      <c r="B29" s="50"/>
      <c r="D29" s="44"/>
      <c r="E29" s="44"/>
      <c r="F29" s="44"/>
      <c r="G29" s="44"/>
      <c r="H29" s="44"/>
      <c r="I29" s="61"/>
      <c r="J29" s="44"/>
      <c r="K29" s="44"/>
      <c r="L29" s="52"/>
    </row>
    <row r="30" spans="2:12">
      <c r="B30" s="50"/>
      <c r="C30" s="51"/>
      <c r="D30" s="44"/>
      <c r="E30" s="44"/>
      <c r="F30" s="44"/>
      <c r="G30" s="44"/>
      <c r="H30" s="44"/>
      <c r="I30" s="61"/>
      <c r="J30" s="59"/>
      <c r="K30" s="58"/>
      <c r="L30" s="52"/>
    </row>
    <row r="31" spans="2:12">
      <c r="B31" s="50"/>
      <c r="C31" s="51"/>
      <c r="D31" s="44"/>
      <c r="E31" s="44"/>
      <c r="F31" s="44"/>
      <c r="G31" s="44"/>
      <c r="H31" s="44"/>
      <c r="I31" s="61"/>
      <c r="J31" s="59"/>
      <c r="K31" s="58"/>
      <c r="L31" s="52"/>
    </row>
    <row r="32" spans="2:12">
      <c r="B32" s="50"/>
      <c r="C32" s="51"/>
      <c r="D32" s="44"/>
      <c r="E32" s="44"/>
      <c r="F32" s="44"/>
      <c r="G32" s="44"/>
      <c r="H32" s="44"/>
      <c r="I32" s="61"/>
      <c r="J32" s="59"/>
      <c r="K32" s="58"/>
      <c r="L32" s="52"/>
    </row>
    <row r="33" spans="2:12">
      <c r="B33" s="50"/>
      <c r="C33" s="51"/>
      <c r="D33" s="44"/>
      <c r="E33" s="44"/>
      <c r="F33" s="44"/>
      <c r="G33" s="44"/>
      <c r="H33" s="44"/>
      <c r="I33" s="61"/>
      <c r="J33" s="59"/>
      <c r="K33" s="58"/>
      <c r="L33" s="52"/>
    </row>
    <row r="34" spans="2:12">
      <c r="B34" s="50"/>
      <c r="C34" s="51"/>
      <c r="D34" s="44"/>
      <c r="E34" s="44"/>
      <c r="F34" s="44"/>
      <c r="G34" s="44"/>
      <c r="H34" s="44"/>
      <c r="I34" s="61"/>
      <c r="J34" s="59"/>
      <c r="K34" s="58"/>
      <c r="L34" s="52"/>
    </row>
    <row r="35" spans="2:12">
      <c r="B35" s="50"/>
      <c r="C35" s="51"/>
      <c r="D35" s="44"/>
      <c r="E35" s="44"/>
      <c r="F35" s="44"/>
      <c r="G35" s="44"/>
      <c r="H35" s="44"/>
      <c r="I35" s="61"/>
      <c r="J35" s="59"/>
      <c r="K35" s="58"/>
      <c r="L35" s="52"/>
    </row>
    <row r="36" spans="2:12">
      <c r="B36" s="50"/>
      <c r="C36" s="51"/>
      <c r="D36" s="44"/>
      <c r="E36" s="44"/>
      <c r="F36" s="44"/>
      <c r="G36" s="44"/>
      <c r="H36" s="44"/>
      <c r="I36" s="61"/>
      <c r="J36" s="59"/>
      <c r="K36" s="58"/>
      <c r="L36" s="52"/>
    </row>
    <row r="37" spans="2:12">
      <c r="B37" s="50"/>
      <c r="C37" s="51"/>
      <c r="D37" s="44"/>
      <c r="E37" s="44"/>
      <c r="F37" s="44"/>
      <c r="G37" s="44"/>
      <c r="H37" s="44"/>
      <c r="I37" s="61"/>
      <c r="J37" s="59"/>
      <c r="K37" s="58"/>
      <c r="L37" s="52"/>
    </row>
    <row r="38" spans="2:12">
      <c r="B38" s="50"/>
      <c r="C38" s="51"/>
      <c r="D38" s="44"/>
      <c r="E38" s="44"/>
      <c r="F38" s="44"/>
      <c r="G38" s="44"/>
      <c r="H38" s="44"/>
      <c r="I38" s="61"/>
      <c r="J38" s="59"/>
      <c r="K38" s="58"/>
      <c r="L38" s="52"/>
    </row>
    <row r="39" spans="2:12">
      <c r="B39" s="50"/>
      <c r="C39" s="51"/>
      <c r="D39" s="44"/>
      <c r="E39" s="44"/>
      <c r="F39" s="44"/>
      <c r="G39" s="44"/>
      <c r="H39" s="44"/>
      <c r="I39" s="61"/>
      <c r="J39" s="59"/>
      <c r="K39" s="58"/>
      <c r="L39" s="52"/>
    </row>
    <row r="40" spans="2:12">
      <c r="B40" s="50"/>
      <c r="C40" s="51"/>
      <c r="D40" s="44"/>
      <c r="E40" s="44"/>
      <c r="F40" s="44"/>
      <c r="G40" s="44"/>
      <c r="H40" s="44"/>
      <c r="I40" s="61"/>
      <c r="J40" s="59"/>
      <c r="K40" s="58"/>
      <c r="L40" s="52"/>
    </row>
    <row r="41" spans="2:12">
      <c r="B41" s="50"/>
      <c r="C41" s="51"/>
      <c r="D41" s="44"/>
      <c r="E41" s="44"/>
      <c r="F41" s="44"/>
      <c r="G41" s="44"/>
      <c r="H41" s="44"/>
      <c r="I41" s="61"/>
      <c r="J41" s="59"/>
      <c r="K41" s="58"/>
      <c r="L41" s="52"/>
    </row>
    <row r="42" spans="2:12">
      <c r="B42" s="50"/>
      <c r="C42" s="51"/>
      <c r="D42" s="44"/>
      <c r="E42" s="44"/>
      <c r="F42" s="44"/>
      <c r="G42" s="44"/>
      <c r="H42" s="44"/>
      <c r="I42" s="61"/>
      <c r="J42" s="59"/>
      <c r="K42" s="58"/>
      <c r="L42" s="52"/>
    </row>
    <row r="43" spans="2:12">
      <c r="B43" s="50"/>
      <c r="C43" s="51"/>
      <c r="D43" s="44"/>
      <c r="E43" s="44"/>
      <c r="F43" s="44"/>
      <c r="G43" s="44"/>
      <c r="H43" s="44"/>
      <c r="I43" s="61"/>
      <c r="J43" s="59"/>
      <c r="K43" s="58"/>
      <c r="L43" s="52"/>
    </row>
    <row r="44" spans="2:12">
      <c r="B44" s="50"/>
      <c r="C44" s="51"/>
      <c r="D44" s="44"/>
      <c r="E44" s="44"/>
      <c r="F44" s="44"/>
      <c r="G44" s="44"/>
      <c r="H44" s="44"/>
      <c r="I44" s="61"/>
      <c r="J44" s="59"/>
      <c r="K44" s="58"/>
      <c r="L44" s="52"/>
    </row>
    <row r="45" spans="2:12">
      <c r="B45" s="50"/>
      <c r="C45" s="51"/>
      <c r="D45" s="44"/>
      <c r="E45" s="44"/>
      <c r="F45" s="44"/>
      <c r="G45" s="44"/>
      <c r="H45" s="44"/>
      <c r="I45" s="61"/>
      <c r="J45" s="59"/>
      <c r="K45" s="58"/>
      <c r="L45" s="52"/>
    </row>
    <row r="46" spans="2:12">
      <c r="B46" s="50"/>
      <c r="C46" s="51"/>
      <c r="D46" s="44"/>
      <c r="E46" s="44"/>
      <c r="F46" s="44"/>
      <c r="G46" s="44"/>
      <c r="H46" s="44"/>
      <c r="I46" s="61"/>
      <c r="J46" s="59"/>
      <c r="K46" s="58"/>
      <c r="L46" s="52"/>
    </row>
    <row r="47" spans="2:12">
      <c r="B47" s="50"/>
      <c r="C47" s="51"/>
      <c r="D47" s="44"/>
      <c r="E47" s="44"/>
      <c r="F47" s="44"/>
      <c r="G47" s="44"/>
      <c r="H47" s="44"/>
      <c r="I47" s="61"/>
      <c r="J47" s="59"/>
      <c r="K47" s="58"/>
      <c r="L47" s="52"/>
    </row>
    <row r="48" spans="2:12">
      <c r="B48" s="50"/>
      <c r="C48" s="51"/>
      <c r="D48" s="44"/>
      <c r="E48" s="44"/>
      <c r="F48" s="44"/>
      <c r="G48" s="44"/>
      <c r="H48" s="44"/>
      <c r="I48" s="61"/>
      <c r="J48" s="59"/>
      <c r="K48" s="58"/>
      <c r="L48" s="52"/>
    </row>
    <row r="49" spans="2:12">
      <c r="B49" s="50"/>
      <c r="C49" s="51"/>
      <c r="D49" s="44"/>
      <c r="E49" s="44"/>
      <c r="F49" s="44"/>
      <c r="G49" s="44"/>
      <c r="H49" s="44"/>
      <c r="I49" s="61"/>
      <c r="J49" s="59"/>
      <c r="K49" s="58"/>
      <c r="L49" s="52"/>
    </row>
    <row r="50" spans="2:12">
      <c r="B50" s="50"/>
      <c r="C50" s="51"/>
      <c r="D50" s="44"/>
      <c r="E50" s="44"/>
      <c r="F50" s="44"/>
      <c r="G50" s="44"/>
      <c r="H50" s="44"/>
      <c r="I50" s="61"/>
      <c r="J50" s="59"/>
      <c r="K50" s="58"/>
      <c r="L50" s="52"/>
    </row>
    <row r="51" spans="2:12">
      <c r="B51" s="50"/>
      <c r="C51" s="51"/>
      <c r="D51" s="44"/>
      <c r="E51" s="44"/>
      <c r="F51" s="44"/>
      <c r="G51" s="44"/>
      <c r="H51" s="44"/>
      <c r="I51" s="61"/>
      <c r="J51" s="59"/>
      <c r="K51" s="58"/>
      <c r="L51" s="52"/>
    </row>
    <row r="52" spans="2:12">
      <c r="B52" s="50"/>
      <c r="C52" s="51"/>
      <c r="D52" s="44"/>
      <c r="E52" s="44"/>
      <c r="F52" s="44"/>
      <c r="G52" s="44"/>
      <c r="H52" s="44"/>
      <c r="I52" s="61"/>
      <c r="J52" s="59"/>
      <c r="K52" s="58"/>
      <c r="L52" s="52"/>
    </row>
    <row r="53" spans="2:12">
      <c r="B53" s="50"/>
      <c r="C53" s="51"/>
      <c r="D53" s="44"/>
      <c r="E53" s="44"/>
      <c r="F53" s="44"/>
      <c r="G53" s="44"/>
      <c r="H53" s="44"/>
      <c r="I53" s="61"/>
      <c r="J53" s="59"/>
      <c r="K53" s="58"/>
      <c r="L53" s="52"/>
    </row>
    <row r="54" spans="2:12">
      <c r="B54" s="50"/>
      <c r="C54" s="51"/>
      <c r="D54" s="44"/>
      <c r="E54" s="44"/>
      <c r="F54" s="44"/>
      <c r="G54" s="44"/>
      <c r="H54" s="44"/>
      <c r="I54" s="61"/>
      <c r="J54" s="59"/>
      <c r="K54" s="58"/>
      <c r="L54" s="52"/>
    </row>
    <row r="55" spans="2:12">
      <c r="B55" s="50"/>
      <c r="C55" s="51"/>
      <c r="D55" s="44"/>
      <c r="E55" s="44"/>
      <c r="F55" s="44"/>
      <c r="G55" s="44"/>
      <c r="H55" s="44"/>
      <c r="I55" s="61"/>
      <c r="J55" s="59"/>
      <c r="K55" s="58"/>
      <c r="L55" s="52"/>
    </row>
    <row r="56" spans="2:12">
      <c r="B56" s="50"/>
      <c r="C56" s="51"/>
      <c r="D56" s="44"/>
      <c r="E56" s="44"/>
      <c r="F56" s="44"/>
      <c r="G56" s="44"/>
      <c r="H56" s="44"/>
      <c r="I56" s="61"/>
      <c r="J56" s="59"/>
      <c r="K56" s="58"/>
      <c r="L56" s="52"/>
    </row>
    <row r="57" spans="2:12">
      <c r="B57" s="50"/>
      <c r="C57" s="51"/>
      <c r="D57" s="44"/>
      <c r="E57" s="44"/>
      <c r="F57" s="44"/>
      <c r="G57" s="44"/>
      <c r="H57" s="44"/>
      <c r="I57" s="61"/>
      <c r="J57" s="59"/>
      <c r="K57" s="58"/>
      <c r="L57" s="52"/>
    </row>
    <row r="58" spans="2:12">
      <c r="B58" s="50"/>
      <c r="C58" s="51"/>
      <c r="D58" s="44"/>
      <c r="E58" s="44"/>
      <c r="F58" s="44"/>
      <c r="G58" s="44"/>
      <c r="H58" s="44"/>
      <c r="I58" s="61"/>
      <c r="J58" s="59"/>
      <c r="K58" s="58"/>
      <c r="L58" s="52"/>
    </row>
    <row r="59" spans="2:12">
      <c r="B59" s="50"/>
      <c r="C59" s="51"/>
      <c r="D59" s="44"/>
      <c r="E59" s="44"/>
      <c r="F59" s="44"/>
      <c r="G59" s="44"/>
      <c r="H59" s="44"/>
      <c r="I59" s="61"/>
      <c r="J59" s="59"/>
      <c r="K59" s="58"/>
      <c r="L59" s="52"/>
    </row>
    <row r="60" spans="2:12">
      <c r="B60" s="50"/>
      <c r="C60" s="51"/>
      <c r="D60" s="44"/>
      <c r="E60" s="44"/>
      <c r="F60" s="44"/>
      <c r="G60" s="44"/>
      <c r="H60" s="44"/>
      <c r="I60" s="61"/>
      <c r="J60" s="59"/>
      <c r="K60" s="58"/>
      <c r="L60" s="52"/>
    </row>
    <row r="61" spans="2:12">
      <c r="B61" s="50"/>
      <c r="C61" s="51"/>
      <c r="D61" s="44"/>
      <c r="E61" s="44"/>
      <c r="F61" s="44"/>
      <c r="G61" s="44"/>
      <c r="H61" s="44"/>
      <c r="I61" s="61"/>
      <c r="J61" s="59"/>
      <c r="K61" s="58"/>
      <c r="L61" s="52"/>
    </row>
    <row r="62" spans="2:12">
      <c r="B62" s="50"/>
      <c r="C62" s="51"/>
      <c r="D62" s="44"/>
      <c r="E62" s="44"/>
      <c r="F62" s="44"/>
      <c r="G62" s="44"/>
      <c r="H62" s="44"/>
      <c r="I62" s="61"/>
      <c r="J62" s="59"/>
      <c r="K62" s="58"/>
      <c r="L62" s="52"/>
    </row>
    <row r="63" spans="2:12">
      <c r="B63" s="50"/>
      <c r="C63" s="51"/>
      <c r="D63" s="44"/>
      <c r="E63" s="44"/>
      <c r="F63" s="44"/>
      <c r="G63" s="44"/>
      <c r="H63" s="44"/>
      <c r="I63" s="61"/>
      <c r="J63" s="59"/>
      <c r="K63" s="58"/>
      <c r="L63" s="52"/>
    </row>
    <row r="64" spans="2:12">
      <c r="B64" s="50"/>
      <c r="C64" s="51"/>
      <c r="D64" s="44"/>
      <c r="E64" s="44"/>
      <c r="F64" s="44"/>
      <c r="G64" s="44"/>
      <c r="H64" s="44"/>
      <c r="I64" s="61"/>
      <c r="J64" s="59"/>
      <c r="K64" s="58"/>
      <c r="L64" s="52"/>
    </row>
    <row r="65" spans="2:12">
      <c r="B65" s="50"/>
      <c r="C65" s="51"/>
      <c r="D65" s="44"/>
      <c r="E65" s="44"/>
      <c r="F65" s="44"/>
      <c r="G65" s="44"/>
      <c r="H65" s="44"/>
      <c r="I65" s="61"/>
      <c r="J65" s="59"/>
      <c r="K65" s="58"/>
      <c r="L65" s="52"/>
    </row>
    <row r="66" spans="2:12">
      <c r="B66" s="50"/>
      <c r="C66" s="51"/>
      <c r="D66" s="44"/>
      <c r="E66" s="44"/>
      <c r="F66" s="44"/>
      <c r="G66" s="44"/>
      <c r="H66" s="44"/>
      <c r="I66" s="61"/>
      <c r="J66" s="59"/>
      <c r="K66" s="58"/>
      <c r="L66" s="52"/>
    </row>
    <row r="67" spans="2:12">
      <c r="B67" s="50"/>
      <c r="C67" s="51"/>
      <c r="D67" s="44"/>
      <c r="E67" s="44"/>
      <c r="F67" s="44"/>
      <c r="G67" s="44"/>
      <c r="H67" s="44"/>
      <c r="I67" s="61"/>
      <c r="J67" s="59"/>
      <c r="K67" s="58"/>
      <c r="L67" s="52"/>
    </row>
    <row r="68" spans="2:12">
      <c r="B68" s="50"/>
      <c r="C68" s="51"/>
      <c r="D68" s="44"/>
      <c r="E68" s="44"/>
      <c r="F68" s="44"/>
      <c r="G68" s="44"/>
      <c r="H68" s="44"/>
      <c r="I68" s="61"/>
      <c r="J68" s="59"/>
      <c r="K68" s="58"/>
      <c r="L68" s="52"/>
    </row>
    <row r="69" spans="2:12">
      <c r="B69" s="50"/>
      <c r="C69" s="51"/>
      <c r="D69" s="44"/>
      <c r="E69" s="44"/>
      <c r="F69" s="44"/>
      <c r="G69" s="44"/>
      <c r="H69" s="44"/>
      <c r="I69" s="61"/>
      <c r="J69" s="59"/>
      <c r="K69" s="58"/>
      <c r="L69" s="52"/>
    </row>
    <row r="70" spans="2:12">
      <c r="B70" s="50"/>
      <c r="C70" s="51"/>
      <c r="D70" s="44"/>
      <c r="E70" s="44"/>
      <c r="F70" s="44"/>
      <c r="G70" s="44"/>
      <c r="H70" s="44"/>
      <c r="I70" s="61"/>
      <c r="J70" s="59"/>
      <c r="K70" s="58"/>
      <c r="L70" s="52"/>
    </row>
    <row r="71" spans="2:12">
      <c r="B71" s="50"/>
      <c r="C71" s="51"/>
      <c r="D71" s="44"/>
      <c r="E71" s="44"/>
      <c r="F71" s="44"/>
      <c r="G71" s="44"/>
      <c r="H71" s="44"/>
      <c r="I71" s="61"/>
      <c r="J71" s="59"/>
      <c r="K71" s="58"/>
      <c r="L71" s="52"/>
    </row>
    <row r="72" spans="2:12">
      <c r="B72" s="50"/>
      <c r="C72" s="51"/>
      <c r="D72" s="44"/>
      <c r="E72" s="44"/>
      <c r="F72" s="44"/>
      <c r="G72" s="44"/>
      <c r="H72" s="44"/>
      <c r="I72" s="61"/>
      <c r="J72" s="59"/>
      <c r="K72" s="58"/>
      <c r="L72" s="52"/>
    </row>
    <row r="73" spans="2:12">
      <c r="B73" s="50"/>
      <c r="C73" s="51"/>
      <c r="D73" s="44"/>
      <c r="E73" s="44"/>
      <c r="F73" s="44"/>
      <c r="G73" s="44"/>
      <c r="H73" s="44"/>
      <c r="I73" s="61"/>
      <c r="J73" s="59"/>
      <c r="K73" s="58"/>
      <c r="L73" s="52"/>
    </row>
    <row r="74" spans="2:12">
      <c r="B74" s="50"/>
      <c r="C74" s="51"/>
      <c r="D74" s="44"/>
      <c r="E74" s="44"/>
      <c r="F74" s="44"/>
      <c r="G74" s="44"/>
      <c r="H74" s="44"/>
      <c r="I74" s="61"/>
      <c r="J74" s="59"/>
      <c r="K74" s="58"/>
      <c r="L74" s="52"/>
    </row>
    <row r="75" spans="2:12">
      <c r="B75" s="50"/>
      <c r="C75" s="51"/>
      <c r="D75" s="44"/>
      <c r="E75" s="44"/>
      <c r="F75" s="44"/>
      <c r="G75" s="44"/>
      <c r="H75" s="44"/>
      <c r="I75" s="61"/>
      <c r="J75" s="59"/>
      <c r="K75" s="58"/>
      <c r="L75" s="52"/>
    </row>
    <row r="76" spans="2:12">
      <c r="B76" s="50"/>
      <c r="C76" s="51"/>
      <c r="D76" s="44"/>
      <c r="E76" s="44"/>
      <c r="F76" s="44"/>
      <c r="G76" s="44"/>
      <c r="H76" s="44"/>
      <c r="I76" s="61"/>
      <c r="J76" s="59"/>
      <c r="K76" s="58"/>
      <c r="L76" s="52"/>
    </row>
    <row r="77" spans="2:12">
      <c r="B77" s="50"/>
      <c r="C77" s="51"/>
      <c r="D77" s="44"/>
      <c r="E77" s="44"/>
      <c r="F77" s="44"/>
      <c r="G77" s="44"/>
      <c r="H77" s="44"/>
      <c r="I77" s="61"/>
      <c r="J77" s="59"/>
      <c r="K77" s="58"/>
      <c r="L77" s="52"/>
    </row>
    <row r="78" spans="2:12">
      <c r="B78" s="50"/>
      <c r="C78" s="51"/>
      <c r="D78" s="44"/>
      <c r="E78" s="44"/>
      <c r="F78" s="44"/>
      <c r="G78" s="44"/>
      <c r="H78" s="44"/>
      <c r="I78" s="61"/>
      <c r="J78" s="59"/>
      <c r="K78" s="58"/>
      <c r="L78" s="52"/>
    </row>
    <row r="79" spans="2:12">
      <c r="B79" s="50"/>
      <c r="C79" s="51"/>
      <c r="D79" s="44"/>
      <c r="E79" s="44"/>
      <c r="F79" s="44"/>
      <c r="G79" s="44"/>
      <c r="H79" s="44"/>
      <c r="I79" s="61"/>
      <c r="J79" s="59"/>
      <c r="K79" s="58"/>
      <c r="L79" s="52"/>
    </row>
    <row r="80" spans="2:12">
      <c r="B80" s="50"/>
      <c r="C80" s="51"/>
      <c r="D80" s="44"/>
      <c r="E80" s="44"/>
      <c r="F80" s="44"/>
      <c r="G80" s="44"/>
      <c r="H80" s="44"/>
      <c r="I80" s="61"/>
      <c r="J80" s="59"/>
      <c r="K80" s="58"/>
      <c r="L80" s="52"/>
    </row>
    <row r="81" spans="2:12">
      <c r="B81" s="50"/>
      <c r="C81" s="51"/>
      <c r="D81" s="44"/>
      <c r="E81" s="44"/>
      <c r="F81" s="44"/>
      <c r="G81" s="44"/>
      <c r="H81" s="44"/>
      <c r="I81" s="61"/>
      <c r="J81" s="59"/>
      <c r="K81" s="58"/>
      <c r="L81" s="52"/>
    </row>
    <row r="82" spans="2:12">
      <c r="B82" s="50"/>
      <c r="C82" s="51"/>
      <c r="D82" s="44"/>
      <c r="E82" s="44"/>
      <c r="F82" s="44"/>
      <c r="G82" s="44"/>
      <c r="H82" s="44"/>
      <c r="I82" s="61"/>
      <c r="J82" s="59"/>
      <c r="K82" s="58"/>
      <c r="L82" s="52"/>
    </row>
    <row r="83" spans="2:12">
      <c r="B83" s="50"/>
      <c r="C83" s="51"/>
      <c r="D83" s="44"/>
      <c r="E83" s="44"/>
      <c r="F83" s="44"/>
      <c r="G83" s="44"/>
      <c r="H83" s="44"/>
      <c r="I83" s="61"/>
      <c r="J83" s="59"/>
      <c r="K83" s="58"/>
      <c r="L83" s="52"/>
    </row>
    <row r="84" spans="2:12">
      <c r="B84" s="50"/>
      <c r="C84" s="51"/>
      <c r="D84" s="44"/>
      <c r="E84" s="44"/>
      <c r="F84" s="44"/>
      <c r="G84" s="44"/>
      <c r="H84" s="44"/>
      <c r="I84" s="61"/>
      <c r="J84" s="59"/>
      <c r="K84" s="58"/>
      <c r="L84" s="52"/>
    </row>
    <row r="85" spans="2:12">
      <c r="B85" s="50"/>
      <c r="C85" s="51"/>
      <c r="D85" s="44"/>
      <c r="E85" s="44"/>
      <c r="F85" s="44"/>
      <c r="G85" s="44"/>
      <c r="H85" s="44"/>
      <c r="I85" s="61"/>
      <c r="J85" s="59"/>
      <c r="K85" s="58"/>
      <c r="L85" s="52"/>
    </row>
    <row r="86" spans="2:12">
      <c r="B86" s="50"/>
      <c r="C86" s="51"/>
      <c r="D86" s="44"/>
      <c r="E86" s="44"/>
      <c r="F86" s="44"/>
      <c r="G86" s="44"/>
      <c r="H86" s="44"/>
      <c r="I86" s="61"/>
      <c r="J86" s="59"/>
      <c r="K86" s="58"/>
      <c r="L86" s="52"/>
    </row>
    <row r="87" spans="2:12">
      <c r="B87" s="50"/>
      <c r="C87" s="51"/>
      <c r="D87" s="44"/>
      <c r="E87" s="44"/>
      <c r="F87" s="44"/>
      <c r="G87" s="44"/>
      <c r="H87" s="44"/>
      <c r="I87" s="61"/>
      <c r="J87" s="59"/>
      <c r="K87" s="58"/>
      <c r="L87" s="52"/>
    </row>
    <row r="88" spans="2:12">
      <c r="B88" s="50"/>
      <c r="C88" s="51"/>
      <c r="D88" s="44"/>
      <c r="E88" s="44"/>
      <c r="F88" s="44"/>
      <c r="G88" s="44"/>
      <c r="H88" s="44"/>
      <c r="I88" s="61"/>
      <c r="J88" s="59"/>
      <c r="K88" s="58"/>
      <c r="L88" s="52"/>
    </row>
    <row r="89" spans="2:12">
      <c r="B89" s="50"/>
      <c r="C89" s="51"/>
      <c r="D89" s="44"/>
      <c r="E89" s="44"/>
      <c r="F89" s="44"/>
      <c r="G89" s="44"/>
      <c r="H89" s="44"/>
      <c r="I89" s="61"/>
      <c r="J89" s="59"/>
      <c r="K89" s="58"/>
      <c r="L89" s="52"/>
    </row>
    <row r="90" spans="2:12">
      <c r="B90" s="50"/>
      <c r="C90" s="51"/>
      <c r="D90" s="44"/>
      <c r="E90" s="44"/>
      <c r="F90" s="44"/>
      <c r="G90" s="44"/>
      <c r="H90" s="44"/>
      <c r="I90" s="61"/>
      <c r="J90" s="59"/>
      <c r="K90" s="58"/>
      <c r="L90" s="52"/>
    </row>
    <row r="91" spans="2:12">
      <c r="B91" s="50"/>
      <c r="C91" s="51"/>
      <c r="D91" s="44"/>
      <c r="E91" s="44"/>
      <c r="F91" s="44"/>
      <c r="G91" s="44"/>
      <c r="H91" s="44"/>
      <c r="I91" s="61"/>
      <c r="J91" s="59"/>
      <c r="K91" s="58"/>
      <c r="L91" s="52"/>
    </row>
    <row r="92" spans="2:12">
      <c r="B92" s="50"/>
      <c r="C92" s="51"/>
      <c r="D92" s="44"/>
      <c r="E92" s="44"/>
      <c r="F92" s="44"/>
      <c r="G92" s="44"/>
      <c r="H92" s="44"/>
      <c r="I92" s="61"/>
      <c r="J92" s="59"/>
      <c r="K92" s="58"/>
      <c r="L92" s="52"/>
    </row>
    <row r="93" spans="2:12">
      <c r="B93" s="50"/>
      <c r="C93" s="51"/>
      <c r="D93" s="44"/>
      <c r="E93" s="44"/>
      <c r="F93" s="44"/>
      <c r="G93" s="44"/>
      <c r="H93" s="44"/>
      <c r="I93" s="61"/>
      <c r="J93" s="59"/>
      <c r="K93" s="58"/>
      <c r="L93" s="52"/>
    </row>
    <row r="94" spans="2:12">
      <c r="B94" s="50"/>
      <c r="C94" s="51"/>
      <c r="D94" s="44"/>
      <c r="E94" s="44"/>
      <c r="F94" s="44"/>
      <c r="G94" s="44"/>
      <c r="H94" s="44"/>
      <c r="I94" s="61"/>
      <c r="J94" s="59"/>
      <c r="K94" s="58"/>
      <c r="L94" s="52"/>
    </row>
    <row r="95" spans="2:12">
      <c r="B95" s="50"/>
      <c r="C95" s="51"/>
      <c r="D95" s="44"/>
      <c r="E95" s="44"/>
      <c r="F95" s="44"/>
      <c r="G95" s="44"/>
      <c r="H95" s="44"/>
      <c r="I95" s="61"/>
      <c r="J95" s="59"/>
      <c r="K95" s="58"/>
      <c r="L95" s="52"/>
    </row>
    <row r="96" spans="2:12">
      <c r="B96" s="50"/>
      <c r="C96" s="51"/>
      <c r="D96" s="44"/>
      <c r="E96" s="44"/>
      <c r="F96" s="44"/>
      <c r="G96" s="44"/>
      <c r="H96" s="44"/>
      <c r="I96" s="61"/>
      <c r="J96" s="59"/>
      <c r="K96" s="58"/>
      <c r="L96" s="52"/>
    </row>
    <row r="97" spans="2:12">
      <c r="B97" s="50"/>
      <c r="C97" s="51"/>
      <c r="D97" s="44"/>
      <c r="E97" s="44"/>
      <c r="F97" s="44"/>
      <c r="G97" s="44"/>
      <c r="H97" s="44"/>
      <c r="I97" s="61"/>
      <c r="J97" s="59"/>
      <c r="K97" s="58"/>
      <c r="L97" s="52"/>
    </row>
    <row r="98" spans="2:12">
      <c r="B98" s="50"/>
      <c r="C98" s="51"/>
      <c r="D98" s="44"/>
      <c r="E98" s="44"/>
      <c r="F98" s="44"/>
      <c r="G98" s="44"/>
      <c r="H98" s="44"/>
      <c r="I98" s="61"/>
      <c r="J98" s="59"/>
      <c r="K98" s="58"/>
      <c r="L98" s="52"/>
    </row>
    <row r="99" spans="2:12">
      <c r="B99" s="50"/>
      <c r="C99" s="51"/>
      <c r="D99" s="44"/>
      <c r="E99" s="44"/>
      <c r="F99" s="44"/>
      <c r="G99" s="44"/>
      <c r="H99" s="44"/>
      <c r="I99" s="61"/>
      <c r="J99" s="59"/>
      <c r="K99" s="58"/>
      <c r="L99" s="52"/>
    </row>
    <row r="100" spans="2:12">
      <c r="B100" s="50"/>
      <c r="C100" s="51"/>
      <c r="D100" s="44"/>
      <c r="E100" s="44"/>
      <c r="F100" s="44"/>
      <c r="G100" s="44"/>
      <c r="H100" s="44"/>
      <c r="I100" s="61"/>
      <c r="J100" s="59"/>
      <c r="K100" s="58"/>
      <c r="L100" s="52"/>
    </row>
    <row r="101" spans="2:12">
      <c r="B101" s="50"/>
      <c r="C101" s="51"/>
      <c r="D101" s="44"/>
      <c r="E101" s="44"/>
      <c r="F101" s="44"/>
      <c r="G101" s="44"/>
      <c r="H101" s="44"/>
      <c r="I101" s="61"/>
      <c r="J101" s="59"/>
      <c r="K101" s="58"/>
      <c r="L101" s="52"/>
    </row>
    <row r="102" spans="2:12">
      <c r="B102" s="50"/>
      <c r="C102" s="51"/>
      <c r="D102" s="44"/>
      <c r="E102" s="44"/>
      <c r="F102" s="44"/>
      <c r="G102" s="44"/>
      <c r="H102" s="44"/>
      <c r="I102" s="61"/>
      <c r="J102" s="59"/>
      <c r="K102" s="58"/>
      <c r="L102" s="52"/>
    </row>
    <row r="103" spans="2:12">
      <c r="B103" s="50"/>
      <c r="C103" s="51"/>
      <c r="D103" s="44"/>
      <c r="E103" s="44"/>
      <c r="F103" s="44"/>
      <c r="G103" s="44"/>
      <c r="H103" s="44"/>
      <c r="I103" s="61"/>
      <c r="J103" s="59"/>
      <c r="K103" s="58"/>
      <c r="L103" s="52"/>
    </row>
    <row r="104" spans="2:12">
      <c r="B104" s="50"/>
      <c r="C104" s="51"/>
      <c r="D104" s="44"/>
      <c r="E104" s="44"/>
      <c r="F104" s="44"/>
      <c r="G104" s="44"/>
      <c r="H104" s="44"/>
      <c r="I104" s="61"/>
      <c r="J104" s="59"/>
      <c r="K104" s="58"/>
      <c r="L104" s="52"/>
    </row>
    <row r="105" spans="2:12">
      <c r="B105" s="50"/>
      <c r="C105" s="51"/>
      <c r="D105" s="44"/>
      <c r="E105" s="44"/>
      <c r="F105" s="44"/>
      <c r="G105" s="44"/>
      <c r="H105" s="44"/>
      <c r="I105" s="61"/>
      <c r="J105" s="59"/>
      <c r="K105" s="58"/>
      <c r="L105" s="52"/>
    </row>
    <row r="106" spans="2:12">
      <c r="B106" s="50"/>
      <c r="C106" s="51"/>
      <c r="D106" s="44"/>
      <c r="E106" s="44"/>
      <c r="F106" s="44"/>
      <c r="G106" s="44"/>
      <c r="H106" s="44"/>
      <c r="I106" s="61"/>
      <c r="J106" s="59"/>
      <c r="K106" s="58"/>
      <c r="L106" s="52"/>
    </row>
    <row r="107" spans="2:12">
      <c r="B107" s="50"/>
      <c r="C107" s="51"/>
      <c r="D107" s="44"/>
      <c r="E107" s="44"/>
      <c r="F107" s="44"/>
      <c r="G107" s="44"/>
      <c r="H107" s="44"/>
      <c r="I107" s="61"/>
      <c r="J107" s="59"/>
      <c r="K107" s="58"/>
      <c r="L107" s="52"/>
    </row>
    <row r="108" spans="2:12">
      <c r="B108" s="50"/>
      <c r="C108" s="51"/>
      <c r="D108" s="44"/>
      <c r="E108" s="44"/>
      <c r="F108" s="44"/>
      <c r="G108" s="44"/>
      <c r="H108" s="44"/>
      <c r="I108" s="61"/>
      <c r="J108" s="59"/>
      <c r="K108" s="58"/>
      <c r="L108" s="52"/>
    </row>
    <row r="109" spans="2:12">
      <c r="B109" s="50"/>
      <c r="C109" s="51"/>
      <c r="D109" s="44"/>
      <c r="E109" s="44"/>
      <c r="F109" s="44"/>
      <c r="G109" s="44"/>
      <c r="H109" s="44"/>
      <c r="I109" s="61"/>
      <c r="J109" s="59"/>
      <c r="K109" s="58"/>
      <c r="L109" s="52"/>
    </row>
    <row r="110" spans="2:12">
      <c r="B110" s="50"/>
      <c r="C110" s="51"/>
      <c r="D110" s="44"/>
      <c r="E110" s="44"/>
      <c r="F110" s="44"/>
      <c r="G110" s="44"/>
      <c r="H110" s="44"/>
      <c r="I110" s="61"/>
      <c r="J110" s="59"/>
      <c r="K110" s="58"/>
      <c r="L110" s="52"/>
    </row>
    <row r="111" spans="2:12">
      <c r="B111" s="50"/>
      <c r="C111" s="51"/>
      <c r="D111" s="44"/>
      <c r="E111" s="44"/>
      <c r="F111" s="44"/>
      <c r="G111" s="44"/>
      <c r="H111" s="44"/>
      <c r="I111" s="61"/>
      <c r="J111" s="59"/>
      <c r="K111" s="58"/>
      <c r="L111" s="52"/>
    </row>
    <row r="112" spans="2:12">
      <c r="B112" s="50"/>
      <c r="C112" s="51"/>
      <c r="D112" s="44"/>
      <c r="E112" s="44"/>
      <c r="F112" s="44"/>
      <c r="G112" s="44"/>
      <c r="H112" s="44"/>
      <c r="I112" s="61"/>
      <c r="J112" s="59"/>
      <c r="K112" s="58"/>
      <c r="L112" s="52"/>
    </row>
    <row r="113" spans="2:12">
      <c r="B113" s="50"/>
      <c r="C113" s="51"/>
      <c r="D113" s="44"/>
      <c r="E113" s="44"/>
      <c r="F113" s="44"/>
      <c r="G113" s="44"/>
      <c r="H113" s="44"/>
      <c r="I113" s="61"/>
      <c r="J113" s="59"/>
      <c r="K113" s="58"/>
      <c r="L113" s="52"/>
    </row>
    <row r="114" spans="2:12">
      <c r="B114" s="50"/>
      <c r="C114" s="51"/>
      <c r="D114" s="44"/>
      <c r="E114" s="44"/>
      <c r="F114" s="44"/>
      <c r="G114" s="44"/>
      <c r="H114" s="44"/>
      <c r="I114" s="61"/>
      <c r="J114" s="59"/>
      <c r="K114" s="58"/>
      <c r="L114" s="52"/>
    </row>
    <row r="115" spans="2:12">
      <c r="B115" s="50"/>
      <c r="C115" s="51"/>
      <c r="D115" s="44"/>
      <c r="E115" s="44"/>
      <c r="F115" s="44"/>
      <c r="G115" s="44"/>
      <c r="H115" s="44"/>
      <c r="I115" s="61"/>
      <c r="J115" s="59"/>
      <c r="K115" s="58"/>
      <c r="L115" s="52"/>
    </row>
    <row r="116" spans="2:12">
      <c r="B116" s="50"/>
      <c r="C116" s="51"/>
      <c r="D116" s="44"/>
      <c r="E116" s="44"/>
      <c r="F116" s="44"/>
      <c r="G116" s="44"/>
      <c r="H116" s="44"/>
      <c r="I116" s="61"/>
      <c r="J116" s="59"/>
      <c r="K116" s="58"/>
      <c r="L116" s="52"/>
    </row>
    <row r="117" spans="2:12">
      <c r="B117" s="50"/>
      <c r="C117" s="51"/>
      <c r="D117" s="44"/>
      <c r="E117" s="44"/>
      <c r="F117" s="44"/>
      <c r="G117" s="44"/>
      <c r="H117" s="44"/>
      <c r="I117" s="61"/>
      <c r="J117" s="59"/>
      <c r="K117" s="58"/>
      <c r="L117" s="52"/>
    </row>
    <row r="118" spans="2:12">
      <c r="B118" s="50"/>
      <c r="C118" s="51"/>
      <c r="D118" s="44"/>
      <c r="E118" s="44"/>
      <c r="F118" s="44"/>
      <c r="G118" s="44"/>
      <c r="H118" s="44"/>
      <c r="I118" s="61"/>
      <c r="J118" s="59"/>
      <c r="K118" s="58"/>
      <c r="L118" s="52"/>
    </row>
    <row r="119" spans="2:12">
      <c r="B119" s="50"/>
      <c r="C119" s="51"/>
      <c r="D119" s="44"/>
      <c r="E119" s="44"/>
      <c r="F119" s="44"/>
      <c r="G119" s="44"/>
      <c r="H119" s="44"/>
      <c r="I119" s="61"/>
      <c r="J119" s="59"/>
      <c r="K119" s="58"/>
      <c r="L119" s="52"/>
    </row>
    <row r="120" spans="2:12">
      <c r="B120" s="50"/>
      <c r="C120" s="51"/>
      <c r="D120" s="44"/>
      <c r="E120" s="44"/>
      <c r="F120" s="44"/>
      <c r="G120" s="44"/>
      <c r="H120" s="44"/>
      <c r="I120" s="61"/>
      <c r="J120" s="59"/>
      <c r="K120" s="58"/>
      <c r="L120" s="52"/>
    </row>
    <row r="121" spans="2:12">
      <c r="B121" s="50"/>
      <c r="C121" s="51"/>
      <c r="D121" s="44"/>
      <c r="E121" s="44"/>
      <c r="F121" s="44"/>
      <c r="G121" s="44"/>
      <c r="H121" s="44"/>
      <c r="I121" s="61"/>
      <c r="J121" s="59"/>
      <c r="K121" s="58"/>
      <c r="L121" s="52"/>
    </row>
    <row r="122" spans="2:12">
      <c r="B122" s="50"/>
      <c r="C122" s="51"/>
      <c r="D122" s="44"/>
      <c r="E122" s="44"/>
      <c r="F122" s="44"/>
      <c r="G122" s="44"/>
      <c r="H122" s="44"/>
      <c r="I122" s="61"/>
      <c r="J122" s="59"/>
      <c r="K122" s="58"/>
      <c r="L122" s="52"/>
    </row>
    <row r="123" spans="2:12">
      <c r="B123" s="50"/>
      <c r="C123" s="51"/>
      <c r="D123" s="44"/>
      <c r="E123" s="44"/>
      <c r="F123" s="44"/>
      <c r="G123" s="44"/>
      <c r="H123" s="44"/>
      <c r="I123" s="61"/>
      <c r="J123" s="59"/>
      <c r="K123" s="58"/>
      <c r="L123" s="52"/>
    </row>
    <row r="124" spans="2:12">
      <c r="B124" s="50"/>
      <c r="C124" s="51"/>
      <c r="D124" s="44"/>
      <c r="E124" s="44"/>
      <c r="F124" s="44"/>
      <c r="G124" s="44"/>
      <c r="H124" s="44"/>
      <c r="I124" s="61"/>
      <c r="J124" s="59"/>
      <c r="K124" s="58"/>
      <c r="L124" s="52"/>
    </row>
    <row r="125" spans="2:12">
      <c r="B125" s="50"/>
      <c r="C125" s="51"/>
      <c r="D125" s="44"/>
      <c r="E125" s="44"/>
      <c r="F125" s="44"/>
      <c r="G125" s="44"/>
      <c r="H125" s="44"/>
      <c r="I125" s="61"/>
      <c r="J125" s="59"/>
      <c r="K125" s="58"/>
      <c r="L125" s="52"/>
    </row>
    <row r="126" spans="2:12">
      <c r="B126" s="50"/>
      <c r="C126" s="51"/>
      <c r="D126" s="44"/>
      <c r="E126" s="44"/>
      <c r="F126" s="44"/>
      <c r="G126" s="44"/>
      <c r="H126" s="44"/>
      <c r="I126" s="61"/>
      <c r="J126" s="59"/>
      <c r="K126" s="58"/>
      <c r="L126" s="52"/>
    </row>
    <row r="127" spans="2:12">
      <c r="B127" s="50"/>
      <c r="C127" s="51"/>
      <c r="D127" s="44"/>
      <c r="E127" s="44"/>
      <c r="F127" s="44"/>
      <c r="G127" s="44"/>
      <c r="H127" s="44"/>
      <c r="I127" s="61"/>
      <c r="J127" s="59"/>
      <c r="K127" s="58"/>
      <c r="L127" s="52"/>
    </row>
    <row r="128" spans="2:12">
      <c r="B128" s="50"/>
      <c r="C128" s="51"/>
      <c r="D128" s="44"/>
      <c r="E128" s="44"/>
      <c r="F128" s="44"/>
      <c r="G128" s="44"/>
      <c r="H128" s="44"/>
      <c r="I128" s="61"/>
      <c r="J128" s="59"/>
      <c r="K128" s="58"/>
      <c r="L128" s="52"/>
    </row>
    <row r="129" spans="2:12">
      <c r="B129" s="50"/>
      <c r="C129" s="51"/>
      <c r="D129" s="44"/>
      <c r="E129" s="44"/>
      <c r="F129" s="44"/>
      <c r="G129" s="44"/>
      <c r="H129" s="44"/>
      <c r="I129" s="61"/>
      <c r="J129" s="59"/>
      <c r="K129" s="58"/>
      <c r="L129" s="52"/>
    </row>
    <row r="130" spans="2:12">
      <c r="B130" s="50"/>
      <c r="C130" s="51"/>
      <c r="D130" s="44"/>
      <c r="E130" s="44"/>
      <c r="F130" s="44"/>
      <c r="G130" s="44"/>
      <c r="H130" s="44"/>
      <c r="I130" s="61"/>
      <c r="J130" s="59"/>
      <c r="K130" s="58"/>
      <c r="L130" s="52"/>
    </row>
    <row r="131" spans="2:12">
      <c r="B131" s="50"/>
      <c r="C131" s="51"/>
      <c r="D131" s="44"/>
      <c r="E131" s="44"/>
      <c r="F131" s="44"/>
      <c r="G131" s="44"/>
      <c r="H131" s="44"/>
      <c r="I131" s="61"/>
      <c r="J131" s="59"/>
      <c r="K131" s="58"/>
      <c r="L131" s="52"/>
    </row>
    <row r="132" spans="2:12">
      <c r="B132" s="50"/>
      <c r="C132" s="51"/>
      <c r="D132" s="44"/>
      <c r="E132" s="44"/>
      <c r="F132" s="44"/>
      <c r="G132" s="44"/>
      <c r="H132" s="44"/>
      <c r="I132" s="61"/>
      <c r="J132" s="59"/>
      <c r="K132" s="58"/>
      <c r="L132" s="52"/>
    </row>
    <row r="133" spans="2:12">
      <c r="B133" s="50"/>
      <c r="C133" s="51"/>
      <c r="D133" s="44"/>
      <c r="E133" s="44"/>
      <c r="F133" s="44"/>
      <c r="G133" s="44"/>
      <c r="H133" s="44"/>
      <c r="I133" s="61"/>
      <c r="J133" s="59"/>
      <c r="K133" s="58"/>
      <c r="L133" s="52"/>
    </row>
    <row r="134" spans="2:12">
      <c r="B134" s="50"/>
      <c r="C134" s="51"/>
      <c r="D134" s="44"/>
      <c r="E134" s="44"/>
      <c r="F134" s="44"/>
      <c r="G134" s="44"/>
      <c r="H134" s="44"/>
      <c r="I134" s="61"/>
      <c r="J134" s="59"/>
      <c r="K134" s="58"/>
      <c r="L134" s="52"/>
    </row>
    <row r="135" spans="2:12">
      <c r="B135" s="50"/>
      <c r="C135" s="51"/>
      <c r="D135" s="44"/>
      <c r="E135" s="44"/>
      <c r="F135" s="44"/>
      <c r="G135" s="44"/>
      <c r="H135" s="44"/>
      <c r="I135" s="61"/>
      <c r="J135" s="59"/>
      <c r="K135" s="58"/>
      <c r="L135" s="52"/>
    </row>
    <row r="136" spans="2:12">
      <c r="B136" s="50"/>
      <c r="C136" s="51"/>
      <c r="D136" s="44"/>
      <c r="E136" s="44"/>
      <c r="F136" s="44"/>
      <c r="G136" s="44"/>
      <c r="H136" s="44"/>
      <c r="I136" s="61"/>
      <c r="J136" s="59"/>
      <c r="K136" s="58"/>
      <c r="L136" s="52"/>
    </row>
    <row r="137" spans="2:12">
      <c r="B137" s="50"/>
      <c r="C137" s="51"/>
      <c r="D137" s="44"/>
      <c r="E137" s="44"/>
      <c r="F137" s="44"/>
      <c r="G137" s="44"/>
      <c r="H137" s="44"/>
      <c r="I137" s="61"/>
      <c r="J137" s="59"/>
      <c r="K137" s="58"/>
      <c r="L137" s="52"/>
    </row>
    <row r="138" spans="2:12">
      <c r="B138" s="50"/>
      <c r="C138" s="51"/>
      <c r="D138" s="44"/>
      <c r="E138" s="44"/>
      <c r="F138" s="44"/>
      <c r="G138" s="44"/>
      <c r="H138" s="44"/>
      <c r="I138" s="61"/>
      <c r="J138" s="59"/>
      <c r="K138" s="58"/>
      <c r="L138" s="52"/>
    </row>
    <row r="139" spans="2:12">
      <c r="B139" s="50"/>
      <c r="C139" s="51"/>
      <c r="D139" s="44"/>
      <c r="E139" s="44"/>
      <c r="F139" s="44"/>
      <c r="G139" s="44"/>
      <c r="H139" s="44"/>
      <c r="I139" s="61"/>
      <c r="J139" s="59"/>
      <c r="K139" s="58"/>
      <c r="L139" s="52"/>
    </row>
    <row r="140" spans="2:12">
      <c r="B140" s="50"/>
      <c r="C140" s="51"/>
      <c r="D140" s="44"/>
      <c r="E140" s="44"/>
      <c r="F140" s="44"/>
      <c r="G140" s="44"/>
      <c r="H140" s="44"/>
      <c r="I140" s="61"/>
      <c r="J140" s="59"/>
      <c r="K140" s="58"/>
      <c r="L140" s="52"/>
    </row>
    <row r="141" spans="2:12">
      <c r="B141" s="50"/>
      <c r="C141" s="51"/>
      <c r="D141" s="44"/>
      <c r="E141" s="44"/>
      <c r="F141" s="44"/>
      <c r="G141" s="44"/>
      <c r="H141" s="44"/>
      <c r="I141" s="61"/>
      <c r="J141" s="59"/>
      <c r="K141" s="58"/>
      <c r="L141" s="52"/>
    </row>
    <row r="142" spans="2:12">
      <c r="B142" s="50"/>
      <c r="C142" s="51"/>
      <c r="D142" s="44"/>
      <c r="E142" s="44"/>
      <c r="F142" s="44"/>
      <c r="G142" s="44"/>
      <c r="H142" s="44"/>
      <c r="I142" s="61"/>
      <c r="J142" s="59"/>
      <c r="K142" s="58"/>
      <c r="L142" s="52"/>
    </row>
    <row r="143" spans="2:12">
      <c r="B143" s="50"/>
      <c r="C143" s="51"/>
      <c r="D143" s="44"/>
      <c r="E143" s="44"/>
      <c r="F143" s="44"/>
      <c r="G143" s="44"/>
      <c r="H143" s="44"/>
      <c r="I143" s="61"/>
      <c r="J143" s="59"/>
      <c r="K143" s="58"/>
      <c r="L143" s="52"/>
    </row>
    <row r="144" spans="2:12">
      <c r="B144" s="50"/>
      <c r="C144" s="51"/>
      <c r="D144" s="44"/>
      <c r="E144" s="44"/>
      <c r="F144" s="44"/>
      <c r="G144" s="44"/>
      <c r="H144" s="44"/>
      <c r="I144" s="61"/>
      <c r="J144" s="59"/>
      <c r="K144" s="58"/>
      <c r="L144" s="52"/>
    </row>
    <row r="145" spans="2:12">
      <c r="B145" s="50"/>
      <c r="C145" s="51"/>
      <c r="D145" s="44"/>
      <c r="E145" s="44"/>
      <c r="F145" s="44"/>
      <c r="G145" s="44"/>
      <c r="H145" s="44"/>
      <c r="I145" s="61"/>
      <c r="J145" s="59"/>
      <c r="K145" s="58"/>
      <c r="L145" s="52"/>
    </row>
    <row r="146" spans="2:12">
      <c r="B146" s="50"/>
      <c r="C146" s="51"/>
      <c r="D146" s="44"/>
      <c r="E146" s="44"/>
      <c r="F146" s="44"/>
      <c r="G146" s="44"/>
      <c r="H146" s="44"/>
      <c r="I146" s="61"/>
      <c r="J146" s="59"/>
      <c r="K146" s="58"/>
      <c r="L146" s="52"/>
    </row>
    <row r="147" spans="2:12">
      <c r="B147" s="50"/>
      <c r="C147" s="51"/>
      <c r="D147" s="44"/>
      <c r="E147" s="44"/>
      <c r="F147" s="44"/>
      <c r="G147" s="44"/>
      <c r="H147" s="44"/>
      <c r="I147" s="61"/>
      <c r="J147" s="59"/>
      <c r="K147" s="58"/>
      <c r="L147" s="52"/>
    </row>
    <row r="148" spans="2:12">
      <c r="B148" s="50"/>
      <c r="C148" s="51"/>
      <c r="D148" s="44"/>
      <c r="E148" s="44"/>
      <c r="F148" s="44"/>
      <c r="G148" s="44"/>
      <c r="H148" s="44"/>
      <c r="I148" s="61"/>
      <c r="J148" s="59"/>
      <c r="K148" s="58"/>
      <c r="L148" s="52"/>
    </row>
    <row r="149" spans="2:12">
      <c r="B149" s="50"/>
      <c r="C149" s="51"/>
      <c r="D149" s="44"/>
      <c r="E149" s="44"/>
      <c r="F149" s="44"/>
      <c r="G149" s="44"/>
      <c r="H149" s="44"/>
      <c r="I149" s="61"/>
      <c r="J149" s="59"/>
      <c r="K149" s="58"/>
      <c r="L149" s="52"/>
    </row>
    <row r="150" spans="2:12">
      <c r="B150" s="50"/>
      <c r="C150" s="51"/>
      <c r="D150" s="44"/>
      <c r="E150" s="44"/>
      <c r="F150" s="44"/>
      <c r="G150" s="44"/>
      <c r="H150" s="44"/>
      <c r="I150" s="61"/>
      <c r="J150" s="59"/>
      <c r="K150" s="58"/>
      <c r="L150" s="52"/>
    </row>
    <row r="151" spans="2:12">
      <c r="B151" s="50"/>
      <c r="C151" s="51"/>
      <c r="D151" s="44"/>
      <c r="E151" s="44"/>
      <c r="F151" s="44"/>
      <c r="G151" s="44"/>
      <c r="H151" s="44"/>
      <c r="I151" s="61"/>
      <c r="J151" s="59"/>
      <c r="K151" s="58"/>
      <c r="L151" s="52"/>
    </row>
    <row r="152" spans="2:12">
      <c r="B152" s="50"/>
      <c r="C152" s="51"/>
      <c r="D152" s="44"/>
      <c r="E152" s="44"/>
      <c r="F152" s="44"/>
      <c r="G152" s="44"/>
      <c r="H152" s="44"/>
      <c r="I152" s="61"/>
      <c r="J152" s="59"/>
      <c r="K152" s="58"/>
      <c r="L152" s="52"/>
    </row>
    <row r="153" spans="2:12">
      <c r="B153" s="50"/>
      <c r="C153" s="51"/>
      <c r="D153" s="44"/>
      <c r="E153" s="44"/>
      <c r="F153" s="44"/>
      <c r="G153" s="44"/>
      <c r="H153" s="44"/>
      <c r="I153" s="61"/>
      <c r="J153" s="59"/>
      <c r="K153" s="58"/>
      <c r="L153" s="52"/>
    </row>
    <row r="154" spans="2:12">
      <c r="B154" s="50"/>
      <c r="C154" s="51"/>
      <c r="D154" s="44"/>
      <c r="E154" s="44"/>
      <c r="F154" s="44"/>
      <c r="G154" s="44"/>
      <c r="H154" s="44"/>
      <c r="I154" s="61"/>
      <c r="J154" s="59"/>
      <c r="K154" s="58"/>
      <c r="L154" s="52"/>
    </row>
    <row r="155" spans="2:12">
      <c r="B155" s="50"/>
      <c r="C155" s="51"/>
      <c r="D155" s="44"/>
      <c r="E155" s="44"/>
      <c r="F155" s="44"/>
      <c r="G155" s="44"/>
      <c r="H155" s="44"/>
      <c r="I155" s="61"/>
      <c r="J155" s="59"/>
      <c r="K155" s="58"/>
      <c r="L155" s="52"/>
    </row>
    <row r="156" spans="2:12">
      <c r="B156" s="50"/>
      <c r="C156" s="51"/>
      <c r="D156" s="44"/>
      <c r="E156" s="44"/>
      <c r="F156" s="44"/>
      <c r="G156" s="44"/>
      <c r="H156" s="44"/>
      <c r="I156" s="61"/>
      <c r="J156" s="59"/>
      <c r="K156" s="58"/>
      <c r="L156" s="52"/>
    </row>
    <row r="157" spans="2:12">
      <c r="B157" s="50"/>
      <c r="C157" s="51"/>
      <c r="D157" s="44"/>
      <c r="E157" s="44"/>
      <c r="F157" s="44"/>
      <c r="G157" s="44"/>
      <c r="H157" s="44"/>
      <c r="I157" s="61"/>
      <c r="J157" s="59"/>
      <c r="K157" s="58"/>
      <c r="L157" s="52"/>
    </row>
    <row r="158" spans="2:12">
      <c r="B158" s="50"/>
      <c r="C158" s="51"/>
      <c r="D158" s="44"/>
      <c r="E158" s="44"/>
      <c r="F158" s="44"/>
      <c r="G158" s="44"/>
      <c r="H158" s="44"/>
      <c r="I158" s="61"/>
      <c r="J158" s="59"/>
      <c r="K158" s="58"/>
      <c r="L158" s="52"/>
    </row>
    <row r="159" spans="2:12">
      <c r="B159" s="50"/>
      <c r="C159" s="51"/>
      <c r="D159" s="44"/>
      <c r="E159" s="44"/>
      <c r="F159" s="44"/>
      <c r="G159" s="44"/>
      <c r="H159" s="44"/>
      <c r="I159" s="61"/>
      <c r="J159" s="59"/>
      <c r="K159" s="58"/>
      <c r="L159" s="52"/>
    </row>
    <row r="160" spans="2:12">
      <c r="B160" s="50"/>
      <c r="C160" s="51"/>
      <c r="D160" s="44"/>
      <c r="E160" s="44"/>
      <c r="F160" s="44"/>
      <c r="G160" s="44"/>
      <c r="H160" s="44"/>
      <c r="I160" s="61"/>
      <c r="J160" s="59"/>
      <c r="K160" s="58"/>
      <c r="L160" s="52"/>
    </row>
    <row r="161" spans="2:12">
      <c r="B161" s="50"/>
      <c r="C161" s="51"/>
      <c r="D161" s="44"/>
      <c r="E161" s="44"/>
      <c r="F161" s="44"/>
      <c r="G161" s="44"/>
      <c r="H161" s="44"/>
      <c r="I161" s="61"/>
      <c r="J161" s="59"/>
      <c r="K161" s="58"/>
      <c r="L161" s="52"/>
    </row>
    <row r="162" spans="2:12">
      <c r="B162" s="50"/>
      <c r="C162" s="51"/>
      <c r="D162" s="44"/>
      <c r="E162" s="44"/>
      <c r="F162" s="44"/>
      <c r="G162" s="44"/>
      <c r="H162" s="44"/>
      <c r="I162" s="61"/>
      <c r="J162" s="59"/>
      <c r="K162" s="58"/>
      <c r="L162" s="52"/>
    </row>
    <row r="163" spans="2:12">
      <c r="B163" s="50"/>
      <c r="C163" s="51"/>
      <c r="D163" s="44"/>
      <c r="E163" s="44"/>
      <c r="F163" s="44"/>
      <c r="G163" s="44"/>
      <c r="H163" s="44"/>
      <c r="I163" s="61"/>
      <c r="J163" s="59"/>
      <c r="K163" s="58"/>
      <c r="L163" s="52"/>
    </row>
    <row r="164" spans="2:12">
      <c r="B164" s="50"/>
      <c r="C164" s="51"/>
      <c r="D164" s="44"/>
      <c r="E164" s="44"/>
      <c r="F164" s="44"/>
      <c r="G164" s="44"/>
      <c r="H164" s="44"/>
      <c r="I164" s="61"/>
      <c r="J164" s="59"/>
      <c r="K164" s="58"/>
      <c r="L164" s="52"/>
    </row>
    <row r="165" spans="2:12">
      <c r="B165" s="50"/>
      <c r="C165" s="51"/>
      <c r="D165" s="44"/>
      <c r="E165" s="44"/>
      <c r="F165" s="44"/>
      <c r="G165" s="44"/>
      <c r="H165" s="44"/>
      <c r="I165" s="61"/>
      <c r="J165" s="59"/>
      <c r="K165" s="58"/>
      <c r="L165" s="52"/>
    </row>
    <row r="166" spans="2:12">
      <c r="B166" s="50"/>
      <c r="C166" s="51"/>
      <c r="D166" s="44"/>
      <c r="E166" s="44"/>
      <c r="F166" s="44"/>
      <c r="G166" s="44"/>
      <c r="H166" s="44"/>
      <c r="I166" s="61"/>
      <c r="J166" s="59"/>
      <c r="K166" s="58"/>
      <c r="L166" s="52"/>
    </row>
    <row r="167" spans="2:12">
      <c r="B167" s="50"/>
      <c r="C167" s="51"/>
      <c r="D167" s="44"/>
      <c r="E167" s="44"/>
      <c r="F167" s="44"/>
      <c r="G167" s="44"/>
      <c r="H167" s="44"/>
      <c r="I167" s="61"/>
      <c r="J167" s="59"/>
      <c r="K167" s="58"/>
      <c r="L167" s="52"/>
    </row>
    <row r="168" spans="2:12">
      <c r="B168" s="50"/>
      <c r="C168" s="51"/>
      <c r="D168" s="44"/>
      <c r="E168" s="44"/>
      <c r="F168" s="44"/>
      <c r="G168" s="44"/>
      <c r="H168" s="44"/>
      <c r="I168" s="61"/>
      <c r="J168" s="59"/>
      <c r="K168" s="58"/>
      <c r="L168" s="52"/>
    </row>
    <row r="169" spans="2:12">
      <c r="B169" s="50"/>
      <c r="C169" s="51"/>
      <c r="D169" s="44"/>
      <c r="E169" s="44"/>
      <c r="F169" s="44"/>
      <c r="G169" s="44"/>
      <c r="H169" s="44"/>
      <c r="I169" s="61"/>
      <c r="J169" s="59"/>
      <c r="K169" s="58"/>
      <c r="L169" s="52"/>
    </row>
    <row r="170" spans="2:12">
      <c r="B170" s="50"/>
      <c r="C170" s="51"/>
      <c r="D170" s="44"/>
      <c r="E170" s="44"/>
      <c r="F170" s="44"/>
      <c r="G170" s="44"/>
      <c r="H170" s="44"/>
      <c r="I170" s="61"/>
      <c r="J170" s="59"/>
      <c r="K170" s="58"/>
      <c r="L170" s="52"/>
    </row>
    <row r="171" spans="2:12">
      <c r="B171" s="50"/>
      <c r="C171" s="51"/>
      <c r="D171" s="44"/>
      <c r="E171" s="44"/>
      <c r="F171" s="44"/>
      <c r="G171" s="44"/>
      <c r="H171" s="44"/>
      <c r="I171" s="61"/>
      <c r="J171" s="59"/>
      <c r="K171" s="58"/>
      <c r="L171" s="52"/>
    </row>
    <row r="172" spans="2:12">
      <c r="B172" s="50"/>
      <c r="C172" s="51"/>
      <c r="D172" s="44"/>
      <c r="E172" s="44"/>
      <c r="F172" s="44"/>
      <c r="G172" s="44"/>
      <c r="H172" s="44"/>
      <c r="I172" s="61"/>
      <c r="J172" s="59"/>
      <c r="K172" s="58"/>
      <c r="L172" s="52"/>
    </row>
    <row r="173" spans="2:12">
      <c r="B173" s="50"/>
      <c r="C173" s="51"/>
      <c r="D173" s="44"/>
      <c r="E173" s="44"/>
      <c r="F173" s="44"/>
      <c r="G173" s="44"/>
      <c r="H173" s="44"/>
      <c r="I173" s="61"/>
      <c r="J173" s="59"/>
      <c r="K173" s="58"/>
      <c r="L173" s="52"/>
    </row>
    <row r="174" spans="2:12">
      <c r="B174" s="50"/>
      <c r="C174" s="51"/>
      <c r="D174" s="44"/>
      <c r="E174" s="44"/>
      <c r="F174" s="44"/>
      <c r="G174" s="44"/>
      <c r="H174" s="44"/>
      <c r="I174" s="61"/>
      <c r="J174" s="59"/>
      <c r="K174" s="58"/>
      <c r="L174" s="52"/>
    </row>
    <row r="175" spans="2:12">
      <c r="B175" s="50"/>
      <c r="C175" s="51"/>
      <c r="D175" s="44"/>
      <c r="E175" s="44"/>
      <c r="F175" s="44"/>
      <c r="G175" s="44"/>
      <c r="H175" s="44"/>
      <c r="I175" s="61"/>
      <c r="J175" s="59"/>
      <c r="K175" s="58"/>
      <c r="L175" s="52"/>
    </row>
    <row r="176" spans="2:12">
      <c r="B176" s="50"/>
      <c r="C176" s="51"/>
      <c r="D176" s="44"/>
      <c r="E176" s="44"/>
      <c r="F176" s="44"/>
      <c r="G176" s="44"/>
      <c r="H176" s="44"/>
      <c r="I176" s="61"/>
      <c r="J176" s="59"/>
      <c r="K176" s="58"/>
      <c r="L176" s="52"/>
    </row>
    <row r="177" spans="2:12">
      <c r="B177" s="50"/>
      <c r="C177" s="51"/>
      <c r="D177" s="44"/>
      <c r="E177" s="44"/>
      <c r="F177" s="44"/>
      <c r="G177" s="44"/>
      <c r="H177" s="44"/>
      <c r="I177" s="61"/>
      <c r="J177" s="59"/>
      <c r="K177" s="58"/>
      <c r="L177" s="52"/>
    </row>
    <row r="178" spans="2:12">
      <c r="B178" s="50"/>
      <c r="C178" s="51"/>
      <c r="D178" s="44"/>
      <c r="E178" s="44"/>
      <c r="F178" s="44"/>
      <c r="G178" s="44"/>
      <c r="H178" s="44"/>
      <c r="I178" s="61"/>
      <c r="J178" s="59"/>
      <c r="K178" s="58"/>
      <c r="L178" s="52"/>
    </row>
    <row r="179" spans="2:12">
      <c r="B179" s="50"/>
      <c r="C179" s="51"/>
      <c r="D179" s="44"/>
      <c r="E179" s="44"/>
      <c r="F179" s="44"/>
      <c r="G179" s="44"/>
      <c r="H179" s="44"/>
      <c r="I179" s="61"/>
      <c r="J179" s="59"/>
      <c r="K179" s="58"/>
      <c r="L179" s="52"/>
    </row>
    <row r="180" spans="2:12">
      <c r="B180" s="50"/>
      <c r="C180" s="51"/>
      <c r="D180" s="44"/>
      <c r="E180" s="44"/>
      <c r="F180" s="44"/>
      <c r="G180" s="44"/>
      <c r="H180" s="44"/>
      <c r="I180" s="61"/>
      <c r="J180" s="59"/>
      <c r="K180" s="58"/>
      <c r="L180" s="52"/>
    </row>
    <row r="181" spans="2:12">
      <c r="B181" s="50"/>
      <c r="C181" s="51"/>
      <c r="D181" s="44"/>
      <c r="E181" s="44"/>
      <c r="F181" s="44"/>
      <c r="G181" s="44"/>
      <c r="H181" s="44"/>
      <c r="I181" s="61"/>
      <c r="J181" s="59"/>
      <c r="K181" s="58"/>
      <c r="L181" s="52"/>
    </row>
    <row r="182" spans="2:12">
      <c r="B182" s="50"/>
      <c r="C182" s="51"/>
      <c r="D182" s="44"/>
      <c r="E182" s="44"/>
      <c r="F182" s="44"/>
      <c r="G182" s="44"/>
      <c r="H182" s="44"/>
      <c r="I182" s="61"/>
      <c r="J182" s="59"/>
      <c r="K182" s="58"/>
      <c r="L182" s="52"/>
    </row>
    <row r="183" spans="2:12">
      <c r="B183" s="50"/>
      <c r="C183" s="51"/>
      <c r="D183" s="44"/>
      <c r="E183" s="44"/>
      <c r="F183" s="44"/>
      <c r="G183" s="44"/>
      <c r="H183" s="44"/>
      <c r="I183" s="61"/>
      <c r="J183" s="59"/>
      <c r="K183" s="58"/>
      <c r="L183" s="52"/>
    </row>
    <row r="184" spans="2:12">
      <c r="B184" s="50"/>
      <c r="C184" s="51"/>
      <c r="D184" s="44"/>
      <c r="E184" s="44"/>
      <c r="F184" s="44"/>
      <c r="G184" s="44"/>
      <c r="H184" s="44"/>
      <c r="I184" s="61"/>
      <c r="J184" s="59"/>
      <c r="K184" s="58"/>
      <c r="L184" s="52"/>
    </row>
    <row r="185" spans="2:12">
      <c r="B185" s="50"/>
      <c r="C185" s="51"/>
      <c r="D185" s="44"/>
      <c r="E185" s="44"/>
      <c r="F185" s="44"/>
      <c r="G185" s="44"/>
      <c r="H185" s="44"/>
      <c r="I185" s="61"/>
      <c r="J185" s="59"/>
      <c r="K185" s="58"/>
      <c r="L185" s="52"/>
    </row>
    <row r="186" spans="2:12">
      <c r="B186" s="50"/>
      <c r="C186" s="51"/>
      <c r="D186" s="44"/>
      <c r="E186" s="44"/>
      <c r="F186" s="44"/>
      <c r="G186" s="44"/>
      <c r="H186" s="44"/>
      <c r="I186" s="61"/>
      <c r="J186" s="59"/>
      <c r="K186" s="58"/>
      <c r="L186" s="52"/>
    </row>
    <row r="187" spans="2:12">
      <c r="B187" s="50"/>
      <c r="C187" s="51"/>
      <c r="D187" s="44"/>
      <c r="E187" s="44"/>
      <c r="F187" s="44"/>
      <c r="G187" s="44"/>
      <c r="H187" s="44"/>
      <c r="I187" s="61"/>
      <c r="J187" s="59"/>
      <c r="K187" s="58"/>
      <c r="L187" s="52"/>
    </row>
    <row r="188" spans="2:12">
      <c r="B188" s="50"/>
      <c r="C188" s="51"/>
      <c r="D188" s="44"/>
      <c r="E188" s="44"/>
      <c r="F188" s="44"/>
      <c r="G188" s="44"/>
      <c r="H188" s="44"/>
      <c r="I188" s="61"/>
      <c r="J188" s="59"/>
      <c r="K188" s="58"/>
      <c r="L188" s="52"/>
    </row>
    <row r="189" spans="2:12">
      <c r="B189" s="50"/>
      <c r="C189" s="51"/>
      <c r="D189" s="44"/>
      <c r="E189" s="44"/>
      <c r="F189" s="44"/>
      <c r="G189" s="44"/>
      <c r="H189" s="44"/>
      <c r="I189" s="61"/>
      <c r="J189" s="59"/>
      <c r="K189" s="58"/>
      <c r="L189" s="52"/>
    </row>
    <row r="190" spans="2:12">
      <c r="B190" s="50"/>
      <c r="C190" s="51"/>
      <c r="D190" s="44"/>
      <c r="E190" s="44"/>
      <c r="F190" s="44"/>
      <c r="G190" s="44"/>
      <c r="H190" s="44"/>
      <c r="I190" s="61"/>
      <c r="J190" s="59"/>
      <c r="K190" s="58"/>
      <c r="L190" s="52"/>
    </row>
    <row r="191" spans="2:12">
      <c r="B191" s="50"/>
      <c r="C191" s="51"/>
      <c r="D191" s="44"/>
      <c r="E191" s="44"/>
      <c r="F191" s="44"/>
      <c r="G191" s="44"/>
      <c r="H191" s="44"/>
      <c r="I191" s="61"/>
      <c r="J191" s="59"/>
      <c r="K191" s="58"/>
      <c r="L191" s="52"/>
    </row>
    <row r="192" spans="2:12">
      <c r="B192" s="50"/>
      <c r="C192" s="51"/>
      <c r="D192" s="44"/>
      <c r="E192" s="44"/>
      <c r="F192" s="44"/>
      <c r="G192" s="44"/>
      <c r="H192" s="44"/>
      <c r="I192" s="61"/>
      <c r="J192" s="59"/>
      <c r="K192" s="58"/>
      <c r="L192" s="52"/>
    </row>
    <row r="193" spans="2:12">
      <c r="B193" s="50"/>
      <c r="C193" s="51"/>
      <c r="D193" s="44"/>
      <c r="E193" s="44"/>
      <c r="F193" s="44"/>
      <c r="G193" s="44"/>
      <c r="H193" s="44"/>
      <c r="I193" s="61"/>
      <c r="J193" s="59"/>
      <c r="K193" s="58"/>
      <c r="L193" s="52"/>
    </row>
    <row r="194" spans="2:12">
      <c r="B194" s="50"/>
      <c r="C194" s="51"/>
      <c r="D194" s="44"/>
      <c r="E194" s="44"/>
      <c r="F194" s="44"/>
      <c r="G194" s="44"/>
      <c r="H194" s="44"/>
      <c r="I194" s="61"/>
      <c r="J194" s="59"/>
      <c r="K194" s="58"/>
      <c r="L194" s="52"/>
    </row>
    <row r="195" spans="2:12">
      <c r="B195" s="50"/>
      <c r="C195" s="51"/>
      <c r="D195" s="44"/>
      <c r="E195" s="44"/>
      <c r="F195" s="44"/>
      <c r="G195" s="44"/>
      <c r="H195" s="44"/>
      <c r="I195" s="61"/>
      <c r="J195" s="59"/>
      <c r="K195" s="58"/>
      <c r="L195" s="52"/>
    </row>
    <row r="196" spans="2:12">
      <c r="B196" s="50"/>
      <c r="C196" s="51"/>
      <c r="D196" s="44"/>
      <c r="E196" s="44"/>
      <c r="F196" s="44"/>
      <c r="G196" s="44"/>
      <c r="H196" s="44"/>
      <c r="I196" s="61"/>
      <c r="J196" s="59"/>
      <c r="K196" s="58"/>
      <c r="L196" s="52"/>
    </row>
    <row r="197" spans="2:12">
      <c r="B197" s="50"/>
      <c r="C197" s="51"/>
      <c r="D197" s="44"/>
      <c r="E197" s="44"/>
      <c r="F197" s="44"/>
      <c r="G197" s="44"/>
      <c r="H197" s="44"/>
      <c r="I197" s="61"/>
      <c r="J197" s="59"/>
      <c r="K197" s="58"/>
      <c r="L197" s="52"/>
    </row>
    <row r="198" spans="2:12">
      <c r="B198" s="50"/>
      <c r="C198" s="51"/>
      <c r="D198" s="44"/>
      <c r="E198" s="44"/>
      <c r="F198" s="44"/>
      <c r="G198" s="44"/>
      <c r="H198" s="44"/>
      <c r="I198" s="61"/>
      <c r="J198" s="59"/>
      <c r="K198" s="58"/>
      <c r="L198" s="52"/>
    </row>
    <row r="199" spans="2:12">
      <c r="B199" s="50"/>
      <c r="C199" s="51"/>
      <c r="D199" s="44"/>
      <c r="E199" s="44"/>
      <c r="F199" s="44"/>
      <c r="G199" s="44"/>
      <c r="H199" s="44"/>
      <c r="I199" s="61"/>
      <c r="J199" s="59"/>
      <c r="K199" s="58"/>
      <c r="L199" s="52"/>
    </row>
    <row r="200" spans="2:12">
      <c r="B200" s="50"/>
      <c r="C200" s="51"/>
      <c r="D200" s="44"/>
      <c r="E200" s="44"/>
      <c r="F200" s="44"/>
      <c r="G200" s="44"/>
      <c r="H200" s="44"/>
      <c r="I200" s="61"/>
      <c r="J200" s="59"/>
      <c r="K200" s="58"/>
      <c r="L200" s="52"/>
    </row>
    <row r="201" spans="2:12">
      <c r="B201" s="50"/>
      <c r="C201" s="51"/>
      <c r="D201" s="44"/>
      <c r="E201" s="44"/>
      <c r="F201" s="44"/>
      <c r="G201" s="44"/>
      <c r="H201" s="44"/>
      <c r="I201" s="61"/>
      <c r="J201" s="59"/>
      <c r="K201" s="58"/>
      <c r="L201" s="52"/>
    </row>
    <row r="202" spans="2:12">
      <c r="B202" s="50"/>
      <c r="C202" s="51"/>
      <c r="D202" s="44"/>
      <c r="E202" s="44"/>
      <c r="F202" s="44"/>
      <c r="G202" s="44"/>
      <c r="H202" s="44"/>
      <c r="I202" s="61"/>
      <c r="J202" s="59"/>
      <c r="K202" s="58"/>
      <c r="L202" s="52"/>
    </row>
    <row r="203" spans="2:12">
      <c r="B203" s="50"/>
      <c r="C203" s="51"/>
      <c r="D203" s="44"/>
      <c r="E203" s="44"/>
      <c r="F203" s="44"/>
      <c r="G203" s="44"/>
      <c r="H203" s="44"/>
      <c r="I203" s="61"/>
      <c r="J203" s="59"/>
      <c r="K203" s="58"/>
      <c r="L203" s="52"/>
    </row>
    <row r="204" spans="2:12">
      <c r="B204" s="50"/>
      <c r="C204" s="51"/>
      <c r="D204" s="44"/>
      <c r="E204" s="44"/>
      <c r="F204" s="44"/>
      <c r="G204" s="44"/>
      <c r="H204" s="44"/>
      <c r="I204" s="61"/>
      <c r="J204" s="59"/>
      <c r="K204" s="58"/>
      <c r="L204" s="52"/>
    </row>
    <row r="205" spans="2:12">
      <c r="B205" s="50"/>
      <c r="C205" s="51"/>
      <c r="D205" s="44"/>
      <c r="E205" s="44"/>
      <c r="F205" s="44"/>
      <c r="G205" s="44"/>
      <c r="H205" s="44"/>
      <c r="I205" s="61"/>
      <c r="J205" s="59"/>
      <c r="K205" s="58"/>
      <c r="L205" s="52"/>
    </row>
    <row r="206" spans="2:12">
      <c r="B206" s="50"/>
      <c r="C206" s="51"/>
      <c r="D206" s="44"/>
      <c r="E206" s="44"/>
      <c r="F206" s="44"/>
      <c r="G206" s="44"/>
      <c r="H206" s="44"/>
      <c r="I206" s="61"/>
      <c r="J206" s="59"/>
      <c r="K206" s="58"/>
      <c r="L206" s="52"/>
    </row>
    <row r="207" spans="2:12">
      <c r="B207" s="50"/>
      <c r="C207" s="51"/>
      <c r="D207" s="44"/>
      <c r="E207" s="44"/>
      <c r="F207" s="44"/>
      <c r="G207" s="44"/>
      <c r="H207" s="44"/>
      <c r="I207" s="61"/>
      <c r="J207" s="59"/>
      <c r="K207" s="58"/>
      <c r="L207" s="52"/>
    </row>
    <row r="208" spans="2:12">
      <c r="B208" s="50"/>
      <c r="C208" s="51"/>
      <c r="D208" s="44"/>
      <c r="E208" s="44"/>
      <c r="F208" s="44"/>
      <c r="G208" s="44"/>
      <c r="H208" s="44"/>
      <c r="I208" s="61"/>
      <c r="J208" s="59"/>
      <c r="K208" s="58"/>
      <c r="L208" s="52"/>
    </row>
    <row r="209" spans="2:12">
      <c r="B209" s="50"/>
      <c r="C209" s="51"/>
      <c r="D209" s="44"/>
      <c r="E209" s="44"/>
      <c r="F209" s="44"/>
      <c r="G209" s="44"/>
      <c r="H209" s="44"/>
      <c r="I209" s="61"/>
      <c r="J209" s="59"/>
      <c r="K209" s="58"/>
      <c r="L209" s="52"/>
    </row>
    <row r="210" spans="2:12">
      <c r="B210" s="50"/>
      <c r="C210" s="51"/>
      <c r="D210" s="44"/>
      <c r="E210" s="44"/>
      <c r="F210" s="44"/>
      <c r="G210" s="44"/>
      <c r="H210" s="44"/>
      <c r="I210" s="61"/>
      <c r="J210" s="59"/>
      <c r="K210" s="58"/>
      <c r="L210" s="52"/>
    </row>
    <row r="211" spans="2:12">
      <c r="B211" s="50"/>
      <c r="C211" s="51"/>
      <c r="D211" s="44"/>
      <c r="E211" s="44"/>
      <c r="F211" s="44"/>
      <c r="G211" s="44"/>
      <c r="H211" s="44"/>
      <c r="I211" s="61"/>
      <c r="J211" s="59"/>
      <c r="K211" s="58"/>
      <c r="L211" s="52"/>
    </row>
    <row r="212" spans="2:12">
      <c r="B212" s="50"/>
      <c r="C212" s="51"/>
      <c r="D212" s="44"/>
      <c r="E212" s="44"/>
      <c r="F212" s="44"/>
      <c r="G212" s="44"/>
      <c r="H212" s="44"/>
      <c r="I212" s="61"/>
      <c r="J212" s="59"/>
      <c r="K212" s="58"/>
      <c r="L212" s="52"/>
    </row>
    <row r="213" spans="2:12">
      <c r="B213" s="50"/>
      <c r="C213" s="51"/>
      <c r="D213" s="44"/>
      <c r="E213" s="44"/>
      <c r="F213" s="44"/>
      <c r="G213" s="44"/>
      <c r="H213" s="44"/>
      <c r="I213" s="61"/>
      <c r="J213" s="59"/>
      <c r="K213" s="58"/>
      <c r="L213" s="52"/>
    </row>
    <row r="214" spans="2:12">
      <c r="B214" s="50"/>
      <c r="C214" s="51"/>
      <c r="D214" s="44"/>
      <c r="E214" s="44"/>
      <c r="F214" s="44"/>
      <c r="G214" s="44"/>
      <c r="H214" s="44"/>
      <c r="I214" s="61"/>
      <c r="J214" s="59"/>
      <c r="K214" s="58"/>
      <c r="L214" s="52"/>
    </row>
    <row r="215" spans="2:12">
      <c r="B215" s="50"/>
      <c r="C215" s="51"/>
      <c r="D215" s="44"/>
      <c r="E215" s="44"/>
      <c r="F215" s="44"/>
      <c r="G215" s="44"/>
      <c r="H215" s="44"/>
      <c r="I215" s="61"/>
      <c r="J215" s="59"/>
      <c r="K215" s="58"/>
      <c r="L215" s="52"/>
    </row>
    <row r="216" spans="2:12">
      <c r="B216" s="50"/>
      <c r="C216" s="51"/>
      <c r="D216" s="44"/>
      <c r="E216" s="44"/>
      <c r="F216" s="44"/>
      <c r="G216" s="44"/>
      <c r="H216" s="44"/>
      <c r="I216" s="61"/>
      <c r="J216" s="59"/>
      <c r="K216" s="58"/>
      <c r="L216" s="52"/>
    </row>
    <row r="217" spans="2:12">
      <c r="B217" s="50"/>
      <c r="C217" s="51"/>
      <c r="D217" s="44"/>
      <c r="E217" s="44"/>
      <c r="F217" s="44"/>
      <c r="G217" s="44"/>
      <c r="H217" s="44"/>
      <c r="I217" s="61"/>
      <c r="J217" s="59"/>
      <c r="K217" s="58"/>
      <c r="L217" s="52"/>
    </row>
    <row r="218" spans="2:12">
      <c r="B218" s="50"/>
      <c r="C218" s="51"/>
      <c r="D218" s="44"/>
      <c r="E218" s="44"/>
      <c r="F218" s="44"/>
      <c r="G218" s="44"/>
      <c r="H218" s="44"/>
      <c r="I218" s="61"/>
      <c r="J218" s="59"/>
      <c r="K218" s="58"/>
      <c r="L218" s="52"/>
    </row>
    <row r="219" spans="2:12">
      <c r="B219" s="50"/>
      <c r="C219" s="51"/>
      <c r="D219" s="44"/>
      <c r="E219" s="44"/>
      <c r="F219" s="44"/>
      <c r="G219" s="44"/>
      <c r="H219" s="44"/>
      <c r="I219" s="61"/>
      <c r="J219" s="59"/>
      <c r="K219" s="58"/>
      <c r="L219" s="52"/>
    </row>
    <row r="220" spans="2:12">
      <c r="B220" s="50"/>
      <c r="C220" s="51"/>
      <c r="D220" s="44"/>
      <c r="E220" s="44"/>
      <c r="F220" s="44"/>
      <c r="G220" s="44"/>
      <c r="H220" s="44"/>
      <c r="I220" s="61"/>
      <c r="J220" s="59"/>
      <c r="K220" s="58"/>
      <c r="L220" s="52"/>
    </row>
    <row r="221" spans="2:12">
      <c r="B221" s="50"/>
      <c r="C221" s="51"/>
      <c r="D221" s="44"/>
      <c r="E221" s="44"/>
      <c r="F221" s="44"/>
      <c r="G221" s="44"/>
      <c r="H221" s="44"/>
      <c r="I221" s="61"/>
      <c r="J221" s="59"/>
      <c r="K221" s="58"/>
      <c r="L221" s="52"/>
    </row>
    <row r="222" spans="2:12">
      <c r="B222" s="50"/>
      <c r="C222" s="51"/>
      <c r="D222" s="44"/>
      <c r="E222" s="44"/>
      <c r="F222" s="44"/>
      <c r="G222" s="44"/>
      <c r="H222" s="44"/>
      <c r="I222" s="61"/>
      <c r="J222" s="59"/>
      <c r="K222" s="58"/>
      <c r="L222" s="52"/>
    </row>
    <row r="223" spans="2:12">
      <c r="B223" s="50"/>
      <c r="C223" s="51"/>
      <c r="D223" s="44"/>
      <c r="E223" s="44"/>
      <c r="F223" s="44"/>
      <c r="G223" s="44"/>
      <c r="H223" s="44"/>
      <c r="I223" s="61"/>
      <c r="J223" s="59"/>
      <c r="K223" s="58"/>
      <c r="L223" s="52"/>
    </row>
    <row r="224" spans="2:12">
      <c r="B224" s="50"/>
      <c r="C224" s="51"/>
      <c r="D224" s="44"/>
      <c r="E224" s="44"/>
      <c r="F224" s="44"/>
      <c r="G224" s="44"/>
      <c r="H224" s="44"/>
      <c r="I224" s="61"/>
      <c r="J224" s="59"/>
      <c r="K224" s="58"/>
      <c r="L224" s="52"/>
    </row>
    <row r="225" spans="2:12">
      <c r="B225" s="50"/>
      <c r="C225" s="51"/>
      <c r="D225" s="44"/>
      <c r="E225" s="44"/>
      <c r="F225" s="44"/>
      <c r="G225" s="44"/>
      <c r="H225" s="44"/>
      <c r="I225" s="61"/>
      <c r="J225" s="59"/>
      <c r="K225" s="58"/>
      <c r="L225" s="52"/>
    </row>
    <row r="226" spans="2:12">
      <c r="B226" s="50"/>
      <c r="C226" s="51"/>
      <c r="D226" s="44"/>
      <c r="E226" s="44"/>
      <c r="F226" s="44"/>
      <c r="G226" s="44"/>
      <c r="H226" s="44"/>
      <c r="I226" s="61"/>
      <c r="J226" s="59"/>
      <c r="K226" s="58"/>
      <c r="L226" s="52"/>
    </row>
    <row r="227" spans="2:12">
      <c r="B227" s="50"/>
      <c r="C227" s="51"/>
      <c r="D227" s="44"/>
      <c r="E227" s="44"/>
      <c r="F227" s="44"/>
      <c r="G227" s="44"/>
      <c r="H227" s="44"/>
      <c r="I227" s="61"/>
      <c r="J227" s="59"/>
      <c r="K227" s="58"/>
      <c r="L227" s="52"/>
    </row>
    <row r="228" spans="2:12">
      <c r="B228" s="50"/>
      <c r="C228" s="51"/>
      <c r="D228" s="44"/>
      <c r="E228" s="44"/>
      <c r="F228" s="44"/>
      <c r="G228" s="44"/>
      <c r="H228" s="44"/>
      <c r="I228" s="61"/>
      <c r="J228" s="59"/>
      <c r="K228" s="58"/>
      <c r="L228" s="52"/>
    </row>
    <row r="229" spans="2:12">
      <c r="B229" s="50"/>
      <c r="C229" s="51"/>
      <c r="D229" s="44"/>
      <c r="E229" s="44"/>
      <c r="F229" s="44"/>
      <c r="G229" s="44"/>
      <c r="H229" s="44"/>
      <c r="I229" s="61"/>
      <c r="J229" s="59"/>
      <c r="K229" s="58"/>
      <c r="L229" s="52"/>
    </row>
    <row r="230" spans="2:12">
      <c r="B230" s="50"/>
      <c r="C230" s="51"/>
      <c r="D230" s="44"/>
      <c r="E230" s="44"/>
      <c r="F230" s="44"/>
      <c r="G230" s="44"/>
      <c r="H230" s="44"/>
      <c r="I230" s="61"/>
      <c r="J230" s="59"/>
      <c r="K230" s="58"/>
      <c r="L230" s="52"/>
    </row>
    <row r="231" spans="2:12">
      <c r="B231" s="50"/>
      <c r="C231" s="51"/>
      <c r="D231" s="44"/>
      <c r="E231" s="44"/>
      <c r="F231" s="44"/>
      <c r="G231" s="44"/>
      <c r="H231" s="44"/>
      <c r="I231" s="61"/>
      <c r="J231" s="59"/>
      <c r="K231" s="58"/>
      <c r="L231" s="52"/>
    </row>
    <row r="232" spans="2:12">
      <c r="B232" s="50"/>
      <c r="C232" s="51"/>
      <c r="D232" s="44"/>
      <c r="E232" s="44"/>
      <c r="F232" s="44"/>
      <c r="G232" s="44"/>
      <c r="H232" s="44"/>
      <c r="I232" s="61"/>
      <c r="J232" s="59"/>
      <c r="K232" s="58"/>
      <c r="L232" s="52"/>
    </row>
    <row r="233" spans="2:12">
      <c r="B233" s="50"/>
      <c r="C233" s="51"/>
      <c r="D233" s="44"/>
      <c r="E233" s="44"/>
      <c r="F233" s="44"/>
      <c r="G233" s="44"/>
      <c r="H233" s="44"/>
      <c r="I233" s="61"/>
      <c r="J233" s="59"/>
      <c r="K233" s="58"/>
      <c r="L233" s="52"/>
    </row>
    <row r="234" spans="2:12">
      <c r="B234" s="50"/>
      <c r="C234" s="51"/>
      <c r="D234" s="44"/>
      <c r="E234" s="44"/>
      <c r="F234" s="44"/>
      <c r="G234" s="44"/>
      <c r="H234" s="44"/>
      <c r="I234" s="61"/>
      <c r="J234" s="59"/>
      <c r="K234" s="58"/>
      <c r="L234" s="52"/>
    </row>
    <row r="235" spans="2:12">
      <c r="B235" s="50"/>
      <c r="C235" s="51"/>
      <c r="D235" s="44"/>
      <c r="E235" s="44"/>
      <c r="F235" s="44"/>
      <c r="G235" s="44"/>
      <c r="H235" s="44"/>
      <c r="I235" s="61"/>
      <c r="J235" s="59"/>
      <c r="K235" s="58"/>
      <c r="L235" s="52"/>
    </row>
    <row r="236" spans="2:12">
      <c r="B236" s="50"/>
      <c r="C236" s="51"/>
      <c r="D236" s="44"/>
      <c r="E236" s="44"/>
      <c r="F236" s="44"/>
      <c r="G236" s="44"/>
      <c r="H236" s="44"/>
      <c r="I236" s="61"/>
      <c r="J236" s="59"/>
      <c r="K236" s="58"/>
      <c r="L236" s="52"/>
    </row>
    <row r="237" spans="2:12">
      <c r="B237" s="50"/>
      <c r="C237" s="51"/>
      <c r="D237" s="44"/>
      <c r="E237" s="44"/>
      <c r="F237" s="44"/>
      <c r="G237" s="44"/>
      <c r="H237" s="44"/>
      <c r="I237" s="61"/>
      <c r="J237" s="59"/>
      <c r="K237" s="58"/>
      <c r="L237" s="52"/>
    </row>
    <row r="238" spans="2:12">
      <c r="B238" s="50"/>
      <c r="C238" s="51"/>
      <c r="D238" s="44"/>
      <c r="E238" s="44"/>
      <c r="F238" s="44"/>
      <c r="G238" s="44"/>
      <c r="H238" s="44"/>
      <c r="I238" s="61"/>
      <c r="J238" s="59"/>
      <c r="K238" s="58"/>
      <c r="L238" s="52"/>
    </row>
    <row r="239" spans="2:12">
      <c r="B239" s="50"/>
      <c r="C239" s="51"/>
      <c r="D239" s="44"/>
      <c r="E239" s="44"/>
      <c r="F239" s="44"/>
      <c r="G239" s="44"/>
      <c r="H239" s="44"/>
      <c r="I239" s="61"/>
      <c r="J239" s="59"/>
      <c r="K239" s="58"/>
      <c r="L239" s="52"/>
    </row>
    <row r="240" spans="2:12">
      <c r="B240" s="50"/>
      <c r="C240" s="51"/>
      <c r="D240" s="44"/>
      <c r="E240" s="44"/>
      <c r="F240" s="44"/>
      <c r="G240" s="44"/>
      <c r="H240" s="44"/>
      <c r="I240" s="61"/>
      <c r="J240" s="59"/>
      <c r="K240" s="58"/>
      <c r="L240" s="52"/>
    </row>
    <row r="241" spans="2:12">
      <c r="B241" s="50"/>
      <c r="C241" s="51"/>
      <c r="D241" s="44"/>
      <c r="E241" s="44"/>
      <c r="F241" s="44"/>
      <c r="G241" s="44"/>
      <c r="H241" s="44"/>
      <c r="I241" s="61"/>
      <c r="J241" s="59"/>
      <c r="K241" s="58"/>
      <c r="L241" s="52"/>
    </row>
    <row r="242" spans="2:12">
      <c r="B242" s="50"/>
      <c r="C242" s="51"/>
      <c r="D242" s="44"/>
      <c r="E242" s="44"/>
      <c r="F242" s="44"/>
      <c r="G242" s="44"/>
      <c r="H242" s="44"/>
      <c r="I242" s="61"/>
      <c r="J242" s="59"/>
      <c r="K242" s="58"/>
      <c r="L242" s="52"/>
    </row>
    <row r="243" spans="2:12">
      <c r="B243" s="50"/>
      <c r="C243" s="51"/>
      <c r="D243" s="44"/>
      <c r="E243" s="44"/>
      <c r="F243" s="44"/>
      <c r="G243" s="44"/>
      <c r="H243" s="44"/>
      <c r="I243" s="61"/>
      <c r="J243" s="59"/>
      <c r="K243" s="58"/>
      <c r="L243" s="52"/>
    </row>
    <row r="244" spans="2:12">
      <c r="B244" s="50"/>
      <c r="C244" s="51"/>
      <c r="D244" s="44"/>
      <c r="E244" s="44"/>
      <c r="F244" s="44"/>
      <c r="G244" s="44"/>
      <c r="H244" s="44"/>
      <c r="I244" s="61"/>
      <c r="J244" s="59"/>
      <c r="K244" s="58"/>
      <c r="L244" s="52"/>
    </row>
    <row r="245" spans="2:12">
      <c r="B245" s="50"/>
      <c r="C245" s="51"/>
      <c r="D245" s="44"/>
      <c r="E245" s="44"/>
      <c r="F245" s="44"/>
      <c r="G245" s="44"/>
      <c r="H245" s="44"/>
      <c r="I245" s="61"/>
      <c r="J245" s="59"/>
      <c r="K245" s="58"/>
      <c r="L245" s="52"/>
    </row>
    <row r="246" spans="2:12">
      <c r="B246" s="50"/>
      <c r="C246" s="51"/>
      <c r="D246" s="44"/>
      <c r="E246" s="44"/>
      <c r="F246" s="44"/>
      <c r="G246" s="44"/>
      <c r="H246" s="44"/>
      <c r="I246" s="61"/>
      <c r="J246" s="59"/>
      <c r="K246" s="58"/>
      <c r="L246" s="52"/>
    </row>
    <row r="247" spans="2:12">
      <c r="B247" s="50"/>
      <c r="C247" s="51"/>
      <c r="D247" s="44"/>
      <c r="E247" s="44"/>
      <c r="F247" s="44"/>
      <c r="G247" s="44"/>
      <c r="H247" s="44"/>
      <c r="I247" s="61"/>
      <c r="J247" s="59"/>
      <c r="K247" s="58"/>
      <c r="L247" s="52"/>
    </row>
    <row r="248" spans="2:12">
      <c r="B248" s="50"/>
      <c r="C248" s="51"/>
      <c r="D248" s="44"/>
      <c r="E248" s="44"/>
      <c r="F248" s="44"/>
      <c r="G248" s="44"/>
      <c r="H248" s="44"/>
      <c r="I248" s="61"/>
      <c r="J248" s="59"/>
      <c r="K248" s="58"/>
      <c r="L248" s="52"/>
    </row>
    <row r="249" spans="2:12">
      <c r="B249" s="50"/>
      <c r="C249" s="51"/>
      <c r="D249" s="44"/>
      <c r="E249" s="44"/>
      <c r="F249" s="44"/>
      <c r="G249" s="44"/>
      <c r="H249" s="44"/>
      <c r="I249" s="61"/>
      <c r="J249" s="59"/>
      <c r="K249" s="58"/>
      <c r="L249" s="52"/>
    </row>
    <row r="250" spans="2:12">
      <c r="B250" s="50"/>
      <c r="C250" s="51"/>
      <c r="D250" s="44"/>
      <c r="E250" s="44"/>
      <c r="F250" s="44"/>
      <c r="G250" s="44"/>
      <c r="H250" s="44"/>
      <c r="I250" s="61"/>
      <c r="J250" s="59"/>
      <c r="K250" s="58"/>
      <c r="L250" s="52"/>
    </row>
    <row r="251" spans="2:12">
      <c r="B251" s="50"/>
      <c r="C251" s="51"/>
      <c r="D251" s="44"/>
      <c r="E251" s="44"/>
      <c r="F251" s="44"/>
      <c r="G251" s="44"/>
      <c r="H251" s="44"/>
      <c r="I251" s="61"/>
      <c r="J251" s="59"/>
      <c r="K251" s="58"/>
      <c r="L251" s="52"/>
    </row>
    <row r="252" spans="2:12">
      <c r="B252" s="50"/>
      <c r="C252" s="51"/>
      <c r="D252" s="44"/>
      <c r="E252" s="44"/>
      <c r="F252" s="44"/>
      <c r="G252" s="44"/>
      <c r="H252" s="44"/>
      <c r="I252" s="61"/>
      <c r="J252" s="59"/>
      <c r="K252" s="58"/>
      <c r="L252" s="52"/>
    </row>
    <row r="253" spans="2:12">
      <c r="B253" s="50"/>
      <c r="C253" s="51"/>
      <c r="D253" s="44"/>
      <c r="E253" s="44"/>
      <c r="F253" s="44"/>
      <c r="G253" s="44"/>
      <c r="H253" s="44"/>
      <c r="I253" s="61"/>
      <c r="J253" s="59"/>
      <c r="K253" s="58"/>
      <c r="L253" s="52"/>
    </row>
    <row r="254" spans="2:12">
      <c r="B254" s="50"/>
      <c r="C254" s="51"/>
      <c r="D254" s="44"/>
      <c r="E254" s="44"/>
      <c r="F254" s="44"/>
      <c r="G254" s="44"/>
      <c r="H254" s="44"/>
      <c r="I254" s="61"/>
      <c r="J254" s="59"/>
      <c r="K254" s="58"/>
      <c r="L254" s="52"/>
    </row>
    <row r="255" spans="2:12">
      <c r="B255" s="50"/>
      <c r="C255" s="51"/>
      <c r="D255" s="44"/>
      <c r="E255" s="44"/>
      <c r="F255" s="44"/>
      <c r="G255" s="44"/>
      <c r="H255" s="44"/>
      <c r="I255" s="61"/>
      <c r="J255" s="59"/>
      <c r="K255" s="58"/>
      <c r="L255" s="52"/>
    </row>
    <row r="256" spans="2:12">
      <c r="B256" s="50"/>
      <c r="C256" s="51"/>
      <c r="D256" s="44"/>
      <c r="E256" s="44"/>
      <c r="F256" s="44"/>
      <c r="G256" s="44"/>
      <c r="H256" s="44"/>
      <c r="I256" s="61"/>
      <c r="J256" s="59"/>
      <c r="K256" s="58"/>
      <c r="L256" s="52"/>
    </row>
    <row r="257" spans="2:12">
      <c r="B257" s="50"/>
      <c r="C257" s="51"/>
      <c r="D257" s="44"/>
      <c r="E257" s="44"/>
      <c r="F257" s="44"/>
      <c r="G257" s="44"/>
      <c r="H257" s="44"/>
      <c r="I257" s="61"/>
      <c r="J257" s="59"/>
      <c r="K257" s="58"/>
      <c r="L257" s="52"/>
    </row>
    <row r="258" spans="2:12">
      <c r="B258" s="50"/>
      <c r="C258" s="51"/>
      <c r="D258" s="44"/>
      <c r="E258" s="44"/>
      <c r="F258" s="44"/>
      <c r="G258" s="44"/>
      <c r="H258" s="44"/>
      <c r="I258" s="61"/>
      <c r="J258" s="59"/>
      <c r="K258" s="58"/>
      <c r="L258" s="52"/>
    </row>
    <row r="259" spans="2:12">
      <c r="B259" s="50"/>
      <c r="C259" s="51"/>
      <c r="D259" s="44"/>
      <c r="E259" s="44"/>
      <c r="F259" s="44"/>
      <c r="G259" s="44"/>
      <c r="H259" s="44"/>
      <c r="I259" s="61"/>
      <c r="J259" s="59"/>
      <c r="K259" s="58"/>
      <c r="L259" s="52"/>
    </row>
    <row r="260" spans="2:12">
      <c r="B260" s="50"/>
      <c r="C260" s="51"/>
      <c r="D260" s="44"/>
      <c r="E260" s="44"/>
      <c r="F260" s="44"/>
      <c r="G260" s="44"/>
      <c r="H260" s="44"/>
      <c r="I260" s="61"/>
      <c r="J260" s="59"/>
      <c r="K260" s="58"/>
      <c r="L260" s="52"/>
    </row>
    <row r="261" spans="2:12">
      <c r="B261" s="50"/>
      <c r="C261" s="51"/>
      <c r="D261" s="44"/>
      <c r="E261" s="44"/>
      <c r="F261" s="44"/>
      <c r="G261" s="44"/>
      <c r="H261" s="44"/>
      <c r="I261" s="61"/>
      <c r="J261" s="59"/>
      <c r="K261" s="58"/>
      <c r="L261" s="52"/>
    </row>
    <row r="262" spans="2:12">
      <c r="B262" s="50"/>
      <c r="C262" s="51"/>
      <c r="D262" s="44"/>
      <c r="E262" s="44"/>
      <c r="F262" s="44"/>
      <c r="G262" s="44"/>
      <c r="H262" s="44"/>
      <c r="I262" s="61"/>
      <c r="J262" s="59"/>
      <c r="K262" s="58"/>
      <c r="L262" s="52"/>
    </row>
    <row r="263" spans="2:12">
      <c r="B263" s="50"/>
      <c r="C263" s="51"/>
      <c r="D263" s="44"/>
      <c r="E263" s="44"/>
      <c r="F263" s="44"/>
      <c r="G263" s="44"/>
      <c r="H263" s="44"/>
      <c r="I263" s="61"/>
      <c r="J263" s="59"/>
      <c r="K263" s="58"/>
      <c r="L263" s="52"/>
    </row>
    <row r="264" spans="2:12">
      <c r="B264" s="50"/>
      <c r="C264" s="51"/>
      <c r="D264" s="44"/>
      <c r="E264" s="44"/>
      <c r="F264" s="44"/>
      <c r="G264" s="44"/>
      <c r="H264" s="44"/>
      <c r="I264" s="61"/>
      <c r="J264" s="59"/>
      <c r="K264" s="58"/>
      <c r="L264" s="52"/>
    </row>
    <row r="265" spans="2:12">
      <c r="B265" s="50"/>
      <c r="C265" s="51"/>
      <c r="D265" s="44"/>
      <c r="E265" s="44"/>
      <c r="F265" s="44"/>
      <c r="G265" s="44"/>
      <c r="H265" s="44"/>
      <c r="I265" s="61"/>
      <c r="J265" s="59"/>
      <c r="K265" s="58"/>
      <c r="L265" s="52"/>
    </row>
    <row r="266" spans="2:12">
      <c r="B266" s="50"/>
      <c r="C266" s="51"/>
      <c r="D266" s="44"/>
      <c r="E266" s="44"/>
      <c r="F266" s="44"/>
      <c r="G266" s="44"/>
      <c r="H266" s="44"/>
      <c r="I266" s="61"/>
      <c r="J266" s="59"/>
      <c r="K266" s="58"/>
      <c r="L266" s="52"/>
    </row>
    <row r="267" spans="2:12">
      <c r="B267" s="50"/>
      <c r="C267" s="51"/>
      <c r="D267" s="44"/>
      <c r="E267" s="44"/>
      <c r="F267" s="44"/>
      <c r="G267" s="44"/>
      <c r="H267" s="44"/>
      <c r="I267" s="61"/>
      <c r="J267" s="59"/>
      <c r="K267" s="58"/>
      <c r="L267" s="52"/>
    </row>
    <row r="268" spans="2:12">
      <c r="B268" s="50"/>
      <c r="C268" s="51"/>
      <c r="D268" s="44"/>
      <c r="E268" s="44"/>
      <c r="F268" s="44"/>
      <c r="G268" s="44"/>
      <c r="H268" s="44"/>
      <c r="I268" s="61"/>
      <c r="J268" s="59"/>
      <c r="K268" s="58"/>
      <c r="L268" s="52"/>
    </row>
    <row r="269" spans="2:12">
      <c r="B269" s="50"/>
      <c r="C269" s="51"/>
      <c r="D269" s="44"/>
      <c r="E269" s="44"/>
      <c r="F269" s="44"/>
      <c r="G269" s="44"/>
      <c r="H269" s="44"/>
      <c r="I269" s="61"/>
      <c r="J269" s="59"/>
      <c r="K269" s="58"/>
      <c r="L269" s="52"/>
    </row>
    <row r="270" spans="2:12">
      <c r="B270" s="50"/>
      <c r="C270" s="51"/>
      <c r="D270" s="44"/>
      <c r="E270" s="44"/>
      <c r="F270" s="44"/>
      <c r="G270" s="44"/>
      <c r="H270" s="44"/>
      <c r="I270" s="61"/>
      <c r="J270" s="59"/>
      <c r="K270" s="58"/>
      <c r="L270" s="52"/>
    </row>
    <row r="271" spans="2:12">
      <c r="B271" s="50"/>
      <c r="C271" s="51"/>
      <c r="D271" s="44"/>
      <c r="E271" s="44"/>
      <c r="F271" s="44"/>
      <c r="G271" s="44"/>
      <c r="H271" s="44"/>
      <c r="I271" s="61"/>
      <c r="J271" s="59"/>
      <c r="K271" s="58"/>
      <c r="L271" s="52"/>
    </row>
    <row r="272" spans="2:12">
      <c r="B272" s="50"/>
      <c r="C272" s="51"/>
      <c r="D272" s="44"/>
      <c r="E272" s="44"/>
      <c r="F272" s="44"/>
      <c r="G272" s="44"/>
      <c r="H272" s="44"/>
      <c r="I272" s="61"/>
      <c r="J272" s="59"/>
      <c r="K272" s="58"/>
      <c r="L272" s="52"/>
    </row>
    <row r="273" spans="2:12">
      <c r="B273" s="50"/>
      <c r="C273" s="51"/>
      <c r="D273" s="44"/>
      <c r="E273" s="44"/>
      <c r="F273" s="44"/>
      <c r="G273" s="44"/>
      <c r="H273" s="44"/>
      <c r="I273" s="61"/>
      <c r="J273" s="59"/>
      <c r="K273" s="58"/>
      <c r="L273" s="52"/>
    </row>
    <row r="274" spans="2:12">
      <c r="B274" s="50"/>
      <c r="C274" s="51"/>
      <c r="D274" s="44"/>
      <c r="E274" s="44"/>
      <c r="F274" s="44"/>
      <c r="G274" s="44"/>
      <c r="H274" s="44"/>
      <c r="I274" s="61"/>
      <c r="J274" s="59"/>
      <c r="K274" s="58"/>
      <c r="L274" s="52"/>
    </row>
    <row r="275" spans="2:12">
      <c r="B275" s="50"/>
      <c r="C275" s="51"/>
      <c r="D275" s="44"/>
      <c r="E275" s="44"/>
      <c r="F275" s="44"/>
      <c r="G275" s="44"/>
      <c r="H275" s="44"/>
      <c r="I275" s="61"/>
      <c r="J275" s="59"/>
      <c r="K275" s="58"/>
      <c r="L275" s="52"/>
    </row>
    <row r="276" spans="2:12">
      <c r="B276" s="50"/>
      <c r="C276" s="51"/>
      <c r="D276" s="44"/>
      <c r="E276" s="44"/>
      <c r="F276" s="44"/>
      <c r="G276" s="44"/>
      <c r="H276" s="44"/>
      <c r="I276" s="61"/>
      <c r="J276" s="59"/>
      <c r="K276" s="58"/>
      <c r="L276" s="52"/>
    </row>
    <row r="277" spans="2:12">
      <c r="B277" s="50"/>
      <c r="C277" s="51"/>
      <c r="D277" s="44"/>
      <c r="E277" s="44"/>
      <c r="F277" s="44"/>
      <c r="G277" s="44"/>
      <c r="H277" s="44"/>
      <c r="I277" s="61"/>
      <c r="J277" s="59"/>
      <c r="K277" s="58"/>
      <c r="L277" s="52"/>
    </row>
    <row r="278" spans="2:12">
      <c r="B278" s="50"/>
      <c r="C278" s="51"/>
      <c r="D278" s="44"/>
      <c r="E278" s="44"/>
      <c r="F278" s="44"/>
      <c r="G278" s="44"/>
      <c r="H278" s="44"/>
      <c r="I278" s="61"/>
      <c r="J278" s="59"/>
      <c r="K278" s="58"/>
      <c r="L278" s="52"/>
    </row>
    <row r="279" spans="2:12">
      <c r="B279" s="50"/>
      <c r="C279" s="51"/>
      <c r="D279" s="44"/>
      <c r="E279" s="44"/>
      <c r="F279" s="44"/>
      <c r="G279" s="44"/>
      <c r="H279" s="44"/>
      <c r="I279" s="61"/>
      <c r="J279" s="59"/>
      <c r="K279" s="58"/>
      <c r="L279" s="52"/>
    </row>
    <row r="280" spans="2:12">
      <c r="B280" s="50"/>
      <c r="C280" s="51"/>
      <c r="D280" s="44"/>
      <c r="E280" s="44"/>
      <c r="F280" s="44"/>
      <c r="G280" s="44"/>
      <c r="H280" s="44"/>
      <c r="I280" s="61"/>
      <c r="J280" s="59"/>
      <c r="K280" s="58"/>
      <c r="L280" s="52"/>
    </row>
    <row r="281" spans="2:12">
      <c r="B281" s="50"/>
      <c r="C281" s="51"/>
      <c r="D281" s="44"/>
      <c r="E281" s="44"/>
      <c r="F281" s="44"/>
      <c r="G281" s="44"/>
      <c r="H281" s="44"/>
      <c r="I281" s="61"/>
      <c r="J281" s="59"/>
      <c r="K281" s="58"/>
      <c r="L281" s="52"/>
    </row>
    <row r="282" spans="2:12">
      <c r="B282" s="50"/>
      <c r="C282" s="51"/>
      <c r="D282" s="44"/>
      <c r="E282" s="44"/>
      <c r="F282" s="44"/>
      <c r="G282" s="44"/>
      <c r="H282" s="44"/>
      <c r="I282" s="61"/>
      <c r="J282" s="59"/>
      <c r="K282" s="58"/>
      <c r="L282" s="52"/>
    </row>
    <row r="283" spans="2:12">
      <c r="B283" s="50"/>
      <c r="C283" s="51"/>
      <c r="D283" s="44"/>
      <c r="E283" s="44"/>
      <c r="F283" s="44"/>
      <c r="G283" s="44"/>
      <c r="H283" s="44"/>
      <c r="I283" s="61"/>
      <c r="J283" s="59"/>
      <c r="K283" s="58"/>
      <c r="L283" s="52"/>
    </row>
    <row r="284" spans="2:12">
      <c r="B284" s="50"/>
      <c r="C284" s="51"/>
      <c r="D284" s="44"/>
      <c r="E284" s="44"/>
      <c r="F284" s="44"/>
      <c r="G284" s="44"/>
      <c r="H284" s="44"/>
      <c r="I284" s="61"/>
      <c r="J284" s="59"/>
      <c r="K284" s="58"/>
      <c r="L284" s="52"/>
    </row>
    <row r="285" spans="2:12">
      <c r="B285" s="50"/>
      <c r="C285" s="51"/>
      <c r="D285" s="44"/>
      <c r="E285" s="44"/>
      <c r="F285" s="44"/>
      <c r="G285" s="44"/>
      <c r="H285" s="44"/>
      <c r="I285" s="61"/>
      <c r="J285" s="59"/>
      <c r="K285" s="58"/>
      <c r="L285" s="52"/>
    </row>
    <row r="286" spans="2:12">
      <c r="B286" s="50"/>
      <c r="C286" s="51"/>
      <c r="D286" s="44"/>
      <c r="E286" s="44"/>
      <c r="F286" s="44"/>
      <c r="G286" s="44"/>
      <c r="H286" s="44"/>
      <c r="I286" s="61"/>
      <c r="J286" s="59"/>
      <c r="K286" s="58"/>
      <c r="L286" s="52"/>
    </row>
    <row r="287" spans="2:12">
      <c r="B287" s="50"/>
      <c r="C287" s="51"/>
      <c r="D287" s="44"/>
      <c r="E287" s="44"/>
      <c r="F287" s="44"/>
      <c r="G287" s="44"/>
      <c r="H287" s="44"/>
      <c r="I287" s="61"/>
      <c r="J287" s="59"/>
      <c r="K287" s="58"/>
      <c r="L287" s="52"/>
    </row>
    <row r="288" spans="2:12">
      <c r="B288" s="50"/>
      <c r="C288" s="51"/>
      <c r="D288" s="44"/>
      <c r="E288" s="44"/>
      <c r="F288" s="44"/>
      <c r="G288" s="44"/>
      <c r="H288" s="44"/>
      <c r="I288" s="61"/>
      <c r="J288" s="59"/>
      <c r="K288" s="58"/>
      <c r="L288" s="52"/>
    </row>
    <row r="289" spans="2:12">
      <c r="B289" s="50"/>
      <c r="C289" s="51"/>
      <c r="D289" s="44"/>
      <c r="E289" s="44"/>
      <c r="F289" s="44"/>
      <c r="G289" s="44"/>
      <c r="H289" s="44"/>
      <c r="I289" s="61"/>
      <c r="J289" s="59"/>
      <c r="K289" s="58"/>
      <c r="L289" s="52"/>
    </row>
    <row r="290" spans="2:12">
      <c r="B290" s="50"/>
      <c r="C290" s="51"/>
      <c r="D290" s="44"/>
      <c r="E290" s="44"/>
      <c r="F290" s="44"/>
      <c r="G290" s="44"/>
      <c r="H290" s="44"/>
      <c r="I290" s="61"/>
      <c r="J290" s="59"/>
      <c r="K290" s="58"/>
      <c r="L290" s="52"/>
    </row>
    <row r="291" spans="2:12">
      <c r="B291" s="50"/>
      <c r="C291" s="51"/>
      <c r="D291" s="44"/>
      <c r="E291" s="44"/>
      <c r="F291" s="44"/>
      <c r="G291" s="44"/>
      <c r="H291" s="44"/>
      <c r="I291" s="61"/>
      <c r="J291" s="59"/>
      <c r="K291" s="58"/>
      <c r="L291" s="52"/>
    </row>
    <row r="292" spans="2:12">
      <c r="B292" s="50"/>
      <c r="C292" s="51"/>
      <c r="D292" s="44"/>
      <c r="E292" s="44"/>
      <c r="F292" s="44"/>
      <c r="G292" s="44"/>
      <c r="H292" s="44"/>
      <c r="I292" s="61"/>
      <c r="J292" s="59"/>
      <c r="K292" s="58"/>
      <c r="L292" s="52"/>
    </row>
    <row r="293" spans="2:12">
      <c r="B293" s="50"/>
      <c r="C293" s="51"/>
      <c r="D293" s="44"/>
      <c r="E293" s="44"/>
      <c r="F293" s="44"/>
      <c r="G293" s="44"/>
      <c r="H293" s="44"/>
      <c r="I293" s="61"/>
      <c r="J293" s="59"/>
      <c r="K293" s="58"/>
      <c r="L293" s="52"/>
    </row>
    <row r="294" spans="2:12">
      <c r="B294" s="50"/>
      <c r="C294" s="51"/>
      <c r="D294" s="44"/>
      <c r="E294" s="44"/>
      <c r="F294" s="44"/>
      <c r="G294" s="44"/>
      <c r="H294" s="44"/>
      <c r="I294" s="61"/>
      <c r="J294" s="59"/>
      <c r="K294" s="58"/>
      <c r="L294" s="52"/>
    </row>
    <row r="295" spans="2:12">
      <c r="B295" s="50"/>
      <c r="C295" s="51"/>
      <c r="D295" s="44"/>
      <c r="E295" s="44"/>
      <c r="F295" s="44"/>
      <c r="G295" s="44"/>
      <c r="H295" s="44"/>
      <c r="I295" s="61"/>
      <c r="J295" s="59"/>
      <c r="K295" s="58"/>
      <c r="L295" s="52"/>
    </row>
    <row r="296" spans="2:12">
      <c r="B296" s="50"/>
      <c r="C296" s="51"/>
      <c r="D296" s="44"/>
      <c r="E296" s="44"/>
      <c r="F296" s="44"/>
      <c r="G296" s="44"/>
      <c r="H296" s="44"/>
      <c r="I296" s="61"/>
      <c r="J296" s="59"/>
      <c r="K296" s="58"/>
      <c r="L296" s="52"/>
    </row>
    <row r="297" spans="2:12">
      <c r="B297" s="50"/>
      <c r="C297" s="51"/>
      <c r="D297" s="44"/>
      <c r="E297" s="44"/>
      <c r="F297" s="44"/>
      <c r="G297" s="44"/>
      <c r="H297" s="44"/>
      <c r="I297" s="61"/>
      <c r="J297" s="59"/>
      <c r="K297" s="58"/>
      <c r="L297" s="52"/>
    </row>
    <row r="298" spans="2:12">
      <c r="B298" s="50"/>
      <c r="C298" s="51"/>
      <c r="D298" s="44"/>
      <c r="E298" s="44"/>
      <c r="F298" s="44"/>
      <c r="G298" s="44"/>
      <c r="H298" s="44"/>
      <c r="I298" s="61"/>
      <c r="J298" s="59"/>
      <c r="K298" s="58"/>
      <c r="L298" s="52"/>
    </row>
    <row r="299" spans="2:12">
      <c r="B299" s="50"/>
      <c r="C299" s="51"/>
      <c r="D299" s="44"/>
      <c r="E299" s="44"/>
      <c r="F299" s="44"/>
      <c r="G299" s="44"/>
      <c r="H299" s="44"/>
      <c r="I299" s="61"/>
      <c r="J299" s="59"/>
      <c r="K299" s="58"/>
      <c r="L299" s="52"/>
    </row>
    <row r="300" spans="2:12">
      <c r="B300" s="50"/>
      <c r="C300" s="51"/>
      <c r="D300" s="44"/>
      <c r="E300" s="44"/>
      <c r="F300" s="44"/>
      <c r="G300" s="44"/>
      <c r="H300" s="44"/>
      <c r="I300" s="61"/>
      <c r="J300" s="59"/>
      <c r="K300" s="58"/>
      <c r="L300" s="52"/>
    </row>
    <row r="301" spans="2:12">
      <c r="B301" s="50"/>
      <c r="C301" s="51"/>
      <c r="D301" s="44"/>
      <c r="E301" s="44"/>
      <c r="F301" s="44"/>
      <c r="G301" s="44"/>
      <c r="H301" s="44"/>
      <c r="I301" s="61"/>
      <c r="J301" s="59"/>
      <c r="K301" s="58"/>
      <c r="L301" s="52"/>
    </row>
    <row r="302" spans="2:12">
      <c r="B302" s="50"/>
      <c r="C302" s="51"/>
      <c r="D302" s="44"/>
      <c r="E302" s="44"/>
      <c r="F302" s="44"/>
      <c r="G302" s="44"/>
      <c r="H302" s="44"/>
      <c r="I302" s="61"/>
      <c r="J302" s="59"/>
      <c r="K302" s="58"/>
      <c r="L302" s="52"/>
    </row>
    <row r="303" spans="2:12">
      <c r="B303" s="50"/>
      <c r="C303" s="51"/>
      <c r="D303" s="44"/>
      <c r="E303" s="44"/>
      <c r="F303" s="44"/>
      <c r="G303" s="44"/>
      <c r="H303" s="44"/>
      <c r="I303" s="61"/>
      <c r="J303" s="59"/>
      <c r="K303" s="58"/>
      <c r="L303" s="52"/>
    </row>
    <row r="304" spans="2:12">
      <c r="B304" s="50"/>
      <c r="C304" s="51"/>
      <c r="D304" s="44"/>
      <c r="E304" s="44"/>
      <c r="F304" s="44"/>
      <c r="G304" s="44"/>
      <c r="H304" s="44"/>
      <c r="I304" s="61"/>
      <c r="J304" s="59"/>
      <c r="K304" s="58"/>
      <c r="L304" s="52"/>
    </row>
    <row r="305" spans="2:12">
      <c r="B305" s="50"/>
      <c r="C305" s="51"/>
      <c r="D305" s="44"/>
      <c r="E305" s="44"/>
      <c r="F305" s="44"/>
      <c r="G305" s="44"/>
      <c r="H305" s="44"/>
      <c r="I305" s="61"/>
      <c r="J305" s="59"/>
      <c r="K305" s="58"/>
      <c r="L305" s="52"/>
    </row>
    <row r="306" spans="2:12">
      <c r="B306" s="50"/>
      <c r="C306" s="51"/>
      <c r="D306" s="44"/>
      <c r="E306" s="44"/>
      <c r="F306" s="44"/>
      <c r="G306" s="44"/>
      <c r="H306" s="44"/>
      <c r="I306" s="61"/>
      <c r="J306" s="59"/>
      <c r="K306" s="58"/>
      <c r="L306" s="52"/>
    </row>
    <row r="307" spans="2:12">
      <c r="B307" s="50"/>
      <c r="C307" s="51"/>
      <c r="D307" s="44"/>
      <c r="E307" s="44"/>
      <c r="F307" s="44"/>
      <c r="G307" s="44"/>
      <c r="H307" s="44"/>
      <c r="I307" s="61"/>
      <c r="J307" s="59"/>
      <c r="K307" s="58"/>
      <c r="L307" s="52"/>
    </row>
    <row r="308" spans="2:12">
      <c r="B308" s="50"/>
      <c r="C308" s="51"/>
      <c r="D308" s="44"/>
      <c r="E308" s="44"/>
      <c r="F308" s="44"/>
      <c r="G308" s="44"/>
      <c r="H308" s="44"/>
      <c r="I308" s="61"/>
      <c r="J308" s="59"/>
      <c r="K308" s="58"/>
      <c r="L308" s="52"/>
    </row>
    <row r="309" spans="2:12">
      <c r="B309" s="50"/>
      <c r="C309" s="51"/>
      <c r="D309" s="44"/>
      <c r="E309" s="44"/>
      <c r="F309" s="44"/>
      <c r="G309" s="44"/>
      <c r="H309" s="44"/>
      <c r="I309" s="61"/>
      <c r="J309" s="59"/>
      <c r="K309" s="58"/>
      <c r="L309" s="52"/>
    </row>
    <row r="310" spans="2:12">
      <c r="B310" s="50"/>
      <c r="C310" s="51"/>
      <c r="D310" s="44"/>
      <c r="E310" s="44"/>
      <c r="F310" s="44"/>
      <c r="G310" s="44"/>
      <c r="H310" s="44"/>
      <c r="I310" s="61"/>
      <c r="J310" s="59"/>
      <c r="K310" s="58"/>
      <c r="L310" s="52"/>
    </row>
    <row r="311" spans="2:12">
      <c r="B311" s="50"/>
      <c r="C311" s="51"/>
      <c r="D311" s="44"/>
      <c r="E311" s="44"/>
      <c r="F311" s="44"/>
      <c r="G311" s="44"/>
      <c r="H311" s="44"/>
      <c r="I311" s="61"/>
      <c r="J311" s="59"/>
      <c r="K311" s="58"/>
      <c r="L311" s="52"/>
    </row>
    <row r="312" spans="2:12">
      <c r="B312" s="50"/>
      <c r="C312" s="51"/>
      <c r="D312" s="44"/>
      <c r="E312" s="44"/>
      <c r="F312" s="44"/>
      <c r="G312" s="44"/>
      <c r="H312" s="44"/>
      <c r="I312" s="61"/>
      <c r="J312" s="59"/>
      <c r="K312" s="58"/>
      <c r="L312" s="52"/>
    </row>
    <row r="313" spans="2:12">
      <c r="B313" s="50"/>
      <c r="C313" s="51"/>
      <c r="D313" s="44"/>
      <c r="E313" s="44"/>
      <c r="F313" s="44"/>
      <c r="G313" s="44"/>
      <c r="H313" s="44"/>
      <c r="I313" s="61"/>
      <c r="J313" s="59"/>
      <c r="K313" s="58"/>
      <c r="L313" s="52"/>
    </row>
    <row r="314" spans="2:12">
      <c r="B314" s="50"/>
      <c r="C314" s="51"/>
      <c r="D314" s="44"/>
      <c r="E314" s="44"/>
      <c r="F314" s="44"/>
      <c r="G314" s="44"/>
      <c r="H314" s="44"/>
      <c r="I314" s="61"/>
      <c r="J314" s="59"/>
      <c r="K314" s="58"/>
      <c r="L314" s="52"/>
    </row>
    <row r="315" spans="2:12">
      <c r="B315" s="50"/>
      <c r="C315" s="51"/>
      <c r="D315" s="44"/>
      <c r="E315" s="44"/>
      <c r="F315" s="44"/>
      <c r="G315" s="44"/>
      <c r="H315" s="44"/>
      <c r="I315" s="61"/>
      <c r="J315" s="59"/>
      <c r="K315" s="58"/>
      <c r="L315" s="52"/>
    </row>
    <row r="316" spans="2:12">
      <c r="B316" s="50"/>
      <c r="C316" s="51"/>
      <c r="D316" s="44"/>
      <c r="E316" s="44"/>
      <c r="F316" s="44"/>
      <c r="G316" s="44"/>
      <c r="H316" s="44"/>
      <c r="I316" s="61"/>
      <c r="J316" s="59"/>
      <c r="K316" s="58"/>
      <c r="L316" s="52"/>
    </row>
    <row r="317" spans="2:12">
      <c r="B317" s="50"/>
      <c r="C317" s="51"/>
      <c r="D317" s="44"/>
      <c r="E317" s="44"/>
      <c r="F317" s="44"/>
      <c r="G317" s="44"/>
      <c r="H317" s="44"/>
      <c r="I317" s="61"/>
      <c r="J317" s="59"/>
      <c r="K317" s="58"/>
      <c r="L317" s="52"/>
    </row>
    <row r="318" spans="2:12">
      <c r="B318" s="50"/>
      <c r="C318" s="51"/>
      <c r="D318" s="44"/>
      <c r="E318" s="44"/>
      <c r="F318" s="44"/>
      <c r="G318" s="44"/>
      <c r="H318" s="44"/>
      <c r="I318" s="61"/>
      <c r="J318" s="59"/>
      <c r="K318" s="58"/>
      <c r="L318" s="52"/>
    </row>
    <row r="319" spans="2:12">
      <c r="B319" s="50"/>
      <c r="C319" s="51"/>
      <c r="D319" s="44"/>
      <c r="E319" s="44"/>
      <c r="F319" s="44"/>
      <c r="G319" s="44"/>
      <c r="H319" s="44"/>
      <c r="I319" s="61"/>
      <c r="J319" s="59"/>
      <c r="K319" s="58"/>
      <c r="L319" s="52"/>
    </row>
    <row r="320" spans="2:12">
      <c r="B320" s="50"/>
      <c r="C320" s="51"/>
      <c r="D320" s="44"/>
      <c r="E320" s="44"/>
      <c r="F320" s="44"/>
      <c r="G320" s="44"/>
      <c r="H320" s="44"/>
      <c r="I320" s="61"/>
      <c r="J320" s="59"/>
      <c r="K320" s="58"/>
      <c r="L320" s="52"/>
    </row>
    <row r="321" spans="2:12">
      <c r="B321" s="50"/>
      <c r="C321" s="51"/>
      <c r="D321" s="44"/>
      <c r="E321" s="44"/>
      <c r="F321" s="44"/>
      <c r="G321" s="44"/>
      <c r="H321" s="44"/>
      <c r="I321" s="61"/>
      <c r="J321" s="59"/>
      <c r="K321" s="58"/>
      <c r="L321" s="52"/>
    </row>
    <row r="322" spans="2:12">
      <c r="B322" s="50"/>
      <c r="C322" s="51"/>
      <c r="D322" s="44"/>
      <c r="E322" s="44"/>
      <c r="F322" s="44"/>
      <c r="G322" s="44"/>
      <c r="H322" s="44"/>
      <c r="I322" s="61"/>
      <c r="J322" s="59"/>
      <c r="K322" s="58"/>
      <c r="L322" s="52"/>
    </row>
    <row r="323" spans="2:12">
      <c r="B323" s="50"/>
      <c r="C323" s="51"/>
      <c r="D323" s="44"/>
      <c r="E323" s="44"/>
      <c r="F323" s="44"/>
      <c r="G323" s="44"/>
      <c r="H323" s="44"/>
      <c r="I323" s="61"/>
      <c r="J323" s="59"/>
      <c r="K323" s="58"/>
      <c r="L323" s="52"/>
    </row>
    <row r="324" spans="2:12">
      <c r="B324" s="50"/>
      <c r="C324" s="51"/>
      <c r="D324" s="44"/>
      <c r="E324" s="44"/>
      <c r="F324" s="44"/>
      <c r="G324" s="44"/>
      <c r="H324" s="44"/>
      <c r="I324" s="61"/>
      <c r="J324" s="59"/>
      <c r="K324" s="58"/>
      <c r="L324" s="52"/>
    </row>
    <row r="325" spans="2:12">
      <c r="B325" s="50"/>
      <c r="C325" s="51"/>
      <c r="D325" s="44"/>
      <c r="E325" s="44"/>
      <c r="F325" s="44"/>
      <c r="G325" s="44"/>
      <c r="H325" s="44"/>
      <c r="I325" s="61"/>
      <c r="J325" s="59"/>
      <c r="K325" s="58"/>
      <c r="L325" s="52"/>
    </row>
    <row r="326" spans="2:12">
      <c r="B326" s="50"/>
      <c r="C326" s="51"/>
      <c r="D326" s="44"/>
      <c r="E326" s="44"/>
      <c r="F326" s="44"/>
      <c r="G326" s="44"/>
      <c r="H326" s="44"/>
      <c r="I326" s="61"/>
      <c r="J326" s="59"/>
      <c r="K326" s="58"/>
      <c r="L326" s="52"/>
    </row>
    <row r="327" spans="2:12">
      <c r="B327" s="50"/>
      <c r="C327" s="51"/>
      <c r="D327" s="44"/>
      <c r="E327" s="44"/>
      <c r="F327" s="44"/>
      <c r="G327" s="44"/>
      <c r="H327" s="44"/>
      <c r="I327" s="61"/>
      <c r="J327" s="59"/>
      <c r="K327" s="58"/>
      <c r="L327" s="52"/>
    </row>
    <row r="328" spans="2:12">
      <c r="B328" s="50"/>
      <c r="C328" s="51"/>
      <c r="D328" s="44"/>
      <c r="E328" s="44"/>
      <c r="F328" s="44"/>
      <c r="G328" s="44"/>
      <c r="H328" s="44"/>
      <c r="I328" s="61"/>
      <c r="J328" s="59"/>
      <c r="K328" s="58"/>
      <c r="L328" s="52"/>
    </row>
    <row r="329" spans="2:12">
      <c r="B329" s="50"/>
      <c r="C329" s="51"/>
      <c r="D329" s="44"/>
      <c r="E329" s="44"/>
      <c r="F329" s="44"/>
      <c r="G329" s="44"/>
      <c r="H329" s="44"/>
      <c r="I329" s="61"/>
      <c r="J329" s="59"/>
      <c r="K329" s="58"/>
      <c r="L329" s="52"/>
    </row>
    <row r="330" spans="2:12">
      <c r="B330" s="50"/>
      <c r="C330" s="51"/>
      <c r="D330" s="44"/>
      <c r="E330" s="44"/>
      <c r="F330" s="44"/>
      <c r="G330" s="44"/>
      <c r="H330" s="44"/>
      <c r="I330" s="61"/>
      <c r="J330" s="59"/>
      <c r="K330" s="58"/>
      <c r="L330" s="52"/>
    </row>
    <row r="331" spans="2:12">
      <c r="B331" s="50"/>
      <c r="C331" s="51"/>
      <c r="D331" s="44"/>
      <c r="E331" s="44"/>
      <c r="F331" s="44"/>
      <c r="G331" s="44"/>
      <c r="H331" s="44"/>
      <c r="I331" s="61"/>
      <c r="J331" s="59"/>
      <c r="K331" s="58"/>
      <c r="L331" s="52"/>
    </row>
    <row r="332" spans="2:12">
      <c r="B332" s="50"/>
      <c r="C332" s="51"/>
      <c r="D332" s="44"/>
      <c r="E332" s="44"/>
      <c r="F332" s="44"/>
      <c r="G332" s="44"/>
      <c r="H332" s="44"/>
      <c r="I332" s="61"/>
      <c r="J332" s="59"/>
      <c r="K332" s="58"/>
      <c r="L332" s="52"/>
    </row>
    <row r="333" spans="2:12">
      <c r="B333" s="50"/>
      <c r="C333" s="51"/>
      <c r="D333" s="44"/>
      <c r="E333" s="44"/>
      <c r="F333" s="44"/>
      <c r="G333" s="44"/>
      <c r="I333" s="61"/>
      <c r="J333" s="59"/>
      <c r="K333" s="58"/>
      <c r="L333" s="52"/>
    </row>
    <row r="334" spans="2:12">
      <c r="B334" s="50"/>
      <c r="C334" s="51"/>
      <c r="D334" s="44"/>
      <c r="E334" s="44"/>
      <c r="F334" s="44"/>
      <c r="G334" s="44"/>
      <c r="I334" s="61"/>
      <c r="J334" s="59"/>
      <c r="K334" s="58"/>
      <c r="L334" s="52"/>
    </row>
    <row r="335" spans="2:12">
      <c r="B335" s="50"/>
      <c r="C335" s="51"/>
      <c r="D335" s="44"/>
      <c r="E335" s="44"/>
      <c r="F335" s="44"/>
      <c r="G335" s="44"/>
      <c r="I335" s="61"/>
      <c r="J335" s="59"/>
      <c r="K335" s="58"/>
      <c r="L335" s="52"/>
    </row>
    <row r="336" spans="2:12">
      <c r="B336" s="50"/>
      <c r="C336" s="51"/>
      <c r="D336" s="44"/>
      <c r="E336" s="44"/>
      <c r="F336" s="44"/>
      <c r="G336" s="44"/>
      <c r="I336" s="61"/>
      <c r="J336" s="59"/>
      <c r="K336" s="58"/>
      <c r="L336" s="52"/>
    </row>
    <row r="337" spans="2:12">
      <c r="B337" s="50"/>
      <c r="C337" s="51"/>
      <c r="D337" s="44"/>
      <c r="E337" s="44"/>
      <c r="F337" s="44"/>
      <c r="G337" s="44"/>
      <c r="I337" s="61"/>
      <c r="J337" s="59"/>
      <c r="K337" s="58"/>
      <c r="L337" s="52"/>
    </row>
    <row r="338" spans="2:12">
      <c r="B338" s="50"/>
      <c r="C338" s="51"/>
      <c r="D338" s="44"/>
      <c r="E338" s="44"/>
      <c r="F338" s="44"/>
      <c r="G338" s="44"/>
      <c r="I338" s="61"/>
      <c r="J338" s="59"/>
      <c r="K338" s="58"/>
      <c r="L338" s="52"/>
    </row>
    <row r="339" spans="2:12">
      <c r="B339" s="50"/>
      <c r="C339" s="51"/>
      <c r="D339" s="44"/>
      <c r="E339" s="44"/>
      <c r="F339" s="44"/>
      <c r="G339" s="44"/>
      <c r="I339" s="61"/>
      <c r="J339" s="59"/>
      <c r="K339" s="58"/>
      <c r="L339" s="52"/>
    </row>
    <row r="340" spans="2:12">
      <c r="B340" s="50"/>
      <c r="C340" s="51"/>
      <c r="D340" s="44"/>
      <c r="E340" s="44"/>
      <c r="F340" s="44"/>
      <c r="G340" s="44"/>
      <c r="I340" s="61"/>
      <c r="J340" s="59"/>
      <c r="K340" s="58"/>
      <c r="L340" s="52"/>
    </row>
    <row r="341" spans="2:12">
      <c r="B341" s="50"/>
      <c r="C341" s="51"/>
      <c r="D341" s="44"/>
      <c r="E341" s="44"/>
      <c r="F341" s="44"/>
      <c r="G341" s="44"/>
      <c r="I341" s="61"/>
      <c r="J341" s="59"/>
      <c r="K341" s="58"/>
      <c r="L341" s="52"/>
    </row>
    <row r="342" spans="2:12">
      <c r="B342" s="50"/>
      <c r="C342" s="51"/>
      <c r="D342" s="44"/>
      <c r="E342" s="44"/>
      <c r="F342" s="44"/>
      <c r="G342" s="44"/>
      <c r="I342" s="61"/>
      <c r="J342" s="59"/>
      <c r="K342" s="58"/>
      <c r="L342" s="52"/>
    </row>
    <row r="343" spans="2:12">
      <c r="B343" s="50"/>
      <c r="C343" s="51"/>
      <c r="D343" s="44"/>
      <c r="E343" s="44"/>
      <c r="F343" s="44"/>
      <c r="G343" s="44"/>
      <c r="I343" s="61"/>
      <c r="J343" s="59"/>
      <c r="K343" s="58"/>
      <c r="L343" s="52"/>
    </row>
    <row r="344" spans="2:12">
      <c r="B344" s="50"/>
      <c r="C344" s="51"/>
      <c r="D344" s="44"/>
      <c r="E344" s="44"/>
      <c r="F344" s="44"/>
      <c r="G344" s="44"/>
      <c r="I344" s="61"/>
      <c r="J344" s="59"/>
      <c r="K344" s="58"/>
      <c r="L344" s="52"/>
    </row>
    <row r="345" spans="2:12">
      <c r="B345" s="50"/>
      <c r="C345" s="51"/>
      <c r="D345" s="44"/>
      <c r="E345" s="44"/>
      <c r="F345" s="44"/>
      <c r="G345" s="44"/>
      <c r="I345" s="61"/>
      <c r="J345" s="59"/>
      <c r="K345" s="58"/>
      <c r="L345" s="52"/>
    </row>
    <row r="346" spans="2:12">
      <c r="B346" s="50"/>
      <c r="C346" s="51"/>
      <c r="D346" s="44"/>
      <c r="E346" s="44"/>
      <c r="F346" s="44"/>
      <c r="G346" s="44"/>
      <c r="I346" s="61"/>
      <c r="J346" s="59"/>
      <c r="K346" s="58"/>
      <c r="L346" s="52"/>
    </row>
    <row r="347" spans="2:12">
      <c r="B347" s="50"/>
      <c r="C347" s="51"/>
      <c r="D347" s="44"/>
      <c r="E347" s="44"/>
      <c r="F347" s="44"/>
      <c r="G347" s="44"/>
      <c r="I347" s="61"/>
      <c r="J347" s="59"/>
      <c r="K347" s="58"/>
      <c r="L347" s="52"/>
    </row>
    <row r="348" spans="2:12">
      <c r="B348" s="50"/>
      <c r="C348" s="51"/>
      <c r="D348" s="44"/>
      <c r="E348" s="44"/>
      <c r="F348" s="44"/>
      <c r="G348" s="44"/>
      <c r="I348" s="61"/>
      <c r="J348" s="59"/>
      <c r="K348" s="58"/>
      <c r="L348" s="52"/>
    </row>
    <row r="349" spans="2:12">
      <c r="B349" s="50"/>
      <c r="C349" s="51"/>
      <c r="D349" s="44"/>
      <c r="E349" s="44"/>
      <c r="F349" s="44"/>
      <c r="G349" s="44"/>
      <c r="I349" s="61"/>
      <c r="J349" s="59"/>
      <c r="K349" s="58"/>
      <c r="L349" s="52"/>
    </row>
    <row r="350" spans="2:12">
      <c r="B350" s="50"/>
      <c r="C350" s="51"/>
      <c r="D350" s="44"/>
      <c r="E350" s="44"/>
      <c r="F350" s="44"/>
      <c r="G350" s="44"/>
      <c r="I350" s="61"/>
      <c r="J350" s="59"/>
      <c r="K350" s="58"/>
      <c r="L350" s="52"/>
    </row>
    <row r="351" spans="2:12">
      <c r="B351" s="50"/>
      <c r="C351" s="51"/>
      <c r="D351" s="44"/>
      <c r="E351" s="44"/>
      <c r="F351" s="44"/>
      <c r="G351" s="44"/>
      <c r="I351" s="61"/>
      <c r="J351" s="59"/>
      <c r="K351" s="58"/>
      <c r="L351" s="52"/>
    </row>
    <row r="352" spans="2:12">
      <c r="B352" s="50"/>
      <c r="C352" s="51"/>
      <c r="D352" s="44"/>
      <c r="E352" s="44"/>
      <c r="F352" s="44"/>
      <c r="G352" s="44"/>
      <c r="I352" s="61"/>
      <c r="J352" s="59"/>
      <c r="K352" s="58"/>
      <c r="L352" s="52"/>
    </row>
    <row r="353" spans="2:12">
      <c r="B353" s="50"/>
      <c r="C353" s="51"/>
      <c r="D353" s="44"/>
      <c r="E353" s="44"/>
      <c r="F353" s="44"/>
      <c r="G353" s="44"/>
      <c r="I353" s="61"/>
      <c r="J353" s="59"/>
      <c r="K353" s="58"/>
      <c r="L353" s="52"/>
    </row>
    <row r="354" spans="2:12">
      <c r="B354" s="50"/>
      <c r="C354" s="51"/>
      <c r="D354" s="44"/>
      <c r="E354" s="44"/>
      <c r="F354" s="44"/>
      <c r="G354" s="44"/>
      <c r="I354" s="61"/>
      <c r="J354" s="59"/>
      <c r="K354" s="58"/>
      <c r="L354" s="52"/>
    </row>
    <row r="355" spans="2:12">
      <c r="B355" s="50"/>
      <c r="C355" s="51"/>
      <c r="D355" s="44"/>
      <c r="E355" s="44"/>
      <c r="F355" s="44"/>
      <c r="G355" s="44"/>
      <c r="I355" s="61"/>
      <c r="J355" s="59"/>
      <c r="K355" s="58"/>
      <c r="L355" s="52"/>
    </row>
    <row r="356" spans="2:12">
      <c r="B356" s="50"/>
      <c r="C356" s="51"/>
      <c r="D356" s="44"/>
      <c r="E356" s="44"/>
      <c r="F356" s="44"/>
      <c r="G356" s="44"/>
      <c r="I356" s="61"/>
      <c r="J356" s="59"/>
      <c r="K356" s="58"/>
      <c r="L356" s="52"/>
    </row>
    <row r="357" spans="2:12">
      <c r="B357" s="50"/>
      <c r="C357" s="51"/>
      <c r="D357" s="44"/>
      <c r="E357" s="44"/>
      <c r="F357" s="44"/>
      <c r="G357" s="44"/>
      <c r="I357" s="61"/>
      <c r="J357" s="59"/>
      <c r="K357" s="58"/>
      <c r="L357" s="52"/>
    </row>
    <row r="358" spans="2:12">
      <c r="B358" s="50"/>
      <c r="C358" s="51"/>
      <c r="D358" s="44"/>
      <c r="E358" s="44"/>
      <c r="F358" s="44"/>
      <c r="G358" s="44"/>
      <c r="I358" s="61"/>
      <c r="J358" s="59"/>
      <c r="K358" s="58"/>
      <c r="L358" s="52"/>
    </row>
    <row r="359" spans="2:12">
      <c r="B359" s="50"/>
      <c r="C359" s="51"/>
      <c r="D359" s="44"/>
      <c r="E359" s="44"/>
      <c r="F359" s="44"/>
      <c r="G359" s="44"/>
      <c r="I359" s="61"/>
      <c r="J359" s="59"/>
      <c r="K359" s="58"/>
      <c r="L359" s="52"/>
    </row>
    <row r="360" spans="2:12">
      <c r="B360" s="50"/>
      <c r="C360" s="51"/>
      <c r="D360" s="44"/>
      <c r="E360" s="44"/>
      <c r="F360" s="44"/>
      <c r="G360" s="44"/>
      <c r="I360" s="61"/>
      <c r="J360" s="59"/>
      <c r="K360" s="58"/>
      <c r="L360" s="52"/>
    </row>
    <row r="361" spans="2:12">
      <c r="B361" s="50"/>
      <c r="C361" s="51"/>
      <c r="D361" s="44"/>
      <c r="E361" s="44"/>
      <c r="F361" s="44"/>
      <c r="G361" s="44"/>
      <c r="I361" s="61"/>
      <c r="J361" s="59"/>
      <c r="K361" s="58"/>
      <c r="L361" s="52"/>
    </row>
    <row r="362" spans="2:12">
      <c r="B362" s="50"/>
      <c r="C362" s="51"/>
      <c r="D362" s="44"/>
      <c r="E362" s="44"/>
      <c r="F362" s="44"/>
      <c r="G362" s="44"/>
      <c r="I362" s="61"/>
      <c r="J362" s="59"/>
      <c r="K362" s="58"/>
      <c r="L362" s="52"/>
    </row>
    <row r="363" spans="2:12">
      <c r="B363" s="50"/>
      <c r="C363" s="51"/>
      <c r="D363" s="44"/>
      <c r="E363" s="44"/>
      <c r="F363" s="44"/>
      <c r="G363" s="44"/>
      <c r="I363" s="61"/>
      <c r="J363" s="59"/>
      <c r="K363" s="58"/>
      <c r="L363" s="52"/>
    </row>
    <row r="364" spans="2:12">
      <c r="B364" s="50"/>
      <c r="C364" s="51"/>
      <c r="D364" s="44"/>
      <c r="E364" s="44"/>
      <c r="F364" s="44"/>
      <c r="G364" s="44"/>
      <c r="I364" s="61"/>
      <c r="J364" s="59"/>
      <c r="K364" s="58"/>
      <c r="L364" s="52"/>
    </row>
    <row r="365" spans="2:12">
      <c r="B365" s="50"/>
      <c r="C365" s="51"/>
      <c r="D365" s="44"/>
      <c r="E365" s="44"/>
      <c r="F365" s="44"/>
      <c r="G365" s="44"/>
      <c r="I365" s="61"/>
      <c r="J365" s="59"/>
      <c r="K365" s="58"/>
      <c r="L365" s="52"/>
    </row>
    <row r="366" spans="2:12">
      <c r="B366" s="50"/>
      <c r="C366" s="51"/>
      <c r="D366" s="44"/>
      <c r="E366" s="44"/>
      <c r="F366" s="44"/>
      <c r="G366" s="44"/>
      <c r="I366" s="61"/>
      <c r="J366" s="59"/>
      <c r="K366" s="58"/>
      <c r="L366" s="52"/>
    </row>
    <row r="367" spans="2:12">
      <c r="B367" s="50"/>
      <c r="C367" s="51"/>
      <c r="D367" s="44"/>
      <c r="E367" s="44"/>
      <c r="F367" s="44"/>
      <c r="G367" s="44"/>
      <c r="I367" s="61"/>
      <c r="J367" s="59"/>
      <c r="K367" s="58"/>
      <c r="L367" s="52"/>
    </row>
    <row r="368" spans="2:12">
      <c r="B368" s="50"/>
      <c r="C368" s="51"/>
      <c r="D368" s="44"/>
      <c r="E368" s="44"/>
      <c r="F368" s="44"/>
      <c r="G368" s="44"/>
      <c r="I368" s="61"/>
      <c r="J368" s="59"/>
      <c r="K368" s="58"/>
      <c r="L368" s="52"/>
    </row>
    <row r="369" spans="2:12">
      <c r="B369" s="50"/>
      <c r="C369" s="51"/>
      <c r="D369" s="44"/>
      <c r="E369" s="44"/>
      <c r="F369" s="44"/>
      <c r="G369" s="44"/>
      <c r="I369" s="61"/>
      <c r="J369" s="59"/>
      <c r="K369" s="58"/>
      <c r="L369" s="52"/>
    </row>
    <row r="370" spans="2:12">
      <c r="B370" s="50"/>
      <c r="C370" s="51"/>
      <c r="D370" s="44"/>
      <c r="E370" s="44"/>
      <c r="F370" s="44"/>
      <c r="G370" s="44"/>
      <c r="I370" s="61"/>
      <c r="J370" s="59"/>
      <c r="K370" s="58"/>
      <c r="L370" s="52"/>
    </row>
    <row r="371" spans="2:12">
      <c r="B371" s="50"/>
      <c r="C371" s="51"/>
      <c r="D371" s="44"/>
      <c r="E371" s="44"/>
      <c r="F371" s="44"/>
      <c r="G371" s="44"/>
      <c r="H371" s="44"/>
      <c r="I371" s="61"/>
      <c r="J371" s="59"/>
      <c r="K371" s="58"/>
      <c r="L371" s="52"/>
    </row>
    <row r="372" spans="2:12">
      <c r="B372" s="50"/>
      <c r="C372" s="51"/>
      <c r="D372" s="44"/>
      <c r="E372" s="44"/>
      <c r="F372" s="44"/>
      <c r="G372" s="44"/>
      <c r="H372" s="44"/>
      <c r="I372" s="61"/>
      <c r="J372" s="59"/>
      <c r="K372" s="58"/>
      <c r="L372" s="52"/>
    </row>
    <row r="373" spans="2:12">
      <c r="B373" s="50"/>
      <c r="C373" s="51"/>
      <c r="D373" s="44"/>
      <c r="E373" s="44"/>
      <c r="F373" s="44"/>
      <c r="G373" s="44"/>
      <c r="H373" s="44"/>
      <c r="I373" s="61"/>
      <c r="J373" s="59"/>
      <c r="K373" s="58"/>
      <c r="L373" s="52"/>
    </row>
    <row r="374" spans="2:12">
      <c r="B374" s="50"/>
      <c r="C374" s="51"/>
      <c r="D374" s="44"/>
      <c r="E374" s="44"/>
      <c r="F374" s="44"/>
      <c r="G374" s="44"/>
      <c r="H374" s="44"/>
      <c r="I374" s="61"/>
      <c r="J374" s="59"/>
      <c r="K374" s="58"/>
      <c r="L374" s="52"/>
    </row>
    <row r="375" spans="2:12">
      <c r="B375" s="50"/>
      <c r="C375" s="51"/>
      <c r="D375" s="44"/>
      <c r="E375" s="44"/>
      <c r="F375" s="44"/>
      <c r="G375" s="44"/>
      <c r="H375" s="44"/>
      <c r="I375" s="61"/>
      <c r="J375" s="59"/>
      <c r="K375" s="58"/>
      <c r="L375" s="52"/>
    </row>
    <row r="376" spans="2:12">
      <c r="B376" s="50"/>
      <c r="C376" s="51"/>
      <c r="D376" s="44"/>
      <c r="E376" s="44"/>
      <c r="F376" s="44"/>
      <c r="G376" s="44"/>
      <c r="H376" s="44"/>
      <c r="I376" s="61"/>
      <c r="J376" s="59"/>
      <c r="K376" s="58"/>
      <c r="L376" s="52"/>
    </row>
    <row r="377" spans="2:12">
      <c r="B377" s="50"/>
      <c r="C377" s="51"/>
      <c r="D377" s="44"/>
      <c r="E377" s="44"/>
      <c r="F377" s="44"/>
      <c r="G377" s="44"/>
      <c r="H377" s="44"/>
      <c r="I377" s="61"/>
      <c r="J377" s="59"/>
      <c r="K377" s="58"/>
      <c r="L377" s="52"/>
    </row>
    <row r="378" spans="2:12">
      <c r="B378" s="50"/>
      <c r="C378" s="51"/>
      <c r="D378" s="44"/>
      <c r="E378" s="44"/>
      <c r="F378" s="44"/>
      <c r="G378" s="44"/>
      <c r="H378" s="44"/>
      <c r="I378" s="61"/>
      <c r="J378" s="59"/>
      <c r="K378" s="58"/>
      <c r="L378" s="52"/>
    </row>
    <row r="379" spans="2:12">
      <c r="B379" s="50"/>
      <c r="C379" s="51"/>
      <c r="D379" s="44"/>
      <c r="E379" s="44"/>
      <c r="F379" s="44"/>
      <c r="G379" s="44"/>
      <c r="I379" s="61"/>
      <c r="J379" s="59"/>
    </row>
    <row r="380" spans="2:12">
      <c r="B380" s="50"/>
      <c r="C380" s="51"/>
      <c r="D380" s="44"/>
      <c r="E380" s="44"/>
      <c r="F380" s="44"/>
      <c r="G380" s="44"/>
      <c r="I380" s="61"/>
      <c r="J380" s="59"/>
    </row>
    <row r="381" spans="2:12">
      <c r="B381" s="50"/>
      <c r="C381" s="51"/>
      <c r="D381" s="44"/>
      <c r="E381" s="44"/>
      <c r="F381" s="44"/>
      <c r="G381" s="44"/>
      <c r="I381" s="61"/>
      <c r="J381" s="59"/>
    </row>
    <row r="382" spans="2:12">
      <c r="B382" s="50"/>
      <c r="C382" s="51"/>
      <c r="D382" s="44"/>
      <c r="E382" s="44"/>
      <c r="F382" s="44"/>
      <c r="G382" s="44"/>
      <c r="I382" s="61"/>
      <c r="J382" s="59"/>
    </row>
    <row r="383" spans="2:12">
      <c r="B383" s="50"/>
      <c r="C383" s="51"/>
      <c r="D383" s="44"/>
      <c r="E383" s="44"/>
      <c r="F383" s="44"/>
      <c r="G383" s="44"/>
      <c r="I383" s="61"/>
      <c r="J383" s="59"/>
    </row>
    <row r="384" spans="2:12">
      <c r="B384" s="50"/>
      <c r="C384" s="51"/>
      <c r="D384" s="44"/>
      <c r="E384" s="44"/>
      <c r="F384" s="44"/>
      <c r="G384" s="44"/>
      <c r="I384" s="61"/>
      <c r="J384" s="59"/>
    </row>
    <row r="385" spans="2:10">
      <c r="B385" s="50"/>
      <c r="C385" s="51"/>
      <c r="D385" s="44"/>
      <c r="E385" s="44"/>
      <c r="F385" s="44"/>
      <c r="G385" s="44"/>
      <c r="I385" s="61"/>
      <c r="J385" s="59"/>
    </row>
    <row r="386" spans="2:10">
      <c r="B386" s="50"/>
      <c r="C386" s="51"/>
      <c r="D386" s="44"/>
      <c r="E386" s="44"/>
      <c r="F386" s="44"/>
      <c r="G386" s="44"/>
      <c r="I386" s="61"/>
      <c r="J386" s="59"/>
    </row>
    <row r="387" spans="2:10">
      <c r="B387" s="50"/>
      <c r="C387" s="51"/>
      <c r="D387" s="44"/>
      <c r="E387" s="44"/>
      <c r="F387" s="44"/>
      <c r="G387" s="44"/>
      <c r="I387" s="61"/>
      <c r="J387" s="59"/>
    </row>
    <row r="388" spans="2:10">
      <c r="B388" s="50"/>
      <c r="C388" s="51"/>
      <c r="D388" s="44"/>
      <c r="E388" s="44"/>
      <c r="F388" s="44"/>
      <c r="G388" s="44"/>
      <c r="I388" s="61"/>
      <c r="J388" s="59"/>
    </row>
    <row r="389" spans="2:10">
      <c r="B389" s="50"/>
      <c r="C389" s="51"/>
      <c r="D389" s="44"/>
      <c r="E389" s="44"/>
      <c r="F389" s="44"/>
      <c r="G389" s="44"/>
      <c r="I389" s="61"/>
      <c r="J389" s="59"/>
    </row>
    <row r="390" spans="2:10">
      <c r="B390" s="50"/>
      <c r="C390" s="51"/>
      <c r="D390" s="44"/>
      <c r="E390" s="44"/>
      <c r="F390" s="44"/>
      <c r="G390" s="44"/>
      <c r="I390" s="61"/>
      <c r="J390" s="59"/>
    </row>
    <row r="391" spans="2:10">
      <c r="B391" s="50"/>
      <c r="C391" s="51"/>
      <c r="D391" s="44"/>
      <c r="E391" s="44"/>
      <c r="F391" s="44"/>
      <c r="G391" s="44"/>
      <c r="I391" s="61"/>
      <c r="J391" s="59"/>
    </row>
    <row r="392" spans="2:10">
      <c r="B392" s="50"/>
      <c r="C392" s="51"/>
      <c r="D392" s="44"/>
      <c r="E392" s="44"/>
      <c r="F392" s="44"/>
      <c r="G392" s="44"/>
      <c r="I392" s="61"/>
      <c r="J392" s="59"/>
    </row>
    <row r="393" spans="2:10">
      <c r="B393" s="50"/>
      <c r="C393" s="51"/>
      <c r="D393" s="44"/>
      <c r="E393" s="44"/>
      <c r="F393" s="44"/>
      <c r="G393" s="44"/>
      <c r="I393" s="61"/>
      <c r="J393" s="59"/>
    </row>
    <row r="394" spans="2:10">
      <c r="B394" s="50"/>
      <c r="C394" s="51"/>
      <c r="D394" s="44"/>
      <c r="E394" s="44"/>
      <c r="F394" s="44"/>
      <c r="G394" s="44"/>
      <c r="I394" s="61"/>
      <c r="J394" s="59"/>
    </row>
    <row r="395" spans="2:10">
      <c r="B395" s="50"/>
      <c r="C395" s="51"/>
      <c r="D395" s="44"/>
      <c r="E395" s="44"/>
      <c r="F395" s="44"/>
      <c r="G395" s="44"/>
      <c r="I395" s="61"/>
      <c r="J395" s="59"/>
    </row>
    <row r="396" spans="2:10">
      <c r="B396" s="50"/>
      <c r="C396" s="51"/>
      <c r="D396" s="44"/>
      <c r="E396" s="44"/>
      <c r="F396" s="44"/>
      <c r="G396" s="44"/>
      <c r="I396" s="61"/>
      <c r="J396" s="59"/>
    </row>
    <row r="397" spans="2:10">
      <c r="B397" s="50"/>
      <c r="C397" s="51"/>
      <c r="D397" s="44"/>
      <c r="E397" s="44"/>
      <c r="F397" s="44"/>
      <c r="G397" s="44"/>
      <c r="I397" s="61"/>
      <c r="J397" s="59"/>
    </row>
    <row r="398" spans="2:10">
      <c r="B398" s="50"/>
      <c r="C398" s="51"/>
      <c r="D398" s="44"/>
      <c r="E398" s="44"/>
      <c r="F398" s="44"/>
      <c r="G398" s="44"/>
      <c r="I398" s="61"/>
      <c r="J398" s="59"/>
    </row>
    <row r="399" spans="2:10">
      <c r="B399" s="50"/>
      <c r="C399" s="51"/>
      <c r="D399" s="44"/>
      <c r="E399" s="44"/>
      <c r="F399" s="44"/>
      <c r="G399" s="44"/>
      <c r="I399" s="61"/>
      <c r="J399" s="59"/>
    </row>
    <row r="400" spans="2:10">
      <c r="B400" s="50"/>
      <c r="C400" s="51"/>
      <c r="D400" s="44"/>
      <c r="E400" s="44"/>
      <c r="F400" s="44"/>
      <c r="G400" s="44"/>
      <c r="I400" s="61"/>
      <c r="J400" s="59"/>
    </row>
    <row r="401" spans="2:10">
      <c r="B401" s="50"/>
      <c r="C401" s="51"/>
      <c r="D401" s="44"/>
      <c r="E401" s="44"/>
      <c r="F401" s="44"/>
      <c r="G401" s="44"/>
      <c r="I401" s="61"/>
      <c r="J401" s="59"/>
    </row>
    <row r="402" spans="2:10">
      <c r="B402" s="50"/>
      <c r="C402" s="51"/>
      <c r="D402" s="44"/>
      <c r="E402" s="44"/>
      <c r="F402" s="44"/>
      <c r="G402" s="44"/>
      <c r="I402" s="61"/>
      <c r="J402" s="59"/>
    </row>
    <row r="403" spans="2:10">
      <c r="B403" s="50"/>
      <c r="C403" s="51"/>
      <c r="D403" s="44"/>
      <c r="E403" s="44"/>
      <c r="F403" s="44"/>
      <c r="G403" s="44"/>
      <c r="I403" s="61"/>
      <c r="J403" s="59"/>
    </row>
    <row r="404" spans="2:10">
      <c r="B404" s="50"/>
      <c r="C404" s="51"/>
      <c r="D404" s="44"/>
      <c r="E404" s="44"/>
      <c r="F404" s="44"/>
      <c r="G404" s="44"/>
      <c r="I404" s="61"/>
      <c r="J404" s="59"/>
    </row>
    <row r="405" spans="2:10">
      <c r="B405" s="50"/>
      <c r="D405" s="44"/>
      <c r="E405" s="44"/>
      <c r="F405" s="44"/>
      <c r="G405" s="44"/>
      <c r="I405" s="61"/>
      <c r="J405" s="59"/>
    </row>
    <row r="406" spans="2:10">
      <c r="B406" s="50"/>
      <c r="D406" s="44"/>
      <c r="E406" s="44"/>
      <c r="F406" s="44"/>
      <c r="G406" s="44"/>
      <c r="I406" s="61"/>
      <c r="J406" s="59"/>
    </row>
    <row r="407" spans="2:10">
      <c r="B407" s="50"/>
      <c r="D407" s="44"/>
      <c r="E407" s="44"/>
      <c r="F407" s="44"/>
      <c r="G407" s="44"/>
      <c r="I407" s="61"/>
      <c r="J407" s="59"/>
    </row>
    <row r="408" spans="2:10">
      <c r="B408" s="50"/>
      <c r="D408" s="44"/>
      <c r="E408" s="44"/>
      <c r="F408" s="44"/>
      <c r="G408" s="44"/>
      <c r="I408" s="61"/>
      <c r="J408" s="59"/>
    </row>
    <row r="409" spans="2:10">
      <c r="B409" s="50"/>
      <c r="D409" s="44"/>
      <c r="E409" s="44"/>
      <c r="F409" s="44"/>
      <c r="G409" s="44"/>
      <c r="I409" s="61"/>
      <c r="J409" s="59"/>
    </row>
    <row r="410" spans="2:10">
      <c r="B410" s="50"/>
      <c r="D410" s="44"/>
      <c r="E410" s="44"/>
      <c r="F410" s="44"/>
      <c r="G410" s="44"/>
      <c r="I410" s="61"/>
      <c r="J410" s="59"/>
    </row>
    <row r="411" spans="2:10">
      <c r="B411" s="50"/>
      <c r="D411" s="44"/>
      <c r="E411" s="44"/>
      <c r="F411" s="44"/>
      <c r="G411" s="44"/>
      <c r="I411" s="61"/>
      <c r="J411" s="59"/>
    </row>
    <row r="412" spans="2:10">
      <c r="B412" s="50"/>
      <c r="D412" s="44"/>
      <c r="E412" s="44"/>
      <c r="F412" s="44"/>
      <c r="G412" s="44"/>
      <c r="I412" s="61"/>
      <c r="J412" s="59"/>
    </row>
    <row r="413" spans="2:10">
      <c r="B413" s="50"/>
      <c r="D413" s="44"/>
      <c r="E413" s="44"/>
      <c r="F413" s="44"/>
      <c r="G413" s="44"/>
      <c r="I413" s="61"/>
      <c r="J413" s="59"/>
    </row>
    <row r="414" spans="2:10">
      <c r="B414" s="50"/>
      <c r="D414" s="44"/>
      <c r="E414" s="44"/>
      <c r="F414" s="44"/>
      <c r="G414" s="44"/>
      <c r="I414" s="61"/>
      <c r="J414" s="59"/>
    </row>
    <row r="415" spans="2:10">
      <c r="B415" s="50"/>
      <c r="D415" s="44"/>
      <c r="E415" s="44"/>
      <c r="F415" s="44"/>
      <c r="G415" s="44"/>
      <c r="I415" s="61"/>
      <c r="J415" s="59"/>
    </row>
    <row r="416" spans="2:10">
      <c r="B416" s="50"/>
      <c r="D416" s="44"/>
      <c r="E416" s="44"/>
      <c r="F416" s="44"/>
      <c r="G416" s="44"/>
      <c r="I416" s="61"/>
      <c r="J416" s="59"/>
    </row>
    <row r="417" spans="2:10">
      <c r="B417" s="50"/>
      <c r="D417" s="44"/>
      <c r="E417" s="44"/>
      <c r="F417" s="44"/>
      <c r="G417" s="44"/>
      <c r="I417" s="61"/>
      <c r="J417" s="59"/>
    </row>
    <row r="418" spans="2:10">
      <c r="B418" s="50"/>
      <c r="D418" s="44"/>
      <c r="E418" s="44"/>
      <c r="F418" s="44"/>
      <c r="G418" s="44"/>
      <c r="I418" s="61"/>
      <c r="J418" s="59"/>
    </row>
    <row r="419" spans="2:10">
      <c r="B419" s="50"/>
      <c r="D419" s="44"/>
      <c r="E419" s="44"/>
      <c r="F419" s="44"/>
      <c r="G419" s="44"/>
      <c r="I419" s="61"/>
      <c r="J419" s="59"/>
    </row>
    <row r="420" spans="2:10">
      <c r="B420" s="50"/>
      <c r="D420" s="44"/>
      <c r="E420" s="44"/>
      <c r="F420" s="44"/>
      <c r="G420" s="44"/>
      <c r="I420" s="61"/>
      <c r="J420" s="59"/>
    </row>
    <row r="421" spans="2:10">
      <c r="B421" s="50"/>
      <c r="D421" s="44"/>
      <c r="E421" s="44"/>
      <c r="F421" s="44"/>
      <c r="G421" s="44"/>
      <c r="I421" s="61"/>
      <c r="J421" s="59"/>
    </row>
    <row r="422" spans="2:10">
      <c r="B422" s="50"/>
      <c r="D422" s="44"/>
      <c r="E422" s="44"/>
      <c r="F422" s="44"/>
      <c r="G422" s="44"/>
      <c r="I422" s="61"/>
      <c r="J422" s="59"/>
    </row>
    <row r="423" spans="2:10">
      <c r="B423" s="50"/>
      <c r="D423" s="44"/>
      <c r="E423" s="44"/>
      <c r="F423" s="44"/>
      <c r="G423" s="44"/>
      <c r="I423" s="61"/>
      <c r="J423" s="59"/>
    </row>
    <row r="424" spans="2:10">
      <c r="B424" s="50"/>
      <c r="D424" s="44"/>
      <c r="E424" s="44"/>
      <c r="F424" s="44"/>
      <c r="G424" s="44"/>
      <c r="I424" s="61"/>
      <c r="J424" s="59"/>
    </row>
    <row r="425" spans="2:10">
      <c r="B425" s="50"/>
      <c r="D425" s="44"/>
      <c r="E425" s="44"/>
      <c r="F425" s="44"/>
      <c r="G425" s="44"/>
      <c r="I425" s="61"/>
      <c r="J425" s="59"/>
    </row>
    <row r="426" spans="2:10">
      <c r="B426" s="50"/>
      <c r="D426" s="44"/>
      <c r="E426" s="44"/>
      <c r="F426" s="44"/>
      <c r="G426" s="44"/>
      <c r="I426" s="61"/>
      <c r="J426" s="59"/>
    </row>
    <row r="427" spans="2:10">
      <c r="B427" s="50"/>
      <c r="D427" s="44"/>
      <c r="E427" s="44"/>
      <c r="F427" s="44"/>
      <c r="G427" s="44"/>
      <c r="I427" s="61"/>
      <c r="J427" s="59"/>
    </row>
    <row r="428" spans="2:10">
      <c r="B428" s="50"/>
      <c r="D428" s="44"/>
      <c r="E428" s="44"/>
      <c r="F428" s="44"/>
      <c r="G428" s="44"/>
      <c r="I428" s="61"/>
      <c r="J428" s="59"/>
    </row>
    <row r="429" spans="2:10">
      <c r="B429" s="50"/>
      <c r="D429" s="44"/>
      <c r="E429" s="44"/>
      <c r="F429" s="44"/>
      <c r="G429" s="44"/>
      <c r="I429" s="61"/>
      <c r="J429" s="59"/>
    </row>
    <row r="430" spans="2:10">
      <c r="B430" s="50"/>
      <c r="D430" s="44"/>
      <c r="E430" s="44"/>
      <c r="F430" s="44"/>
      <c r="G430" s="44"/>
      <c r="I430" s="61"/>
      <c r="J430" s="59"/>
    </row>
    <row r="431" spans="2:10">
      <c r="B431" s="50"/>
      <c r="D431" s="44"/>
      <c r="E431" s="44"/>
      <c r="F431" s="44"/>
      <c r="G431" s="44"/>
      <c r="I431" s="61"/>
      <c r="J431" s="59"/>
    </row>
    <row r="432" spans="2:10">
      <c r="B432" s="50"/>
      <c r="D432" s="44"/>
      <c r="E432" s="44"/>
      <c r="F432" s="44"/>
      <c r="G432" s="44"/>
      <c r="I432" s="61"/>
      <c r="J432" s="59"/>
    </row>
    <row r="433" spans="2:10">
      <c r="B433" s="50"/>
      <c r="D433" s="44"/>
      <c r="E433" s="44"/>
      <c r="F433" s="44"/>
      <c r="G433" s="44"/>
      <c r="I433" s="61"/>
      <c r="J433" s="59"/>
    </row>
    <row r="434" spans="2:10">
      <c r="B434" s="50"/>
      <c r="D434" s="44"/>
      <c r="E434" s="44"/>
      <c r="F434" s="44"/>
      <c r="G434" s="44"/>
      <c r="I434" s="61"/>
      <c r="J434" s="59"/>
    </row>
    <row r="435" spans="2:10">
      <c r="B435" s="50"/>
      <c r="D435" s="44"/>
      <c r="E435" s="44"/>
      <c r="F435" s="44"/>
      <c r="G435" s="44"/>
      <c r="I435" s="61"/>
      <c r="J435" s="59"/>
    </row>
    <row r="436" spans="2:10">
      <c r="B436" s="50"/>
      <c r="D436" s="44"/>
      <c r="E436" s="44"/>
      <c r="F436" s="44"/>
      <c r="G436" s="44"/>
      <c r="I436" s="61"/>
      <c r="J436" s="59"/>
    </row>
    <row r="437" spans="2:10">
      <c r="B437" s="50"/>
      <c r="D437" s="44"/>
      <c r="E437" s="44"/>
      <c r="F437" s="44"/>
      <c r="G437" s="44"/>
      <c r="I437" s="61"/>
      <c r="J437" s="59"/>
    </row>
    <row r="438" spans="2:10">
      <c r="D438" s="44"/>
      <c r="E438" s="44"/>
      <c r="F438" s="44"/>
      <c r="G438" s="44"/>
      <c r="I438" s="61"/>
      <c r="J438" s="59"/>
    </row>
    <row r="439" spans="2:10">
      <c r="D439" s="44"/>
      <c r="E439" s="44"/>
      <c r="F439" s="44"/>
      <c r="G439" s="44"/>
      <c r="I439" s="61"/>
      <c r="J439" s="59"/>
    </row>
    <row r="440" spans="2:10">
      <c r="D440" s="44"/>
      <c r="E440" s="44"/>
      <c r="F440" s="44"/>
      <c r="G440" s="44"/>
      <c r="I440" s="61"/>
      <c r="J440" s="59"/>
    </row>
    <row r="441" spans="2:10">
      <c r="D441" s="44"/>
      <c r="E441" s="44"/>
      <c r="F441" s="44"/>
      <c r="G441" s="44"/>
      <c r="I441" s="61"/>
      <c r="J441" s="59"/>
    </row>
    <row r="442" spans="2:10">
      <c r="D442" s="44"/>
      <c r="E442" s="44"/>
      <c r="F442" s="44"/>
      <c r="G442" s="44"/>
      <c r="I442" s="61"/>
      <c r="J442" s="59"/>
    </row>
    <row r="443" spans="2:10">
      <c r="D443" s="44"/>
      <c r="E443" s="44"/>
      <c r="F443" s="44"/>
      <c r="G443" s="44"/>
      <c r="I443" s="61"/>
      <c r="J443" s="59"/>
    </row>
    <row r="444" spans="2:10">
      <c r="D444" s="44"/>
      <c r="E444" s="44"/>
      <c r="F444" s="44"/>
      <c r="G444" s="44"/>
      <c r="I444" s="61"/>
      <c r="J444" s="59"/>
    </row>
    <row r="445" spans="2:10">
      <c r="D445" s="44"/>
      <c r="E445" s="44"/>
      <c r="F445" s="44"/>
      <c r="G445" s="44"/>
      <c r="I445" s="61"/>
      <c r="J445" s="59"/>
    </row>
    <row r="446" spans="2:10">
      <c r="D446" s="44"/>
      <c r="E446" s="44"/>
      <c r="F446" s="44"/>
      <c r="G446" s="44"/>
      <c r="I446" s="61"/>
      <c r="J446" s="59"/>
    </row>
    <row r="447" spans="2:10">
      <c r="D447" s="44"/>
      <c r="E447" s="44"/>
      <c r="F447" s="44"/>
      <c r="G447" s="44"/>
      <c r="I447" s="61"/>
      <c r="J447" s="59"/>
    </row>
    <row r="448" spans="2:10">
      <c r="D448" s="44"/>
      <c r="E448" s="44"/>
      <c r="F448" s="44"/>
      <c r="G448" s="44"/>
      <c r="I448" s="61"/>
      <c r="J448" s="59"/>
    </row>
    <row r="449" spans="4:10">
      <c r="D449" s="44"/>
      <c r="E449" s="44"/>
      <c r="F449" s="44"/>
      <c r="G449" s="44"/>
      <c r="I449" s="61"/>
      <c r="J449" s="59"/>
    </row>
    <row r="450" spans="4:10">
      <c r="D450" s="44"/>
      <c r="E450" s="44"/>
      <c r="F450" s="44"/>
      <c r="G450" s="44"/>
      <c r="I450" s="61"/>
      <c r="J450" s="59"/>
    </row>
    <row r="451" spans="4:10">
      <c r="D451" s="44"/>
      <c r="E451" s="44"/>
      <c r="F451" s="44"/>
      <c r="G451" s="44"/>
      <c r="I451" s="61"/>
      <c r="J451" s="59"/>
    </row>
    <row r="452" spans="4:10">
      <c r="D452" s="44"/>
      <c r="E452" s="44"/>
      <c r="F452" s="44"/>
      <c r="G452" s="44"/>
      <c r="I452" s="61"/>
      <c r="J452" s="59"/>
    </row>
    <row r="453" spans="4:10">
      <c r="D453" s="44"/>
      <c r="E453" s="44"/>
      <c r="F453" s="44"/>
      <c r="G453" s="44"/>
      <c r="I453" s="61"/>
      <c r="J453" s="59"/>
    </row>
    <row r="454" spans="4:10">
      <c r="D454" s="44"/>
      <c r="E454" s="44"/>
      <c r="F454" s="44"/>
      <c r="G454" s="44"/>
      <c r="I454" s="61"/>
      <c r="J454" s="59"/>
    </row>
    <row r="455" spans="4:10">
      <c r="D455" s="44"/>
      <c r="E455" s="44"/>
      <c r="F455" s="44"/>
      <c r="G455" s="44"/>
      <c r="I455" s="61"/>
      <c r="J455" s="59"/>
    </row>
    <row r="456" spans="4:10">
      <c r="D456" s="44"/>
      <c r="E456" s="44"/>
      <c r="F456" s="44"/>
      <c r="G456" s="44"/>
      <c r="I456" s="61"/>
      <c r="J456" s="59"/>
    </row>
    <row r="457" spans="4:10">
      <c r="D457" s="44"/>
      <c r="E457" s="44"/>
      <c r="F457" s="44"/>
      <c r="G457" s="44"/>
      <c r="I457" s="61"/>
      <c r="J457" s="59"/>
    </row>
    <row r="458" spans="4:10">
      <c r="D458" s="44"/>
      <c r="E458" s="44"/>
      <c r="F458" s="44"/>
      <c r="G458" s="44"/>
      <c r="I458" s="61"/>
      <c r="J458" s="59"/>
    </row>
    <row r="459" spans="4:10">
      <c r="D459" s="44"/>
      <c r="E459" s="44"/>
      <c r="F459" s="44"/>
      <c r="G459" s="44"/>
      <c r="I459" s="61"/>
      <c r="J459" s="59"/>
    </row>
    <row r="460" spans="4:10">
      <c r="D460" s="44"/>
      <c r="E460" s="44"/>
      <c r="F460" s="44"/>
      <c r="G460" s="44"/>
      <c r="I460" s="61"/>
      <c r="J460" s="59"/>
    </row>
    <row r="461" spans="4:10">
      <c r="D461" s="44"/>
      <c r="E461" s="44"/>
      <c r="F461" s="44"/>
      <c r="G461" s="44"/>
      <c r="I461" s="61"/>
      <c r="J461" s="59"/>
    </row>
    <row r="462" spans="4:10">
      <c r="D462" s="44"/>
      <c r="E462" s="44"/>
      <c r="F462" s="44"/>
      <c r="G462" s="44"/>
      <c r="I462" s="61"/>
      <c r="J462" s="59"/>
    </row>
    <row r="463" spans="4:10">
      <c r="D463" s="44"/>
      <c r="E463" s="44"/>
      <c r="F463" s="44"/>
      <c r="G463" s="44"/>
      <c r="I463" s="61"/>
      <c r="J463" s="59"/>
    </row>
    <row r="464" spans="4:10">
      <c r="D464" s="44"/>
      <c r="E464" s="44"/>
      <c r="F464" s="44"/>
      <c r="G464" s="44"/>
      <c r="I464" s="61"/>
      <c r="J464" s="59"/>
    </row>
    <row r="465" spans="4:10">
      <c r="D465" s="44"/>
      <c r="E465" s="44"/>
      <c r="F465" s="44"/>
      <c r="G465" s="44"/>
      <c r="I465" s="61"/>
      <c r="J465" s="59"/>
    </row>
    <row r="466" spans="4:10">
      <c r="D466" s="44"/>
      <c r="E466" s="44"/>
      <c r="F466" s="44"/>
      <c r="G466" s="44"/>
      <c r="I466" s="61"/>
      <c r="J466" s="59"/>
    </row>
    <row r="467" spans="4:10">
      <c r="D467" s="44"/>
      <c r="E467" s="44"/>
      <c r="F467" s="44"/>
      <c r="G467" s="44"/>
      <c r="I467" s="61"/>
      <c r="J467" s="59"/>
    </row>
    <row r="468" spans="4:10">
      <c r="D468" s="44"/>
      <c r="E468" s="44"/>
      <c r="F468" s="44"/>
      <c r="G468" s="44"/>
      <c r="I468" s="61"/>
      <c r="J468" s="59"/>
    </row>
    <row r="469" spans="4:10">
      <c r="D469" s="44"/>
      <c r="E469" s="44"/>
      <c r="F469" s="44"/>
      <c r="G469" s="44"/>
      <c r="I469" s="61"/>
      <c r="J469" s="59"/>
    </row>
    <row r="470" spans="4:10">
      <c r="D470" s="44"/>
      <c r="E470" s="44"/>
      <c r="F470" s="44"/>
      <c r="G470" s="44"/>
      <c r="I470" s="61"/>
      <c r="J470" s="59"/>
    </row>
    <row r="471" spans="4:10">
      <c r="D471" s="44"/>
      <c r="E471" s="44"/>
      <c r="F471" s="44"/>
      <c r="G471" s="44"/>
      <c r="I471" s="61"/>
      <c r="J471" s="59"/>
    </row>
    <row r="472" spans="4:10">
      <c r="D472" s="44"/>
      <c r="E472" s="44"/>
      <c r="F472" s="44"/>
      <c r="G472" s="44"/>
      <c r="I472" s="61"/>
      <c r="J472" s="59"/>
    </row>
    <row r="473" spans="4:10">
      <c r="D473" s="44"/>
      <c r="E473" s="44"/>
      <c r="F473" s="44"/>
      <c r="G473" s="44"/>
      <c r="I473" s="61"/>
      <c r="J473" s="59"/>
    </row>
    <row r="474" spans="4:10">
      <c r="D474" s="44"/>
      <c r="E474" s="44"/>
      <c r="F474" s="44"/>
      <c r="G474" s="44"/>
      <c r="I474" s="61"/>
      <c r="J474" s="59"/>
    </row>
    <row r="475" spans="4:10">
      <c r="D475" s="44"/>
      <c r="E475" s="44"/>
      <c r="F475" s="44"/>
      <c r="G475" s="44"/>
      <c r="I475" s="61"/>
      <c r="J475" s="59"/>
    </row>
    <row r="476" spans="4:10">
      <c r="D476" s="44"/>
      <c r="E476" s="44"/>
      <c r="F476" s="44"/>
      <c r="G476" s="44"/>
      <c r="I476" s="61"/>
      <c r="J476" s="59"/>
    </row>
    <row r="477" spans="4:10">
      <c r="D477" s="44"/>
      <c r="E477" s="44"/>
      <c r="F477" s="44"/>
      <c r="G477" s="44"/>
      <c r="I477" s="61"/>
      <c r="J477" s="59"/>
    </row>
    <row r="478" spans="4:10">
      <c r="D478" s="44"/>
      <c r="E478" s="44"/>
      <c r="F478" s="44"/>
      <c r="G478" s="44"/>
      <c r="I478" s="61"/>
      <c r="J478" s="59"/>
    </row>
    <row r="479" spans="4:10">
      <c r="D479" s="44"/>
      <c r="E479" s="44"/>
      <c r="F479" s="44"/>
      <c r="G479" s="44"/>
      <c r="I479" s="61"/>
      <c r="J479" s="59"/>
    </row>
    <row r="480" spans="4:10">
      <c r="D480" s="44"/>
      <c r="E480" s="44"/>
      <c r="F480" s="44"/>
      <c r="G480" s="44"/>
      <c r="I480" s="61"/>
      <c r="J480" s="59"/>
    </row>
    <row r="481" spans="4:10">
      <c r="D481" s="44"/>
      <c r="E481" s="44"/>
      <c r="F481" s="44"/>
      <c r="G481" s="44"/>
      <c r="I481" s="61"/>
      <c r="J481" s="59"/>
    </row>
    <row r="482" spans="4:10">
      <c r="D482" s="44"/>
      <c r="E482" s="44"/>
      <c r="F482" s="44"/>
      <c r="G482" s="44"/>
      <c r="I482" s="61"/>
      <c r="J482" s="59"/>
    </row>
    <row r="483" spans="4:10">
      <c r="D483" s="44"/>
      <c r="E483" s="44"/>
      <c r="F483" s="44"/>
      <c r="G483" s="44"/>
      <c r="I483" s="61"/>
      <c r="J483" s="59"/>
    </row>
    <row r="484" spans="4:10">
      <c r="D484" s="44"/>
      <c r="E484" s="44"/>
      <c r="F484" s="44"/>
      <c r="G484" s="44"/>
      <c r="I484" s="61"/>
      <c r="J484" s="59"/>
    </row>
    <row r="485" spans="4:10">
      <c r="D485" s="44"/>
      <c r="E485" s="44"/>
      <c r="F485" s="44"/>
      <c r="G485" s="44"/>
      <c r="I485" s="61"/>
      <c r="J485" s="59"/>
    </row>
    <row r="486" spans="4:10">
      <c r="D486" s="44"/>
      <c r="E486" s="44"/>
      <c r="F486" s="44"/>
      <c r="G486" s="44"/>
      <c r="I486" s="61"/>
      <c r="J486" s="59"/>
    </row>
    <row r="487" spans="4:10">
      <c r="D487" s="44"/>
      <c r="E487" s="44"/>
      <c r="F487" s="44"/>
      <c r="G487" s="44"/>
      <c r="I487" s="61"/>
      <c r="J487" s="59"/>
    </row>
    <row r="488" spans="4:10">
      <c r="D488" s="44"/>
      <c r="E488" s="44"/>
      <c r="F488" s="44"/>
      <c r="G488" s="44"/>
      <c r="I488" s="61"/>
      <c r="J488" s="59"/>
    </row>
    <row r="489" spans="4:10">
      <c r="D489" s="44"/>
      <c r="E489" s="44"/>
      <c r="F489" s="44"/>
      <c r="G489" s="44"/>
      <c r="I489" s="61"/>
      <c r="J489" s="59"/>
    </row>
    <row r="490" spans="4:10">
      <c r="D490" s="44"/>
      <c r="E490" s="44"/>
      <c r="F490" s="44"/>
      <c r="G490" s="44"/>
      <c r="I490" s="61"/>
      <c r="J490" s="59"/>
    </row>
    <row r="491" spans="4:10">
      <c r="D491" s="44"/>
      <c r="E491" s="44"/>
      <c r="F491" s="44"/>
      <c r="G491" s="44"/>
      <c r="I491" s="61"/>
      <c r="J491" s="59"/>
    </row>
    <row r="492" spans="4:10">
      <c r="D492" s="44"/>
      <c r="E492" s="44"/>
      <c r="F492" s="44"/>
      <c r="G492" s="44"/>
      <c r="I492" s="61"/>
      <c r="J492" s="59"/>
    </row>
    <row r="493" spans="4:10">
      <c r="D493" s="44"/>
      <c r="E493" s="44"/>
      <c r="F493" s="44"/>
      <c r="G493" s="44"/>
      <c r="I493" s="61"/>
      <c r="J493" s="59"/>
    </row>
    <row r="494" spans="4:10">
      <c r="D494" s="44"/>
      <c r="E494" s="44"/>
      <c r="F494" s="44"/>
      <c r="G494" s="44"/>
      <c r="I494" s="61"/>
      <c r="J494" s="59"/>
    </row>
    <row r="495" spans="4:10">
      <c r="D495" s="44"/>
      <c r="E495" s="44"/>
      <c r="F495" s="44"/>
      <c r="G495" s="44"/>
      <c r="I495" s="61"/>
      <c r="J495" s="59"/>
    </row>
    <row r="496" spans="4:10">
      <c r="D496" s="44"/>
      <c r="E496" s="44"/>
      <c r="F496" s="44"/>
      <c r="G496" s="44"/>
      <c r="I496" s="61"/>
      <c r="J496" s="59"/>
    </row>
    <row r="497" spans="4:10">
      <c r="D497" s="44"/>
      <c r="E497" s="44"/>
      <c r="F497" s="44"/>
      <c r="G497" s="44"/>
      <c r="I497" s="61"/>
      <c r="J497" s="59"/>
    </row>
    <row r="498" spans="4:10">
      <c r="D498" s="44"/>
      <c r="E498" s="44"/>
      <c r="F498" s="44"/>
      <c r="G498" s="44"/>
      <c r="I498" s="61"/>
      <c r="J498" s="59"/>
    </row>
    <row r="499" spans="4:10">
      <c r="D499" s="44"/>
      <c r="E499" s="44"/>
      <c r="F499" s="44"/>
      <c r="G499" s="44"/>
      <c r="I499" s="61"/>
      <c r="J499" s="59"/>
    </row>
    <row r="500" spans="4:10">
      <c r="D500" s="44"/>
      <c r="E500" s="44"/>
      <c r="F500" s="44"/>
      <c r="G500" s="44"/>
      <c r="I500" s="61"/>
      <c r="J500" s="59"/>
    </row>
    <row r="501" spans="4:10">
      <c r="D501" s="44"/>
      <c r="E501" s="44"/>
      <c r="F501" s="44"/>
      <c r="G501" s="44"/>
      <c r="I501" s="61"/>
      <c r="J501" s="59"/>
    </row>
    <row r="502" spans="4:10">
      <c r="D502" s="44"/>
      <c r="E502" s="44"/>
      <c r="F502" s="44"/>
      <c r="G502" s="44"/>
      <c r="I502" s="61"/>
      <c r="J502" s="59"/>
    </row>
    <row r="503" spans="4:10">
      <c r="D503" s="44"/>
      <c r="E503" s="44"/>
      <c r="F503" s="44"/>
      <c r="G503" s="44"/>
      <c r="I503" s="61"/>
      <c r="J503" s="59"/>
    </row>
    <row r="504" spans="4:10">
      <c r="D504" s="44"/>
      <c r="E504" s="44"/>
      <c r="F504" s="44"/>
      <c r="G504" s="44"/>
      <c r="I504" s="61"/>
      <c r="J504" s="59"/>
    </row>
    <row r="505" spans="4:10">
      <c r="D505" s="44"/>
      <c r="E505" s="44"/>
      <c r="F505" s="44"/>
      <c r="G505" s="44"/>
      <c r="I505" s="61"/>
      <c r="J505" s="59"/>
    </row>
    <row r="506" spans="4:10">
      <c r="D506" s="44"/>
      <c r="E506" s="44"/>
      <c r="F506" s="44"/>
      <c r="G506" s="44"/>
      <c r="I506" s="61"/>
      <c r="J506" s="59"/>
    </row>
    <row r="507" spans="4:10">
      <c r="D507" s="44"/>
      <c r="E507" s="44"/>
      <c r="F507" s="44"/>
      <c r="G507" s="44"/>
      <c r="I507" s="61"/>
      <c r="J507" s="59"/>
    </row>
    <row r="508" spans="4:10">
      <c r="D508" s="44"/>
      <c r="E508" s="44"/>
      <c r="F508" s="44"/>
      <c r="G508" s="44"/>
      <c r="I508" s="61"/>
      <c r="J508" s="59"/>
    </row>
    <row r="509" spans="4:10">
      <c r="D509" s="44"/>
      <c r="E509" s="44"/>
      <c r="F509" s="44"/>
      <c r="G509" s="44"/>
      <c r="I509" s="61"/>
      <c r="J509" s="59"/>
    </row>
    <row r="510" spans="4:10">
      <c r="D510" s="44"/>
      <c r="E510" s="44"/>
      <c r="F510" s="44"/>
      <c r="G510" s="44"/>
      <c r="I510" s="61"/>
      <c r="J510" s="59"/>
    </row>
    <row r="511" spans="4:10">
      <c r="D511" s="44"/>
      <c r="E511" s="44"/>
      <c r="F511" s="44"/>
      <c r="G511" s="44"/>
      <c r="I511" s="61"/>
      <c r="J511" s="59"/>
    </row>
    <row r="512" spans="4:10">
      <c r="D512" s="44"/>
      <c r="E512" s="44"/>
      <c r="F512" s="44"/>
      <c r="G512" s="44"/>
      <c r="I512" s="61"/>
      <c r="J512" s="59"/>
    </row>
    <row r="513" spans="4:10">
      <c r="D513" s="44"/>
      <c r="E513" s="44"/>
      <c r="F513" s="44"/>
      <c r="G513" s="44"/>
      <c r="I513" s="61"/>
      <c r="J513" s="59"/>
    </row>
    <row r="514" spans="4:10">
      <c r="D514" s="44"/>
      <c r="E514" s="44"/>
      <c r="F514" s="44"/>
      <c r="G514" s="44"/>
      <c r="I514" s="61"/>
      <c r="J514" s="59"/>
    </row>
    <row r="515" spans="4:10">
      <c r="D515" s="44"/>
      <c r="E515" s="44"/>
      <c r="F515" s="44"/>
      <c r="G515" s="44"/>
      <c r="I515" s="61"/>
      <c r="J515" s="59"/>
    </row>
    <row r="516" spans="4:10">
      <c r="D516" s="44"/>
      <c r="E516" s="44"/>
      <c r="F516" s="44"/>
      <c r="G516" s="44"/>
      <c r="I516" s="61"/>
      <c r="J516" s="59"/>
    </row>
    <row r="517" spans="4:10">
      <c r="D517" s="44"/>
      <c r="E517" s="44"/>
      <c r="F517" s="44"/>
      <c r="G517" s="44"/>
      <c r="I517" s="61"/>
      <c r="J517" s="59"/>
    </row>
    <row r="518" spans="4:10">
      <c r="D518" s="44"/>
      <c r="E518" s="44"/>
      <c r="F518" s="44"/>
      <c r="G518" s="44"/>
      <c r="I518" s="61"/>
      <c r="J518" s="59"/>
    </row>
    <row r="519" spans="4:10">
      <c r="D519" s="44"/>
      <c r="E519" s="44"/>
      <c r="F519" s="44"/>
      <c r="G519" s="44"/>
      <c r="I519" s="61"/>
      <c r="J519" s="59"/>
    </row>
    <row r="520" spans="4:10">
      <c r="D520" s="44"/>
      <c r="E520" s="44"/>
      <c r="F520" s="44"/>
      <c r="G520" s="44"/>
      <c r="I520" s="61"/>
      <c r="J520" s="59"/>
    </row>
    <row r="521" spans="4:10">
      <c r="D521" s="44"/>
      <c r="E521" s="44"/>
      <c r="F521" s="44"/>
      <c r="G521" s="44"/>
      <c r="I521" s="61"/>
      <c r="J521" s="59"/>
    </row>
    <row r="522" spans="4:10">
      <c r="D522" s="44"/>
      <c r="E522" s="44"/>
      <c r="F522" s="44"/>
      <c r="G522" s="44"/>
      <c r="I522" s="61"/>
      <c r="J522" s="59"/>
    </row>
    <row r="523" spans="4:10">
      <c r="D523" s="44"/>
      <c r="E523" s="44"/>
      <c r="F523" s="44"/>
      <c r="G523" s="44"/>
      <c r="I523" s="61"/>
      <c r="J523" s="59"/>
    </row>
    <row r="524" spans="4:10">
      <c r="D524" s="44"/>
      <c r="E524" s="44"/>
      <c r="F524" s="44"/>
      <c r="G524" s="44"/>
      <c r="I524" s="61"/>
      <c r="J524" s="59"/>
    </row>
    <row r="525" spans="4:10">
      <c r="D525" s="44"/>
      <c r="E525" s="44"/>
      <c r="F525" s="44"/>
      <c r="G525" s="44"/>
      <c r="I525" s="61"/>
      <c r="J525" s="59"/>
    </row>
    <row r="526" spans="4:10">
      <c r="D526" s="44"/>
      <c r="E526" s="44"/>
      <c r="F526" s="44"/>
      <c r="G526" s="44"/>
      <c r="I526" s="61"/>
      <c r="J526" s="59"/>
    </row>
    <row r="527" spans="4:10">
      <c r="D527" s="44"/>
      <c r="E527" s="44"/>
      <c r="F527" s="44"/>
      <c r="G527" s="44"/>
      <c r="I527" s="61"/>
      <c r="J527" s="59"/>
    </row>
    <row r="528" spans="4:10">
      <c r="D528" s="44"/>
      <c r="E528" s="44"/>
      <c r="F528" s="44"/>
      <c r="G528" s="44"/>
      <c r="I528" s="61"/>
      <c r="J528" s="59"/>
    </row>
    <row r="529" spans="4:10">
      <c r="D529" s="44"/>
      <c r="E529" s="44"/>
      <c r="F529" s="44"/>
      <c r="G529" s="44"/>
      <c r="I529" s="61"/>
      <c r="J529" s="59"/>
    </row>
    <row r="530" spans="4:10">
      <c r="D530" s="44"/>
      <c r="E530" s="44"/>
      <c r="F530" s="44"/>
      <c r="G530" s="44"/>
      <c r="I530" s="61"/>
      <c r="J530" s="59"/>
    </row>
    <row r="531" spans="4:10">
      <c r="D531" s="44"/>
      <c r="E531" s="44"/>
      <c r="F531" s="44"/>
      <c r="G531" s="44"/>
      <c r="I531" s="61"/>
      <c r="J531" s="59"/>
    </row>
    <row r="532" spans="4:10">
      <c r="D532" s="44"/>
      <c r="E532" s="44"/>
      <c r="F532" s="44"/>
      <c r="G532" s="44"/>
      <c r="I532" s="61"/>
      <c r="J532" s="59"/>
    </row>
    <row r="533" spans="4:10">
      <c r="D533" s="44"/>
      <c r="E533" s="44"/>
      <c r="F533" s="44"/>
      <c r="G533" s="44"/>
      <c r="I533" s="61"/>
      <c r="J533" s="59"/>
    </row>
    <row r="534" spans="4:10">
      <c r="D534" s="44"/>
      <c r="E534" s="44"/>
      <c r="F534" s="44"/>
      <c r="G534" s="44"/>
      <c r="I534" s="61"/>
      <c r="J534" s="59"/>
    </row>
    <row r="535" spans="4:10">
      <c r="D535" s="44"/>
      <c r="E535" s="44"/>
      <c r="F535" s="44"/>
      <c r="G535" s="44"/>
      <c r="I535" s="61"/>
      <c r="J535" s="59"/>
    </row>
    <row r="536" spans="4:10">
      <c r="D536" s="44"/>
      <c r="E536" s="44"/>
      <c r="F536" s="44"/>
      <c r="G536" s="44"/>
      <c r="I536" s="61"/>
      <c r="J536" s="59"/>
    </row>
    <row r="537" spans="4:10">
      <c r="D537" s="44"/>
      <c r="E537" s="44"/>
      <c r="F537" s="44"/>
      <c r="G537" s="44"/>
      <c r="I537" s="61"/>
      <c r="J537" s="59"/>
    </row>
    <row r="538" spans="4:10">
      <c r="D538" s="44"/>
      <c r="E538" s="44"/>
      <c r="F538" s="44"/>
      <c r="G538" s="44"/>
      <c r="I538" s="61"/>
      <c r="J538" s="59"/>
    </row>
    <row r="539" spans="4:10">
      <c r="D539" s="44"/>
      <c r="E539" s="44"/>
      <c r="F539" s="44"/>
      <c r="G539" s="44"/>
      <c r="I539" s="61"/>
      <c r="J539" s="59"/>
    </row>
    <row r="540" spans="4:10">
      <c r="D540" s="44"/>
      <c r="E540" s="44"/>
      <c r="F540" s="44"/>
      <c r="G540" s="44"/>
      <c r="I540" s="61"/>
      <c r="J540" s="59"/>
    </row>
    <row r="541" spans="4:10">
      <c r="D541" s="44"/>
      <c r="E541" s="44"/>
      <c r="F541" s="44"/>
      <c r="G541" s="44"/>
      <c r="I541" s="61"/>
      <c r="J541" s="59"/>
    </row>
    <row r="542" spans="4:10">
      <c r="D542" s="44">
        <f t="shared" ref="D542:D605" si="2">C542-H542</f>
        <v>0</v>
      </c>
      <c r="E542" s="44"/>
      <c r="F542" s="44"/>
      <c r="G542" s="44"/>
      <c r="I542" s="61">
        <f t="shared" ref="I542:I605" si="3">H542*10%</f>
        <v>0</v>
      </c>
      <c r="J542" s="59">
        <f t="shared" ref="J542:J605" si="4">H542*90%</f>
        <v>0</v>
      </c>
    </row>
    <row r="543" spans="4:10">
      <c r="D543" s="44">
        <f t="shared" si="2"/>
        <v>0</v>
      </c>
      <c r="E543" s="44"/>
      <c r="F543" s="44"/>
      <c r="G543" s="44"/>
      <c r="I543" s="61">
        <f t="shared" si="3"/>
        <v>0</v>
      </c>
      <c r="J543" s="59">
        <f t="shared" si="4"/>
        <v>0</v>
      </c>
    </row>
    <row r="544" spans="4:10">
      <c r="D544" s="44">
        <f t="shared" si="2"/>
        <v>0</v>
      </c>
      <c r="E544" s="44"/>
      <c r="F544" s="44"/>
      <c r="G544" s="44"/>
      <c r="I544" s="61">
        <f t="shared" si="3"/>
        <v>0</v>
      </c>
      <c r="J544" s="59">
        <f t="shared" si="4"/>
        <v>0</v>
      </c>
    </row>
    <row r="545" spans="4:10">
      <c r="D545" s="44">
        <f t="shared" si="2"/>
        <v>0</v>
      </c>
      <c r="E545" s="44"/>
      <c r="F545" s="44"/>
      <c r="G545" s="44"/>
      <c r="I545" s="61">
        <f t="shared" si="3"/>
        <v>0</v>
      </c>
      <c r="J545" s="59">
        <f t="shared" si="4"/>
        <v>0</v>
      </c>
    </row>
    <row r="546" spans="4:10">
      <c r="D546" s="44">
        <f t="shared" si="2"/>
        <v>0</v>
      </c>
      <c r="E546" s="44"/>
      <c r="F546" s="44"/>
      <c r="G546" s="44"/>
      <c r="I546" s="61">
        <f t="shared" si="3"/>
        <v>0</v>
      </c>
      <c r="J546" s="59">
        <f t="shared" si="4"/>
        <v>0</v>
      </c>
    </row>
    <row r="547" spans="4:10">
      <c r="D547" s="44">
        <f t="shared" si="2"/>
        <v>0</v>
      </c>
      <c r="E547" s="44"/>
      <c r="F547" s="44"/>
      <c r="G547" s="44"/>
      <c r="I547" s="61">
        <f t="shared" si="3"/>
        <v>0</v>
      </c>
      <c r="J547" s="59">
        <f t="shared" si="4"/>
        <v>0</v>
      </c>
    </row>
    <row r="548" spans="4:10">
      <c r="D548" s="44">
        <f t="shared" si="2"/>
        <v>0</v>
      </c>
      <c r="E548" s="44"/>
      <c r="F548" s="44"/>
      <c r="G548" s="44"/>
      <c r="I548" s="61">
        <f t="shared" si="3"/>
        <v>0</v>
      </c>
      <c r="J548" s="59">
        <f t="shared" si="4"/>
        <v>0</v>
      </c>
    </row>
    <row r="549" spans="4:10">
      <c r="D549" s="44">
        <f t="shared" si="2"/>
        <v>0</v>
      </c>
      <c r="E549" s="44"/>
      <c r="F549" s="44"/>
      <c r="G549" s="44"/>
      <c r="I549" s="61">
        <f t="shared" si="3"/>
        <v>0</v>
      </c>
      <c r="J549" s="59">
        <f t="shared" si="4"/>
        <v>0</v>
      </c>
    </row>
    <row r="550" spans="4:10">
      <c r="D550" s="44">
        <f t="shared" si="2"/>
        <v>0</v>
      </c>
      <c r="E550" s="44"/>
      <c r="F550" s="44"/>
      <c r="G550" s="44"/>
      <c r="I550" s="61">
        <f t="shared" si="3"/>
        <v>0</v>
      </c>
      <c r="J550" s="59">
        <f t="shared" si="4"/>
        <v>0</v>
      </c>
    </row>
    <row r="551" spans="4:10">
      <c r="D551" s="44">
        <f t="shared" si="2"/>
        <v>0</v>
      </c>
      <c r="E551" s="44"/>
      <c r="F551" s="44"/>
      <c r="G551" s="44"/>
      <c r="I551" s="61">
        <f t="shared" si="3"/>
        <v>0</v>
      </c>
      <c r="J551" s="59">
        <f t="shared" si="4"/>
        <v>0</v>
      </c>
    </row>
    <row r="552" spans="4:10">
      <c r="D552" s="44">
        <f t="shared" si="2"/>
        <v>0</v>
      </c>
      <c r="E552" s="44"/>
      <c r="F552" s="44"/>
      <c r="G552" s="44"/>
      <c r="I552" s="61">
        <f t="shared" si="3"/>
        <v>0</v>
      </c>
      <c r="J552" s="59">
        <f t="shared" si="4"/>
        <v>0</v>
      </c>
    </row>
    <row r="553" spans="4:10">
      <c r="D553" s="44">
        <f t="shared" si="2"/>
        <v>0</v>
      </c>
      <c r="E553" s="44"/>
      <c r="F553" s="44"/>
      <c r="G553" s="44"/>
      <c r="I553" s="61">
        <f t="shared" si="3"/>
        <v>0</v>
      </c>
      <c r="J553" s="59">
        <f t="shared" si="4"/>
        <v>0</v>
      </c>
    </row>
    <row r="554" spans="4:10">
      <c r="D554" s="44">
        <f t="shared" si="2"/>
        <v>0</v>
      </c>
      <c r="E554" s="44"/>
      <c r="F554" s="44"/>
      <c r="G554" s="44"/>
      <c r="I554" s="61">
        <f t="shared" si="3"/>
        <v>0</v>
      </c>
      <c r="J554" s="59">
        <f t="shared" si="4"/>
        <v>0</v>
      </c>
    </row>
    <row r="555" spans="4:10">
      <c r="D555" s="44">
        <f t="shared" si="2"/>
        <v>0</v>
      </c>
      <c r="E555" s="44"/>
      <c r="F555" s="44"/>
      <c r="G555" s="44"/>
      <c r="I555" s="61">
        <f t="shared" si="3"/>
        <v>0</v>
      </c>
      <c r="J555" s="59">
        <f t="shared" si="4"/>
        <v>0</v>
      </c>
    </row>
    <row r="556" spans="4:10">
      <c r="D556" s="44">
        <f t="shared" si="2"/>
        <v>0</v>
      </c>
      <c r="E556" s="44"/>
      <c r="F556" s="44"/>
      <c r="G556" s="44"/>
      <c r="I556" s="61">
        <f t="shared" si="3"/>
        <v>0</v>
      </c>
      <c r="J556" s="59">
        <f t="shared" si="4"/>
        <v>0</v>
      </c>
    </row>
    <row r="557" spans="4:10">
      <c r="D557" s="44">
        <f t="shared" si="2"/>
        <v>0</v>
      </c>
      <c r="E557" s="44"/>
      <c r="F557" s="44"/>
      <c r="G557" s="44"/>
      <c r="I557" s="61">
        <f t="shared" si="3"/>
        <v>0</v>
      </c>
      <c r="J557" s="59">
        <f t="shared" si="4"/>
        <v>0</v>
      </c>
    </row>
    <row r="558" spans="4:10">
      <c r="D558" s="44">
        <f t="shared" si="2"/>
        <v>0</v>
      </c>
      <c r="E558" s="44"/>
      <c r="F558" s="44"/>
      <c r="G558" s="44"/>
      <c r="I558" s="61">
        <f t="shared" si="3"/>
        <v>0</v>
      </c>
      <c r="J558" s="59">
        <f t="shared" si="4"/>
        <v>0</v>
      </c>
    </row>
    <row r="559" spans="4:10">
      <c r="D559" s="44">
        <f t="shared" si="2"/>
        <v>0</v>
      </c>
      <c r="E559" s="44"/>
      <c r="F559" s="44"/>
      <c r="G559" s="44"/>
      <c r="I559" s="61">
        <f t="shared" si="3"/>
        <v>0</v>
      </c>
      <c r="J559" s="59">
        <f t="shared" si="4"/>
        <v>0</v>
      </c>
    </row>
    <row r="560" spans="4:10">
      <c r="D560" s="44">
        <f t="shared" si="2"/>
        <v>0</v>
      </c>
      <c r="E560" s="44"/>
      <c r="F560" s="44"/>
      <c r="G560" s="44"/>
      <c r="I560" s="61">
        <f t="shared" si="3"/>
        <v>0</v>
      </c>
      <c r="J560" s="59">
        <f t="shared" si="4"/>
        <v>0</v>
      </c>
    </row>
    <row r="561" spans="4:10">
      <c r="D561" s="44">
        <f t="shared" si="2"/>
        <v>0</v>
      </c>
      <c r="E561" s="44"/>
      <c r="F561" s="44"/>
      <c r="G561" s="44"/>
      <c r="I561" s="61">
        <f t="shared" si="3"/>
        <v>0</v>
      </c>
      <c r="J561" s="59">
        <f t="shared" si="4"/>
        <v>0</v>
      </c>
    </row>
    <row r="562" spans="4:10">
      <c r="D562" s="44">
        <f t="shared" si="2"/>
        <v>0</v>
      </c>
      <c r="E562" s="44"/>
      <c r="F562" s="44"/>
      <c r="G562" s="44"/>
      <c r="I562" s="61">
        <f t="shared" si="3"/>
        <v>0</v>
      </c>
      <c r="J562" s="59">
        <f t="shared" si="4"/>
        <v>0</v>
      </c>
    </row>
    <row r="563" spans="4:10">
      <c r="D563" s="44">
        <f t="shared" si="2"/>
        <v>0</v>
      </c>
      <c r="E563" s="44"/>
      <c r="F563" s="44"/>
      <c r="G563" s="44"/>
      <c r="I563" s="61">
        <f t="shared" si="3"/>
        <v>0</v>
      </c>
      <c r="J563" s="59">
        <f t="shared" si="4"/>
        <v>0</v>
      </c>
    </row>
    <row r="564" spans="4:10">
      <c r="D564" s="44">
        <f t="shared" si="2"/>
        <v>0</v>
      </c>
      <c r="E564" s="44"/>
      <c r="F564" s="44"/>
      <c r="G564" s="44"/>
      <c r="I564" s="61">
        <f t="shared" si="3"/>
        <v>0</v>
      </c>
      <c r="J564" s="59">
        <f t="shared" si="4"/>
        <v>0</v>
      </c>
    </row>
    <row r="565" spans="4:10">
      <c r="D565" s="44">
        <f t="shared" si="2"/>
        <v>0</v>
      </c>
      <c r="E565" s="44"/>
      <c r="F565" s="44"/>
      <c r="G565" s="44"/>
      <c r="I565" s="61">
        <f t="shared" si="3"/>
        <v>0</v>
      </c>
      <c r="J565" s="59">
        <f t="shared" si="4"/>
        <v>0</v>
      </c>
    </row>
    <row r="566" spans="4:10">
      <c r="D566" s="44">
        <f t="shared" si="2"/>
        <v>0</v>
      </c>
      <c r="E566" s="44"/>
      <c r="F566" s="44"/>
      <c r="G566" s="44"/>
      <c r="I566" s="61">
        <f t="shared" si="3"/>
        <v>0</v>
      </c>
      <c r="J566" s="59">
        <f t="shared" si="4"/>
        <v>0</v>
      </c>
    </row>
    <row r="567" spans="4:10">
      <c r="D567" s="44">
        <f t="shared" si="2"/>
        <v>0</v>
      </c>
      <c r="E567" s="44"/>
      <c r="F567" s="44"/>
      <c r="G567" s="44"/>
      <c r="I567" s="61">
        <f t="shared" si="3"/>
        <v>0</v>
      </c>
      <c r="J567" s="59">
        <f t="shared" si="4"/>
        <v>0</v>
      </c>
    </row>
    <row r="568" spans="4:10">
      <c r="D568" s="44">
        <f t="shared" si="2"/>
        <v>0</v>
      </c>
      <c r="E568" s="44"/>
      <c r="F568" s="44"/>
      <c r="G568" s="44"/>
      <c r="I568" s="61">
        <f t="shared" si="3"/>
        <v>0</v>
      </c>
      <c r="J568" s="59">
        <f t="shared" si="4"/>
        <v>0</v>
      </c>
    </row>
    <row r="569" spans="4:10">
      <c r="D569" s="44">
        <f t="shared" si="2"/>
        <v>0</v>
      </c>
      <c r="E569" s="44"/>
      <c r="F569" s="44"/>
      <c r="G569" s="44"/>
      <c r="I569" s="61">
        <f t="shared" si="3"/>
        <v>0</v>
      </c>
      <c r="J569" s="59">
        <f t="shared" si="4"/>
        <v>0</v>
      </c>
    </row>
    <row r="570" spans="4:10">
      <c r="D570" s="44">
        <f t="shared" si="2"/>
        <v>0</v>
      </c>
      <c r="E570" s="44"/>
      <c r="F570" s="44"/>
      <c r="G570" s="44"/>
      <c r="I570" s="61">
        <f t="shared" si="3"/>
        <v>0</v>
      </c>
      <c r="J570" s="59">
        <f t="shared" si="4"/>
        <v>0</v>
      </c>
    </row>
    <row r="571" spans="4:10">
      <c r="D571" s="44">
        <f t="shared" si="2"/>
        <v>0</v>
      </c>
      <c r="E571" s="44"/>
      <c r="F571" s="44"/>
      <c r="G571" s="44"/>
      <c r="I571" s="61">
        <f t="shared" si="3"/>
        <v>0</v>
      </c>
      <c r="J571" s="59">
        <f t="shared" si="4"/>
        <v>0</v>
      </c>
    </row>
    <row r="572" spans="4:10">
      <c r="D572" s="44">
        <f t="shared" si="2"/>
        <v>0</v>
      </c>
      <c r="E572" s="44"/>
      <c r="F572" s="44"/>
      <c r="G572" s="44"/>
      <c r="I572" s="61">
        <f t="shared" si="3"/>
        <v>0</v>
      </c>
      <c r="J572" s="59">
        <f t="shared" si="4"/>
        <v>0</v>
      </c>
    </row>
    <row r="573" spans="4:10">
      <c r="D573" s="44">
        <f t="shared" si="2"/>
        <v>0</v>
      </c>
      <c r="E573" s="44"/>
      <c r="F573" s="44"/>
      <c r="G573" s="44"/>
      <c r="I573" s="61">
        <f t="shared" si="3"/>
        <v>0</v>
      </c>
      <c r="J573" s="59">
        <f t="shared" si="4"/>
        <v>0</v>
      </c>
    </row>
    <row r="574" spans="4:10">
      <c r="D574" s="44">
        <f t="shared" si="2"/>
        <v>0</v>
      </c>
      <c r="E574" s="44"/>
      <c r="F574" s="44"/>
      <c r="G574" s="44"/>
      <c r="I574" s="61">
        <f t="shared" si="3"/>
        <v>0</v>
      </c>
      <c r="J574" s="59">
        <f t="shared" si="4"/>
        <v>0</v>
      </c>
    </row>
    <row r="575" spans="4:10">
      <c r="D575" s="44">
        <f t="shared" si="2"/>
        <v>0</v>
      </c>
      <c r="E575" s="44"/>
      <c r="F575" s="44"/>
      <c r="G575" s="44"/>
      <c r="I575" s="61">
        <f t="shared" si="3"/>
        <v>0</v>
      </c>
      <c r="J575" s="59">
        <f t="shared" si="4"/>
        <v>0</v>
      </c>
    </row>
    <row r="576" spans="4:10">
      <c r="D576" s="44">
        <f t="shared" si="2"/>
        <v>0</v>
      </c>
      <c r="E576" s="44"/>
      <c r="F576" s="44"/>
      <c r="G576" s="44"/>
      <c r="I576" s="61">
        <f t="shared" si="3"/>
        <v>0</v>
      </c>
      <c r="J576" s="59">
        <f t="shared" si="4"/>
        <v>0</v>
      </c>
    </row>
    <row r="577" spans="4:10">
      <c r="D577" s="44">
        <f t="shared" si="2"/>
        <v>0</v>
      </c>
      <c r="E577" s="44"/>
      <c r="F577" s="44"/>
      <c r="G577" s="44"/>
      <c r="I577" s="61">
        <f t="shared" si="3"/>
        <v>0</v>
      </c>
      <c r="J577" s="59">
        <f t="shared" si="4"/>
        <v>0</v>
      </c>
    </row>
    <row r="578" spans="4:10">
      <c r="D578" s="44">
        <f t="shared" si="2"/>
        <v>0</v>
      </c>
      <c r="E578" s="44"/>
      <c r="F578" s="44"/>
      <c r="G578" s="44"/>
      <c r="I578" s="61">
        <f t="shared" si="3"/>
        <v>0</v>
      </c>
      <c r="J578" s="59">
        <f t="shared" si="4"/>
        <v>0</v>
      </c>
    </row>
    <row r="579" spans="4:10">
      <c r="D579" s="44">
        <f t="shared" si="2"/>
        <v>0</v>
      </c>
      <c r="E579" s="44"/>
      <c r="F579" s="44"/>
      <c r="G579" s="44"/>
      <c r="I579" s="61">
        <f t="shared" si="3"/>
        <v>0</v>
      </c>
      <c r="J579" s="59">
        <f t="shared" si="4"/>
        <v>0</v>
      </c>
    </row>
    <row r="580" spans="4:10">
      <c r="D580" s="44">
        <f t="shared" si="2"/>
        <v>0</v>
      </c>
      <c r="E580" s="44"/>
      <c r="F580" s="44"/>
      <c r="G580" s="44"/>
      <c r="I580" s="61">
        <f t="shared" si="3"/>
        <v>0</v>
      </c>
      <c r="J580" s="59">
        <f t="shared" si="4"/>
        <v>0</v>
      </c>
    </row>
    <row r="581" spans="4:10">
      <c r="D581" s="44">
        <f t="shared" si="2"/>
        <v>0</v>
      </c>
      <c r="E581" s="44"/>
      <c r="F581" s="44"/>
      <c r="G581" s="44"/>
      <c r="I581" s="61">
        <f t="shared" si="3"/>
        <v>0</v>
      </c>
      <c r="J581" s="59">
        <f t="shared" si="4"/>
        <v>0</v>
      </c>
    </row>
    <row r="582" spans="4:10">
      <c r="D582" s="44">
        <f t="shared" si="2"/>
        <v>0</v>
      </c>
      <c r="E582" s="44"/>
      <c r="F582" s="44"/>
      <c r="G582" s="44"/>
      <c r="I582" s="61">
        <f t="shared" si="3"/>
        <v>0</v>
      </c>
      <c r="J582" s="59">
        <f t="shared" si="4"/>
        <v>0</v>
      </c>
    </row>
    <row r="583" spans="4:10">
      <c r="D583" s="44">
        <f t="shared" si="2"/>
        <v>0</v>
      </c>
      <c r="E583" s="44"/>
      <c r="F583" s="44"/>
      <c r="G583" s="44"/>
      <c r="I583" s="61">
        <f t="shared" si="3"/>
        <v>0</v>
      </c>
      <c r="J583" s="59">
        <f t="shared" si="4"/>
        <v>0</v>
      </c>
    </row>
    <row r="584" spans="4:10">
      <c r="D584" s="44">
        <f t="shared" si="2"/>
        <v>0</v>
      </c>
      <c r="E584" s="44"/>
      <c r="F584" s="44"/>
      <c r="G584" s="44"/>
      <c r="I584" s="61">
        <f t="shared" si="3"/>
        <v>0</v>
      </c>
      <c r="J584" s="59">
        <f t="shared" si="4"/>
        <v>0</v>
      </c>
    </row>
    <row r="585" spans="4:10">
      <c r="D585" s="44">
        <f t="shared" si="2"/>
        <v>0</v>
      </c>
      <c r="E585" s="44"/>
      <c r="F585" s="44"/>
      <c r="G585" s="44"/>
      <c r="I585" s="61">
        <f t="shared" si="3"/>
        <v>0</v>
      </c>
      <c r="J585" s="59">
        <f t="shared" si="4"/>
        <v>0</v>
      </c>
    </row>
    <row r="586" spans="4:10">
      <c r="D586" s="44">
        <f t="shared" si="2"/>
        <v>0</v>
      </c>
      <c r="E586" s="44"/>
      <c r="F586" s="44"/>
      <c r="G586" s="44"/>
      <c r="I586" s="61">
        <f t="shared" si="3"/>
        <v>0</v>
      </c>
      <c r="J586" s="59">
        <f t="shared" si="4"/>
        <v>0</v>
      </c>
    </row>
    <row r="587" spans="4:10">
      <c r="D587" s="44">
        <f t="shared" si="2"/>
        <v>0</v>
      </c>
      <c r="E587" s="44"/>
      <c r="F587" s="44"/>
      <c r="G587" s="44"/>
      <c r="I587" s="61">
        <f t="shared" si="3"/>
        <v>0</v>
      </c>
      <c r="J587" s="59">
        <f t="shared" si="4"/>
        <v>0</v>
      </c>
    </row>
    <row r="588" spans="4:10">
      <c r="D588" s="44">
        <f t="shared" si="2"/>
        <v>0</v>
      </c>
      <c r="E588" s="44"/>
      <c r="F588" s="44"/>
      <c r="G588" s="44"/>
      <c r="I588" s="61">
        <f t="shared" si="3"/>
        <v>0</v>
      </c>
      <c r="J588" s="59">
        <f t="shared" si="4"/>
        <v>0</v>
      </c>
    </row>
    <row r="589" spans="4:10">
      <c r="D589" s="44">
        <f t="shared" si="2"/>
        <v>0</v>
      </c>
      <c r="E589" s="44"/>
      <c r="F589" s="44"/>
      <c r="G589" s="44"/>
      <c r="I589" s="61">
        <f t="shared" si="3"/>
        <v>0</v>
      </c>
      <c r="J589" s="59">
        <f t="shared" si="4"/>
        <v>0</v>
      </c>
    </row>
    <row r="590" spans="4:10">
      <c r="D590" s="44">
        <f t="shared" si="2"/>
        <v>0</v>
      </c>
      <c r="E590" s="44"/>
      <c r="F590" s="44"/>
      <c r="G590" s="44"/>
      <c r="I590" s="61">
        <f t="shared" si="3"/>
        <v>0</v>
      </c>
      <c r="J590" s="59">
        <f t="shared" si="4"/>
        <v>0</v>
      </c>
    </row>
    <row r="591" spans="4:10">
      <c r="D591" s="44">
        <f t="shared" si="2"/>
        <v>0</v>
      </c>
      <c r="E591" s="44"/>
      <c r="F591" s="44"/>
      <c r="G591" s="44"/>
      <c r="I591" s="61">
        <f t="shared" si="3"/>
        <v>0</v>
      </c>
      <c r="J591" s="59">
        <f t="shared" si="4"/>
        <v>0</v>
      </c>
    </row>
    <row r="592" spans="4:10">
      <c r="D592" s="44">
        <f t="shared" si="2"/>
        <v>0</v>
      </c>
      <c r="E592" s="44"/>
      <c r="F592" s="44"/>
      <c r="G592" s="44"/>
      <c r="I592" s="61">
        <f t="shared" si="3"/>
        <v>0</v>
      </c>
      <c r="J592" s="59">
        <f t="shared" si="4"/>
        <v>0</v>
      </c>
    </row>
    <row r="593" spans="4:10">
      <c r="D593" s="44">
        <f t="shared" si="2"/>
        <v>0</v>
      </c>
      <c r="E593" s="44"/>
      <c r="F593" s="44"/>
      <c r="G593" s="44"/>
      <c r="I593" s="61">
        <f t="shared" si="3"/>
        <v>0</v>
      </c>
      <c r="J593" s="59">
        <f t="shared" si="4"/>
        <v>0</v>
      </c>
    </row>
    <row r="594" spans="4:10">
      <c r="D594" s="44">
        <f t="shared" si="2"/>
        <v>0</v>
      </c>
      <c r="E594" s="44"/>
      <c r="F594" s="44"/>
      <c r="G594" s="44"/>
      <c r="I594" s="61">
        <f t="shared" si="3"/>
        <v>0</v>
      </c>
      <c r="J594" s="59">
        <f t="shared" si="4"/>
        <v>0</v>
      </c>
    </row>
    <row r="595" spans="4:10">
      <c r="D595" s="44">
        <f t="shared" si="2"/>
        <v>0</v>
      </c>
      <c r="E595" s="44"/>
      <c r="F595" s="44"/>
      <c r="G595" s="44"/>
      <c r="I595" s="61">
        <f t="shared" si="3"/>
        <v>0</v>
      </c>
      <c r="J595" s="59">
        <f t="shared" si="4"/>
        <v>0</v>
      </c>
    </row>
    <row r="596" spans="4:10">
      <c r="D596" s="44">
        <f t="shared" si="2"/>
        <v>0</v>
      </c>
      <c r="E596" s="44"/>
      <c r="F596" s="44"/>
      <c r="G596" s="44"/>
      <c r="I596" s="61">
        <f t="shared" si="3"/>
        <v>0</v>
      </c>
      <c r="J596" s="59">
        <f t="shared" si="4"/>
        <v>0</v>
      </c>
    </row>
    <row r="597" spans="4:10">
      <c r="D597" s="44">
        <f t="shared" si="2"/>
        <v>0</v>
      </c>
      <c r="E597" s="44"/>
      <c r="F597" s="44"/>
      <c r="G597" s="44"/>
      <c r="I597" s="61">
        <f t="shared" si="3"/>
        <v>0</v>
      </c>
      <c r="J597" s="59">
        <f t="shared" si="4"/>
        <v>0</v>
      </c>
    </row>
    <row r="598" spans="4:10">
      <c r="D598" s="44">
        <f t="shared" si="2"/>
        <v>0</v>
      </c>
      <c r="E598" s="44"/>
      <c r="F598" s="44"/>
      <c r="G598" s="44"/>
      <c r="I598" s="61">
        <f t="shared" si="3"/>
        <v>0</v>
      </c>
      <c r="J598" s="59">
        <f t="shared" si="4"/>
        <v>0</v>
      </c>
    </row>
    <row r="599" spans="4:10">
      <c r="D599" s="44">
        <f t="shared" si="2"/>
        <v>0</v>
      </c>
      <c r="E599" s="44"/>
      <c r="F599" s="44"/>
      <c r="G599" s="44"/>
      <c r="I599" s="61">
        <f t="shared" si="3"/>
        <v>0</v>
      </c>
      <c r="J599" s="59">
        <f t="shared" si="4"/>
        <v>0</v>
      </c>
    </row>
    <row r="600" spans="4:10">
      <c r="D600" s="44">
        <f t="shared" si="2"/>
        <v>0</v>
      </c>
      <c r="E600" s="44"/>
      <c r="F600" s="44"/>
      <c r="G600" s="44"/>
      <c r="I600" s="61">
        <f t="shared" si="3"/>
        <v>0</v>
      </c>
      <c r="J600" s="59">
        <f t="shared" si="4"/>
        <v>0</v>
      </c>
    </row>
    <row r="601" spans="4:10">
      <c r="D601" s="44">
        <f t="shared" si="2"/>
        <v>0</v>
      </c>
      <c r="E601" s="44"/>
      <c r="F601" s="44"/>
      <c r="G601" s="44"/>
      <c r="I601" s="61">
        <f t="shared" si="3"/>
        <v>0</v>
      </c>
      <c r="J601" s="59">
        <f t="shared" si="4"/>
        <v>0</v>
      </c>
    </row>
    <row r="602" spans="4:10">
      <c r="D602" s="44">
        <f t="shared" si="2"/>
        <v>0</v>
      </c>
      <c r="E602" s="44"/>
      <c r="F602" s="44"/>
      <c r="G602" s="44"/>
      <c r="I602" s="61">
        <f t="shared" si="3"/>
        <v>0</v>
      </c>
      <c r="J602" s="59">
        <f t="shared" si="4"/>
        <v>0</v>
      </c>
    </row>
    <row r="603" spans="4:10">
      <c r="D603" s="44">
        <f t="shared" si="2"/>
        <v>0</v>
      </c>
      <c r="E603" s="44"/>
      <c r="F603" s="44"/>
      <c r="G603" s="44"/>
      <c r="I603" s="61">
        <f t="shared" si="3"/>
        <v>0</v>
      </c>
      <c r="J603" s="59">
        <f t="shared" si="4"/>
        <v>0</v>
      </c>
    </row>
    <row r="604" spans="4:10">
      <c r="D604" s="44">
        <f t="shared" si="2"/>
        <v>0</v>
      </c>
      <c r="E604" s="44"/>
      <c r="F604" s="44"/>
      <c r="G604" s="44"/>
      <c r="I604" s="61">
        <f t="shared" si="3"/>
        <v>0</v>
      </c>
      <c r="J604" s="59">
        <f t="shared" si="4"/>
        <v>0</v>
      </c>
    </row>
    <row r="605" spans="4:10">
      <c r="D605" s="44">
        <f t="shared" si="2"/>
        <v>0</v>
      </c>
      <c r="E605" s="44"/>
      <c r="F605" s="44"/>
      <c r="G605" s="44"/>
      <c r="I605" s="61">
        <f t="shared" si="3"/>
        <v>0</v>
      </c>
      <c r="J605" s="59">
        <f t="shared" si="4"/>
        <v>0</v>
      </c>
    </row>
    <row r="606" spans="4:10">
      <c r="D606" s="44">
        <f t="shared" ref="D606:D669" si="5">C606-H606</f>
        <v>0</v>
      </c>
      <c r="E606" s="44"/>
      <c r="F606" s="44"/>
      <c r="G606" s="44"/>
      <c r="I606" s="61">
        <f t="shared" ref="I606:I669" si="6">H606*10%</f>
        <v>0</v>
      </c>
      <c r="J606" s="59">
        <f t="shared" ref="J606:J669" si="7">H606*90%</f>
        <v>0</v>
      </c>
    </row>
    <row r="607" spans="4:10">
      <c r="D607" s="44">
        <f t="shared" si="5"/>
        <v>0</v>
      </c>
      <c r="E607" s="44"/>
      <c r="F607" s="44"/>
      <c r="G607" s="44"/>
      <c r="I607" s="61">
        <f t="shared" si="6"/>
        <v>0</v>
      </c>
      <c r="J607" s="59">
        <f t="shared" si="7"/>
        <v>0</v>
      </c>
    </row>
    <row r="608" spans="4:10">
      <c r="D608" s="44">
        <f t="shared" si="5"/>
        <v>0</v>
      </c>
      <c r="E608" s="44"/>
      <c r="F608" s="44"/>
      <c r="G608" s="44"/>
      <c r="I608" s="61">
        <f t="shared" si="6"/>
        <v>0</v>
      </c>
      <c r="J608" s="59">
        <f t="shared" si="7"/>
        <v>0</v>
      </c>
    </row>
    <row r="609" spans="4:10">
      <c r="D609" s="44">
        <f t="shared" si="5"/>
        <v>0</v>
      </c>
      <c r="E609" s="44"/>
      <c r="F609" s="44"/>
      <c r="G609" s="44"/>
      <c r="I609" s="61">
        <f t="shared" si="6"/>
        <v>0</v>
      </c>
      <c r="J609" s="59">
        <f t="shared" si="7"/>
        <v>0</v>
      </c>
    </row>
    <row r="610" spans="4:10">
      <c r="D610" s="44">
        <f t="shared" si="5"/>
        <v>0</v>
      </c>
      <c r="E610" s="44"/>
      <c r="F610" s="44"/>
      <c r="G610" s="44"/>
      <c r="I610" s="61">
        <f t="shared" si="6"/>
        <v>0</v>
      </c>
      <c r="J610" s="59">
        <f t="shared" si="7"/>
        <v>0</v>
      </c>
    </row>
    <row r="611" spans="4:10">
      <c r="D611" s="44">
        <f t="shared" si="5"/>
        <v>0</v>
      </c>
      <c r="E611" s="44"/>
      <c r="F611" s="44"/>
      <c r="G611" s="44"/>
      <c r="I611" s="61">
        <f t="shared" si="6"/>
        <v>0</v>
      </c>
      <c r="J611" s="59">
        <f t="shared" si="7"/>
        <v>0</v>
      </c>
    </row>
    <row r="612" spans="4:10">
      <c r="D612" s="44">
        <f t="shared" si="5"/>
        <v>0</v>
      </c>
      <c r="E612" s="44"/>
      <c r="F612" s="44"/>
      <c r="G612" s="44"/>
      <c r="I612" s="61">
        <f t="shared" si="6"/>
        <v>0</v>
      </c>
      <c r="J612" s="59">
        <f t="shared" si="7"/>
        <v>0</v>
      </c>
    </row>
    <row r="613" spans="4:10">
      <c r="D613" s="44">
        <f t="shared" si="5"/>
        <v>0</v>
      </c>
      <c r="E613" s="44"/>
      <c r="F613" s="44"/>
      <c r="G613" s="44"/>
      <c r="I613" s="61">
        <f t="shared" si="6"/>
        <v>0</v>
      </c>
      <c r="J613" s="59">
        <f t="shared" si="7"/>
        <v>0</v>
      </c>
    </row>
    <row r="614" spans="4:10">
      <c r="D614" s="44">
        <f t="shared" si="5"/>
        <v>0</v>
      </c>
      <c r="E614" s="44"/>
      <c r="F614" s="44"/>
      <c r="G614" s="44"/>
      <c r="I614" s="61">
        <f t="shared" si="6"/>
        <v>0</v>
      </c>
      <c r="J614" s="59">
        <f t="shared" si="7"/>
        <v>0</v>
      </c>
    </row>
    <row r="615" spans="4:10">
      <c r="D615" s="44">
        <f t="shared" si="5"/>
        <v>0</v>
      </c>
      <c r="E615" s="44"/>
      <c r="F615" s="44"/>
      <c r="G615" s="44"/>
      <c r="I615" s="61">
        <f t="shared" si="6"/>
        <v>0</v>
      </c>
      <c r="J615" s="59">
        <f t="shared" si="7"/>
        <v>0</v>
      </c>
    </row>
    <row r="616" spans="4:10">
      <c r="D616" s="44">
        <f t="shared" si="5"/>
        <v>0</v>
      </c>
      <c r="E616" s="44"/>
      <c r="F616" s="44"/>
      <c r="G616" s="44"/>
      <c r="I616" s="61">
        <f t="shared" si="6"/>
        <v>0</v>
      </c>
      <c r="J616" s="59">
        <f t="shared" si="7"/>
        <v>0</v>
      </c>
    </row>
    <row r="617" spans="4:10">
      <c r="D617" s="44">
        <f t="shared" si="5"/>
        <v>0</v>
      </c>
      <c r="E617" s="44"/>
      <c r="F617" s="44"/>
      <c r="G617" s="44"/>
      <c r="I617" s="61">
        <f t="shared" si="6"/>
        <v>0</v>
      </c>
      <c r="J617" s="59">
        <f t="shared" si="7"/>
        <v>0</v>
      </c>
    </row>
    <row r="618" spans="4:10">
      <c r="D618" s="44">
        <f t="shared" si="5"/>
        <v>0</v>
      </c>
      <c r="E618" s="44"/>
      <c r="F618" s="44"/>
      <c r="G618" s="44"/>
      <c r="I618" s="61">
        <f t="shared" si="6"/>
        <v>0</v>
      </c>
      <c r="J618" s="59">
        <f t="shared" si="7"/>
        <v>0</v>
      </c>
    </row>
    <row r="619" spans="4:10">
      <c r="D619" s="44">
        <f t="shared" si="5"/>
        <v>0</v>
      </c>
      <c r="E619" s="44"/>
      <c r="F619" s="44"/>
      <c r="G619" s="44"/>
      <c r="I619" s="61">
        <f t="shared" si="6"/>
        <v>0</v>
      </c>
      <c r="J619" s="59">
        <f t="shared" si="7"/>
        <v>0</v>
      </c>
    </row>
    <row r="620" spans="4:10">
      <c r="D620" s="44">
        <f t="shared" si="5"/>
        <v>0</v>
      </c>
      <c r="E620" s="44"/>
      <c r="F620" s="44"/>
      <c r="G620" s="44"/>
      <c r="I620" s="61">
        <f t="shared" si="6"/>
        <v>0</v>
      </c>
      <c r="J620" s="59">
        <f t="shared" si="7"/>
        <v>0</v>
      </c>
    </row>
    <row r="621" spans="4:10">
      <c r="D621" s="44">
        <f t="shared" si="5"/>
        <v>0</v>
      </c>
      <c r="E621" s="44"/>
      <c r="F621" s="44"/>
      <c r="G621" s="44"/>
      <c r="I621" s="61">
        <f t="shared" si="6"/>
        <v>0</v>
      </c>
      <c r="J621" s="59">
        <f t="shared" si="7"/>
        <v>0</v>
      </c>
    </row>
    <row r="622" spans="4:10">
      <c r="D622" s="44">
        <f t="shared" si="5"/>
        <v>0</v>
      </c>
      <c r="E622" s="44"/>
      <c r="F622" s="44"/>
      <c r="G622" s="44"/>
      <c r="I622" s="61">
        <f t="shared" si="6"/>
        <v>0</v>
      </c>
      <c r="J622" s="59">
        <f t="shared" si="7"/>
        <v>0</v>
      </c>
    </row>
    <row r="623" spans="4:10">
      <c r="D623" s="44">
        <f t="shared" si="5"/>
        <v>0</v>
      </c>
      <c r="E623" s="44"/>
      <c r="F623" s="44"/>
      <c r="G623" s="44"/>
      <c r="I623" s="61">
        <f t="shared" si="6"/>
        <v>0</v>
      </c>
      <c r="J623" s="59">
        <f t="shared" si="7"/>
        <v>0</v>
      </c>
    </row>
    <row r="624" spans="4:10">
      <c r="D624" s="44">
        <f t="shared" si="5"/>
        <v>0</v>
      </c>
      <c r="E624" s="44"/>
      <c r="F624" s="44"/>
      <c r="G624" s="44"/>
      <c r="I624" s="61">
        <f t="shared" si="6"/>
        <v>0</v>
      </c>
      <c r="J624" s="59">
        <f t="shared" si="7"/>
        <v>0</v>
      </c>
    </row>
    <row r="625" spans="4:10">
      <c r="D625" s="44">
        <f t="shared" si="5"/>
        <v>0</v>
      </c>
      <c r="E625" s="44"/>
      <c r="F625" s="44"/>
      <c r="G625" s="44"/>
      <c r="I625" s="61">
        <f t="shared" si="6"/>
        <v>0</v>
      </c>
      <c r="J625" s="59">
        <f t="shared" si="7"/>
        <v>0</v>
      </c>
    </row>
    <row r="626" spans="4:10">
      <c r="D626" s="44">
        <f t="shared" si="5"/>
        <v>0</v>
      </c>
      <c r="E626" s="44"/>
      <c r="F626" s="44"/>
      <c r="G626" s="44"/>
      <c r="I626" s="61">
        <f t="shared" si="6"/>
        <v>0</v>
      </c>
      <c r="J626" s="59">
        <f t="shared" si="7"/>
        <v>0</v>
      </c>
    </row>
    <row r="627" spans="4:10">
      <c r="D627" s="44">
        <f t="shared" si="5"/>
        <v>0</v>
      </c>
      <c r="E627" s="44"/>
      <c r="F627" s="44"/>
      <c r="G627" s="44"/>
      <c r="I627" s="61">
        <f t="shared" si="6"/>
        <v>0</v>
      </c>
      <c r="J627" s="59">
        <f t="shared" si="7"/>
        <v>0</v>
      </c>
    </row>
    <row r="628" spans="4:10">
      <c r="D628" s="44">
        <f t="shared" si="5"/>
        <v>0</v>
      </c>
      <c r="E628" s="44"/>
      <c r="F628" s="44"/>
      <c r="G628" s="44"/>
      <c r="I628" s="61">
        <f t="shared" si="6"/>
        <v>0</v>
      </c>
      <c r="J628" s="59">
        <f t="shared" si="7"/>
        <v>0</v>
      </c>
    </row>
    <row r="629" spans="4:10">
      <c r="D629" s="44">
        <f t="shared" si="5"/>
        <v>0</v>
      </c>
      <c r="E629" s="44"/>
      <c r="F629" s="44"/>
      <c r="G629" s="44"/>
      <c r="I629" s="61">
        <f t="shared" si="6"/>
        <v>0</v>
      </c>
      <c r="J629" s="59">
        <f t="shared" si="7"/>
        <v>0</v>
      </c>
    </row>
    <row r="630" spans="4:10">
      <c r="D630" s="44">
        <f t="shared" si="5"/>
        <v>0</v>
      </c>
      <c r="E630" s="44"/>
      <c r="F630" s="44"/>
      <c r="G630" s="44"/>
      <c r="I630" s="61">
        <f t="shared" si="6"/>
        <v>0</v>
      </c>
      <c r="J630" s="59">
        <f t="shared" si="7"/>
        <v>0</v>
      </c>
    </row>
    <row r="631" spans="4:10">
      <c r="D631" s="44">
        <f t="shared" si="5"/>
        <v>0</v>
      </c>
      <c r="E631" s="44"/>
      <c r="F631" s="44"/>
      <c r="G631" s="44"/>
      <c r="I631" s="61">
        <f t="shared" si="6"/>
        <v>0</v>
      </c>
      <c r="J631" s="59">
        <f t="shared" si="7"/>
        <v>0</v>
      </c>
    </row>
    <row r="632" spans="4:10">
      <c r="D632" s="44">
        <f t="shared" si="5"/>
        <v>0</v>
      </c>
      <c r="E632" s="44"/>
      <c r="F632" s="44"/>
      <c r="G632" s="44"/>
      <c r="I632" s="61">
        <f t="shared" si="6"/>
        <v>0</v>
      </c>
      <c r="J632" s="59">
        <f t="shared" si="7"/>
        <v>0</v>
      </c>
    </row>
    <row r="633" spans="4:10">
      <c r="D633" s="44">
        <f t="shared" si="5"/>
        <v>0</v>
      </c>
      <c r="E633" s="44"/>
      <c r="F633" s="44"/>
      <c r="G633" s="44"/>
      <c r="I633" s="61">
        <f t="shared" si="6"/>
        <v>0</v>
      </c>
      <c r="J633" s="59">
        <f t="shared" si="7"/>
        <v>0</v>
      </c>
    </row>
    <row r="634" spans="4:10">
      <c r="D634" s="44">
        <f t="shared" si="5"/>
        <v>0</v>
      </c>
      <c r="E634" s="44"/>
      <c r="F634" s="44"/>
      <c r="G634" s="44"/>
      <c r="I634" s="61">
        <f t="shared" si="6"/>
        <v>0</v>
      </c>
      <c r="J634" s="59">
        <f t="shared" si="7"/>
        <v>0</v>
      </c>
    </row>
    <row r="635" spans="4:10">
      <c r="D635" s="44">
        <f t="shared" si="5"/>
        <v>0</v>
      </c>
      <c r="E635" s="44"/>
      <c r="F635" s="44"/>
      <c r="G635" s="44"/>
      <c r="I635" s="61">
        <f t="shared" si="6"/>
        <v>0</v>
      </c>
      <c r="J635" s="59">
        <f t="shared" si="7"/>
        <v>0</v>
      </c>
    </row>
    <row r="636" spans="4:10">
      <c r="D636" s="44">
        <f t="shared" si="5"/>
        <v>0</v>
      </c>
      <c r="E636" s="44"/>
      <c r="F636" s="44"/>
      <c r="G636" s="44"/>
      <c r="I636" s="61">
        <f t="shared" si="6"/>
        <v>0</v>
      </c>
      <c r="J636" s="59">
        <f t="shared" si="7"/>
        <v>0</v>
      </c>
    </row>
    <row r="637" spans="4:10">
      <c r="D637" s="44">
        <f t="shared" si="5"/>
        <v>0</v>
      </c>
      <c r="E637" s="44"/>
      <c r="F637" s="44"/>
      <c r="G637" s="44"/>
      <c r="I637" s="61">
        <f t="shared" si="6"/>
        <v>0</v>
      </c>
      <c r="J637" s="59">
        <f t="shared" si="7"/>
        <v>0</v>
      </c>
    </row>
    <row r="638" spans="4:10">
      <c r="D638" s="44">
        <f t="shared" si="5"/>
        <v>0</v>
      </c>
      <c r="E638" s="44"/>
      <c r="F638" s="44"/>
      <c r="G638" s="44"/>
      <c r="I638" s="61">
        <f t="shared" si="6"/>
        <v>0</v>
      </c>
      <c r="J638" s="59">
        <f t="shared" si="7"/>
        <v>0</v>
      </c>
    </row>
    <row r="639" spans="4:10">
      <c r="D639" s="44">
        <f t="shared" si="5"/>
        <v>0</v>
      </c>
      <c r="E639" s="44"/>
      <c r="F639" s="44"/>
      <c r="G639" s="44"/>
      <c r="I639" s="61">
        <f t="shared" si="6"/>
        <v>0</v>
      </c>
      <c r="J639" s="59">
        <f t="shared" si="7"/>
        <v>0</v>
      </c>
    </row>
    <row r="640" spans="4:10">
      <c r="D640" s="44">
        <f t="shared" si="5"/>
        <v>0</v>
      </c>
      <c r="E640" s="44"/>
      <c r="F640" s="44"/>
      <c r="G640" s="44"/>
      <c r="I640" s="61">
        <f t="shared" si="6"/>
        <v>0</v>
      </c>
      <c r="J640" s="59">
        <f t="shared" si="7"/>
        <v>0</v>
      </c>
    </row>
    <row r="641" spans="4:10">
      <c r="D641" s="44">
        <f t="shared" si="5"/>
        <v>0</v>
      </c>
      <c r="E641" s="44"/>
      <c r="F641" s="44"/>
      <c r="G641" s="44"/>
      <c r="I641" s="61">
        <f t="shared" si="6"/>
        <v>0</v>
      </c>
      <c r="J641" s="59">
        <f t="shared" si="7"/>
        <v>0</v>
      </c>
    </row>
    <row r="642" spans="4:10">
      <c r="D642" s="44">
        <f t="shared" si="5"/>
        <v>0</v>
      </c>
      <c r="E642" s="44"/>
      <c r="F642" s="44"/>
      <c r="G642" s="44"/>
      <c r="I642" s="61">
        <f t="shared" si="6"/>
        <v>0</v>
      </c>
      <c r="J642" s="59">
        <f t="shared" si="7"/>
        <v>0</v>
      </c>
    </row>
    <row r="643" spans="4:10">
      <c r="D643" s="44">
        <f t="shared" si="5"/>
        <v>0</v>
      </c>
      <c r="E643" s="44"/>
      <c r="F643" s="44"/>
      <c r="G643" s="44"/>
      <c r="I643" s="61">
        <f t="shared" si="6"/>
        <v>0</v>
      </c>
      <c r="J643" s="59">
        <f t="shared" si="7"/>
        <v>0</v>
      </c>
    </row>
    <row r="644" spans="4:10">
      <c r="D644" s="44">
        <f t="shared" si="5"/>
        <v>0</v>
      </c>
      <c r="E644" s="44"/>
      <c r="F644" s="44"/>
      <c r="G644" s="44"/>
      <c r="I644" s="61">
        <f t="shared" si="6"/>
        <v>0</v>
      </c>
      <c r="J644" s="59">
        <f t="shared" si="7"/>
        <v>0</v>
      </c>
    </row>
    <row r="645" spans="4:10">
      <c r="D645" s="44">
        <f t="shared" si="5"/>
        <v>0</v>
      </c>
      <c r="E645" s="44"/>
      <c r="F645" s="44"/>
      <c r="G645" s="44"/>
      <c r="I645" s="61">
        <f t="shared" si="6"/>
        <v>0</v>
      </c>
      <c r="J645" s="59">
        <f t="shared" si="7"/>
        <v>0</v>
      </c>
    </row>
    <row r="646" spans="4:10">
      <c r="D646" s="44">
        <f t="shared" si="5"/>
        <v>0</v>
      </c>
      <c r="E646" s="44"/>
      <c r="F646" s="44"/>
      <c r="G646" s="44"/>
      <c r="I646" s="61">
        <f t="shared" si="6"/>
        <v>0</v>
      </c>
      <c r="J646" s="59">
        <f t="shared" si="7"/>
        <v>0</v>
      </c>
    </row>
    <row r="647" spans="4:10">
      <c r="D647" s="44">
        <f t="shared" si="5"/>
        <v>0</v>
      </c>
      <c r="E647" s="44"/>
      <c r="F647" s="44"/>
      <c r="G647" s="44"/>
      <c r="I647" s="61">
        <f t="shared" si="6"/>
        <v>0</v>
      </c>
      <c r="J647" s="59">
        <f t="shared" si="7"/>
        <v>0</v>
      </c>
    </row>
    <row r="648" spans="4:10">
      <c r="D648" s="44">
        <f t="shared" si="5"/>
        <v>0</v>
      </c>
      <c r="E648" s="44"/>
      <c r="F648" s="44"/>
      <c r="G648" s="44"/>
      <c r="I648" s="61">
        <f t="shared" si="6"/>
        <v>0</v>
      </c>
      <c r="J648" s="59">
        <f t="shared" si="7"/>
        <v>0</v>
      </c>
    </row>
    <row r="649" spans="4:10">
      <c r="D649" s="44">
        <f t="shared" si="5"/>
        <v>0</v>
      </c>
      <c r="E649" s="44"/>
      <c r="F649" s="44"/>
      <c r="G649" s="44"/>
      <c r="I649" s="61">
        <f t="shared" si="6"/>
        <v>0</v>
      </c>
      <c r="J649" s="59">
        <f t="shared" si="7"/>
        <v>0</v>
      </c>
    </row>
    <row r="650" spans="4:10">
      <c r="D650" s="44">
        <f t="shared" si="5"/>
        <v>0</v>
      </c>
      <c r="E650" s="44"/>
      <c r="F650" s="44"/>
      <c r="G650" s="44"/>
      <c r="I650" s="61">
        <f t="shared" si="6"/>
        <v>0</v>
      </c>
      <c r="J650" s="59">
        <f t="shared" si="7"/>
        <v>0</v>
      </c>
    </row>
    <row r="651" spans="4:10">
      <c r="D651" s="44">
        <f t="shared" si="5"/>
        <v>0</v>
      </c>
      <c r="E651" s="44"/>
      <c r="F651" s="44"/>
      <c r="G651" s="44"/>
      <c r="I651" s="61">
        <f t="shared" si="6"/>
        <v>0</v>
      </c>
      <c r="J651" s="59">
        <f t="shared" si="7"/>
        <v>0</v>
      </c>
    </row>
    <row r="652" spans="4:10">
      <c r="D652" s="44">
        <f t="shared" si="5"/>
        <v>0</v>
      </c>
      <c r="E652" s="44"/>
      <c r="F652" s="44"/>
      <c r="G652" s="44"/>
      <c r="I652" s="61">
        <f t="shared" si="6"/>
        <v>0</v>
      </c>
      <c r="J652" s="59">
        <f t="shared" si="7"/>
        <v>0</v>
      </c>
    </row>
    <row r="653" spans="4:10">
      <c r="D653" s="44">
        <f t="shared" si="5"/>
        <v>0</v>
      </c>
      <c r="E653" s="44"/>
      <c r="F653" s="44"/>
      <c r="G653" s="44"/>
      <c r="I653" s="61">
        <f t="shared" si="6"/>
        <v>0</v>
      </c>
      <c r="J653" s="59">
        <f t="shared" si="7"/>
        <v>0</v>
      </c>
    </row>
    <row r="654" spans="4:10">
      <c r="D654" s="44">
        <f t="shared" si="5"/>
        <v>0</v>
      </c>
      <c r="E654" s="44"/>
      <c r="F654" s="44"/>
      <c r="G654" s="44"/>
      <c r="I654" s="61">
        <f t="shared" si="6"/>
        <v>0</v>
      </c>
      <c r="J654" s="59">
        <f t="shared" si="7"/>
        <v>0</v>
      </c>
    </row>
    <row r="655" spans="4:10">
      <c r="D655" s="44">
        <f t="shared" si="5"/>
        <v>0</v>
      </c>
      <c r="E655" s="44"/>
      <c r="F655" s="44"/>
      <c r="G655" s="44"/>
      <c r="I655" s="61">
        <f t="shared" si="6"/>
        <v>0</v>
      </c>
      <c r="J655" s="59">
        <f t="shared" si="7"/>
        <v>0</v>
      </c>
    </row>
    <row r="656" spans="4:10">
      <c r="D656" s="44">
        <f t="shared" si="5"/>
        <v>0</v>
      </c>
      <c r="E656" s="44"/>
      <c r="F656" s="44"/>
      <c r="G656" s="44"/>
      <c r="I656" s="61">
        <f t="shared" si="6"/>
        <v>0</v>
      </c>
      <c r="J656" s="59">
        <f t="shared" si="7"/>
        <v>0</v>
      </c>
    </row>
    <row r="657" spans="4:10">
      <c r="D657" s="44">
        <f t="shared" si="5"/>
        <v>0</v>
      </c>
      <c r="E657" s="44"/>
      <c r="F657" s="44"/>
      <c r="G657" s="44"/>
      <c r="I657" s="61">
        <f t="shared" si="6"/>
        <v>0</v>
      </c>
      <c r="J657" s="59">
        <f t="shared" si="7"/>
        <v>0</v>
      </c>
    </row>
    <row r="658" spans="4:10">
      <c r="D658" s="44">
        <f t="shared" si="5"/>
        <v>0</v>
      </c>
      <c r="E658" s="44"/>
      <c r="F658" s="44"/>
      <c r="G658" s="44"/>
      <c r="I658" s="61">
        <f t="shared" si="6"/>
        <v>0</v>
      </c>
      <c r="J658" s="59">
        <f t="shared" si="7"/>
        <v>0</v>
      </c>
    </row>
    <row r="659" spans="4:10">
      <c r="D659" s="44">
        <f t="shared" si="5"/>
        <v>0</v>
      </c>
      <c r="E659" s="44"/>
      <c r="F659" s="44"/>
      <c r="G659" s="44"/>
      <c r="I659" s="61">
        <f t="shared" si="6"/>
        <v>0</v>
      </c>
      <c r="J659" s="59">
        <f t="shared" si="7"/>
        <v>0</v>
      </c>
    </row>
    <row r="660" spans="4:10">
      <c r="D660" s="44">
        <f t="shared" si="5"/>
        <v>0</v>
      </c>
      <c r="E660" s="44"/>
      <c r="F660" s="44"/>
      <c r="G660" s="44"/>
      <c r="I660" s="61">
        <f t="shared" si="6"/>
        <v>0</v>
      </c>
      <c r="J660" s="59">
        <f t="shared" si="7"/>
        <v>0</v>
      </c>
    </row>
    <row r="661" spans="4:10">
      <c r="D661" s="44">
        <f t="shared" si="5"/>
        <v>0</v>
      </c>
      <c r="E661" s="44"/>
      <c r="F661" s="44"/>
      <c r="G661" s="44"/>
      <c r="I661" s="61">
        <f t="shared" si="6"/>
        <v>0</v>
      </c>
      <c r="J661" s="59">
        <f t="shared" si="7"/>
        <v>0</v>
      </c>
    </row>
    <row r="662" spans="4:10">
      <c r="D662" s="44">
        <f t="shared" si="5"/>
        <v>0</v>
      </c>
      <c r="E662" s="44"/>
      <c r="F662" s="44"/>
      <c r="G662" s="44"/>
      <c r="I662" s="61">
        <f t="shared" si="6"/>
        <v>0</v>
      </c>
      <c r="J662" s="59">
        <f t="shared" si="7"/>
        <v>0</v>
      </c>
    </row>
    <row r="663" spans="4:10">
      <c r="D663" s="44">
        <f t="shared" si="5"/>
        <v>0</v>
      </c>
      <c r="E663" s="44"/>
      <c r="F663" s="44"/>
      <c r="G663" s="44"/>
      <c r="I663" s="61">
        <f t="shared" si="6"/>
        <v>0</v>
      </c>
      <c r="J663" s="59">
        <f t="shared" si="7"/>
        <v>0</v>
      </c>
    </row>
    <row r="664" spans="4:10">
      <c r="D664" s="44">
        <f t="shared" si="5"/>
        <v>0</v>
      </c>
      <c r="E664" s="44"/>
      <c r="F664" s="44"/>
      <c r="G664" s="44"/>
      <c r="I664" s="61">
        <f t="shared" si="6"/>
        <v>0</v>
      </c>
      <c r="J664" s="59">
        <f t="shared" si="7"/>
        <v>0</v>
      </c>
    </row>
    <row r="665" spans="4:10">
      <c r="D665" s="44">
        <f t="shared" si="5"/>
        <v>0</v>
      </c>
      <c r="E665" s="44"/>
      <c r="F665" s="44"/>
      <c r="G665" s="44"/>
      <c r="I665" s="61">
        <f t="shared" si="6"/>
        <v>0</v>
      </c>
      <c r="J665" s="59">
        <f t="shared" si="7"/>
        <v>0</v>
      </c>
    </row>
    <row r="666" spans="4:10">
      <c r="D666" s="44">
        <f t="shared" si="5"/>
        <v>0</v>
      </c>
      <c r="E666" s="44"/>
      <c r="F666" s="44"/>
      <c r="G666" s="44"/>
      <c r="I666" s="61">
        <f t="shared" si="6"/>
        <v>0</v>
      </c>
      <c r="J666" s="59">
        <f t="shared" si="7"/>
        <v>0</v>
      </c>
    </row>
    <row r="667" spans="4:10">
      <c r="D667" s="44">
        <f t="shared" si="5"/>
        <v>0</v>
      </c>
      <c r="E667" s="44"/>
      <c r="F667" s="44"/>
      <c r="G667" s="44"/>
      <c r="I667" s="61">
        <f t="shared" si="6"/>
        <v>0</v>
      </c>
      <c r="J667" s="59">
        <f t="shared" si="7"/>
        <v>0</v>
      </c>
    </row>
    <row r="668" spans="4:10">
      <c r="D668" s="44">
        <f t="shared" si="5"/>
        <v>0</v>
      </c>
      <c r="E668" s="44"/>
      <c r="F668" s="44"/>
      <c r="G668" s="44"/>
      <c r="I668" s="61">
        <f t="shared" si="6"/>
        <v>0</v>
      </c>
      <c r="J668" s="59">
        <f t="shared" si="7"/>
        <v>0</v>
      </c>
    </row>
    <row r="669" spans="4:10">
      <c r="D669" s="44">
        <f t="shared" si="5"/>
        <v>0</v>
      </c>
      <c r="E669" s="44"/>
      <c r="F669" s="44"/>
      <c r="G669" s="44"/>
      <c r="I669" s="61">
        <f t="shared" si="6"/>
        <v>0</v>
      </c>
      <c r="J669" s="59">
        <f t="shared" si="7"/>
        <v>0</v>
      </c>
    </row>
    <row r="670" spans="4:10">
      <c r="D670" s="44">
        <f t="shared" ref="D670:D733" si="8">C670-H670</f>
        <v>0</v>
      </c>
      <c r="E670" s="44"/>
      <c r="F670" s="44"/>
      <c r="G670" s="44"/>
      <c r="I670" s="61">
        <f t="shared" ref="I670:I733" si="9">H670*10%</f>
        <v>0</v>
      </c>
      <c r="J670" s="59">
        <f t="shared" ref="J670:J733" si="10">H670*90%</f>
        <v>0</v>
      </c>
    </row>
    <row r="671" spans="4:10">
      <c r="D671" s="44">
        <f t="shared" si="8"/>
        <v>0</v>
      </c>
      <c r="E671" s="44"/>
      <c r="F671" s="44"/>
      <c r="G671" s="44"/>
      <c r="I671" s="61">
        <f t="shared" si="9"/>
        <v>0</v>
      </c>
      <c r="J671" s="59">
        <f t="shared" si="10"/>
        <v>0</v>
      </c>
    </row>
    <row r="672" spans="4:10">
      <c r="D672" s="44">
        <f t="shared" si="8"/>
        <v>0</v>
      </c>
      <c r="E672" s="44"/>
      <c r="F672" s="44"/>
      <c r="G672" s="44"/>
      <c r="I672" s="61">
        <f t="shared" si="9"/>
        <v>0</v>
      </c>
      <c r="J672" s="59">
        <f t="shared" si="10"/>
        <v>0</v>
      </c>
    </row>
    <row r="673" spans="4:10">
      <c r="D673" s="44">
        <f t="shared" si="8"/>
        <v>0</v>
      </c>
      <c r="E673" s="44"/>
      <c r="F673" s="44"/>
      <c r="G673" s="44"/>
      <c r="I673" s="61">
        <f t="shared" si="9"/>
        <v>0</v>
      </c>
      <c r="J673" s="59">
        <f t="shared" si="10"/>
        <v>0</v>
      </c>
    </row>
    <row r="674" spans="4:10">
      <c r="D674" s="44">
        <f t="shared" si="8"/>
        <v>0</v>
      </c>
      <c r="E674" s="44"/>
      <c r="F674" s="44"/>
      <c r="G674" s="44"/>
      <c r="I674" s="61">
        <f t="shared" si="9"/>
        <v>0</v>
      </c>
      <c r="J674" s="59">
        <f t="shared" si="10"/>
        <v>0</v>
      </c>
    </row>
    <row r="675" spans="4:10">
      <c r="D675" s="44">
        <f t="shared" si="8"/>
        <v>0</v>
      </c>
      <c r="E675" s="44"/>
      <c r="F675" s="44"/>
      <c r="G675" s="44"/>
      <c r="I675" s="61">
        <f t="shared" si="9"/>
        <v>0</v>
      </c>
      <c r="J675" s="59">
        <f t="shared" si="10"/>
        <v>0</v>
      </c>
    </row>
    <row r="676" spans="4:10">
      <c r="D676" s="44">
        <f t="shared" si="8"/>
        <v>0</v>
      </c>
      <c r="E676" s="44"/>
      <c r="F676" s="44"/>
      <c r="G676" s="44"/>
      <c r="I676" s="61">
        <f t="shared" si="9"/>
        <v>0</v>
      </c>
      <c r="J676" s="59">
        <f t="shared" si="10"/>
        <v>0</v>
      </c>
    </row>
    <row r="677" spans="4:10">
      <c r="D677" s="44">
        <f t="shared" si="8"/>
        <v>0</v>
      </c>
      <c r="E677" s="44"/>
      <c r="F677" s="44"/>
      <c r="G677" s="44"/>
      <c r="I677" s="61">
        <f t="shared" si="9"/>
        <v>0</v>
      </c>
      <c r="J677" s="59">
        <f t="shared" si="10"/>
        <v>0</v>
      </c>
    </row>
    <row r="678" spans="4:10">
      <c r="D678" s="44">
        <f t="shared" si="8"/>
        <v>0</v>
      </c>
      <c r="E678" s="44"/>
      <c r="F678" s="44"/>
      <c r="G678" s="44"/>
      <c r="I678" s="61">
        <f t="shared" si="9"/>
        <v>0</v>
      </c>
      <c r="J678" s="59">
        <f t="shared" si="10"/>
        <v>0</v>
      </c>
    </row>
    <row r="679" spans="4:10">
      <c r="D679" s="44">
        <f t="shared" si="8"/>
        <v>0</v>
      </c>
      <c r="E679" s="44"/>
      <c r="F679" s="44"/>
      <c r="G679" s="44"/>
      <c r="I679" s="61">
        <f t="shared" si="9"/>
        <v>0</v>
      </c>
      <c r="J679" s="59">
        <f t="shared" si="10"/>
        <v>0</v>
      </c>
    </row>
    <row r="680" spans="4:10">
      <c r="D680" s="44">
        <f t="shared" si="8"/>
        <v>0</v>
      </c>
      <c r="E680" s="44"/>
      <c r="F680" s="44"/>
      <c r="G680" s="44"/>
      <c r="I680" s="61">
        <f t="shared" si="9"/>
        <v>0</v>
      </c>
      <c r="J680" s="59">
        <f t="shared" si="10"/>
        <v>0</v>
      </c>
    </row>
    <row r="681" spans="4:10">
      <c r="D681" s="44">
        <f t="shared" si="8"/>
        <v>0</v>
      </c>
      <c r="E681" s="44"/>
      <c r="F681" s="44"/>
      <c r="G681" s="44"/>
      <c r="I681" s="61">
        <f t="shared" si="9"/>
        <v>0</v>
      </c>
      <c r="J681" s="59">
        <f t="shared" si="10"/>
        <v>0</v>
      </c>
    </row>
    <row r="682" spans="4:10">
      <c r="D682" s="44">
        <f t="shared" si="8"/>
        <v>0</v>
      </c>
      <c r="E682" s="44"/>
      <c r="F682" s="44"/>
      <c r="G682" s="44"/>
      <c r="I682" s="61">
        <f t="shared" si="9"/>
        <v>0</v>
      </c>
      <c r="J682" s="59">
        <f t="shared" si="10"/>
        <v>0</v>
      </c>
    </row>
    <row r="683" spans="4:10">
      <c r="D683" s="44">
        <f t="shared" si="8"/>
        <v>0</v>
      </c>
      <c r="E683" s="44"/>
      <c r="F683" s="44"/>
      <c r="G683" s="44"/>
      <c r="I683" s="61">
        <f t="shared" si="9"/>
        <v>0</v>
      </c>
      <c r="J683" s="59">
        <f t="shared" si="10"/>
        <v>0</v>
      </c>
    </row>
    <row r="684" spans="4:10">
      <c r="D684" s="44">
        <f t="shared" si="8"/>
        <v>0</v>
      </c>
      <c r="E684" s="44"/>
      <c r="F684" s="44"/>
      <c r="G684" s="44"/>
      <c r="I684" s="61">
        <f t="shared" si="9"/>
        <v>0</v>
      </c>
      <c r="J684" s="59">
        <f t="shared" si="10"/>
        <v>0</v>
      </c>
    </row>
    <row r="685" spans="4:10">
      <c r="D685" s="44">
        <f t="shared" si="8"/>
        <v>0</v>
      </c>
      <c r="E685" s="44"/>
      <c r="F685" s="44"/>
      <c r="G685" s="44"/>
      <c r="I685" s="61">
        <f t="shared" si="9"/>
        <v>0</v>
      </c>
      <c r="J685" s="59">
        <f t="shared" si="10"/>
        <v>0</v>
      </c>
    </row>
    <row r="686" spans="4:10">
      <c r="D686" s="44">
        <f t="shared" si="8"/>
        <v>0</v>
      </c>
      <c r="E686" s="44"/>
      <c r="F686" s="44"/>
      <c r="G686" s="44"/>
      <c r="I686" s="61">
        <f t="shared" si="9"/>
        <v>0</v>
      </c>
      <c r="J686" s="59">
        <f t="shared" si="10"/>
        <v>0</v>
      </c>
    </row>
    <row r="687" spans="4:10">
      <c r="D687" s="44">
        <f t="shared" si="8"/>
        <v>0</v>
      </c>
      <c r="E687" s="44"/>
      <c r="F687" s="44"/>
      <c r="G687" s="44"/>
      <c r="I687" s="61">
        <f t="shared" si="9"/>
        <v>0</v>
      </c>
      <c r="J687" s="59">
        <f t="shared" si="10"/>
        <v>0</v>
      </c>
    </row>
    <row r="688" spans="4:10">
      <c r="D688" s="44">
        <f t="shared" si="8"/>
        <v>0</v>
      </c>
      <c r="E688" s="44"/>
      <c r="F688" s="44"/>
      <c r="G688" s="44"/>
      <c r="I688" s="61">
        <f t="shared" si="9"/>
        <v>0</v>
      </c>
      <c r="J688" s="59">
        <f t="shared" si="10"/>
        <v>0</v>
      </c>
    </row>
    <row r="689" spans="4:10">
      <c r="D689" s="44">
        <f t="shared" si="8"/>
        <v>0</v>
      </c>
      <c r="E689" s="44"/>
      <c r="F689" s="44"/>
      <c r="G689" s="44"/>
      <c r="I689" s="61">
        <f t="shared" si="9"/>
        <v>0</v>
      </c>
      <c r="J689" s="59">
        <f t="shared" si="10"/>
        <v>0</v>
      </c>
    </row>
    <row r="690" spans="4:10">
      <c r="D690" s="44">
        <f t="shared" si="8"/>
        <v>0</v>
      </c>
      <c r="E690" s="44"/>
      <c r="F690" s="44"/>
      <c r="G690" s="44"/>
      <c r="I690" s="61">
        <f t="shared" si="9"/>
        <v>0</v>
      </c>
      <c r="J690" s="59">
        <f t="shared" si="10"/>
        <v>0</v>
      </c>
    </row>
    <row r="691" spans="4:10">
      <c r="D691" s="44">
        <f t="shared" si="8"/>
        <v>0</v>
      </c>
      <c r="E691" s="44"/>
      <c r="F691" s="44"/>
      <c r="G691" s="44"/>
      <c r="I691" s="61">
        <f t="shared" si="9"/>
        <v>0</v>
      </c>
      <c r="J691" s="59">
        <f t="shared" si="10"/>
        <v>0</v>
      </c>
    </row>
    <row r="692" spans="4:10">
      <c r="D692" s="44">
        <f t="shared" si="8"/>
        <v>0</v>
      </c>
      <c r="E692" s="44"/>
      <c r="F692" s="44"/>
      <c r="G692" s="44"/>
      <c r="I692" s="61">
        <f t="shared" si="9"/>
        <v>0</v>
      </c>
      <c r="J692" s="59">
        <f t="shared" si="10"/>
        <v>0</v>
      </c>
    </row>
    <row r="693" spans="4:10">
      <c r="D693" s="44">
        <f t="shared" si="8"/>
        <v>0</v>
      </c>
      <c r="E693" s="44"/>
      <c r="F693" s="44"/>
      <c r="G693" s="44"/>
      <c r="I693" s="61">
        <f t="shared" si="9"/>
        <v>0</v>
      </c>
      <c r="J693" s="59">
        <f t="shared" si="10"/>
        <v>0</v>
      </c>
    </row>
    <row r="694" spans="4:10">
      <c r="D694" s="44">
        <f t="shared" si="8"/>
        <v>0</v>
      </c>
      <c r="E694" s="44"/>
      <c r="F694" s="44"/>
      <c r="G694" s="44"/>
      <c r="I694" s="61">
        <f t="shared" si="9"/>
        <v>0</v>
      </c>
      <c r="J694" s="59">
        <f t="shared" si="10"/>
        <v>0</v>
      </c>
    </row>
    <row r="695" spans="4:10">
      <c r="D695" s="44">
        <f t="shared" si="8"/>
        <v>0</v>
      </c>
      <c r="E695" s="44"/>
      <c r="F695" s="44"/>
      <c r="G695" s="44"/>
      <c r="I695" s="61">
        <f t="shared" si="9"/>
        <v>0</v>
      </c>
      <c r="J695" s="59">
        <f t="shared" si="10"/>
        <v>0</v>
      </c>
    </row>
    <row r="696" spans="4:10">
      <c r="D696" s="44">
        <f t="shared" si="8"/>
        <v>0</v>
      </c>
      <c r="E696" s="44"/>
      <c r="F696" s="44"/>
      <c r="G696" s="44"/>
      <c r="I696" s="61">
        <f t="shared" si="9"/>
        <v>0</v>
      </c>
      <c r="J696" s="59">
        <f t="shared" si="10"/>
        <v>0</v>
      </c>
    </row>
    <row r="697" spans="4:10">
      <c r="D697" s="44">
        <f t="shared" si="8"/>
        <v>0</v>
      </c>
      <c r="E697" s="44"/>
      <c r="F697" s="44"/>
      <c r="G697" s="44"/>
      <c r="I697" s="61">
        <f t="shared" si="9"/>
        <v>0</v>
      </c>
      <c r="J697" s="59">
        <f t="shared" si="10"/>
        <v>0</v>
      </c>
    </row>
    <row r="698" spans="4:10">
      <c r="D698" s="44">
        <f t="shared" si="8"/>
        <v>0</v>
      </c>
      <c r="E698" s="44"/>
      <c r="F698" s="44"/>
      <c r="G698" s="44"/>
      <c r="I698" s="61">
        <f t="shared" si="9"/>
        <v>0</v>
      </c>
      <c r="J698" s="59">
        <f t="shared" si="10"/>
        <v>0</v>
      </c>
    </row>
    <row r="699" spans="4:10">
      <c r="D699" s="44">
        <f t="shared" si="8"/>
        <v>0</v>
      </c>
      <c r="E699" s="44"/>
      <c r="F699" s="44"/>
      <c r="G699" s="44"/>
      <c r="I699" s="61">
        <f t="shared" si="9"/>
        <v>0</v>
      </c>
      <c r="J699" s="59">
        <f t="shared" si="10"/>
        <v>0</v>
      </c>
    </row>
    <row r="700" spans="4:10">
      <c r="D700" s="44">
        <f t="shared" si="8"/>
        <v>0</v>
      </c>
      <c r="E700" s="44"/>
      <c r="F700" s="44"/>
      <c r="G700" s="44"/>
      <c r="I700" s="61">
        <f t="shared" si="9"/>
        <v>0</v>
      </c>
      <c r="J700" s="59">
        <f t="shared" si="10"/>
        <v>0</v>
      </c>
    </row>
    <row r="701" spans="4:10">
      <c r="D701" s="44">
        <f t="shared" si="8"/>
        <v>0</v>
      </c>
      <c r="E701" s="44"/>
      <c r="F701" s="44"/>
      <c r="G701" s="44"/>
      <c r="I701" s="61">
        <f t="shared" si="9"/>
        <v>0</v>
      </c>
      <c r="J701" s="59">
        <f t="shared" si="10"/>
        <v>0</v>
      </c>
    </row>
    <row r="702" spans="4:10">
      <c r="D702" s="44">
        <f t="shared" si="8"/>
        <v>0</v>
      </c>
      <c r="E702" s="44"/>
      <c r="F702" s="44"/>
      <c r="G702" s="44"/>
      <c r="I702" s="61">
        <f t="shared" si="9"/>
        <v>0</v>
      </c>
      <c r="J702" s="59">
        <f t="shared" si="10"/>
        <v>0</v>
      </c>
    </row>
    <row r="703" spans="4:10">
      <c r="D703" s="44">
        <f t="shared" si="8"/>
        <v>0</v>
      </c>
      <c r="E703" s="44"/>
      <c r="F703" s="44"/>
      <c r="G703" s="44"/>
      <c r="I703" s="61">
        <f t="shared" si="9"/>
        <v>0</v>
      </c>
      <c r="J703" s="59">
        <f t="shared" si="10"/>
        <v>0</v>
      </c>
    </row>
    <row r="704" spans="4:10">
      <c r="D704" s="44">
        <f t="shared" si="8"/>
        <v>0</v>
      </c>
      <c r="E704" s="44"/>
      <c r="F704" s="44"/>
      <c r="G704" s="44"/>
      <c r="I704" s="61">
        <f t="shared" si="9"/>
        <v>0</v>
      </c>
      <c r="J704" s="59">
        <f t="shared" si="10"/>
        <v>0</v>
      </c>
    </row>
    <row r="705" spans="4:10">
      <c r="D705" s="44">
        <f t="shared" si="8"/>
        <v>0</v>
      </c>
      <c r="E705" s="44"/>
      <c r="F705" s="44"/>
      <c r="G705" s="44"/>
      <c r="I705" s="61">
        <f t="shared" si="9"/>
        <v>0</v>
      </c>
      <c r="J705" s="59">
        <f t="shared" si="10"/>
        <v>0</v>
      </c>
    </row>
    <row r="706" spans="4:10">
      <c r="D706" s="44">
        <f t="shared" si="8"/>
        <v>0</v>
      </c>
      <c r="E706" s="44"/>
      <c r="F706" s="44"/>
      <c r="G706" s="44"/>
      <c r="I706" s="61">
        <f t="shared" si="9"/>
        <v>0</v>
      </c>
      <c r="J706" s="59">
        <f t="shared" si="10"/>
        <v>0</v>
      </c>
    </row>
    <row r="707" spans="4:10">
      <c r="D707" s="44">
        <f t="shared" si="8"/>
        <v>0</v>
      </c>
      <c r="E707" s="44"/>
      <c r="F707" s="44"/>
      <c r="G707" s="44"/>
      <c r="I707" s="61">
        <f t="shared" si="9"/>
        <v>0</v>
      </c>
      <c r="J707" s="59">
        <f t="shared" si="10"/>
        <v>0</v>
      </c>
    </row>
    <row r="708" spans="4:10">
      <c r="D708" s="44">
        <f t="shared" si="8"/>
        <v>0</v>
      </c>
      <c r="E708" s="44"/>
      <c r="F708" s="44"/>
      <c r="G708" s="44"/>
      <c r="I708" s="61">
        <f t="shared" si="9"/>
        <v>0</v>
      </c>
      <c r="J708" s="59">
        <f t="shared" si="10"/>
        <v>0</v>
      </c>
    </row>
    <row r="709" spans="4:10">
      <c r="D709" s="44">
        <f t="shared" si="8"/>
        <v>0</v>
      </c>
      <c r="E709" s="44"/>
      <c r="F709" s="44"/>
      <c r="G709" s="44"/>
      <c r="I709" s="61">
        <f t="shared" si="9"/>
        <v>0</v>
      </c>
      <c r="J709" s="59">
        <f t="shared" si="10"/>
        <v>0</v>
      </c>
    </row>
    <row r="710" spans="4:10">
      <c r="D710" s="44">
        <f t="shared" si="8"/>
        <v>0</v>
      </c>
      <c r="E710" s="44"/>
      <c r="F710" s="44"/>
      <c r="G710" s="44"/>
      <c r="I710" s="61">
        <f t="shared" si="9"/>
        <v>0</v>
      </c>
      <c r="J710" s="59">
        <f t="shared" si="10"/>
        <v>0</v>
      </c>
    </row>
    <row r="711" spans="4:10">
      <c r="D711" s="44">
        <f t="shared" si="8"/>
        <v>0</v>
      </c>
      <c r="E711" s="44"/>
      <c r="F711" s="44"/>
      <c r="G711" s="44"/>
      <c r="I711" s="61">
        <f t="shared" si="9"/>
        <v>0</v>
      </c>
      <c r="J711" s="59">
        <f t="shared" si="10"/>
        <v>0</v>
      </c>
    </row>
    <row r="712" spans="4:10">
      <c r="D712" s="44">
        <f t="shared" si="8"/>
        <v>0</v>
      </c>
      <c r="E712" s="44"/>
      <c r="F712" s="44"/>
      <c r="G712" s="44"/>
      <c r="I712" s="61">
        <f t="shared" si="9"/>
        <v>0</v>
      </c>
      <c r="J712" s="59">
        <f t="shared" si="10"/>
        <v>0</v>
      </c>
    </row>
    <row r="713" spans="4:10">
      <c r="D713" s="44">
        <f t="shared" si="8"/>
        <v>0</v>
      </c>
      <c r="E713" s="44"/>
      <c r="F713" s="44"/>
      <c r="G713" s="44"/>
      <c r="I713" s="61">
        <f t="shared" si="9"/>
        <v>0</v>
      </c>
      <c r="J713" s="59">
        <f t="shared" si="10"/>
        <v>0</v>
      </c>
    </row>
    <row r="714" spans="4:10">
      <c r="D714" s="44">
        <f t="shared" si="8"/>
        <v>0</v>
      </c>
      <c r="E714" s="44"/>
      <c r="F714" s="44"/>
      <c r="G714" s="44"/>
      <c r="I714" s="61">
        <f t="shared" si="9"/>
        <v>0</v>
      </c>
      <c r="J714" s="59">
        <f t="shared" si="10"/>
        <v>0</v>
      </c>
    </row>
    <row r="715" spans="4:10">
      <c r="D715" s="44">
        <f t="shared" si="8"/>
        <v>0</v>
      </c>
      <c r="E715" s="44"/>
      <c r="F715" s="44"/>
      <c r="G715" s="44"/>
      <c r="I715" s="61">
        <f t="shared" si="9"/>
        <v>0</v>
      </c>
      <c r="J715" s="59">
        <f t="shared" si="10"/>
        <v>0</v>
      </c>
    </row>
    <row r="716" spans="4:10">
      <c r="D716" s="44">
        <f t="shared" si="8"/>
        <v>0</v>
      </c>
      <c r="E716" s="44"/>
      <c r="F716" s="44"/>
      <c r="G716" s="44"/>
      <c r="I716" s="61">
        <f t="shared" si="9"/>
        <v>0</v>
      </c>
      <c r="J716" s="59">
        <f t="shared" si="10"/>
        <v>0</v>
      </c>
    </row>
    <row r="717" spans="4:10">
      <c r="D717" s="44">
        <f t="shared" si="8"/>
        <v>0</v>
      </c>
      <c r="E717" s="44"/>
      <c r="F717" s="44"/>
      <c r="G717" s="44"/>
      <c r="I717" s="61">
        <f t="shared" si="9"/>
        <v>0</v>
      </c>
      <c r="J717" s="59">
        <f t="shared" si="10"/>
        <v>0</v>
      </c>
    </row>
    <row r="718" spans="4:10">
      <c r="D718" s="44">
        <f t="shared" si="8"/>
        <v>0</v>
      </c>
      <c r="E718" s="44"/>
      <c r="F718" s="44"/>
      <c r="G718" s="44"/>
      <c r="I718" s="61">
        <f t="shared" si="9"/>
        <v>0</v>
      </c>
      <c r="J718" s="59">
        <f t="shared" si="10"/>
        <v>0</v>
      </c>
    </row>
    <row r="719" spans="4:10">
      <c r="D719" s="44">
        <f t="shared" si="8"/>
        <v>0</v>
      </c>
      <c r="E719" s="44"/>
      <c r="F719" s="44"/>
      <c r="G719" s="44"/>
      <c r="I719" s="61">
        <f t="shared" si="9"/>
        <v>0</v>
      </c>
      <c r="J719" s="59">
        <f t="shared" si="10"/>
        <v>0</v>
      </c>
    </row>
    <row r="720" spans="4:10">
      <c r="D720" s="44">
        <f t="shared" si="8"/>
        <v>0</v>
      </c>
      <c r="E720" s="44"/>
      <c r="F720" s="44"/>
      <c r="G720" s="44"/>
      <c r="I720" s="61">
        <f t="shared" si="9"/>
        <v>0</v>
      </c>
      <c r="J720" s="59">
        <f t="shared" si="10"/>
        <v>0</v>
      </c>
    </row>
    <row r="721" spans="4:10">
      <c r="D721" s="44">
        <f t="shared" si="8"/>
        <v>0</v>
      </c>
      <c r="E721" s="44"/>
      <c r="F721" s="44"/>
      <c r="G721" s="44"/>
      <c r="I721" s="61">
        <f t="shared" si="9"/>
        <v>0</v>
      </c>
      <c r="J721" s="59">
        <f t="shared" si="10"/>
        <v>0</v>
      </c>
    </row>
    <row r="722" spans="4:10">
      <c r="D722" s="44">
        <f t="shared" si="8"/>
        <v>0</v>
      </c>
      <c r="E722" s="44"/>
      <c r="F722" s="44"/>
      <c r="G722" s="44"/>
      <c r="I722" s="61">
        <f t="shared" si="9"/>
        <v>0</v>
      </c>
      <c r="J722" s="59">
        <f t="shared" si="10"/>
        <v>0</v>
      </c>
    </row>
    <row r="723" spans="4:10">
      <c r="D723" s="44">
        <f t="shared" si="8"/>
        <v>0</v>
      </c>
      <c r="E723" s="44"/>
      <c r="F723" s="44"/>
      <c r="G723" s="44"/>
      <c r="I723" s="61">
        <f t="shared" si="9"/>
        <v>0</v>
      </c>
      <c r="J723" s="59">
        <f t="shared" si="10"/>
        <v>0</v>
      </c>
    </row>
    <row r="724" spans="4:10">
      <c r="D724" s="44">
        <f t="shared" si="8"/>
        <v>0</v>
      </c>
      <c r="E724" s="44"/>
      <c r="F724" s="44"/>
      <c r="G724" s="44"/>
      <c r="I724" s="61">
        <f t="shared" si="9"/>
        <v>0</v>
      </c>
      <c r="J724" s="59">
        <f t="shared" si="10"/>
        <v>0</v>
      </c>
    </row>
    <row r="725" spans="4:10">
      <c r="D725" s="44">
        <f t="shared" si="8"/>
        <v>0</v>
      </c>
      <c r="E725" s="44"/>
      <c r="F725" s="44"/>
      <c r="G725" s="44"/>
      <c r="I725" s="61">
        <f t="shared" si="9"/>
        <v>0</v>
      </c>
      <c r="J725" s="59">
        <f t="shared" si="10"/>
        <v>0</v>
      </c>
    </row>
    <row r="726" spans="4:10">
      <c r="D726" s="44">
        <f t="shared" si="8"/>
        <v>0</v>
      </c>
      <c r="E726" s="44"/>
      <c r="F726" s="44"/>
      <c r="G726" s="44"/>
      <c r="I726" s="61">
        <f t="shared" si="9"/>
        <v>0</v>
      </c>
      <c r="J726" s="59">
        <f t="shared" si="10"/>
        <v>0</v>
      </c>
    </row>
    <row r="727" spans="4:10">
      <c r="D727" s="44">
        <f t="shared" si="8"/>
        <v>0</v>
      </c>
      <c r="E727" s="44"/>
      <c r="F727" s="44"/>
      <c r="G727" s="44"/>
      <c r="I727" s="61">
        <f t="shared" si="9"/>
        <v>0</v>
      </c>
      <c r="J727" s="59">
        <f t="shared" si="10"/>
        <v>0</v>
      </c>
    </row>
    <row r="728" spans="4:10">
      <c r="D728" s="44">
        <f t="shared" si="8"/>
        <v>0</v>
      </c>
      <c r="E728" s="44"/>
      <c r="F728" s="44"/>
      <c r="G728" s="44"/>
      <c r="I728" s="61">
        <f t="shared" si="9"/>
        <v>0</v>
      </c>
      <c r="J728" s="59">
        <f t="shared" si="10"/>
        <v>0</v>
      </c>
    </row>
    <row r="729" spans="4:10">
      <c r="D729" s="44">
        <f t="shared" si="8"/>
        <v>0</v>
      </c>
      <c r="E729" s="44"/>
      <c r="F729" s="44"/>
      <c r="G729" s="44"/>
      <c r="I729" s="61">
        <f t="shared" si="9"/>
        <v>0</v>
      </c>
      <c r="J729" s="59">
        <f t="shared" si="10"/>
        <v>0</v>
      </c>
    </row>
    <row r="730" spans="4:10">
      <c r="D730" s="44">
        <f t="shared" si="8"/>
        <v>0</v>
      </c>
      <c r="E730" s="44"/>
      <c r="F730" s="44"/>
      <c r="G730" s="44"/>
      <c r="I730" s="61">
        <f t="shared" si="9"/>
        <v>0</v>
      </c>
      <c r="J730" s="59">
        <f t="shared" si="10"/>
        <v>0</v>
      </c>
    </row>
    <row r="731" spans="4:10">
      <c r="D731" s="44">
        <f t="shared" si="8"/>
        <v>0</v>
      </c>
      <c r="E731" s="44"/>
      <c r="F731" s="44"/>
      <c r="G731" s="44"/>
      <c r="I731" s="61">
        <f t="shared" si="9"/>
        <v>0</v>
      </c>
      <c r="J731" s="59">
        <f t="shared" si="10"/>
        <v>0</v>
      </c>
    </row>
    <row r="732" spans="4:10">
      <c r="D732" s="44">
        <f t="shared" si="8"/>
        <v>0</v>
      </c>
      <c r="E732" s="44"/>
      <c r="F732" s="44"/>
      <c r="G732" s="44"/>
      <c r="I732" s="61">
        <f t="shared" si="9"/>
        <v>0</v>
      </c>
      <c r="J732" s="59">
        <f t="shared" si="10"/>
        <v>0</v>
      </c>
    </row>
    <row r="733" spans="4:10">
      <c r="D733" s="44">
        <f t="shared" si="8"/>
        <v>0</v>
      </c>
      <c r="E733" s="44"/>
      <c r="F733" s="44"/>
      <c r="G733" s="44"/>
      <c r="I733" s="61">
        <f t="shared" si="9"/>
        <v>0</v>
      </c>
      <c r="J733" s="59">
        <f t="shared" si="10"/>
        <v>0</v>
      </c>
    </row>
    <row r="734" spans="4:10">
      <c r="D734" s="44">
        <f t="shared" ref="D734:D797" si="11">C734-H734</f>
        <v>0</v>
      </c>
      <c r="E734" s="44"/>
      <c r="F734" s="44"/>
      <c r="G734" s="44"/>
      <c r="I734" s="61">
        <f t="shared" ref="I734:I797" si="12">H734*10%</f>
        <v>0</v>
      </c>
      <c r="J734" s="59">
        <f t="shared" ref="J734:J797" si="13">H734*90%</f>
        <v>0</v>
      </c>
    </row>
    <row r="735" spans="4:10">
      <c r="D735" s="44">
        <f t="shared" si="11"/>
        <v>0</v>
      </c>
      <c r="E735" s="44"/>
      <c r="F735" s="44"/>
      <c r="G735" s="44"/>
      <c r="I735" s="61">
        <f t="shared" si="12"/>
        <v>0</v>
      </c>
      <c r="J735" s="59">
        <f t="shared" si="13"/>
        <v>0</v>
      </c>
    </row>
    <row r="736" spans="4:10">
      <c r="D736" s="44">
        <f t="shared" si="11"/>
        <v>0</v>
      </c>
      <c r="E736" s="44"/>
      <c r="F736" s="44"/>
      <c r="G736" s="44"/>
      <c r="I736" s="61">
        <f t="shared" si="12"/>
        <v>0</v>
      </c>
      <c r="J736" s="59">
        <f t="shared" si="13"/>
        <v>0</v>
      </c>
    </row>
    <row r="737" spans="4:10">
      <c r="D737" s="44">
        <f t="shared" si="11"/>
        <v>0</v>
      </c>
      <c r="E737" s="44"/>
      <c r="F737" s="44"/>
      <c r="G737" s="44"/>
      <c r="I737" s="61">
        <f t="shared" si="12"/>
        <v>0</v>
      </c>
      <c r="J737" s="59">
        <f t="shared" si="13"/>
        <v>0</v>
      </c>
    </row>
    <row r="738" spans="4:10">
      <c r="D738" s="44">
        <f t="shared" si="11"/>
        <v>0</v>
      </c>
      <c r="E738" s="44"/>
      <c r="F738" s="44"/>
      <c r="G738" s="44"/>
      <c r="I738" s="61">
        <f t="shared" si="12"/>
        <v>0</v>
      </c>
      <c r="J738" s="59">
        <f t="shared" si="13"/>
        <v>0</v>
      </c>
    </row>
    <row r="739" spans="4:10">
      <c r="D739" s="44">
        <f t="shared" si="11"/>
        <v>0</v>
      </c>
      <c r="E739" s="44"/>
      <c r="F739" s="44"/>
      <c r="G739" s="44"/>
      <c r="I739" s="61">
        <f t="shared" si="12"/>
        <v>0</v>
      </c>
      <c r="J739" s="59">
        <f t="shared" si="13"/>
        <v>0</v>
      </c>
    </row>
    <row r="740" spans="4:10">
      <c r="D740" s="44">
        <f t="shared" si="11"/>
        <v>0</v>
      </c>
      <c r="E740" s="44"/>
      <c r="F740" s="44"/>
      <c r="G740" s="44"/>
      <c r="I740" s="61">
        <f t="shared" si="12"/>
        <v>0</v>
      </c>
      <c r="J740" s="59">
        <f t="shared" si="13"/>
        <v>0</v>
      </c>
    </row>
    <row r="741" spans="4:10">
      <c r="D741" s="44">
        <f t="shared" si="11"/>
        <v>0</v>
      </c>
      <c r="E741" s="44"/>
      <c r="F741" s="44"/>
      <c r="G741" s="44"/>
      <c r="I741" s="61">
        <f t="shared" si="12"/>
        <v>0</v>
      </c>
      <c r="J741" s="59">
        <f t="shared" si="13"/>
        <v>0</v>
      </c>
    </row>
    <row r="742" spans="4:10">
      <c r="D742" s="44">
        <f t="shared" si="11"/>
        <v>0</v>
      </c>
      <c r="E742" s="44"/>
      <c r="F742" s="44"/>
      <c r="G742" s="44"/>
      <c r="I742" s="61">
        <f t="shared" si="12"/>
        <v>0</v>
      </c>
      <c r="J742" s="59">
        <f t="shared" si="13"/>
        <v>0</v>
      </c>
    </row>
    <row r="743" spans="4:10">
      <c r="D743" s="44">
        <f t="shared" si="11"/>
        <v>0</v>
      </c>
      <c r="E743" s="44"/>
      <c r="F743" s="44"/>
      <c r="G743" s="44"/>
      <c r="I743" s="61">
        <f t="shared" si="12"/>
        <v>0</v>
      </c>
      <c r="J743" s="59">
        <f t="shared" si="13"/>
        <v>0</v>
      </c>
    </row>
    <row r="744" spans="4:10">
      <c r="D744" s="44">
        <f t="shared" si="11"/>
        <v>0</v>
      </c>
      <c r="E744" s="44"/>
      <c r="F744" s="44"/>
      <c r="G744" s="44"/>
      <c r="I744" s="61">
        <f t="shared" si="12"/>
        <v>0</v>
      </c>
      <c r="J744" s="59">
        <f t="shared" si="13"/>
        <v>0</v>
      </c>
    </row>
    <row r="745" spans="4:10">
      <c r="D745" s="44">
        <f t="shared" si="11"/>
        <v>0</v>
      </c>
      <c r="E745" s="44"/>
      <c r="F745" s="44"/>
      <c r="G745" s="44"/>
      <c r="I745" s="61">
        <f t="shared" si="12"/>
        <v>0</v>
      </c>
      <c r="J745" s="59">
        <f t="shared" si="13"/>
        <v>0</v>
      </c>
    </row>
    <row r="746" spans="4:10">
      <c r="D746" s="44">
        <f t="shared" si="11"/>
        <v>0</v>
      </c>
      <c r="E746" s="44"/>
      <c r="F746" s="44"/>
      <c r="G746" s="44"/>
      <c r="I746" s="61">
        <f t="shared" si="12"/>
        <v>0</v>
      </c>
      <c r="J746" s="59">
        <f t="shared" si="13"/>
        <v>0</v>
      </c>
    </row>
    <row r="747" spans="4:10">
      <c r="D747" s="44">
        <f t="shared" si="11"/>
        <v>0</v>
      </c>
      <c r="E747" s="44"/>
      <c r="F747" s="44"/>
      <c r="G747" s="44"/>
      <c r="I747" s="61">
        <f t="shared" si="12"/>
        <v>0</v>
      </c>
      <c r="J747" s="59">
        <f t="shared" si="13"/>
        <v>0</v>
      </c>
    </row>
    <row r="748" spans="4:10">
      <c r="D748" s="44">
        <f t="shared" si="11"/>
        <v>0</v>
      </c>
      <c r="E748" s="44"/>
      <c r="F748" s="44"/>
      <c r="G748" s="44"/>
      <c r="I748" s="61">
        <f t="shared" si="12"/>
        <v>0</v>
      </c>
      <c r="J748" s="59">
        <f t="shared" si="13"/>
        <v>0</v>
      </c>
    </row>
    <row r="749" spans="4:10">
      <c r="D749" s="44">
        <f t="shared" si="11"/>
        <v>0</v>
      </c>
      <c r="E749" s="44"/>
      <c r="F749" s="44"/>
      <c r="G749" s="44"/>
      <c r="I749" s="61">
        <f t="shared" si="12"/>
        <v>0</v>
      </c>
      <c r="J749" s="59">
        <f t="shared" si="13"/>
        <v>0</v>
      </c>
    </row>
    <row r="750" spans="4:10">
      <c r="D750" s="44">
        <f t="shared" si="11"/>
        <v>0</v>
      </c>
      <c r="E750" s="44"/>
      <c r="F750" s="44"/>
      <c r="G750" s="44"/>
      <c r="I750" s="61">
        <f t="shared" si="12"/>
        <v>0</v>
      </c>
      <c r="J750" s="59">
        <f t="shared" si="13"/>
        <v>0</v>
      </c>
    </row>
    <row r="751" spans="4:10">
      <c r="D751" s="44">
        <f t="shared" si="11"/>
        <v>0</v>
      </c>
      <c r="E751" s="44"/>
      <c r="F751" s="44"/>
      <c r="G751" s="44"/>
      <c r="I751" s="61">
        <f t="shared" si="12"/>
        <v>0</v>
      </c>
      <c r="J751" s="59">
        <f t="shared" si="13"/>
        <v>0</v>
      </c>
    </row>
    <row r="752" spans="4:10">
      <c r="D752" s="44">
        <f t="shared" si="11"/>
        <v>0</v>
      </c>
      <c r="E752" s="44"/>
      <c r="F752" s="44"/>
      <c r="G752" s="44"/>
      <c r="I752" s="61">
        <f t="shared" si="12"/>
        <v>0</v>
      </c>
      <c r="J752" s="59">
        <f t="shared" si="13"/>
        <v>0</v>
      </c>
    </row>
    <row r="753" spans="4:10">
      <c r="D753" s="44">
        <f t="shared" si="11"/>
        <v>0</v>
      </c>
      <c r="E753" s="44"/>
      <c r="F753" s="44"/>
      <c r="G753" s="44"/>
      <c r="I753" s="61">
        <f t="shared" si="12"/>
        <v>0</v>
      </c>
      <c r="J753" s="59">
        <f t="shared" si="13"/>
        <v>0</v>
      </c>
    </row>
    <row r="754" spans="4:10">
      <c r="D754" s="44">
        <f t="shared" si="11"/>
        <v>0</v>
      </c>
      <c r="E754" s="44"/>
      <c r="F754" s="44"/>
      <c r="G754" s="44"/>
      <c r="I754" s="61">
        <f t="shared" si="12"/>
        <v>0</v>
      </c>
      <c r="J754" s="59">
        <f t="shared" si="13"/>
        <v>0</v>
      </c>
    </row>
    <row r="755" spans="4:10">
      <c r="D755" s="44">
        <f t="shared" si="11"/>
        <v>0</v>
      </c>
      <c r="E755" s="44"/>
      <c r="F755" s="44"/>
      <c r="G755" s="44"/>
      <c r="I755" s="61">
        <f t="shared" si="12"/>
        <v>0</v>
      </c>
      <c r="J755" s="59">
        <f t="shared" si="13"/>
        <v>0</v>
      </c>
    </row>
    <row r="756" spans="4:10">
      <c r="D756" s="44">
        <f t="shared" si="11"/>
        <v>0</v>
      </c>
      <c r="E756" s="44"/>
      <c r="F756" s="44"/>
      <c r="G756" s="44"/>
      <c r="I756" s="61">
        <f t="shared" si="12"/>
        <v>0</v>
      </c>
      <c r="J756" s="59">
        <f t="shared" si="13"/>
        <v>0</v>
      </c>
    </row>
    <row r="757" spans="4:10">
      <c r="D757" s="44">
        <f t="shared" si="11"/>
        <v>0</v>
      </c>
      <c r="E757" s="44"/>
      <c r="F757" s="44"/>
      <c r="G757" s="44"/>
      <c r="I757" s="61">
        <f t="shared" si="12"/>
        <v>0</v>
      </c>
      <c r="J757" s="59">
        <f t="shared" si="13"/>
        <v>0</v>
      </c>
    </row>
    <row r="758" spans="4:10">
      <c r="D758" s="44">
        <f t="shared" si="11"/>
        <v>0</v>
      </c>
      <c r="E758" s="44"/>
      <c r="F758" s="44"/>
      <c r="G758" s="44"/>
      <c r="I758" s="61">
        <f t="shared" si="12"/>
        <v>0</v>
      </c>
      <c r="J758" s="59">
        <f t="shared" si="13"/>
        <v>0</v>
      </c>
    </row>
    <row r="759" spans="4:10">
      <c r="D759" s="44">
        <f t="shared" si="11"/>
        <v>0</v>
      </c>
      <c r="E759" s="44"/>
      <c r="F759" s="44"/>
      <c r="G759" s="44"/>
      <c r="I759" s="61">
        <f t="shared" si="12"/>
        <v>0</v>
      </c>
      <c r="J759" s="59">
        <f t="shared" si="13"/>
        <v>0</v>
      </c>
    </row>
    <row r="760" spans="4:10">
      <c r="D760" s="44">
        <f t="shared" si="11"/>
        <v>0</v>
      </c>
      <c r="E760" s="44"/>
      <c r="F760" s="44"/>
      <c r="G760" s="44"/>
      <c r="I760" s="61">
        <f t="shared" si="12"/>
        <v>0</v>
      </c>
      <c r="J760" s="59">
        <f t="shared" si="13"/>
        <v>0</v>
      </c>
    </row>
    <row r="761" spans="4:10">
      <c r="D761" s="44">
        <f t="shared" si="11"/>
        <v>0</v>
      </c>
      <c r="E761" s="44"/>
      <c r="F761" s="44"/>
      <c r="G761" s="44"/>
      <c r="I761" s="61">
        <f t="shared" si="12"/>
        <v>0</v>
      </c>
      <c r="J761" s="59">
        <f t="shared" si="13"/>
        <v>0</v>
      </c>
    </row>
    <row r="762" spans="4:10">
      <c r="D762" s="44">
        <f t="shared" si="11"/>
        <v>0</v>
      </c>
      <c r="E762" s="44"/>
      <c r="F762" s="44"/>
      <c r="G762" s="44"/>
      <c r="I762" s="61">
        <f t="shared" si="12"/>
        <v>0</v>
      </c>
      <c r="J762" s="59">
        <f t="shared" si="13"/>
        <v>0</v>
      </c>
    </row>
    <row r="763" spans="4:10">
      <c r="D763" s="44">
        <f t="shared" si="11"/>
        <v>0</v>
      </c>
      <c r="E763" s="44"/>
      <c r="F763" s="44"/>
      <c r="G763" s="44"/>
      <c r="I763" s="61">
        <f t="shared" si="12"/>
        <v>0</v>
      </c>
      <c r="J763" s="59">
        <f t="shared" si="13"/>
        <v>0</v>
      </c>
    </row>
    <row r="764" spans="4:10">
      <c r="D764" s="44">
        <f t="shared" si="11"/>
        <v>0</v>
      </c>
      <c r="E764" s="44"/>
      <c r="F764" s="44"/>
      <c r="G764" s="44"/>
      <c r="I764" s="61">
        <f t="shared" si="12"/>
        <v>0</v>
      </c>
      <c r="J764" s="59">
        <f t="shared" si="13"/>
        <v>0</v>
      </c>
    </row>
    <row r="765" spans="4:10">
      <c r="D765" s="44">
        <f t="shared" si="11"/>
        <v>0</v>
      </c>
      <c r="E765" s="44"/>
      <c r="F765" s="44"/>
      <c r="G765" s="44"/>
      <c r="I765" s="61">
        <f t="shared" si="12"/>
        <v>0</v>
      </c>
      <c r="J765" s="59">
        <f t="shared" si="13"/>
        <v>0</v>
      </c>
    </row>
    <row r="766" spans="4:10">
      <c r="D766" s="44">
        <f t="shared" si="11"/>
        <v>0</v>
      </c>
      <c r="E766" s="44"/>
      <c r="F766" s="44"/>
      <c r="G766" s="44"/>
      <c r="I766" s="61">
        <f t="shared" si="12"/>
        <v>0</v>
      </c>
      <c r="J766" s="59">
        <f t="shared" si="13"/>
        <v>0</v>
      </c>
    </row>
    <row r="767" spans="4:10">
      <c r="D767" s="44">
        <f t="shared" si="11"/>
        <v>0</v>
      </c>
      <c r="E767" s="44"/>
      <c r="F767" s="44"/>
      <c r="G767" s="44"/>
      <c r="I767" s="61">
        <f t="shared" si="12"/>
        <v>0</v>
      </c>
      <c r="J767" s="59">
        <f t="shared" si="13"/>
        <v>0</v>
      </c>
    </row>
    <row r="768" spans="4:10">
      <c r="D768" s="44">
        <f t="shared" si="11"/>
        <v>0</v>
      </c>
      <c r="E768" s="44"/>
      <c r="F768" s="44"/>
      <c r="G768" s="44"/>
      <c r="I768" s="61">
        <f t="shared" si="12"/>
        <v>0</v>
      </c>
      <c r="J768" s="59">
        <f t="shared" si="13"/>
        <v>0</v>
      </c>
    </row>
    <row r="769" spans="4:10">
      <c r="D769" s="44">
        <f t="shared" si="11"/>
        <v>0</v>
      </c>
      <c r="E769" s="44"/>
      <c r="F769" s="44"/>
      <c r="G769" s="44"/>
      <c r="I769" s="61">
        <f t="shared" si="12"/>
        <v>0</v>
      </c>
      <c r="J769" s="59">
        <f t="shared" si="13"/>
        <v>0</v>
      </c>
    </row>
    <row r="770" spans="4:10">
      <c r="D770" s="44">
        <f t="shared" si="11"/>
        <v>0</v>
      </c>
      <c r="E770" s="44"/>
      <c r="F770" s="44"/>
      <c r="G770" s="44"/>
      <c r="I770" s="61">
        <f t="shared" si="12"/>
        <v>0</v>
      </c>
      <c r="J770" s="59">
        <f t="shared" si="13"/>
        <v>0</v>
      </c>
    </row>
    <row r="771" spans="4:10">
      <c r="D771" s="44">
        <f t="shared" si="11"/>
        <v>0</v>
      </c>
      <c r="E771" s="44"/>
      <c r="F771" s="44"/>
      <c r="G771" s="44"/>
      <c r="I771" s="61">
        <f t="shared" si="12"/>
        <v>0</v>
      </c>
      <c r="J771" s="59">
        <f t="shared" si="13"/>
        <v>0</v>
      </c>
    </row>
    <row r="772" spans="4:10">
      <c r="D772" s="44">
        <f t="shared" si="11"/>
        <v>0</v>
      </c>
      <c r="E772" s="44"/>
      <c r="F772" s="44"/>
      <c r="G772" s="44"/>
      <c r="I772" s="61">
        <f t="shared" si="12"/>
        <v>0</v>
      </c>
      <c r="J772" s="59">
        <f t="shared" si="13"/>
        <v>0</v>
      </c>
    </row>
    <row r="773" spans="4:10">
      <c r="D773" s="44">
        <f t="shared" si="11"/>
        <v>0</v>
      </c>
      <c r="E773" s="44"/>
      <c r="F773" s="44"/>
      <c r="G773" s="44"/>
      <c r="I773" s="61">
        <f t="shared" si="12"/>
        <v>0</v>
      </c>
      <c r="J773" s="59">
        <f t="shared" si="13"/>
        <v>0</v>
      </c>
    </row>
    <row r="774" spans="4:10">
      <c r="D774" s="44">
        <f t="shared" si="11"/>
        <v>0</v>
      </c>
      <c r="E774" s="44"/>
      <c r="F774" s="44"/>
      <c r="G774" s="44"/>
      <c r="I774" s="61">
        <f t="shared" si="12"/>
        <v>0</v>
      </c>
      <c r="J774" s="59">
        <f t="shared" si="13"/>
        <v>0</v>
      </c>
    </row>
    <row r="775" spans="4:10">
      <c r="D775" s="44">
        <f t="shared" si="11"/>
        <v>0</v>
      </c>
      <c r="E775" s="44"/>
      <c r="F775" s="44"/>
      <c r="G775" s="44"/>
      <c r="I775" s="61">
        <f t="shared" si="12"/>
        <v>0</v>
      </c>
      <c r="J775" s="59">
        <f t="shared" si="13"/>
        <v>0</v>
      </c>
    </row>
    <row r="776" spans="4:10">
      <c r="D776" s="44">
        <f t="shared" si="11"/>
        <v>0</v>
      </c>
      <c r="E776" s="44"/>
      <c r="F776" s="44"/>
      <c r="G776" s="44"/>
      <c r="I776" s="61">
        <f t="shared" si="12"/>
        <v>0</v>
      </c>
      <c r="J776" s="59">
        <f t="shared" si="13"/>
        <v>0</v>
      </c>
    </row>
    <row r="777" spans="4:10">
      <c r="D777" s="44">
        <f t="shared" si="11"/>
        <v>0</v>
      </c>
      <c r="E777" s="44"/>
      <c r="F777" s="44"/>
      <c r="G777" s="44"/>
      <c r="I777" s="61">
        <f t="shared" si="12"/>
        <v>0</v>
      </c>
      <c r="J777" s="59">
        <f t="shared" si="13"/>
        <v>0</v>
      </c>
    </row>
    <row r="778" spans="4:10">
      <c r="D778" s="44">
        <f t="shared" si="11"/>
        <v>0</v>
      </c>
      <c r="E778" s="44"/>
      <c r="F778" s="44"/>
      <c r="G778" s="44"/>
      <c r="I778" s="61">
        <f t="shared" si="12"/>
        <v>0</v>
      </c>
      <c r="J778" s="59">
        <f t="shared" si="13"/>
        <v>0</v>
      </c>
    </row>
    <row r="779" spans="4:10">
      <c r="D779" s="44">
        <f t="shared" si="11"/>
        <v>0</v>
      </c>
      <c r="E779" s="44"/>
      <c r="F779" s="44"/>
      <c r="G779" s="44"/>
      <c r="I779" s="61">
        <f t="shared" si="12"/>
        <v>0</v>
      </c>
      <c r="J779" s="59">
        <f t="shared" si="13"/>
        <v>0</v>
      </c>
    </row>
    <row r="780" spans="4:10">
      <c r="D780" s="44">
        <f t="shared" si="11"/>
        <v>0</v>
      </c>
      <c r="E780" s="44"/>
      <c r="F780" s="44"/>
      <c r="G780" s="44"/>
      <c r="I780" s="61">
        <f t="shared" si="12"/>
        <v>0</v>
      </c>
      <c r="J780" s="59">
        <f t="shared" si="13"/>
        <v>0</v>
      </c>
    </row>
    <row r="781" spans="4:10">
      <c r="D781" s="44">
        <f t="shared" si="11"/>
        <v>0</v>
      </c>
      <c r="E781" s="44"/>
      <c r="F781" s="44"/>
      <c r="G781" s="44"/>
      <c r="I781" s="61">
        <f t="shared" si="12"/>
        <v>0</v>
      </c>
      <c r="J781" s="59">
        <f t="shared" si="13"/>
        <v>0</v>
      </c>
    </row>
    <row r="782" spans="4:10">
      <c r="D782" s="44">
        <f t="shared" si="11"/>
        <v>0</v>
      </c>
      <c r="E782" s="44"/>
      <c r="F782" s="44"/>
      <c r="G782" s="44"/>
      <c r="I782" s="61">
        <f t="shared" si="12"/>
        <v>0</v>
      </c>
      <c r="J782" s="59">
        <f t="shared" si="13"/>
        <v>0</v>
      </c>
    </row>
    <row r="783" spans="4:10">
      <c r="D783" s="44">
        <f t="shared" si="11"/>
        <v>0</v>
      </c>
      <c r="E783" s="44"/>
      <c r="F783" s="44"/>
      <c r="G783" s="44"/>
      <c r="I783" s="61">
        <f t="shared" si="12"/>
        <v>0</v>
      </c>
      <c r="J783" s="59">
        <f t="shared" si="13"/>
        <v>0</v>
      </c>
    </row>
    <row r="784" spans="4:10">
      <c r="D784" s="44">
        <f t="shared" si="11"/>
        <v>0</v>
      </c>
      <c r="E784" s="44"/>
      <c r="F784" s="44"/>
      <c r="G784" s="44"/>
      <c r="I784" s="61">
        <f t="shared" si="12"/>
        <v>0</v>
      </c>
      <c r="J784" s="59">
        <f t="shared" si="13"/>
        <v>0</v>
      </c>
    </row>
    <row r="785" spans="4:10">
      <c r="D785" s="44">
        <f t="shared" si="11"/>
        <v>0</v>
      </c>
      <c r="E785" s="44"/>
      <c r="F785" s="44"/>
      <c r="G785" s="44"/>
      <c r="I785" s="61">
        <f t="shared" si="12"/>
        <v>0</v>
      </c>
      <c r="J785" s="59">
        <f t="shared" si="13"/>
        <v>0</v>
      </c>
    </row>
    <row r="786" spans="4:10">
      <c r="D786" s="44">
        <f t="shared" si="11"/>
        <v>0</v>
      </c>
      <c r="E786" s="44"/>
      <c r="F786" s="44"/>
      <c r="G786" s="44"/>
      <c r="I786" s="61">
        <f t="shared" si="12"/>
        <v>0</v>
      </c>
      <c r="J786" s="59">
        <f t="shared" si="13"/>
        <v>0</v>
      </c>
    </row>
    <row r="787" spans="4:10">
      <c r="D787" s="44">
        <f t="shared" si="11"/>
        <v>0</v>
      </c>
      <c r="E787" s="44"/>
      <c r="F787" s="44"/>
      <c r="G787" s="44"/>
      <c r="I787" s="61">
        <f t="shared" si="12"/>
        <v>0</v>
      </c>
      <c r="J787" s="59">
        <f t="shared" si="13"/>
        <v>0</v>
      </c>
    </row>
    <row r="788" spans="4:10">
      <c r="D788" s="44">
        <f t="shared" si="11"/>
        <v>0</v>
      </c>
      <c r="E788" s="44"/>
      <c r="F788" s="44"/>
      <c r="G788" s="44"/>
      <c r="I788" s="61">
        <f t="shared" si="12"/>
        <v>0</v>
      </c>
      <c r="J788" s="59">
        <f t="shared" si="13"/>
        <v>0</v>
      </c>
    </row>
    <row r="789" spans="4:10">
      <c r="D789" s="44">
        <f t="shared" si="11"/>
        <v>0</v>
      </c>
      <c r="E789" s="44"/>
      <c r="F789" s="44"/>
      <c r="G789" s="44"/>
      <c r="I789" s="61">
        <f t="shared" si="12"/>
        <v>0</v>
      </c>
      <c r="J789" s="59">
        <f t="shared" si="13"/>
        <v>0</v>
      </c>
    </row>
    <row r="790" spans="4:10">
      <c r="D790" s="44">
        <f t="shared" si="11"/>
        <v>0</v>
      </c>
      <c r="E790" s="44"/>
      <c r="F790" s="44"/>
      <c r="G790" s="44"/>
      <c r="I790" s="61">
        <f t="shared" si="12"/>
        <v>0</v>
      </c>
      <c r="J790" s="59">
        <f t="shared" si="13"/>
        <v>0</v>
      </c>
    </row>
    <row r="791" spans="4:10">
      <c r="D791" s="44">
        <f t="shared" si="11"/>
        <v>0</v>
      </c>
      <c r="E791" s="44"/>
      <c r="F791" s="44"/>
      <c r="G791" s="44"/>
      <c r="I791" s="61">
        <f t="shared" si="12"/>
        <v>0</v>
      </c>
      <c r="J791" s="59">
        <f t="shared" si="13"/>
        <v>0</v>
      </c>
    </row>
    <row r="792" spans="4:10">
      <c r="D792" s="44">
        <f t="shared" si="11"/>
        <v>0</v>
      </c>
      <c r="E792" s="44"/>
      <c r="F792" s="44"/>
      <c r="G792" s="44"/>
      <c r="I792" s="61">
        <f t="shared" si="12"/>
        <v>0</v>
      </c>
      <c r="J792" s="59">
        <f t="shared" si="13"/>
        <v>0</v>
      </c>
    </row>
    <row r="793" spans="4:10">
      <c r="D793" s="44">
        <f t="shared" si="11"/>
        <v>0</v>
      </c>
      <c r="E793" s="44"/>
      <c r="F793" s="44"/>
      <c r="G793" s="44"/>
      <c r="I793" s="61">
        <f t="shared" si="12"/>
        <v>0</v>
      </c>
      <c r="J793" s="59">
        <f t="shared" si="13"/>
        <v>0</v>
      </c>
    </row>
    <row r="794" spans="4:10">
      <c r="D794" s="44">
        <f t="shared" si="11"/>
        <v>0</v>
      </c>
      <c r="E794" s="44"/>
      <c r="F794" s="44"/>
      <c r="G794" s="44"/>
      <c r="I794" s="61">
        <f t="shared" si="12"/>
        <v>0</v>
      </c>
      <c r="J794" s="59">
        <f t="shared" si="13"/>
        <v>0</v>
      </c>
    </row>
    <row r="795" spans="4:10">
      <c r="D795" s="44">
        <f t="shared" si="11"/>
        <v>0</v>
      </c>
      <c r="E795" s="44"/>
      <c r="F795" s="44"/>
      <c r="G795" s="44"/>
      <c r="I795" s="61">
        <f t="shared" si="12"/>
        <v>0</v>
      </c>
      <c r="J795" s="59">
        <f t="shared" si="13"/>
        <v>0</v>
      </c>
    </row>
    <row r="796" spans="4:10">
      <c r="D796" s="44">
        <f t="shared" si="11"/>
        <v>0</v>
      </c>
      <c r="E796" s="44"/>
      <c r="F796" s="44"/>
      <c r="G796" s="44"/>
      <c r="I796" s="61">
        <f t="shared" si="12"/>
        <v>0</v>
      </c>
      <c r="J796" s="59">
        <f t="shared" si="13"/>
        <v>0</v>
      </c>
    </row>
    <row r="797" spans="4:10">
      <c r="D797" s="44">
        <f t="shared" si="11"/>
        <v>0</v>
      </c>
      <c r="E797" s="44"/>
      <c r="F797" s="44"/>
      <c r="G797" s="44"/>
      <c r="I797" s="61">
        <f t="shared" si="12"/>
        <v>0</v>
      </c>
      <c r="J797" s="59">
        <f t="shared" si="13"/>
        <v>0</v>
      </c>
    </row>
    <row r="798" spans="4:10">
      <c r="D798" s="44">
        <f t="shared" ref="D798:D861" si="14">C798-H798</f>
        <v>0</v>
      </c>
      <c r="E798" s="44"/>
      <c r="F798" s="44"/>
      <c r="G798" s="44"/>
      <c r="I798" s="61">
        <f t="shared" ref="I798:I861" si="15">H798*10%</f>
        <v>0</v>
      </c>
      <c r="J798" s="59">
        <f t="shared" ref="J798:J861" si="16">H798*90%</f>
        <v>0</v>
      </c>
    </row>
    <row r="799" spans="4:10">
      <c r="D799" s="44">
        <f t="shared" si="14"/>
        <v>0</v>
      </c>
      <c r="E799" s="44"/>
      <c r="F799" s="44"/>
      <c r="G799" s="44"/>
      <c r="I799" s="61">
        <f t="shared" si="15"/>
        <v>0</v>
      </c>
      <c r="J799" s="59">
        <f t="shared" si="16"/>
        <v>0</v>
      </c>
    </row>
    <row r="800" spans="4:10">
      <c r="D800" s="44">
        <f t="shared" si="14"/>
        <v>0</v>
      </c>
      <c r="E800" s="44"/>
      <c r="F800" s="44"/>
      <c r="G800" s="44"/>
      <c r="I800" s="61">
        <f t="shared" si="15"/>
        <v>0</v>
      </c>
      <c r="J800" s="59">
        <f t="shared" si="16"/>
        <v>0</v>
      </c>
    </row>
    <row r="801" spans="4:10">
      <c r="D801" s="44">
        <f t="shared" si="14"/>
        <v>0</v>
      </c>
      <c r="E801" s="44"/>
      <c r="F801" s="44"/>
      <c r="G801" s="44"/>
      <c r="I801" s="61">
        <f t="shared" si="15"/>
        <v>0</v>
      </c>
      <c r="J801" s="59">
        <f t="shared" si="16"/>
        <v>0</v>
      </c>
    </row>
    <row r="802" spans="4:10">
      <c r="D802" s="44">
        <f t="shared" si="14"/>
        <v>0</v>
      </c>
      <c r="E802" s="44"/>
      <c r="F802" s="44"/>
      <c r="G802" s="44"/>
      <c r="I802" s="61">
        <f t="shared" si="15"/>
        <v>0</v>
      </c>
      <c r="J802" s="59">
        <f t="shared" si="16"/>
        <v>0</v>
      </c>
    </row>
    <row r="803" spans="4:10">
      <c r="D803" s="44">
        <f t="shared" si="14"/>
        <v>0</v>
      </c>
      <c r="E803" s="44"/>
      <c r="F803" s="44"/>
      <c r="G803" s="44"/>
      <c r="I803" s="61">
        <f t="shared" si="15"/>
        <v>0</v>
      </c>
      <c r="J803" s="59">
        <f t="shared" si="16"/>
        <v>0</v>
      </c>
    </row>
    <row r="804" spans="4:10">
      <c r="D804" s="44">
        <f t="shared" si="14"/>
        <v>0</v>
      </c>
      <c r="E804" s="44"/>
      <c r="F804" s="44"/>
      <c r="G804" s="44"/>
      <c r="I804" s="61">
        <f t="shared" si="15"/>
        <v>0</v>
      </c>
      <c r="J804" s="59">
        <f t="shared" si="16"/>
        <v>0</v>
      </c>
    </row>
    <row r="805" spans="4:10">
      <c r="D805" s="44">
        <f t="shared" si="14"/>
        <v>0</v>
      </c>
      <c r="E805" s="44"/>
      <c r="F805" s="44"/>
      <c r="G805" s="44"/>
      <c r="I805" s="61">
        <f t="shared" si="15"/>
        <v>0</v>
      </c>
      <c r="J805" s="59">
        <f t="shared" si="16"/>
        <v>0</v>
      </c>
    </row>
    <row r="806" spans="4:10">
      <c r="D806" s="44">
        <f t="shared" si="14"/>
        <v>0</v>
      </c>
      <c r="E806" s="44"/>
      <c r="F806" s="44"/>
      <c r="G806" s="44"/>
      <c r="I806" s="61">
        <f t="shared" si="15"/>
        <v>0</v>
      </c>
      <c r="J806" s="59">
        <f t="shared" si="16"/>
        <v>0</v>
      </c>
    </row>
    <row r="807" spans="4:10">
      <c r="D807" s="44">
        <f t="shared" si="14"/>
        <v>0</v>
      </c>
      <c r="E807" s="44"/>
      <c r="F807" s="44"/>
      <c r="G807" s="44"/>
      <c r="I807" s="61">
        <f t="shared" si="15"/>
        <v>0</v>
      </c>
      <c r="J807" s="59">
        <f t="shared" si="16"/>
        <v>0</v>
      </c>
    </row>
    <row r="808" spans="4:10">
      <c r="D808" s="44">
        <f t="shared" si="14"/>
        <v>0</v>
      </c>
      <c r="E808" s="44"/>
      <c r="F808" s="44"/>
      <c r="G808" s="44"/>
      <c r="I808" s="61">
        <f t="shared" si="15"/>
        <v>0</v>
      </c>
      <c r="J808" s="59">
        <f t="shared" si="16"/>
        <v>0</v>
      </c>
    </row>
    <row r="809" spans="4:10">
      <c r="D809" s="44">
        <f t="shared" si="14"/>
        <v>0</v>
      </c>
      <c r="E809" s="44"/>
      <c r="F809" s="44"/>
      <c r="G809" s="44"/>
      <c r="I809" s="61">
        <f t="shared" si="15"/>
        <v>0</v>
      </c>
      <c r="J809" s="59">
        <f t="shared" si="16"/>
        <v>0</v>
      </c>
    </row>
    <row r="810" spans="4:10">
      <c r="D810" s="44">
        <f t="shared" si="14"/>
        <v>0</v>
      </c>
      <c r="E810" s="44"/>
      <c r="F810" s="44"/>
      <c r="G810" s="44"/>
      <c r="I810" s="61">
        <f t="shared" si="15"/>
        <v>0</v>
      </c>
      <c r="J810" s="59">
        <f t="shared" si="16"/>
        <v>0</v>
      </c>
    </row>
    <row r="811" spans="4:10">
      <c r="D811" s="44">
        <f t="shared" si="14"/>
        <v>0</v>
      </c>
      <c r="E811" s="44"/>
      <c r="F811" s="44"/>
      <c r="G811" s="44"/>
      <c r="I811" s="61">
        <f t="shared" si="15"/>
        <v>0</v>
      </c>
      <c r="J811" s="59">
        <f t="shared" si="16"/>
        <v>0</v>
      </c>
    </row>
    <row r="812" spans="4:10">
      <c r="D812" s="44">
        <f t="shared" si="14"/>
        <v>0</v>
      </c>
      <c r="E812" s="44"/>
      <c r="F812" s="44"/>
      <c r="G812" s="44"/>
      <c r="I812" s="61">
        <f t="shared" si="15"/>
        <v>0</v>
      </c>
      <c r="J812" s="59">
        <f t="shared" si="16"/>
        <v>0</v>
      </c>
    </row>
    <row r="813" spans="4:10">
      <c r="D813" s="44">
        <f t="shared" si="14"/>
        <v>0</v>
      </c>
      <c r="E813" s="44"/>
      <c r="F813" s="44"/>
      <c r="G813" s="44"/>
      <c r="I813" s="61">
        <f t="shared" si="15"/>
        <v>0</v>
      </c>
      <c r="J813" s="59">
        <f t="shared" si="16"/>
        <v>0</v>
      </c>
    </row>
    <row r="814" spans="4:10">
      <c r="D814" s="44">
        <f t="shared" si="14"/>
        <v>0</v>
      </c>
      <c r="E814" s="44"/>
      <c r="F814" s="44"/>
      <c r="G814" s="44"/>
      <c r="I814" s="61">
        <f t="shared" si="15"/>
        <v>0</v>
      </c>
      <c r="J814" s="59">
        <f t="shared" si="16"/>
        <v>0</v>
      </c>
    </row>
    <row r="815" spans="4:10">
      <c r="D815" s="44">
        <f t="shared" si="14"/>
        <v>0</v>
      </c>
      <c r="E815" s="44"/>
      <c r="F815" s="44"/>
      <c r="G815" s="44"/>
      <c r="I815" s="61">
        <f t="shared" si="15"/>
        <v>0</v>
      </c>
      <c r="J815" s="59">
        <f t="shared" si="16"/>
        <v>0</v>
      </c>
    </row>
    <row r="816" spans="4:10">
      <c r="D816" s="44">
        <f t="shared" si="14"/>
        <v>0</v>
      </c>
      <c r="E816" s="44"/>
      <c r="F816" s="44"/>
      <c r="G816" s="44"/>
      <c r="I816" s="61">
        <f t="shared" si="15"/>
        <v>0</v>
      </c>
      <c r="J816" s="59">
        <f t="shared" si="16"/>
        <v>0</v>
      </c>
    </row>
    <row r="817" spans="4:10">
      <c r="D817" s="44">
        <f t="shared" si="14"/>
        <v>0</v>
      </c>
      <c r="E817" s="44"/>
      <c r="F817" s="44"/>
      <c r="G817" s="44"/>
      <c r="I817" s="61">
        <f t="shared" si="15"/>
        <v>0</v>
      </c>
      <c r="J817" s="59">
        <f t="shared" si="16"/>
        <v>0</v>
      </c>
    </row>
    <row r="818" spans="4:10">
      <c r="D818" s="44">
        <f t="shared" si="14"/>
        <v>0</v>
      </c>
      <c r="E818" s="44"/>
      <c r="F818" s="44"/>
      <c r="G818" s="44"/>
      <c r="I818" s="61">
        <f t="shared" si="15"/>
        <v>0</v>
      </c>
      <c r="J818" s="59">
        <f t="shared" si="16"/>
        <v>0</v>
      </c>
    </row>
    <row r="819" spans="4:10">
      <c r="D819" s="44">
        <f t="shared" si="14"/>
        <v>0</v>
      </c>
      <c r="E819" s="44"/>
      <c r="F819" s="44"/>
      <c r="G819" s="44"/>
      <c r="I819" s="61">
        <f t="shared" si="15"/>
        <v>0</v>
      </c>
      <c r="J819" s="59">
        <f t="shared" si="16"/>
        <v>0</v>
      </c>
    </row>
    <row r="820" spans="4:10">
      <c r="D820" s="44">
        <f t="shared" si="14"/>
        <v>0</v>
      </c>
      <c r="E820" s="44"/>
      <c r="F820" s="44"/>
      <c r="G820" s="44"/>
      <c r="I820" s="61">
        <f t="shared" si="15"/>
        <v>0</v>
      </c>
      <c r="J820" s="59">
        <f t="shared" si="16"/>
        <v>0</v>
      </c>
    </row>
    <row r="821" spans="4:10">
      <c r="D821" s="44">
        <f t="shared" si="14"/>
        <v>0</v>
      </c>
      <c r="E821" s="44"/>
      <c r="F821" s="44"/>
      <c r="G821" s="44"/>
      <c r="I821" s="61">
        <f t="shared" si="15"/>
        <v>0</v>
      </c>
      <c r="J821" s="59">
        <f t="shared" si="16"/>
        <v>0</v>
      </c>
    </row>
    <row r="822" spans="4:10">
      <c r="D822" s="44">
        <f t="shared" si="14"/>
        <v>0</v>
      </c>
      <c r="E822" s="44"/>
      <c r="F822" s="44"/>
      <c r="G822" s="44"/>
      <c r="I822" s="61">
        <f t="shared" si="15"/>
        <v>0</v>
      </c>
      <c r="J822" s="59">
        <f t="shared" si="16"/>
        <v>0</v>
      </c>
    </row>
    <row r="823" spans="4:10">
      <c r="D823" s="44">
        <f t="shared" si="14"/>
        <v>0</v>
      </c>
      <c r="E823" s="44"/>
      <c r="F823" s="44"/>
      <c r="G823" s="44"/>
      <c r="I823" s="61">
        <f t="shared" si="15"/>
        <v>0</v>
      </c>
      <c r="J823" s="59">
        <f t="shared" si="16"/>
        <v>0</v>
      </c>
    </row>
    <row r="824" spans="4:10">
      <c r="D824" s="44">
        <f t="shared" si="14"/>
        <v>0</v>
      </c>
      <c r="E824" s="44"/>
      <c r="F824" s="44"/>
      <c r="G824" s="44"/>
      <c r="I824" s="61">
        <f t="shared" si="15"/>
        <v>0</v>
      </c>
      <c r="J824" s="59">
        <f t="shared" si="16"/>
        <v>0</v>
      </c>
    </row>
    <row r="825" spans="4:10">
      <c r="D825" s="44">
        <f t="shared" si="14"/>
        <v>0</v>
      </c>
      <c r="E825" s="44"/>
      <c r="F825" s="44"/>
      <c r="G825" s="44"/>
      <c r="I825" s="61">
        <f t="shared" si="15"/>
        <v>0</v>
      </c>
      <c r="J825" s="59">
        <f t="shared" si="16"/>
        <v>0</v>
      </c>
    </row>
    <row r="826" spans="4:10">
      <c r="D826" s="44">
        <f t="shared" si="14"/>
        <v>0</v>
      </c>
      <c r="E826" s="44"/>
      <c r="F826" s="44"/>
      <c r="G826" s="44"/>
      <c r="I826" s="61">
        <f t="shared" si="15"/>
        <v>0</v>
      </c>
      <c r="J826" s="59">
        <f t="shared" si="16"/>
        <v>0</v>
      </c>
    </row>
    <row r="827" spans="4:10">
      <c r="D827" s="44">
        <f t="shared" si="14"/>
        <v>0</v>
      </c>
      <c r="E827" s="44"/>
      <c r="F827" s="44"/>
      <c r="G827" s="44"/>
      <c r="I827" s="61">
        <f t="shared" si="15"/>
        <v>0</v>
      </c>
      <c r="J827" s="59">
        <f t="shared" si="16"/>
        <v>0</v>
      </c>
    </row>
    <row r="828" spans="4:10">
      <c r="D828" s="44">
        <f t="shared" si="14"/>
        <v>0</v>
      </c>
      <c r="E828" s="44"/>
      <c r="F828" s="44"/>
      <c r="G828" s="44"/>
      <c r="I828" s="61">
        <f t="shared" si="15"/>
        <v>0</v>
      </c>
      <c r="J828" s="59">
        <f t="shared" si="16"/>
        <v>0</v>
      </c>
    </row>
    <row r="829" spans="4:10">
      <c r="D829" s="44">
        <f t="shared" si="14"/>
        <v>0</v>
      </c>
      <c r="E829" s="44"/>
      <c r="F829" s="44"/>
      <c r="G829" s="44"/>
      <c r="I829" s="61">
        <f t="shared" si="15"/>
        <v>0</v>
      </c>
      <c r="J829" s="59">
        <f t="shared" si="16"/>
        <v>0</v>
      </c>
    </row>
    <row r="830" spans="4:10">
      <c r="D830" s="44">
        <f t="shared" si="14"/>
        <v>0</v>
      </c>
      <c r="E830" s="44"/>
      <c r="F830" s="44"/>
      <c r="G830" s="44"/>
      <c r="I830" s="61">
        <f t="shared" si="15"/>
        <v>0</v>
      </c>
      <c r="J830" s="59">
        <f t="shared" si="16"/>
        <v>0</v>
      </c>
    </row>
    <row r="831" spans="4:10">
      <c r="D831" s="44">
        <f t="shared" si="14"/>
        <v>0</v>
      </c>
      <c r="E831" s="44"/>
      <c r="F831" s="44"/>
      <c r="G831" s="44"/>
      <c r="I831" s="61">
        <f t="shared" si="15"/>
        <v>0</v>
      </c>
      <c r="J831" s="59">
        <f t="shared" si="16"/>
        <v>0</v>
      </c>
    </row>
    <row r="832" spans="4:10">
      <c r="D832" s="44">
        <f t="shared" si="14"/>
        <v>0</v>
      </c>
      <c r="E832" s="44"/>
      <c r="F832" s="44"/>
      <c r="G832" s="44"/>
      <c r="I832" s="61">
        <f t="shared" si="15"/>
        <v>0</v>
      </c>
      <c r="J832" s="59">
        <f t="shared" si="16"/>
        <v>0</v>
      </c>
    </row>
    <row r="833" spans="4:10">
      <c r="D833" s="44">
        <f t="shared" si="14"/>
        <v>0</v>
      </c>
      <c r="E833" s="44"/>
      <c r="F833" s="44"/>
      <c r="G833" s="44"/>
      <c r="I833" s="61">
        <f t="shared" si="15"/>
        <v>0</v>
      </c>
      <c r="J833" s="59">
        <f t="shared" si="16"/>
        <v>0</v>
      </c>
    </row>
    <row r="834" spans="4:10">
      <c r="D834" s="44">
        <f t="shared" si="14"/>
        <v>0</v>
      </c>
      <c r="E834" s="44"/>
      <c r="F834" s="44"/>
      <c r="G834" s="44"/>
      <c r="I834" s="61">
        <f t="shared" si="15"/>
        <v>0</v>
      </c>
      <c r="J834" s="59">
        <f t="shared" si="16"/>
        <v>0</v>
      </c>
    </row>
    <row r="835" spans="4:10">
      <c r="D835" s="44">
        <f t="shared" si="14"/>
        <v>0</v>
      </c>
      <c r="E835" s="44"/>
      <c r="F835" s="44"/>
      <c r="G835" s="44"/>
      <c r="I835" s="61">
        <f t="shared" si="15"/>
        <v>0</v>
      </c>
      <c r="J835" s="59">
        <f t="shared" si="16"/>
        <v>0</v>
      </c>
    </row>
    <row r="836" spans="4:10">
      <c r="D836" s="44">
        <f t="shared" si="14"/>
        <v>0</v>
      </c>
      <c r="E836" s="44"/>
      <c r="F836" s="44"/>
      <c r="G836" s="44"/>
      <c r="I836" s="61">
        <f t="shared" si="15"/>
        <v>0</v>
      </c>
      <c r="J836" s="59">
        <f t="shared" si="16"/>
        <v>0</v>
      </c>
    </row>
    <row r="837" spans="4:10">
      <c r="D837" s="44">
        <f t="shared" si="14"/>
        <v>0</v>
      </c>
      <c r="E837" s="44"/>
      <c r="F837" s="44"/>
      <c r="G837" s="44"/>
      <c r="I837" s="61">
        <f t="shared" si="15"/>
        <v>0</v>
      </c>
      <c r="J837" s="59">
        <f t="shared" si="16"/>
        <v>0</v>
      </c>
    </row>
    <row r="838" spans="4:10">
      <c r="D838" s="44">
        <f t="shared" si="14"/>
        <v>0</v>
      </c>
      <c r="E838" s="44"/>
      <c r="F838" s="44"/>
      <c r="G838" s="44"/>
      <c r="I838" s="61">
        <f t="shared" si="15"/>
        <v>0</v>
      </c>
      <c r="J838" s="59">
        <f t="shared" si="16"/>
        <v>0</v>
      </c>
    </row>
    <row r="839" spans="4:10">
      <c r="D839" s="44">
        <f t="shared" si="14"/>
        <v>0</v>
      </c>
      <c r="E839" s="44"/>
      <c r="F839" s="44"/>
      <c r="G839" s="44"/>
      <c r="I839" s="61">
        <f t="shared" si="15"/>
        <v>0</v>
      </c>
      <c r="J839" s="59">
        <f t="shared" si="16"/>
        <v>0</v>
      </c>
    </row>
    <row r="840" spans="4:10">
      <c r="D840" s="44">
        <f t="shared" si="14"/>
        <v>0</v>
      </c>
      <c r="E840" s="44"/>
      <c r="F840" s="44"/>
      <c r="G840" s="44"/>
      <c r="I840" s="61">
        <f t="shared" si="15"/>
        <v>0</v>
      </c>
      <c r="J840" s="59">
        <f t="shared" si="16"/>
        <v>0</v>
      </c>
    </row>
    <row r="841" spans="4:10">
      <c r="D841" s="44">
        <f t="shared" si="14"/>
        <v>0</v>
      </c>
      <c r="E841" s="44"/>
      <c r="F841" s="44"/>
      <c r="G841" s="44"/>
      <c r="I841" s="61">
        <f t="shared" si="15"/>
        <v>0</v>
      </c>
      <c r="J841" s="59">
        <f t="shared" si="16"/>
        <v>0</v>
      </c>
    </row>
    <row r="842" spans="4:10">
      <c r="D842" s="44">
        <f t="shared" si="14"/>
        <v>0</v>
      </c>
      <c r="E842" s="44"/>
      <c r="F842" s="44"/>
      <c r="G842" s="44"/>
      <c r="I842" s="61">
        <f t="shared" si="15"/>
        <v>0</v>
      </c>
      <c r="J842" s="59">
        <f t="shared" si="16"/>
        <v>0</v>
      </c>
    </row>
    <row r="843" spans="4:10">
      <c r="D843" s="44">
        <f t="shared" si="14"/>
        <v>0</v>
      </c>
      <c r="E843" s="44"/>
      <c r="F843" s="44"/>
      <c r="G843" s="44"/>
      <c r="I843" s="61">
        <f t="shared" si="15"/>
        <v>0</v>
      </c>
      <c r="J843" s="59">
        <f t="shared" si="16"/>
        <v>0</v>
      </c>
    </row>
    <row r="844" spans="4:10">
      <c r="D844" s="44">
        <f t="shared" si="14"/>
        <v>0</v>
      </c>
      <c r="E844" s="44"/>
      <c r="F844" s="44"/>
      <c r="G844" s="44"/>
      <c r="I844" s="61">
        <f t="shared" si="15"/>
        <v>0</v>
      </c>
      <c r="J844" s="59">
        <f t="shared" si="16"/>
        <v>0</v>
      </c>
    </row>
    <row r="845" spans="4:10">
      <c r="D845" s="44">
        <f t="shared" si="14"/>
        <v>0</v>
      </c>
      <c r="E845" s="44"/>
      <c r="F845" s="44"/>
      <c r="G845" s="44"/>
      <c r="I845" s="61">
        <f t="shared" si="15"/>
        <v>0</v>
      </c>
      <c r="J845" s="59">
        <f t="shared" si="16"/>
        <v>0</v>
      </c>
    </row>
    <row r="846" spans="4:10">
      <c r="D846" s="44">
        <f t="shared" si="14"/>
        <v>0</v>
      </c>
      <c r="E846" s="44"/>
      <c r="F846" s="44"/>
      <c r="G846" s="44"/>
      <c r="I846" s="61">
        <f t="shared" si="15"/>
        <v>0</v>
      </c>
      <c r="J846" s="59">
        <f t="shared" si="16"/>
        <v>0</v>
      </c>
    </row>
    <row r="847" spans="4:10">
      <c r="D847" s="44">
        <f t="shared" si="14"/>
        <v>0</v>
      </c>
      <c r="E847" s="44"/>
      <c r="F847" s="44"/>
      <c r="G847" s="44"/>
      <c r="I847" s="61">
        <f t="shared" si="15"/>
        <v>0</v>
      </c>
      <c r="J847" s="59">
        <f t="shared" si="16"/>
        <v>0</v>
      </c>
    </row>
    <row r="848" spans="4:10">
      <c r="D848" s="44">
        <f t="shared" si="14"/>
        <v>0</v>
      </c>
      <c r="E848" s="44"/>
      <c r="F848" s="44"/>
      <c r="G848" s="44"/>
      <c r="I848" s="61">
        <f t="shared" si="15"/>
        <v>0</v>
      </c>
      <c r="J848" s="59">
        <f t="shared" si="16"/>
        <v>0</v>
      </c>
    </row>
    <row r="849" spans="4:10">
      <c r="D849" s="44">
        <f t="shared" si="14"/>
        <v>0</v>
      </c>
      <c r="E849" s="44"/>
      <c r="F849" s="44"/>
      <c r="G849" s="44"/>
      <c r="I849" s="61">
        <f t="shared" si="15"/>
        <v>0</v>
      </c>
      <c r="J849" s="59">
        <f t="shared" si="16"/>
        <v>0</v>
      </c>
    </row>
    <row r="850" spans="4:10">
      <c r="D850" s="44">
        <f t="shared" si="14"/>
        <v>0</v>
      </c>
      <c r="E850" s="44"/>
      <c r="F850" s="44"/>
      <c r="G850" s="44"/>
      <c r="I850" s="61">
        <f t="shared" si="15"/>
        <v>0</v>
      </c>
      <c r="J850" s="59">
        <f t="shared" si="16"/>
        <v>0</v>
      </c>
    </row>
    <row r="851" spans="4:10">
      <c r="D851" s="44">
        <f t="shared" si="14"/>
        <v>0</v>
      </c>
      <c r="E851" s="44"/>
      <c r="F851" s="44"/>
      <c r="G851" s="44"/>
      <c r="I851" s="61">
        <f t="shared" si="15"/>
        <v>0</v>
      </c>
      <c r="J851" s="59">
        <f t="shared" si="16"/>
        <v>0</v>
      </c>
    </row>
    <row r="852" spans="4:10">
      <c r="D852" s="44">
        <f t="shared" si="14"/>
        <v>0</v>
      </c>
      <c r="E852" s="44"/>
      <c r="F852" s="44"/>
      <c r="G852" s="44"/>
      <c r="I852" s="61">
        <f t="shared" si="15"/>
        <v>0</v>
      </c>
      <c r="J852" s="59">
        <f t="shared" si="16"/>
        <v>0</v>
      </c>
    </row>
    <row r="853" spans="4:10">
      <c r="D853" s="44">
        <f t="shared" si="14"/>
        <v>0</v>
      </c>
      <c r="E853" s="44"/>
      <c r="F853" s="44"/>
      <c r="G853" s="44"/>
      <c r="I853" s="61">
        <f t="shared" si="15"/>
        <v>0</v>
      </c>
      <c r="J853" s="59">
        <f t="shared" si="16"/>
        <v>0</v>
      </c>
    </row>
    <row r="854" spans="4:10">
      <c r="D854" s="44">
        <f t="shared" si="14"/>
        <v>0</v>
      </c>
      <c r="E854" s="44"/>
      <c r="F854" s="44"/>
      <c r="G854" s="44"/>
      <c r="I854" s="61">
        <f t="shared" si="15"/>
        <v>0</v>
      </c>
      <c r="J854" s="59">
        <f t="shared" si="16"/>
        <v>0</v>
      </c>
    </row>
    <row r="855" spans="4:10">
      <c r="D855" s="44">
        <f t="shared" si="14"/>
        <v>0</v>
      </c>
      <c r="E855" s="44"/>
      <c r="F855" s="44"/>
      <c r="G855" s="44"/>
      <c r="I855" s="61">
        <f t="shared" si="15"/>
        <v>0</v>
      </c>
      <c r="J855" s="59">
        <f t="shared" si="16"/>
        <v>0</v>
      </c>
    </row>
    <row r="856" spans="4:10">
      <c r="D856" s="44">
        <f t="shared" si="14"/>
        <v>0</v>
      </c>
      <c r="E856" s="44"/>
      <c r="F856" s="44"/>
      <c r="G856" s="44"/>
      <c r="I856" s="61">
        <f t="shared" si="15"/>
        <v>0</v>
      </c>
      <c r="J856" s="59">
        <f t="shared" si="16"/>
        <v>0</v>
      </c>
    </row>
    <row r="857" spans="4:10">
      <c r="D857" s="44">
        <f t="shared" si="14"/>
        <v>0</v>
      </c>
      <c r="E857" s="44"/>
      <c r="F857" s="44"/>
      <c r="G857" s="44"/>
      <c r="I857" s="61">
        <f t="shared" si="15"/>
        <v>0</v>
      </c>
      <c r="J857" s="59">
        <f t="shared" si="16"/>
        <v>0</v>
      </c>
    </row>
    <row r="858" spans="4:10">
      <c r="D858" s="44">
        <f t="shared" si="14"/>
        <v>0</v>
      </c>
      <c r="E858" s="44"/>
      <c r="F858" s="44"/>
      <c r="G858" s="44"/>
      <c r="I858" s="61">
        <f t="shared" si="15"/>
        <v>0</v>
      </c>
      <c r="J858" s="59">
        <f t="shared" si="16"/>
        <v>0</v>
      </c>
    </row>
    <row r="859" spans="4:10">
      <c r="D859" s="44">
        <f t="shared" si="14"/>
        <v>0</v>
      </c>
      <c r="E859" s="44"/>
      <c r="F859" s="44"/>
      <c r="G859" s="44"/>
      <c r="I859" s="61">
        <f t="shared" si="15"/>
        <v>0</v>
      </c>
      <c r="J859" s="59">
        <f t="shared" si="16"/>
        <v>0</v>
      </c>
    </row>
    <row r="860" spans="4:10">
      <c r="D860" s="44">
        <f t="shared" si="14"/>
        <v>0</v>
      </c>
      <c r="E860" s="44"/>
      <c r="F860" s="44"/>
      <c r="G860" s="44"/>
      <c r="I860" s="61">
        <f t="shared" si="15"/>
        <v>0</v>
      </c>
      <c r="J860" s="59">
        <f t="shared" si="16"/>
        <v>0</v>
      </c>
    </row>
    <row r="861" spans="4:10">
      <c r="D861" s="44">
        <f t="shared" si="14"/>
        <v>0</v>
      </c>
      <c r="E861" s="44"/>
      <c r="F861" s="44"/>
      <c r="G861" s="44"/>
      <c r="I861" s="61">
        <f t="shared" si="15"/>
        <v>0</v>
      </c>
      <c r="J861" s="59">
        <f t="shared" si="16"/>
        <v>0</v>
      </c>
    </row>
    <row r="862" spans="4:10">
      <c r="D862" s="44">
        <f t="shared" ref="D862:D925" si="17">C862-H862</f>
        <v>0</v>
      </c>
      <c r="E862" s="44"/>
      <c r="F862" s="44"/>
      <c r="G862" s="44"/>
      <c r="I862" s="61">
        <f t="shared" ref="I862:I925" si="18">H862*10%</f>
        <v>0</v>
      </c>
      <c r="J862" s="59">
        <f t="shared" ref="J862:J925" si="19">H862*90%</f>
        <v>0</v>
      </c>
    </row>
    <row r="863" spans="4:10">
      <c r="D863" s="44">
        <f t="shared" si="17"/>
        <v>0</v>
      </c>
      <c r="E863" s="44"/>
      <c r="F863" s="44"/>
      <c r="G863" s="44"/>
      <c r="I863" s="61">
        <f t="shared" si="18"/>
        <v>0</v>
      </c>
      <c r="J863" s="59">
        <f t="shared" si="19"/>
        <v>0</v>
      </c>
    </row>
    <row r="864" spans="4:10">
      <c r="D864" s="44">
        <f t="shared" si="17"/>
        <v>0</v>
      </c>
      <c r="E864" s="44"/>
      <c r="F864" s="44"/>
      <c r="G864" s="44"/>
      <c r="I864" s="61">
        <f t="shared" si="18"/>
        <v>0</v>
      </c>
      <c r="J864" s="59">
        <f t="shared" si="19"/>
        <v>0</v>
      </c>
    </row>
    <row r="865" spans="4:10">
      <c r="D865" s="44">
        <f t="shared" si="17"/>
        <v>0</v>
      </c>
      <c r="E865" s="44"/>
      <c r="F865" s="44"/>
      <c r="G865" s="44"/>
      <c r="I865" s="61">
        <f t="shared" si="18"/>
        <v>0</v>
      </c>
      <c r="J865" s="59">
        <f t="shared" si="19"/>
        <v>0</v>
      </c>
    </row>
    <row r="866" spans="4:10">
      <c r="D866" s="44">
        <f t="shared" si="17"/>
        <v>0</v>
      </c>
      <c r="E866" s="44"/>
      <c r="F866" s="44"/>
      <c r="G866" s="44"/>
      <c r="I866" s="61">
        <f t="shared" si="18"/>
        <v>0</v>
      </c>
      <c r="J866" s="59">
        <f t="shared" si="19"/>
        <v>0</v>
      </c>
    </row>
    <row r="867" spans="4:10">
      <c r="D867" s="44">
        <f t="shared" si="17"/>
        <v>0</v>
      </c>
      <c r="E867" s="44"/>
      <c r="F867" s="44"/>
      <c r="G867" s="44"/>
      <c r="I867" s="61">
        <f t="shared" si="18"/>
        <v>0</v>
      </c>
      <c r="J867" s="59">
        <f t="shared" si="19"/>
        <v>0</v>
      </c>
    </row>
    <row r="868" spans="4:10">
      <c r="D868" s="44">
        <f t="shared" si="17"/>
        <v>0</v>
      </c>
      <c r="E868" s="44"/>
      <c r="F868" s="44"/>
      <c r="G868" s="44"/>
      <c r="I868" s="61">
        <f t="shared" si="18"/>
        <v>0</v>
      </c>
      <c r="J868" s="59">
        <f t="shared" si="19"/>
        <v>0</v>
      </c>
    </row>
    <row r="869" spans="4:10">
      <c r="D869" s="44">
        <f t="shared" si="17"/>
        <v>0</v>
      </c>
      <c r="E869" s="44"/>
      <c r="F869" s="44"/>
      <c r="G869" s="44"/>
      <c r="I869" s="61">
        <f t="shared" si="18"/>
        <v>0</v>
      </c>
      <c r="J869" s="59">
        <f t="shared" si="19"/>
        <v>0</v>
      </c>
    </row>
    <row r="870" spans="4:10">
      <c r="D870" s="44">
        <f t="shared" si="17"/>
        <v>0</v>
      </c>
      <c r="E870" s="44"/>
      <c r="F870" s="44"/>
      <c r="G870" s="44"/>
      <c r="I870" s="61">
        <f t="shared" si="18"/>
        <v>0</v>
      </c>
      <c r="J870" s="59">
        <f t="shared" si="19"/>
        <v>0</v>
      </c>
    </row>
    <row r="871" spans="4:10">
      <c r="D871" s="44">
        <f t="shared" si="17"/>
        <v>0</v>
      </c>
      <c r="E871" s="44"/>
      <c r="F871" s="44"/>
      <c r="G871" s="44"/>
      <c r="I871" s="61">
        <f t="shared" si="18"/>
        <v>0</v>
      </c>
      <c r="J871" s="59">
        <f t="shared" si="19"/>
        <v>0</v>
      </c>
    </row>
    <row r="872" spans="4:10">
      <c r="D872" s="44">
        <f t="shared" si="17"/>
        <v>0</v>
      </c>
      <c r="E872" s="44"/>
      <c r="F872" s="44"/>
      <c r="G872" s="44"/>
      <c r="I872" s="61">
        <f t="shared" si="18"/>
        <v>0</v>
      </c>
      <c r="J872" s="59">
        <f t="shared" si="19"/>
        <v>0</v>
      </c>
    </row>
    <row r="873" spans="4:10">
      <c r="D873" s="44">
        <f t="shared" si="17"/>
        <v>0</v>
      </c>
      <c r="E873" s="44"/>
      <c r="F873" s="44"/>
      <c r="G873" s="44"/>
      <c r="I873" s="61">
        <f t="shared" si="18"/>
        <v>0</v>
      </c>
      <c r="J873" s="59">
        <f t="shared" si="19"/>
        <v>0</v>
      </c>
    </row>
    <row r="874" spans="4:10">
      <c r="D874" s="44">
        <f t="shared" si="17"/>
        <v>0</v>
      </c>
      <c r="E874" s="44"/>
      <c r="F874" s="44"/>
      <c r="G874" s="44"/>
      <c r="I874" s="61">
        <f t="shared" si="18"/>
        <v>0</v>
      </c>
      <c r="J874" s="59">
        <f t="shared" si="19"/>
        <v>0</v>
      </c>
    </row>
    <row r="875" spans="4:10">
      <c r="D875" s="44">
        <f t="shared" si="17"/>
        <v>0</v>
      </c>
      <c r="E875" s="44"/>
      <c r="F875" s="44"/>
      <c r="G875" s="44"/>
      <c r="I875" s="61">
        <f t="shared" si="18"/>
        <v>0</v>
      </c>
      <c r="J875" s="59">
        <f t="shared" si="19"/>
        <v>0</v>
      </c>
    </row>
    <row r="876" spans="4:10">
      <c r="D876" s="44">
        <f t="shared" si="17"/>
        <v>0</v>
      </c>
      <c r="E876" s="44"/>
      <c r="F876" s="44"/>
      <c r="G876" s="44"/>
      <c r="I876" s="61">
        <f t="shared" si="18"/>
        <v>0</v>
      </c>
      <c r="J876" s="59">
        <f t="shared" si="19"/>
        <v>0</v>
      </c>
    </row>
    <row r="877" spans="4:10">
      <c r="D877" s="44">
        <f t="shared" si="17"/>
        <v>0</v>
      </c>
      <c r="E877" s="44"/>
      <c r="F877" s="44"/>
      <c r="G877" s="44"/>
      <c r="I877" s="61">
        <f t="shared" si="18"/>
        <v>0</v>
      </c>
      <c r="J877" s="59">
        <f t="shared" si="19"/>
        <v>0</v>
      </c>
    </row>
    <row r="878" spans="4:10">
      <c r="D878" s="44">
        <f t="shared" si="17"/>
        <v>0</v>
      </c>
      <c r="E878" s="44"/>
      <c r="F878" s="44"/>
      <c r="G878" s="44"/>
      <c r="I878" s="61">
        <f t="shared" si="18"/>
        <v>0</v>
      </c>
      <c r="J878" s="59">
        <f t="shared" si="19"/>
        <v>0</v>
      </c>
    </row>
    <row r="879" spans="4:10">
      <c r="D879" s="44">
        <f t="shared" si="17"/>
        <v>0</v>
      </c>
      <c r="E879" s="44"/>
      <c r="F879" s="44"/>
      <c r="G879" s="44"/>
      <c r="I879" s="61">
        <f t="shared" si="18"/>
        <v>0</v>
      </c>
      <c r="J879" s="59">
        <f t="shared" si="19"/>
        <v>0</v>
      </c>
    </row>
    <row r="880" spans="4:10">
      <c r="D880" s="44">
        <f t="shared" si="17"/>
        <v>0</v>
      </c>
      <c r="E880" s="44"/>
      <c r="F880" s="44"/>
      <c r="G880" s="44"/>
      <c r="I880" s="61">
        <f t="shared" si="18"/>
        <v>0</v>
      </c>
      <c r="J880" s="59">
        <f t="shared" si="19"/>
        <v>0</v>
      </c>
    </row>
    <row r="881" spans="4:10">
      <c r="D881" s="44">
        <f t="shared" si="17"/>
        <v>0</v>
      </c>
      <c r="E881" s="44"/>
      <c r="F881" s="44"/>
      <c r="G881" s="44"/>
      <c r="I881" s="61">
        <f t="shared" si="18"/>
        <v>0</v>
      </c>
      <c r="J881" s="59">
        <f t="shared" si="19"/>
        <v>0</v>
      </c>
    </row>
    <row r="882" spans="4:10">
      <c r="D882" s="44">
        <f t="shared" si="17"/>
        <v>0</v>
      </c>
      <c r="E882" s="44"/>
      <c r="F882" s="44"/>
      <c r="G882" s="44"/>
      <c r="I882" s="61">
        <f t="shared" si="18"/>
        <v>0</v>
      </c>
      <c r="J882" s="59">
        <f t="shared" si="19"/>
        <v>0</v>
      </c>
    </row>
    <row r="883" spans="4:10">
      <c r="D883" s="44">
        <f t="shared" si="17"/>
        <v>0</v>
      </c>
      <c r="E883" s="44"/>
      <c r="F883" s="44"/>
      <c r="G883" s="44"/>
      <c r="I883" s="61">
        <f t="shared" si="18"/>
        <v>0</v>
      </c>
      <c r="J883" s="59">
        <f t="shared" si="19"/>
        <v>0</v>
      </c>
    </row>
    <row r="884" spans="4:10">
      <c r="D884" s="44">
        <f t="shared" si="17"/>
        <v>0</v>
      </c>
      <c r="E884" s="44"/>
      <c r="F884" s="44"/>
      <c r="G884" s="44"/>
      <c r="I884" s="61">
        <f t="shared" si="18"/>
        <v>0</v>
      </c>
      <c r="J884" s="59">
        <f t="shared" si="19"/>
        <v>0</v>
      </c>
    </row>
    <row r="885" spans="4:10">
      <c r="D885" s="44">
        <f t="shared" si="17"/>
        <v>0</v>
      </c>
      <c r="E885" s="44"/>
      <c r="F885" s="44"/>
      <c r="G885" s="44"/>
      <c r="I885" s="61">
        <f t="shared" si="18"/>
        <v>0</v>
      </c>
      <c r="J885" s="59">
        <f t="shared" si="19"/>
        <v>0</v>
      </c>
    </row>
    <row r="886" spans="4:10">
      <c r="D886" s="44">
        <f t="shared" si="17"/>
        <v>0</v>
      </c>
      <c r="E886" s="44"/>
      <c r="F886" s="44"/>
      <c r="G886" s="44"/>
      <c r="I886" s="61">
        <f t="shared" si="18"/>
        <v>0</v>
      </c>
      <c r="J886" s="59">
        <f t="shared" si="19"/>
        <v>0</v>
      </c>
    </row>
    <row r="887" spans="4:10">
      <c r="D887" s="44">
        <f t="shared" si="17"/>
        <v>0</v>
      </c>
      <c r="E887" s="44"/>
      <c r="F887" s="44"/>
      <c r="G887" s="44"/>
      <c r="I887" s="61">
        <f t="shared" si="18"/>
        <v>0</v>
      </c>
      <c r="J887" s="59">
        <f t="shared" si="19"/>
        <v>0</v>
      </c>
    </row>
    <row r="888" spans="4:10">
      <c r="D888" s="44">
        <f t="shared" si="17"/>
        <v>0</v>
      </c>
      <c r="E888" s="44"/>
      <c r="F888" s="44"/>
      <c r="G888" s="44"/>
      <c r="I888" s="61">
        <f t="shared" si="18"/>
        <v>0</v>
      </c>
      <c r="J888" s="59">
        <f t="shared" si="19"/>
        <v>0</v>
      </c>
    </row>
    <row r="889" spans="4:10">
      <c r="D889" s="44">
        <f t="shared" si="17"/>
        <v>0</v>
      </c>
      <c r="E889" s="44"/>
      <c r="F889" s="44"/>
      <c r="G889" s="44"/>
      <c r="I889" s="61">
        <f t="shared" si="18"/>
        <v>0</v>
      </c>
      <c r="J889" s="59">
        <f t="shared" si="19"/>
        <v>0</v>
      </c>
    </row>
    <row r="890" spans="4:10">
      <c r="D890" s="44">
        <f t="shared" si="17"/>
        <v>0</v>
      </c>
      <c r="E890" s="44"/>
      <c r="F890" s="44"/>
      <c r="G890" s="44"/>
      <c r="I890" s="61">
        <f t="shared" si="18"/>
        <v>0</v>
      </c>
      <c r="J890" s="59">
        <f t="shared" si="19"/>
        <v>0</v>
      </c>
    </row>
    <row r="891" spans="4:10">
      <c r="D891" s="44">
        <f t="shared" si="17"/>
        <v>0</v>
      </c>
      <c r="E891" s="44"/>
      <c r="F891" s="44"/>
      <c r="G891" s="44"/>
      <c r="I891" s="61">
        <f t="shared" si="18"/>
        <v>0</v>
      </c>
      <c r="J891" s="59">
        <f t="shared" si="19"/>
        <v>0</v>
      </c>
    </row>
    <row r="892" spans="4:10">
      <c r="D892" s="44">
        <f t="shared" si="17"/>
        <v>0</v>
      </c>
      <c r="E892" s="44"/>
      <c r="F892" s="44"/>
      <c r="G892" s="44"/>
      <c r="I892" s="61">
        <f t="shared" si="18"/>
        <v>0</v>
      </c>
      <c r="J892" s="59">
        <f t="shared" si="19"/>
        <v>0</v>
      </c>
    </row>
    <row r="893" spans="4:10">
      <c r="D893" s="44">
        <f t="shared" si="17"/>
        <v>0</v>
      </c>
      <c r="E893" s="44"/>
      <c r="F893" s="44"/>
      <c r="G893" s="44"/>
      <c r="I893" s="61">
        <f t="shared" si="18"/>
        <v>0</v>
      </c>
      <c r="J893" s="59">
        <f t="shared" si="19"/>
        <v>0</v>
      </c>
    </row>
    <row r="894" spans="4:10">
      <c r="D894" s="44">
        <f t="shared" si="17"/>
        <v>0</v>
      </c>
      <c r="E894" s="44"/>
      <c r="F894" s="44"/>
      <c r="G894" s="44"/>
      <c r="I894" s="61">
        <f t="shared" si="18"/>
        <v>0</v>
      </c>
      <c r="J894" s="59">
        <f t="shared" si="19"/>
        <v>0</v>
      </c>
    </row>
    <row r="895" spans="4:10">
      <c r="D895" s="44">
        <f t="shared" si="17"/>
        <v>0</v>
      </c>
      <c r="E895" s="44"/>
      <c r="F895" s="44"/>
      <c r="G895" s="44"/>
      <c r="I895" s="61">
        <f t="shared" si="18"/>
        <v>0</v>
      </c>
      <c r="J895" s="59">
        <f t="shared" si="19"/>
        <v>0</v>
      </c>
    </row>
    <row r="896" spans="4:10">
      <c r="D896" s="44">
        <f t="shared" si="17"/>
        <v>0</v>
      </c>
      <c r="E896" s="44"/>
      <c r="F896" s="44"/>
      <c r="G896" s="44"/>
      <c r="I896" s="61">
        <f t="shared" si="18"/>
        <v>0</v>
      </c>
      <c r="J896" s="59">
        <f t="shared" si="19"/>
        <v>0</v>
      </c>
    </row>
    <row r="897" spans="4:10">
      <c r="D897" s="44">
        <f t="shared" si="17"/>
        <v>0</v>
      </c>
      <c r="E897" s="44"/>
      <c r="F897" s="44"/>
      <c r="G897" s="44"/>
      <c r="I897" s="61">
        <f t="shared" si="18"/>
        <v>0</v>
      </c>
      <c r="J897" s="59">
        <f t="shared" si="19"/>
        <v>0</v>
      </c>
    </row>
    <row r="898" spans="4:10">
      <c r="D898" s="44">
        <f t="shared" si="17"/>
        <v>0</v>
      </c>
      <c r="E898" s="44"/>
      <c r="F898" s="44"/>
      <c r="G898" s="44"/>
      <c r="I898" s="61">
        <f t="shared" si="18"/>
        <v>0</v>
      </c>
      <c r="J898" s="59">
        <f t="shared" si="19"/>
        <v>0</v>
      </c>
    </row>
    <row r="899" spans="4:10">
      <c r="D899" s="44">
        <f t="shared" si="17"/>
        <v>0</v>
      </c>
      <c r="E899" s="44"/>
      <c r="F899" s="44"/>
      <c r="G899" s="44"/>
      <c r="I899" s="61">
        <f t="shared" si="18"/>
        <v>0</v>
      </c>
      <c r="J899" s="59">
        <f t="shared" si="19"/>
        <v>0</v>
      </c>
    </row>
    <row r="900" spans="4:10">
      <c r="D900" s="44">
        <f t="shared" si="17"/>
        <v>0</v>
      </c>
      <c r="E900" s="44"/>
      <c r="F900" s="44"/>
      <c r="G900" s="44"/>
      <c r="I900" s="61">
        <f t="shared" si="18"/>
        <v>0</v>
      </c>
      <c r="J900" s="59">
        <f t="shared" si="19"/>
        <v>0</v>
      </c>
    </row>
    <row r="901" spans="4:10">
      <c r="D901" s="44">
        <f t="shared" si="17"/>
        <v>0</v>
      </c>
      <c r="E901" s="44"/>
      <c r="F901" s="44"/>
      <c r="G901" s="44"/>
      <c r="I901" s="61">
        <f t="shared" si="18"/>
        <v>0</v>
      </c>
      <c r="J901" s="59">
        <f t="shared" si="19"/>
        <v>0</v>
      </c>
    </row>
    <row r="902" spans="4:10">
      <c r="D902" s="44">
        <f t="shared" si="17"/>
        <v>0</v>
      </c>
      <c r="E902" s="44"/>
      <c r="F902" s="44"/>
      <c r="G902" s="44"/>
      <c r="I902" s="61">
        <f t="shared" si="18"/>
        <v>0</v>
      </c>
      <c r="J902" s="59">
        <f t="shared" si="19"/>
        <v>0</v>
      </c>
    </row>
    <row r="903" spans="4:10">
      <c r="D903" s="44">
        <f t="shared" si="17"/>
        <v>0</v>
      </c>
      <c r="E903" s="44"/>
      <c r="F903" s="44"/>
      <c r="G903" s="44"/>
      <c r="I903" s="61">
        <f t="shared" si="18"/>
        <v>0</v>
      </c>
      <c r="J903" s="59">
        <f t="shared" si="19"/>
        <v>0</v>
      </c>
    </row>
    <row r="904" spans="4:10">
      <c r="D904" s="44">
        <f t="shared" si="17"/>
        <v>0</v>
      </c>
      <c r="E904" s="44"/>
      <c r="F904" s="44"/>
      <c r="G904" s="44"/>
      <c r="I904" s="61">
        <f t="shared" si="18"/>
        <v>0</v>
      </c>
      <c r="J904" s="59">
        <f t="shared" si="19"/>
        <v>0</v>
      </c>
    </row>
    <row r="905" spans="4:10">
      <c r="D905" s="44">
        <f t="shared" si="17"/>
        <v>0</v>
      </c>
      <c r="E905" s="44"/>
      <c r="F905" s="44"/>
      <c r="G905" s="44"/>
      <c r="I905" s="61">
        <f t="shared" si="18"/>
        <v>0</v>
      </c>
      <c r="J905" s="59">
        <f t="shared" si="19"/>
        <v>0</v>
      </c>
    </row>
    <row r="906" spans="4:10">
      <c r="D906" s="44">
        <f t="shared" si="17"/>
        <v>0</v>
      </c>
      <c r="E906" s="44"/>
      <c r="F906" s="44"/>
      <c r="G906" s="44"/>
      <c r="I906" s="61">
        <f t="shared" si="18"/>
        <v>0</v>
      </c>
      <c r="J906" s="59">
        <f t="shared" si="19"/>
        <v>0</v>
      </c>
    </row>
    <row r="907" spans="4:10">
      <c r="D907" s="44">
        <f t="shared" si="17"/>
        <v>0</v>
      </c>
      <c r="E907" s="44"/>
      <c r="F907" s="44"/>
      <c r="G907" s="44"/>
      <c r="I907" s="61">
        <f t="shared" si="18"/>
        <v>0</v>
      </c>
      <c r="J907" s="59">
        <f t="shared" si="19"/>
        <v>0</v>
      </c>
    </row>
    <row r="908" spans="4:10">
      <c r="D908" s="44">
        <f t="shared" si="17"/>
        <v>0</v>
      </c>
      <c r="E908" s="44"/>
      <c r="F908" s="44"/>
      <c r="G908" s="44"/>
      <c r="I908" s="61">
        <f t="shared" si="18"/>
        <v>0</v>
      </c>
      <c r="J908" s="59">
        <f t="shared" si="19"/>
        <v>0</v>
      </c>
    </row>
    <row r="909" spans="4:10">
      <c r="D909" s="44">
        <f t="shared" si="17"/>
        <v>0</v>
      </c>
      <c r="E909" s="44"/>
      <c r="F909" s="44"/>
      <c r="G909" s="44"/>
      <c r="I909" s="61">
        <f t="shared" si="18"/>
        <v>0</v>
      </c>
      <c r="J909" s="59">
        <f t="shared" si="19"/>
        <v>0</v>
      </c>
    </row>
    <row r="910" spans="4:10">
      <c r="D910" s="44">
        <f t="shared" si="17"/>
        <v>0</v>
      </c>
      <c r="E910" s="44"/>
      <c r="F910" s="44"/>
      <c r="G910" s="44"/>
      <c r="I910" s="61">
        <f t="shared" si="18"/>
        <v>0</v>
      </c>
      <c r="J910" s="59">
        <f t="shared" si="19"/>
        <v>0</v>
      </c>
    </row>
    <row r="911" spans="4:10">
      <c r="D911" s="44">
        <f t="shared" si="17"/>
        <v>0</v>
      </c>
      <c r="E911" s="44"/>
      <c r="F911" s="44"/>
      <c r="G911" s="44"/>
      <c r="I911" s="61">
        <f t="shared" si="18"/>
        <v>0</v>
      </c>
      <c r="J911" s="59">
        <f t="shared" si="19"/>
        <v>0</v>
      </c>
    </row>
    <row r="912" spans="4:10">
      <c r="D912" s="44">
        <f t="shared" si="17"/>
        <v>0</v>
      </c>
      <c r="E912" s="44"/>
      <c r="F912" s="44"/>
      <c r="G912" s="44"/>
      <c r="I912" s="61">
        <f t="shared" si="18"/>
        <v>0</v>
      </c>
      <c r="J912" s="59">
        <f t="shared" si="19"/>
        <v>0</v>
      </c>
    </row>
    <row r="913" spans="4:10">
      <c r="D913" s="44">
        <f t="shared" si="17"/>
        <v>0</v>
      </c>
      <c r="E913" s="44"/>
      <c r="F913" s="44"/>
      <c r="G913" s="44"/>
      <c r="I913" s="61">
        <f t="shared" si="18"/>
        <v>0</v>
      </c>
      <c r="J913" s="59">
        <f t="shared" si="19"/>
        <v>0</v>
      </c>
    </row>
    <row r="914" spans="4:10">
      <c r="D914" s="44">
        <f t="shared" si="17"/>
        <v>0</v>
      </c>
      <c r="E914" s="44"/>
      <c r="F914" s="44"/>
      <c r="G914" s="44"/>
      <c r="I914" s="61">
        <f t="shared" si="18"/>
        <v>0</v>
      </c>
      <c r="J914" s="59">
        <f t="shared" si="19"/>
        <v>0</v>
      </c>
    </row>
    <row r="915" spans="4:10">
      <c r="D915" s="44">
        <f t="shared" si="17"/>
        <v>0</v>
      </c>
      <c r="E915" s="44"/>
      <c r="F915" s="44"/>
      <c r="G915" s="44"/>
      <c r="I915" s="61">
        <f t="shared" si="18"/>
        <v>0</v>
      </c>
      <c r="J915" s="59">
        <f t="shared" si="19"/>
        <v>0</v>
      </c>
    </row>
    <row r="916" spans="4:10">
      <c r="D916" s="44">
        <f t="shared" si="17"/>
        <v>0</v>
      </c>
      <c r="E916" s="44"/>
      <c r="F916" s="44"/>
      <c r="G916" s="44"/>
      <c r="I916" s="61">
        <f t="shared" si="18"/>
        <v>0</v>
      </c>
      <c r="J916" s="59">
        <f t="shared" si="19"/>
        <v>0</v>
      </c>
    </row>
    <row r="917" spans="4:10">
      <c r="D917" s="44">
        <f t="shared" si="17"/>
        <v>0</v>
      </c>
      <c r="E917" s="44"/>
      <c r="F917" s="44"/>
      <c r="G917" s="44"/>
      <c r="I917" s="61">
        <f t="shared" si="18"/>
        <v>0</v>
      </c>
      <c r="J917" s="59">
        <f t="shared" si="19"/>
        <v>0</v>
      </c>
    </row>
    <row r="918" spans="4:10">
      <c r="D918" s="44">
        <f t="shared" si="17"/>
        <v>0</v>
      </c>
      <c r="E918" s="44"/>
      <c r="F918" s="44"/>
      <c r="G918" s="44"/>
      <c r="I918" s="61">
        <f t="shared" si="18"/>
        <v>0</v>
      </c>
      <c r="J918" s="59">
        <f t="shared" si="19"/>
        <v>0</v>
      </c>
    </row>
    <row r="919" spans="4:10">
      <c r="D919" s="44">
        <f t="shared" si="17"/>
        <v>0</v>
      </c>
      <c r="E919" s="44"/>
      <c r="F919" s="44"/>
      <c r="G919" s="44"/>
      <c r="I919" s="61">
        <f t="shared" si="18"/>
        <v>0</v>
      </c>
      <c r="J919" s="59">
        <f t="shared" si="19"/>
        <v>0</v>
      </c>
    </row>
    <row r="920" spans="4:10">
      <c r="D920" s="44">
        <f t="shared" si="17"/>
        <v>0</v>
      </c>
      <c r="E920" s="44"/>
      <c r="F920" s="44"/>
      <c r="G920" s="44"/>
      <c r="I920" s="61">
        <f t="shared" si="18"/>
        <v>0</v>
      </c>
      <c r="J920" s="59">
        <f t="shared" si="19"/>
        <v>0</v>
      </c>
    </row>
    <row r="921" spans="4:10">
      <c r="D921" s="44">
        <f t="shared" si="17"/>
        <v>0</v>
      </c>
      <c r="E921" s="44"/>
      <c r="F921" s="44"/>
      <c r="G921" s="44"/>
      <c r="I921" s="61">
        <f t="shared" si="18"/>
        <v>0</v>
      </c>
      <c r="J921" s="59">
        <f t="shared" si="19"/>
        <v>0</v>
      </c>
    </row>
    <row r="922" spans="4:10">
      <c r="D922" s="44">
        <f t="shared" si="17"/>
        <v>0</v>
      </c>
      <c r="E922" s="44"/>
      <c r="F922" s="44"/>
      <c r="G922" s="44"/>
      <c r="I922" s="61">
        <f t="shared" si="18"/>
        <v>0</v>
      </c>
      <c r="J922" s="59">
        <f t="shared" si="19"/>
        <v>0</v>
      </c>
    </row>
    <row r="923" spans="4:10">
      <c r="D923" s="44">
        <f t="shared" si="17"/>
        <v>0</v>
      </c>
      <c r="E923" s="44"/>
      <c r="F923" s="44"/>
      <c r="G923" s="44"/>
      <c r="I923" s="61">
        <f t="shared" si="18"/>
        <v>0</v>
      </c>
      <c r="J923" s="59">
        <f t="shared" si="19"/>
        <v>0</v>
      </c>
    </row>
    <row r="924" spans="4:10">
      <c r="D924" s="44">
        <f t="shared" si="17"/>
        <v>0</v>
      </c>
      <c r="E924" s="44"/>
      <c r="F924" s="44"/>
      <c r="G924" s="44"/>
      <c r="I924" s="61">
        <f t="shared" si="18"/>
        <v>0</v>
      </c>
      <c r="J924" s="59">
        <f t="shared" si="19"/>
        <v>0</v>
      </c>
    </row>
    <row r="925" spans="4:10">
      <c r="D925" s="44">
        <f t="shared" si="17"/>
        <v>0</v>
      </c>
      <c r="E925" s="44"/>
      <c r="F925" s="44"/>
      <c r="G925" s="44"/>
      <c r="I925" s="61">
        <f t="shared" si="18"/>
        <v>0</v>
      </c>
      <c r="J925" s="59">
        <f t="shared" si="19"/>
        <v>0</v>
      </c>
    </row>
    <row r="926" spans="4:10">
      <c r="D926" s="44">
        <f t="shared" ref="D926:D960" si="20">C926-H926</f>
        <v>0</v>
      </c>
      <c r="E926" s="44"/>
      <c r="F926" s="44"/>
      <c r="G926" s="44"/>
      <c r="I926" s="61">
        <f t="shared" ref="I926:I961" si="21">H926*10%</f>
        <v>0</v>
      </c>
      <c r="J926" s="59">
        <f t="shared" ref="J926:J961" si="22">H926*90%</f>
        <v>0</v>
      </c>
    </row>
    <row r="927" spans="4:10">
      <c r="D927" s="44">
        <f t="shared" si="20"/>
        <v>0</v>
      </c>
      <c r="E927" s="44"/>
      <c r="F927" s="44"/>
      <c r="G927" s="44"/>
      <c r="I927" s="61">
        <f t="shared" si="21"/>
        <v>0</v>
      </c>
      <c r="J927" s="59">
        <f t="shared" si="22"/>
        <v>0</v>
      </c>
    </row>
    <row r="928" spans="4:10">
      <c r="D928" s="44">
        <f t="shared" si="20"/>
        <v>0</v>
      </c>
      <c r="E928" s="44"/>
      <c r="F928" s="44"/>
      <c r="G928" s="44"/>
      <c r="I928" s="61">
        <f t="shared" si="21"/>
        <v>0</v>
      </c>
      <c r="J928" s="59">
        <f t="shared" si="22"/>
        <v>0</v>
      </c>
    </row>
    <row r="929" spans="4:10">
      <c r="D929" s="44">
        <f t="shared" si="20"/>
        <v>0</v>
      </c>
      <c r="E929" s="44"/>
      <c r="F929" s="44"/>
      <c r="G929" s="44"/>
      <c r="I929" s="61">
        <f t="shared" si="21"/>
        <v>0</v>
      </c>
      <c r="J929" s="59">
        <f t="shared" si="22"/>
        <v>0</v>
      </c>
    </row>
    <row r="930" spans="4:10">
      <c r="D930" s="44">
        <f t="shared" si="20"/>
        <v>0</v>
      </c>
      <c r="E930" s="44"/>
      <c r="F930" s="44"/>
      <c r="G930" s="44"/>
      <c r="I930" s="61">
        <f t="shared" si="21"/>
        <v>0</v>
      </c>
      <c r="J930" s="59">
        <f t="shared" si="22"/>
        <v>0</v>
      </c>
    </row>
    <row r="931" spans="4:10">
      <c r="D931" s="44">
        <f t="shared" si="20"/>
        <v>0</v>
      </c>
      <c r="E931" s="44"/>
      <c r="F931" s="44"/>
      <c r="G931" s="44"/>
      <c r="I931" s="61">
        <f t="shared" si="21"/>
        <v>0</v>
      </c>
      <c r="J931" s="59">
        <f t="shared" si="22"/>
        <v>0</v>
      </c>
    </row>
    <row r="932" spans="4:10">
      <c r="D932" s="44">
        <f t="shared" si="20"/>
        <v>0</v>
      </c>
      <c r="E932" s="44"/>
      <c r="F932" s="44"/>
      <c r="G932" s="44"/>
      <c r="I932" s="61">
        <f t="shared" si="21"/>
        <v>0</v>
      </c>
      <c r="J932" s="59">
        <f t="shared" si="22"/>
        <v>0</v>
      </c>
    </row>
    <row r="933" spans="4:10">
      <c r="D933" s="44">
        <f t="shared" si="20"/>
        <v>0</v>
      </c>
      <c r="E933" s="44"/>
      <c r="F933" s="44"/>
      <c r="G933" s="44"/>
      <c r="I933" s="61">
        <f t="shared" si="21"/>
        <v>0</v>
      </c>
      <c r="J933" s="59">
        <f t="shared" si="22"/>
        <v>0</v>
      </c>
    </row>
    <row r="934" spans="4:10">
      <c r="D934" s="44">
        <f t="shared" si="20"/>
        <v>0</v>
      </c>
      <c r="E934" s="44"/>
      <c r="F934" s="44"/>
      <c r="G934" s="44"/>
      <c r="I934" s="61">
        <f t="shared" si="21"/>
        <v>0</v>
      </c>
      <c r="J934" s="59">
        <f t="shared" si="22"/>
        <v>0</v>
      </c>
    </row>
    <row r="935" spans="4:10">
      <c r="D935" s="44">
        <f t="shared" si="20"/>
        <v>0</v>
      </c>
      <c r="E935" s="44"/>
      <c r="F935" s="44"/>
      <c r="G935" s="44"/>
      <c r="I935" s="61">
        <f t="shared" si="21"/>
        <v>0</v>
      </c>
      <c r="J935" s="59">
        <f t="shared" si="22"/>
        <v>0</v>
      </c>
    </row>
    <row r="936" spans="4:10">
      <c r="D936" s="44">
        <f t="shared" si="20"/>
        <v>0</v>
      </c>
      <c r="E936" s="44"/>
      <c r="F936" s="44"/>
      <c r="G936" s="44"/>
      <c r="I936" s="61">
        <f t="shared" si="21"/>
        <v>0</v>
      </c>
      <c r="J936" s="59">
        <f t="shared" si="22"/>
        <v>0</v>
      </c>
    </row>
    <row r="937" spans="4:10">
      <c r="D937" s="44">
        <f t="shared" si="20"/>
        <v>0</v>
      </c>
      <c r="E937" s="44"/>
      <c r="F937" s="44"/>
      <c r="G937" s="44"/>
      <c r="I937" s="61">
        <f t="shared" si="21"/>
        <v>0</v>
      </c>
      <c r="J937" s="59">
        <f t="shared" si="22"/>
        <v>0</v>
      </c>
    </row>
    <row r="938" spans="4:10">
      <c r="D938" s="44">
        <f t="shared" si="20"/>
        <v>0</v>
      </c>
      <c r="E938" s="44"/>
      <c r="F938" s="44"/>
      <c r="G938" s="44"/>
      <c r="I938" s="61">
        <f t="shared" si="21"/>
        <v>0</v>
      </c>
      <c r="J938" s="59">
        <f t="shared" si="22"/>
        <v>0</v>
      </c>
    </row>
    <row r="939" spans="4:10">
      <c r="D939" s="44">
        <f t="shared" si="20"/>
        <v>0</v>
      </c>
      <c r="E939" s="44"/>
      <c r="F939" s="44"/>
      <c r="G939" s="44"/>
      <c r="I939" s="61">
        <f t="shared" si="21"/>
        <v>0</v>
      </c>
      <c r="J939" s="59">
        <f t="shared" si="22"/>
        <v>0</v>
      </c>
    </row>
    <row r="940" spans="4:10">
      <c r="D940" s="44">
        <f t="shared" si="20"/>
        <v>0</v>
      </c>
      <c r="E940" s="44"/>
      <c r="F940" s="44"/>
      <c r="G940" s="44"/>
      <c r="I940" s="61">
        <f t="shared" si="21"/>
        <v>0</v>
      </c>
      <c r="J940" s="59">
        <f t="shared" si="22"/>
        <v>0</v>
      </c>
    </row>
    <row r="941" spans="4:10">
      <c r="D941" s="44">
        <f t="shared" si="20"/>
        <v>0</v>
      </c>
      <c r="E941" s="44"/>
      <c r="F941" s="44"/>
      <c r="G941" s="44"/>
      <c r="I941" s="61">
        <f t="shared" si="21"/>
        <v>0</v>
      </c>
      <c r="J941" s="59">
        <f t="shared" si="22"/>
        <v>0</v>
      </c>
    </row>
    <row r="942" spans="4:10">
      <c r="D942" s="44">
        <f t="shared" si="20"/>
        <v>0</v>
      </c>
      <c r="E942" s="44"/>
      <c r="F942" s="44"/>
      <c r="G942" s="44"/>
      <c r="I942" s="61">
        <f t="shared" si="21"/>
        <v>0</v>
      </c>
      <c r="J942" s="59">
        <f t="shared" si="22"/>
        <v>0</v>
      </c>
    </row>
    <row r="943" spans="4:10">
      <c r="D943" s="44">
        <f t="shared" si="20"/>
        <v>0</v>
      </c>
      <c r="E943" s="44"/>
      <c r="F943" s="44"/>
      <c r="G943" s="44"/>
      <c r="I943" s="61">
        <f t="shared" si="21"/>
        <v>0</v>
      </c>
      <c r="J943" s="59">
        <f t="shared" si="22"/>
        <v>0</v>
      </c>
    </row>
    <row r="944" spans="4:10">
      <c r="D944" s="44">
        <f t="shared" si="20"/>
        <v>0</v>
      </c>
      <c r="E944" s="44"/>
      <c r="F944" s="44"/>
      <c r="G944" s="44"/>
      <c r="I944" s="61">
        <f t="shared" si="21"/>
        <v>0</v>
      </c>
      <c r="J944" s="59">
        <f t="shared" si="22"/>
        <v>0</v>
      </c>
    </row>
    <row r="945" spans="4:10">
      <c r="D945" s="44">
        <f t="shared" si="20"/>
        <v>0</v>
      </c>
      <c r="E945" s="44"/>
      <c r="F945" s="44"/>
      <c r="G945" s="44"/>
      <c r="I945" s="61">
        <f t="shared" si="21"/>
        <v>0</v>
      </c>
      <c r="J945" s="59">
        <f t="shared" si="22"/>
        <v>0</v>
      </c>
    </row>
    <row r="946" spans="4:10">
      <c r="D946" s="44">
        <f t="shared" si="20"/>
        <v>0</v>
      </c>
      <c r="E946" s="44"/>
      <c r="F946" s="44"/>
      <c r="G946" s="44"/>
      <c r="I946" s="61">
        <f t="shared" si="21"/>
        <v>0</v>
      </c>
      <c r="J946" s="59">
        <f t="shared" si="22"/>
        <v>0</v>
      </c>
    </row>
    <row r="947" spans="4:10">
      <c r="D947" s="44">
        <f t="shared" si="20"/>
        <v>0</v>
      </c>
      <c r="E947" s="44"/>
      <c r="F947" s="44"/>
      <c r="G947" s="44"/>
      <c r="I947" s="61">
        <f t="shared" si="21"/>
        <v>0</v>
      </c>
      <c r="J947" s="59">
        <f t="shared" si="22"/>
        <v>0</v>
      </c>
    </row>
    <row r="948" spans="4:10">
      <c r="D948" s="44">
        <f t="shared" si="20"/>
        <v>0</v>
      </c>
      <c r="E948" s="44"/>
      <c r="F948" s="44"/>
      <c r="G948" s="44"/>
      <c r="I948" s="61">
        <f t="shared" si="21"/>
        <v>0</v>
      </c>
      <c r="J948" s="59">
        <f t="shared" si="22"/>
        <v>0</v>
      </c>
    </row>
    <row r="949" spans="4:10">
      <c r="D949" s="44">
        <f t="shared" si="20"/>
        <v>0</v>
      </c>
      <c r="E949" s="44"/>
      <c r="F949" s="44"/>
      <c r="G949" s="44"/>
      <c r="I949" s="61">
        <f t="shared" si="21"/>
        <v>0</v>
      </c>
      <c r="J949" s="59">
        <f t="shared" si="22"/>
        <v>0</v>
      </c>
    </row>
    <row r="950" spans="4:10">
      <c r="D950" s="44">
        <f t="shared" si="20"/>
        <v>0</v>
      </c>
      <c r="E950" s="44"/>
      <c r="F950" s="44"/>
      <c r="G950" s="44"/>
      <c r="I950" s="61">
        <f t="shared" si="21"/>
        <v>0</v>
      </c>
      <c r="J950" s="59">
        <f t="shared" si="22"/>
        <v>0</v>
      </c>
    </row>
    <row r="951" spans="4:10">
      <c r="D951" s="44">
        <f t="shared" si="20"/>
        <v>0</v>
      </c>
      <c r="E951" s="44"/>
      <c r="F951" s="44"/>
      <c r="G951" s="44"/>
      <c r="I951" s="61">
        <f t="shared" si="21"/>
        <v>0</v>
      </c>
      <c r="J951" s="59">
        <f t="shared" si="22"/>
        <v>0</v>
      </c>
    </row>
    <row r="952" spans="4:10">
      <c r="D952" s="44">
        <f t="shared" si="20"/>
        <v>0</v>
      </c>
      <c r="E952" s="44"/>
      <c r="F952" s="44"/>
      <c r="G952" s="44"/>
      <c r="I952" s="61">
        <f t="shared" si="21"/>
        <v>0</v>
      </c>
      <c r="J952" s="59">
        <f t="shared" si="22"/>
        <v>0</v>
      </c>
    </row>
    <row r="953" spans="4:10">
      <c r="D953" s="44">
        <f t="shared" si="20"/>
        <v>0</v>
      </c>
      <c r="E953" s="44"/>
      <c r="F953" s="44"/>
      <c r="G953" s="44"/>
      <c r="I953" s="61">
        <f t="shared" si="21"/>
        <v>0</v>
      </c>
      <c r="J953" s="59">
        <f t="shared" si="22"/>
        <v>0</v>
      </c>
    </row>
    <row r="954" spans="4:10">
      <c r="D954" s="44">
        <f t="shared" si="20"/>
        <v>0</v>
      </c>
      <c r="E954" s="44"/>
      <c r="F954" s="44"/>
      <c r="G954" s="44"/>
      <c r="I954" s="61">
        <f t="shared" si="21"/>
        <v>0</v>
      </c>
      <c r="J954" s="59">
        <f t="shared" si="22"/>
        <v>0</v>
      </c>
    </row>
    <row r="955" spans="4:10">
      <c r="D955" s="44">
        <f t="shared" si="20"/>
        <v>0</v>
      </c>
      <c r="E955" s="44"/>
      <c r="F955" s="44"/>
      <c r="G955" s="44"/>
      <c r="I955" s="61">
        <f t="shared" si="21"/>
        <v>0</v>
      </c>
      <c r="J955" s="59">
        <f t="shared" si="22"/>
        <v>0</v>
      </c>
    </row>
    <row r="956" spans="4:10">
      <c r="D956" s="44">
        <f t="shared" si="20"/>
        <v>0</v>
      </c>
      <c r="E956" s="44"/>
      <c r="F956" s="44"/>
      <c r="G956" s="44"/>
      <c r="I956" s="61">
        <f t="shared" si="21"/>
        <v>0</v>
      </c>
      <c r="J956" s="59">
        <f t="shared" si="22"/>
        <v>0</v>
      </c>
    </row>
    <row r="957" spans="4:10">
      <c r="D957" s="44">
        <f t="shared" si="20"/>
        <v>0</v>
      </c>
      <c r="E957" s="44"/>
      <c r="F957" s="44"/>
      <c r="G957" s="44"/>
      <c r="I957" s="61">
        <f t="shared" si="21"/>
        <v>0</v>
      </c>
      <c r="J957" s="59">
        <f t="shared" si="22"/>
        <v>0</v>
      </c>
    </row>
    <row r="958" spans="4:10">
      <c r="D958" s="44">
        <f t="shared" si="20"/>
        <v>0</v>
      </c>
      <c r="E958" s="44"/>
      <c r="F958" s="44"/>
      <c r="G958" s="44"/>
      <c r="I958" s="61">
        <f t="shared" si="21"/>
        <v>0</v>
      </c>
      <c r="J958" s="59">
        <f t="shared" si="22"/>
        <v>0</v>
      </c>
    </row>
    <row r="959" spans="4:10">
      <c r="D959" s="44">
        <f t="shared" si="20"/>
        <v>0</v>
      </c>
      <c r="E959" s="44"/>
      <c r="F959" s="44"/>
      <c r="G959" s="44"/>
      <c r="I959" s="61">
        <f t="shared" si="21"/>
        <v>0</v>
      </c>
      <c r="J959" s="59">
        <f t="shared" si="22"/>
        <v>0</v>
      </c>
    </row>
    <row r="960" spans="4:10">
      <c r="D960" s="44">
        <f t="shared" si="20"/>
        <v>0</v>
      </c>
      <c r="E960" s="44"/>
      <c r="F960" s="44"/>
      <c r="G960" s="44"/>
      <c r="I960" s="61">
        <f t="shared" si="21"/>
        <v>0</v>
      </c>
      <c r="J960" s="59">
        <f t="shared" si="22"/>
        <v>0</v>
      </c>
    </row>
    <row r="961" spans="4:10">
      <c r="D961" s="44"/>
      <c r="E961" s="44"/>
      <c r="F961" s="44"/>
      <c r="G961" s="44"/>
      <c r="I961" s="61">
        <f t="shared" si="21"/>
        <v>0</v>
      </c>
      <c r="J961" s="59">
        <f t="shared" si="22"/>
        <v>0</v>
      </c>
    </row>
  </sheetData>
  <mergeCells count="6">
    <mergeCell ref="B4:B5"/>
    <mergeCell ref="H4:H5"/>
    <mergeCell ref="I4:I5"/>
    <mergeCell ref="J4:J5"/>
    <mergeCell ref="K4:K5"/>
    <mergeCell ref="D4:G4"/>
  </mergeCells>
  <phoneticPr fontId="37" type="noConversion"/>
  <pageMargins left="0.25" right="0.25" top="0.75" bottom="0.75" header="0.3" footer="0.3"/>
  <pageSetup paperSize="9" scale="77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7</vt:i4>
      </vt:variant>
    </vt:vector>
  </HeadingPairs>
  <TitlesOfParts>
    <vt:vector size="15" baseType="lpstr">
      <vt:lpstr>합계</vt:lpstr>
      <vt:lpstr>계정정보</vt:lpstr>
      <vt:lpstr>브랜드이모티콘</vt:lpstr>
      <vt:lpstr>브랜드웹툰</vt:lpstr>
      <vt:lpstr>카카오톡 판매용이모티콘(자사IP)</vt:lpstr>
      <vt:lpstr>카카오톡 판매용이모티콘(작가IP)</vt:lpstr>
      <vt:lpstr>밴드스티커(자사IP)</vt:lpstr>
      <vt:lpstr>밴드스티커(작가IP)</vt:lpstr>
      <vt:lpstr>'밴드스티커(자사IP)'!Print_Area</vt:lpstr>
      <vt:lpstr>'밴드스티커(작가IP)'!Print_Area</vt:lpstr>
      <vt:lpstr>브랜드웹툰!Print_Area</vt:lpstr>
      <vt:lpstr>브랜드이모티콘!Print_Area</vt:lpstr>
      <vt:lpstr>'카카오톡 판매용이모티콘(자사IP)'!Print_Area</vt:lpstr>
      <vt:lpstr>'카카오톡 판매용이모티콘(작가IP)'!Print_Area</vt:lpstr>
      <vt:lpstr>합계!Print_Area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임종빈</dc:creator>
  <cp:lastModifiedBy>storywiz</cp:lastModifiedBy>
  <cp:lastPrinted>2020-09-15T01:40:57Z</cp:lastPrinted>
  <dcterms:created xsi:type="dcterms:W3CDTF">2016-02-02T01:20:33Z</dcterms:created>
  <dcterms:modified xsi:type="dcterms:W3CDTF">2023-01-05T08:50:58Z</dcterms:modified>
</cp:coreProperties>
</file>