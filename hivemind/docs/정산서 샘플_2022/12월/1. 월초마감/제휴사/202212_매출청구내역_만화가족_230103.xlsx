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o\Desktop\만화가족\정산 관련\[정산] KT(스토리위즈)정산\2022년_매출청구내역\"/>
    </mc:Choice>
  </mc:AlternateContent>
  <xr:revisionPtr revIDLastSave="0" documentId="13_ncr:1_{0B9217B6-C023-43EE-982B-45DF7FA3ADC6}" xr6:coauthVersionLast="47" xr6:coauthVersionMax="47" xr10:uidLastSave="{00000000-0000-0000-0000-000000000000}"/>
  <bookViews>
    <workbookView xWindow="-108" yWindow="-108" windowWidth="23256" windowHeight="12576" tabRatio="681" xr2:uid="{CE9AE6F9-2743-4A11-A432-20F152813387}"/>
  </bookViews>
  <sheets>
    <sheet name="합계" sheetId="1" r:id="rId1"/>
    <sheet name="계정정보" sheetId="2" r:id="rId2"/>
    <sheet name="카카오페이지1" sheetId="3" r:id="rId3"/>
    <sheet name="카카오페이지2" sheetId="25" r:id="rId4"/>
    <sheet name="네이버웹툰1" sheetId="4" r:id="rId5"/>
    <sheet name="네이버웹툰2" sheetId="5" r:id="rId6"/>
    <sheet name="테크앤조이" sheetId="36" r:id="rId7"/>
    <sheet name="키다리스튜디오" sheetId="34" r:id="rId8"/>
    <sheet name="탑툰" sheetId="38" r:id="rId9"/>
    <sheet name="리디" sheetId="3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Q228" i="39" l="1"/>
  <c r="D3" i="34"/>
  <c r="F3" i="36" l="1"/>
  <c r="D3" i="36"/>
  <c r="E12" i="5"/>
  <c r="G12" i="5"/>
  <c r="H12" i="5"/>
  <c r="E13" i="5"/>
  <c r="G13" i="5"/>
  <c r="H13" i="5"/>
  <c r="E14" i="5"/>
  <c r="G14" i="5"/>
  <c r="H14" i="5"/>
  <c r="H5" i="25" l="1"/>
  <c r="G5" i="25"/>
  <c r="E5" i="25"/>
  <c r="F6" i="3"/>
  <c r="H6" i="3" s="1"/>
  <c r="G6" i="3"/>
  <c r="F7" i="3"/>
  <c r="G7" i="3" s="1"/>
  <c r="F8" i="3"/>
  <c r="G8" i="3" s="1"/>
  <c r="H8" i="3" l="1"/>
  <c r="H7" i="3"/>
  <c r="F3" i="38"/>
  <c r="D5" i="34"/>
  <c r="D4" i="34"/>
  <c r="F4" i="36" l="1"/>
  <c r="D4" i="36"/>
  <c r="E19" i="5" l="1"/>
  <c r="G19" i="5"/>
  <c r="H19" i="5"/>
  <c r="E4" i="39" l="1"/>
  <c r="D4" i="39"/>
  <c r="O61" i="38"/>
  <c r="E9" i="5" l="1"/>
  <c r="G9" i="5"/>
  <c r="H9" i="5"/>
  <c r="E10" i="5"/>
  <c r="G10" i="5"/>
  <c r="H10" i="5"/>
  <c r="E11" i="5"/>
  <c r="G11" i="5"/>
  <c r="H11" i="5"/>
  <c r="E15" i="5"/>
  <c r="G15" i="5"/>
  <c r="H15" i="5"/>
  <c r="E16" i="5"/>
  <c r="G16" i="5"/>
  <c r="H16" i="5"/>
  <c r="E17" i="5"/>
  <c r="G17" i="5"/>
  <c r="H17" i="5"/>
  <c r="E18" i="5"/>
  <c r="G18" i="5"/>
  <c r="H18" i="5"/>
  <c r="F6" i="5"/>
  <c r="H6" i="5" s="1"/>
  <c r="F7" i="5"/>
  <c r="H7" i="5" s="1"/>
  <c r="F8" i="5"/>
  <c r="G8" i="5" s="1"/>
  <c r="H8" i="5" l="1"/>
  <c r="G7" i="5"/>
  <c r="G6" i="5"/>
  <c r="D12" i="1" l="1"/>
  <c r="C12" i="1"/>
  <c r="F3" i="39"/>
  <c r="F4" i="39" l="1"/>
  <c r="H5" i="39" s="1"/>
  <c r="H3" i="39"/>
  <c r="G3" i="39"/>
  <c r="E12" i="1" l="1"/>
  <c r="G4" i="39"/>
  <c r="F12" i="1" s="1"/>
  <c r="H4" i="39"/>
  <c r="G12" i="1" s="1"/>
  <c r="G5" i="39"/>
  <c r="AG21" i="25" l="1"/>
  <c r="D4" i="25" s="1"/>
  <c r="AS21" i="25"/>
  <c r="AG31" i="25"/>
  <c r="D3" i="25" s="1"/>
  <c r="AS31" i="25"/>
  <c r="F6" i="34"/>
  <c r="D6" i="34"/>
  <c r="E4" i="34" l="1"/>
  <c r="G4" i="34"/>
  <c r="H4" i="34"/>
  <c r="E5" i="34"/>
  <c r="G5" i="34"/>
  <c r="H5" i="34"/>
  <c r="E5" i="4" l="1"/>
  <c r="D5" i="4"/>
  <c r="F4" i="5"/>
  <c r="H4" i="5" s="1"/>
  <c r="F5" i="5"/>
  <c r="G5" i="5" s="1"/>
  <c r="G4" i="5" l="1"/>
  <c r="H5" i="5"/>
  <c r="E4" i="38" l="1"/>
  <c r="D4" i="38"/>
  <c r="G3" i="25" l="1"/>
  <c r="H3" i="25"/>
  <c r="G4" i="25"/>
  <c r="H4" i="25"/>
  <c r="E9" i="3"/>
  <c r="D9" i="3"/>
  <c r="E20" i="5" l="1"/>
  <c r="G20" i="5"/>
  <c r="H20" i="5"/>
  <c r="E21" i="5"/>
  <c r="G21" i="5"/>
  <c r="H21" i="5"/>
  <c r="D22" i="5"/>
  <c r="F6" i="25" l="1"/>
  <c r="F4" i="38"/>
  <c r="D16" i="36" l="1"/>
  <c r="C16" i="36"/>
  <c r="G13" i="36"/>
  <c r="F5" i="3" l="1"/>
  <c r="G5" i="3" s="1"/>
  <c r="H5" i="3" l="1"/>
  <c r="D11" i="1" l="1"/>
  <c r="H3" i="38" l="1"/>
  <c r="G3" i="38"/>
  <c r="G4" i="38" l="1"/>
  <c r="F11" i="1" s="1"/>
  <c r="H4" i="38"/>
  <c r="G11" i="1" s="1"/>
  <c r="H5" i="38"/>
  <c r="E11" i="1"/>
  <c r="C11" i="1"/>
  <c r="G5" i="38"/>
  <c r="G6" i="25"/>
  <c r="H6" i="25"/>
  <c r="F4" i="3" l="1"/>
  <c r="G4" i="3" s="1"/>
  <c r="F4" i="4"/>
  <c r="H4" i="4" s="1"/>
  <c r="G4" i="4" l="1"/>
  <c r="H4" i="3"/>
  <c r="F3" i="4"/>
  <c r="F5" i="4" s="1"/>
  <c r="H3" i="4" l="1"/>
  <c r="H5" i="4" s="1"/>
  <c r="G3" i="4"/>
  <c r="G5" i="4" s="1"/>
  <c r="E3" i="25" l="1"/>
  <c r="E4" i="25"/>
  <c r="E6" i="1" l="1"/>
  <c r="F3" i="5"/>
  <c r="F3" i="3"/>
  <c r="D5" i="1"/>
  <c r="C5" i="1"/>
  <c r="D7" i="1"/>
  <c r="C7" i="1"/>
  <c r="K50" i="1"/>
  <c r="K11" i="1"/>
  <c r="K24" i="1"/>
  <c r="K37" i="1"/>
  <c r="G5" i="36"/>
  <c r="C9" i="1"/>
  <c r="C8" i="1"/>
  <c r="H3" i="36"/>
  <c r="H4" i="36" s="1"/>
  <c r="G3" i="36"/>
  <c r="G4" i="36" s="1"/>
  <c r="E3" i="36"/>
  <c r="E4" i="36" s="1"/>
  <c r="H5" i="36"/>
  <c r="C10" i="1"/>
  <c r="G7" i="34"/>
  <c r="E3" i="34"/>
  <c r="E6" i="34" s="1"/>
  <c r="G3" i="34"/>
  <c r="G6" i="34" s="1"/>
  <c r="H3" i="34"/>
  <c r="H6" i="34" s="1"/>
  <c r="E6" i="25" l="1"/>
  <c r="D6" i="25"/>
  <c r="C6" i="1" s="1"/>
  <c r="C13" i="1" s="1"/>
  <c r="F9" i="3"/>
  <c r="G10" i="3" s="1"/>
  <c r="E22" i="5"/>
  <c r="D8" i="1" s="1"/>
  <c r="F22" i="5"/>
  <c r="H23" i="5" s="1"/>
  <c r="G6" i="1"/>
  <c r="F10" i="1"/>
  <c r="H3" i="3"/>
  <c r="F6" i="1"/>
  <c r="G3" i="5"/>
  <c r="D10" i="1"/>
  <c r="G10" i="1"/>
  <c r="G3" i="3"/>
  <c r="H7" i="34"/>
  <c r="E10" i="1"/>
  <c r="G9" i="1"/>
  <c r="F9" i="1"/>
  <c r="D9" i="1"/>
  <c r="E9" i="1"/>
  <c r="H3" i="5"/>
  <c r="H6" i="4"/>
  <c r="K51" i="1"/>
  <c r="F7" i="1"/>
  <c r="G7" i="25"/>
  <c r="H7" i="25"/>
  <c r="G9" i="3" l="1"/>
  <c r="F5" i="1" s="1"/>
  <c r="H9" i="3"/>
  <c r="G5" i="1" s="1"/>
  <c r="G22" i="5"/>
  <c r="F8" i="1" s="1"/>
  <c r="H22" i="5"/>
  <c r="G8" i="1" s="1"/>
  <c r="D6" i="1"/>
  <c r="D13" i="1" s="1"/>
  <c r="E5" i="1"/>
  <c r="H10" i="3"/>
  <c r="G7" i="1"/>
  <c r="G6" i="4"/>
  <c r="E7" i="1"/>
  <c r="G23" i="5"/>
  <c r="E8" i="1"/>
  <c r="F13" i="1" l="1"/>
  <c r="D19" i="1" s="1"/>
  <c r="E13" i="1"/>
  <c r="G13" i="1"/>
  <c r="F14" i="1" l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5" authorId="0" shapeId="0" xr:uid="{00000000-0006-0000-0100-000001000000}">
      <text>
        <r>
          <rPr>
            <sz val="10"/>
            <color indexed="8"/>
            <rFont val="맑은 고딕"/>
            <family val="3"/>
          </rPr>
          <t>※ 작성 방법 안내
각 채널 별 합계 데이터 정리표입니다.
(기 기입되어 있는 플랫폼 사이트 명은 작성 예시입니다. 
귀사 유통 채널에 맞춰서 작성하시고 초과된 행은 삭제하시면 됩니다.)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F12" authorId="0" shapeId="0" xr:uid="{56ADE50E-870C-4F0F-8D8F-E8B273EA600E}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<sst xmlns="http://schemas.openxmlformats.org/spreadsheetml/2006/main" count="976" uniqueCount="393">
  <si>
    <t>사이트명</t>
  </si>
  <si>
    <t xml:space="preserve">소비자매출액 </t>
  </si>
  <si>
    <t>유통사수수료</t>
  </si>
  <si>
    <t>케이티매출액</t>
  </si>
  <si>
    <t>케이티수익</t>
  </si>
  <si>
    <t>만화가족 수익</t>
  </si>
  <si>
    <t>비고</t>
  </si>
  <si>
    <t>선지급금</t>
  </si>
  <si>
    <t>카카오페이지</t>
  </si>
  <si>
    <t>연재고료</t>
  </si>
  <si>
    <t>KT프로젝트수익</t>
  </si>
  <si>
    <t>네이버웹툰1</t>
  </si>
  <si>
    <t>월별 회수금 (케이티 수익)</t>
  </si>
  <si>
    <t>네이버웹툰2</t>
  </si>
  <si>
    <t>유료판매</t>
  </si>
  <si>
    <t>2018. 08</t>
  </si>
  <si>
    <t>2018. 09</t>
  </si>
  <si>
    <t>2018. 10</t>
  </si>
  <si>
    <t>2018. 11</t>
  </si>
  <si>
    <t>2018. 12</t>
  </si>
  <si>
    <t>합계</t>
  </si>
  <si>
    <t>2018년 합계</t>
  </si>
  <si>
    <t>2019년 합계</t>
  </si>
  <si>
    <t>잔여 선지급금</t>
  </si>
  <si>
    <t>서비스명</t>
  </si>
  <si>
    <t>아이디</t>
  </si>
  <si>
    <t>패스워드</t>
  </si>
  <si>
    <t>URL</t>
  </si>
  <si>
    <t>toonsfamily11</t>
  </si>
  <si>
    <t>aocnf60djr!</t>
  </si>
  <si>
    <t>FRA01967</t>
  </si>
  <si>
    <t>작품명</t>
  </si>
  <si>
    <t>구분</t>
    <phoneticPr fontId="31" type="noConversion"/>
  </si>
  <si>
    <t>금액</t>
    <phoneticPr fontId="31" type="noConversion"/>
  </si>
  <si>
    <t>입금</t>
  </si>
  <si>
    <t>구분</t>
  </si>
  <si>
    <t>작가명</t>
  </si>
  <si>
    <t>17,908,333</t>
  </si>
  <si>
    <t>카카오페이지1</t>
  </si>
  <si>
    <t>카카오페이지2</t>
  </si>
  <si>
    <t>만화가족</t>
  </si>
  <si>
    <t>특별/일반</t>
  </si>
  <si>
    <t>사업자명</t>
  </si>
  <si>
    <t>사업자번호</t>
  </si>
  <si>
    <t>발행자명</t>
  </si>
  <si>
    <t>계약UID</t>
  </si>
  <si>
    <t>계약유형</t>
  </si>
  <si>
    <t>당월신규계약여부</t>
  </si>
  <si>
    <t>시리즈ID</t>
  </si>
  <si>
    <t>시리즈명</t>
  </si>
  <si>
    <t>레이블</t>
  </si>
  <si>
    <t>ISBN(유/무)</t>
  </si>
  <si>
    <t>이용권 종류</t>
  </si>
  <si>
    <t>공급가액</t>
  </si>
  <si>
    <t>황금의핸드메이커_앱</t>
  </si>
  <si>
    <t>반투명인간_앱</t>
  </si>
  <si>
    <t>순매출</t>
  </si>
  <si>
    <t>세액</t>
  </si>
  <si>
    <t>글로벌</t>
  </si>
  <si>
    <t>네이버웹툰</t>
    <phoneticPr fontId="31" type="noConversion"/>
  </si>
  <si>
    <t>-</t>
    <phoneticPr fontId="31" type="noConversion"/>
  </si>
  <si>
    <t>봄툰</t>
    <phoneticPr fontId="31" type="noConversion"/>
  </si>
  <si>
    <t>봄툰 구작연재</t>
    <phoneticPr fontId="31" type="noConversion"/>
  </si>
  <si>
    <t>No</t>
  </si>
  <si>
    <t>만화명</t>
  </si>
  <si>
    <t>웹코인합계</t>
  </si>
  <si>
    <t>웹정산율</t>
  </si>
  <si>
    <t>앱코인합계</t>
  </si>
  <si>
    <t>앱정산율</t>
  </si>
  <si>
    <t>연재</t>
  </si>
  <si>
    <t>겨우내</t>
  </si>
  <si>
    <t>만화idx</t>
  </si>
  <si>
    <t>1.과세</t>
  </si>
  <si>
    <t>죽은자를 상대하는 방법(완결)</t>
  </si>
  <si>
    <t>소음(완결)</t>
  </si>
  <si>
    <t>키다리스튜디오</t>
  </si>
  <si>
    <t>＊각 플랫폼 데이터는 시트 추가하여 작성, 합계 표로 가져와 총 정산금액 정리</t>
    <phoneticPr fontId="31" type="noConversion"/>
  </si>
  <si>
    <t>2019.01</t>
    <phoneticPr fontId="31" type="noConversion"/>
  </si>
  <si>
    <t>2019.02</t>
    <phoneticPr fontId="31" type="noConversion"/>
  </si>
  <si>
    <t>2019.03</t>
    <phoneticPr fontId="31" type="noConversion"/>
  </si>
  <si>
    <t>2019.04</t>
    <phoneticPr fontId="31" type="noConversion"/>
  </si>
  <si>
    <t>2019.05</t>
    <phoneticPr fontId="31" type="noConversion"/>
  </si>
  <si>
    <t>2019.06</t>
    <phoneticPr fontId="31" type="noConversion"/>
  </si>
  <si>
    <t>2019.07</t>
    <phoneticPr fontId="31" type="noConversion"/>
  </si>
  <si>
    <t>2019.08</t>
    <phoneticPr fontId="31" type="noConversion"/>
  </si>
  <si>
    <t>2019.09</t>
    <phoneticPr fontId="31" type="noConversion"/>
  </si>
  <si>
    <t>2019.10</t>
    <phoneticPr fontId="31" type="noConversion"/>
  </si>
  <si>
    <t>2019.11</t>
    <phoneticPr fontId="31" type="noConversion"/>
  </si>
  <si>
    <t>입금</t>
    <phoneticPr fontId="31" type="noConversion"/>
  </si>
  <si>
    <t>우리집아이돌</t>
    <phoneticPr fontId="31" type="noConversion"/>
  </si>
  <si>
    <t>*익익월 입금</t>
    <phoneticPr fontId="31" type="noConversion"/>
  </si>
  <si>
    <t>기초정보</t>
  </si>
  <si>
    <t>악마와계약연애_앱</t>
    <phoneticPr fontId="31" type="noConversion"/>
  </si>
  <si>
    <t>악마와계약연애_웹</t>
    <phoneticPr fontId="31" type="noConversion"/>
  </si>
  <si>
    <t>나를바꿔줘_앱</t>
    <phoneticPr fontId="31" type="noConversion"/>
  </si>
  <si>
    <t>나를바꿔줘_웹</t>
    <phoneticPr fontId="31" type="noConversion"/>
  </si>
  <si>
    <t>2020년 합계</t>
    <phoneticPr fontId="31" type="noConversion"/>
  </si>
  <si>
    <t>2020.01</t>
    <phoneticPr fontId="31" type="noConversion"/>
  </si>
  <si>
    <t>2020.02</t>
    <phoneticPr fontId="31" type="noConversion"/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</si>
  <si>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</si>
  <si>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</si>
  <si>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</si>
  <si>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</si>
  <si>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</si>
  <si>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</si>
  <si>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</si>
  <si>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</si>
  <si>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</si>
  <si>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</si>
  <si>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상태</t>
  </si>
  <si>
    <t>요일</t>
  </si>
  <si>
    <t>CP회사명</t>
  </si>
  <si>
    <t>MCP</t>
  </si>
  <si>
    <t>업체MG</t>
  </si>
  <si>
    <t>에버그린</t>
  </si>
  <si>
    <t>만화가족(웹툰)</t>
  </si>
  <si>
    <t>부찌</t>
  </si>
  <si>
    <t>요일연재</t>
  </si>
  <si>
    <t>사랑이 커다래</t>
  </si>
  <si>
    <t>깜귤</t>
  </si>
  <si>
    <t>사해&amp;벌래</t>
  </si>
  <si>
    <t>어고</t>
  </si>
  <si>
    <t>곽병진</t>
  </si>
  <si>
    <t>CP(정산처)</t>
  </si>
  <si>
    <t>이월 차감잔액</t>
  </si>
  <si>
    <t>콘텐츠 MG</t>
  </si>
  <si>
    <t>실지급 MG</t>
  </si>
  <si>
    <t>웹매출액</t>
  </si>
  <si>
    <t>웹정산액</t>
  </si>
  <si>
    <t>앱매출액</t>
  </si>
  <si>
    <t>앱정산액</t>
  </si>
  <si>
    <t>정산액(웹+앱)</t>
  </si>
  <si>
    <t>총매출액</t>
  </si>
  <si>
    <t>글/그림</t>
  </si>
  <si>
    <t>RS정산액</t>
  </si>
  <si>
    <t>RS-MG</t>
  </si>
  <si>
    <t>RS지급액(MG-RS)</t>
  </si>
  <si>
    <t>차감잔액</t>
  </si>
  <si>
    <t>MG(당월 소멸)</t>
  </si>
  <si>
    <t>아는 사람 이야기</t>
  </si>
  <si>
    <t>온우주&amp;서랭</t>
  </si>
  <si>
    <t>테크앤조이</t>
    <phoneticPr fontId="31" type="noConversion"/>
  </si>
  <si>
    <t>투믹스/나인픽셀즈</t>
    <phoneticPr fontId="31" type="noConversion"/>
  </si>
  <si>
    <t>현금 결제</t>
  </si>
  <si>
    <t>테크앤조이</t>
  </si>
  <si>
    <t>구분</t>
    <phoneticPr fontId="53" type="noConversion"/>
  </si>
  <si>
    <t>총 청구금액</t>
    <phoneticPr fontId="53" type="noConversion"/>
  </si>
  <si>
    <t>포인트결제</t>
    <phoneticPr fontId="53" type="noConversion"/>
  </si>
  <si>
    <t>업체</t>
    <phoneticPr fontId="53" type="noConversion"/>
  </si>
  <si>
    <t>수수료
(KT/KTH/TECH)</t>
    <phoneticPr fontId="53" type="noConversion"/>
  </si>
  <si>
    <t>만화가족</t>
    <phoneticPr fontId="53" type="noConversion"/>
  </si>
  <si>
    <t>부기영화</t>
    <phoneticPr fontId="31" type="noConversion"/>
  </si>
  <si>
    <t>데드라이프_앱</t>
    <phoneticPr fontId="31" type="noConversion"/>
  </si>
  <si>
    <t>데드라이프_웹</t>
    <phoneticPr fontId="31" type="noConversion"/>
  </si>
  <si>
    <t>견우와선녀</t>
    <phoneticPr fontId="31" type="noConversion"/>
  </si>
  <si>
    <t xml:space="preserve">재밌니짝사랑 </t>
    <phoneticPr fontId="31" type="noConversion"/>
  </si>
  <si>
    <t>나를바꿔줘</t>
    <phoneticPr fontId="31" type="noConversion"/>
  </si>
  <si>
    <t>창작지원금_견우와선녀</t>
    <phoneticPr fontId="31" type="noConversion"/>
  </si>
  <si>
    <t>입금 : 스토리위즈</t>
    <phoneticPr fontId="31" type="noConversion"/>
  </si>
  <si>
    <t>카카오페이지</t>
    <phoneticPr fontId="31" type="noConversion"/>
  </si>
  <si>
    <t>https://biz.kakaopage.com/partner/login</t>
  </si>
  <si>
    <t>네이버</t>
  </si>
  <si>
    <t>Good2seeu!</t>
  </si>
  <si>
    <t>https://friend.navercorp.com/login/loginForm.sec?url=%2Fview%2Fsvc%2Fmain%3FsvcId%3DCOM%26lz%3Dko_KR%26tz%3DAsia%252FSeoul%253A%252B09%253A00&amp;c=d#</t>
  </si>
  <si>
    <t>FRA09683</t>
  </si>
  <si>
    <t>FRA07849</t>
  </si>
  <si>
    <t>FRA08900</t>
  </si>
  <si>
    <t>Epemfkdlvm8!</t>
  </si>
  <si>
    <t>FRA07850</t>
  </si>
  <si>
    <t>FRA09684</t>
  </si>
  <si>
    <t>FRA09669</t>
  </si>
  <si>
    <t>구작</t>
  </si>
  <si>
    <t>악마와계약연애</t>
  </si>
  <si>
    <t>반투명인간</t>
  </si>
  <si>
    <t>데드라이프</t>
  </si>
  <si>
    <t>황금의핸드메이커</t>
  </si>
  <si>
    <t>나를바꿔줘</t>
  </si>
  <si>
    <t>그녀의 버킷리스트</t>
  </si>
  <si>
    <t>2021.01</t>
    <phoneticPr fontId="31" type="noConversion"/>
  </si>
  <si>
    <t>2021.02</t>
    <phoneticPr fontId="31" type="noConversion"/>
  </si>
  <si>
    <t>2021.03</t>
    <phoneticPr fontId="31" type="noConversion"/>
  </si>
  <si>
    <t>2021.04</t>
    <phoneticPr fontId="31" type="noConversion"/>
  </si>
  <si>
    <t>2021.05</t>
    <phoneticPr fontId="31" type="noConversion"/>
  </si>
  <si>
    <t>2021.06</t>
    <phoneticPr fontId="31" type="noConversion"/>
  </si>
  <si>
    <t>2021.07</t>
    <phoneticPr fontId="31" type="noConversion"/>
  </si>
  <si>
    <t>2021.08</t>
    <phoneticPr fontId="31" type="noConversion"/>
  </si>
  <si>
    <t>2021.09</t>
    <phoneticPr fontId="31" type="noConversion"/>
  </si>
  <si>
    <t>2021.10</t>
    <phoneticPr fontId="31" type="noConversion"/>
  </si>
  <si>
    <t>2021.11</t>
    <phoneticPr fontId="31" type="noConversion"/>
  </si>
  <si>
    <t>2021.12</t>
    <phoneticPr fontId="31" type="noConversion"/>
  </si>
  <si>
    <t>2021년 합계</t>
    <phoneticPr fontId="31" type="noConversion"/>
  </si>
  <si>
    <t>11/10초과분 18,000원 차감 후 지급</t>
    <phoneticPr fontId="31" type="noConversion"/>
  </si>
  <si>
    <t>애증과 애정 사이</t>
  </si>
  <si>
    <t>세금계산년월</t>
  </si>
  <si>
    <t>만화IDX</t>
  </si>
  <si>
    <t>서비스사</t>
  </si>
  <si>
    <t>컨텐츠</t>
  </si>
  <si>
    <t>CP1(정산처)</t>
  </si>
  <si>
    <t>봄툰-CP정산액</t>
  </si>
  <si>
    <t>레진</t>
  </si>
  <si>
    <t>공유하는 집</t>
  </si>
  <si>
    <t>선독점</t>
  </si>
  <si>
    <t>화</t>
  </si>
  <si>
    <t>징망츄&amp;사앙</t>
  </si>
  <si>
    <t>더익스트림</t>
    <phoneticPr fontId="31" type="noConversion"/>
  </si>
  <si>
    <t>창작지원금_나를바꿔줘</t>
    <phoneticPr fontId="31" type="noConversion"/>
  </si>
  <si>
    <t>날라리 外</t>
  </si>
  <si>
    <t>이상적인관계</t>
  </si>
  <si>
    <t>얏꽁</t>
  </si>
  <si>
    <t>탑툰</t>
    <phoneticPr fontId="31" type="noConversion"/>
  </si>
  <si>
    <t>해금 外</t>
    <phoneticPr fontId="31" type="noConversion"/>
  </si>
  <si>
    <t>#</t>
  </si>
  <si>
    <t>범위</t>
  </si>
  <si>
    <t>세금</t>
  </si>
  <si>
    <t>WEB 정산</t>
  </si>
  <si>
    <t>APP 정산</t>
  </si>
  <si>
    <t>연재/MG정산액</t>
  </si>
  <si>
    <t>RS 선지급차감액</t>
  </si>
  <si>
    <t>RS 조정액</t>
  </si>
  <si>
    <t>RS 정산액</t>
  </si>
  <si>
    <t>총 정산액</t>
  </si>
  <si>
    <t>기타</t>
  </si>
  <si>
    <t>스토리위즈 &gt; 만화가족 계산서 발행 금액</t>
    <phoneticPr fontId="31" type="noConversion"/>
  </si>
  <si>
    <t>&lt;픽코마&gt;</t>
    <phoneticPr fontId="31" type="noConversion"/>
  </si>
  <si>
    <t>&lt;글로벌&gt;</t>
    <phoneticPr fontId="31" type="noConversion"/>
  </si>
  <si>
    <t>포인트
정산대상금액</t>
    <phoneticPr fontId="53" type="noConversion"/>
  </si>
  <si>
    <t>&lt;정산서&gt;</t>
    <phoneticPr fontId="31" type="noConversion"/>
  </si>
  <si>
    <t>겁쟁이피지컬</t>
    <phoneticPr fontId="31" type="noConversion"/>
  </si>
  <si>
    <t xml:space="preserve">공동 마케팅/할인/무료
포인트 공동 부담율 </t>
    <phoneticPr fontId="53" type="noConversion"/>
  </si>
  <si>
    <t>금액</t>
    <phoneticPr fontId="53" type="noConversion"/>
  </si>
  <si>
    <t>정산매출</t>
    <phoneticPr fontId="53" type="noConversion"/>
  </si>
  <si>
    <t>요율</t>
    <phoneticPr fontId="53" type="noConversion"/>
  </si>
  <si>
    <t>구작_앱</t>
    <phoneticPr fontId="31" type="noConversion"/>
  </si>
  <si>
    <t>구작_웹</t>
    <phoneticPr fontId="31" type="noConversion"/>
  </si>
  <si>
    <t>-</t>
  </si>
  <si>
    <t>B2BC</t>
    <phoneticPr fontId="31" type="noConversion"/>
  </si>
  <si>
    <t>결제 및 기타수수료</t>
  </si>
  <si>
    <t>22년 03월 04월 서비스분(VAT별도)</t>
  </si>
  <si>
    <r>
      <rPr>
        <b/>
        <sz val="10"/>
        <color rgb="FF000000"/>
        <rFont val="맑은 고딕"/>
        <family val="3"/>
        <charset val="129"/>
      </rPr>
      <t>■</t>
    </r>
    <r>
      <rPr>
        <b/>
        <sz val="14"/>
        <color indexed="8"/>
        <rFont val="맑은 고딕"/>
        <family val="3"/>
        <charset val="129"/>
      </rPr>
      <t xml:space="preserve"> 만화가족 유통계정정보</t>
    </r>
    <phoneticPr fontId="31" type="noConversion"/>
  </si>
  <si>
    <t>계약명</t>
  </si>
  <si>
    <t>과/면세</t>
  </si>
  <si>
    <t>콘텐츠유형</t>
  </si>
  <si>
    <t>판매시작일</t>
  </si>
  <si>
    <t>판매종료일</t>
  </si>
  <si>
    <t>제품코드 (발행자가 부여하는 코드)</t>
  </si>
  <si>
    <t>거래액(캐시)</t>
  </si>
  <si>
    <t>거래액(원화)</t>
  </si>
  <si>
    <t>순매출액</t>
  </si>
  <si>
    <t>정산율(%)</t>
  </si>
  <si>
    <t>정산금액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</si>
  <si>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</si>
  <si>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</si>
  <si>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</si>
  <si>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</si>
  <si>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</si>
  <si>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</si>
  <si>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</si>
  <si>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</si>
  <si>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</si>
  <si>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</si>
  <si>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</si>
  <si>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</si>
  <si>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</si>
  <si>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</si>
  <si>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</si>
  <si>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</si>
  <si>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</si>
  <si>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</si>
  <si>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</si>
  <si>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</si>
  <si>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</si>
  <si>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</si>
  <si>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</si>
  <si>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</si>
  <si>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공급대가</t>
  </si>
  <si>
    <t>봄툰 대만</t>
    <phoneticPr fontId="31" type="noConversion"/>
  </si>
  <si>
    <t>봄툰 태국</t>
    <phoneticPr fontId="31" type="noConversion"/>
  </si>
  <si>
    <t>작품</t>
  </si>
  <si>
    <t>MG/잔여금(KRW)</t>
  </si>
  <si>
    <t>웹순매출(NTD)</t>
  </si>
  <si>
    <t>앱순매출(NTD)</t>
  </si>
  <si>
    <t>순매출(KRW)</t>
  </si>
  <si>
    <t>RS요율</t>
  </si>
  <si>
    <t>순매출(KRW)*RS요율</t>
  </si>
  <si>
    <t>MG-(순매출*RS요율)</t>
  </si>
  <si>
    <t>최종 지급액(KRW)</t>
  </si>
  <si>
    <t>기준 환율</t>
  </si>
  <si>
    <t>인보이스 발행일</t>
  </si>
  <si>
    <t>태국 Boomtoon 정산</t>
  </si>
  <si>
    <t>지급일</t>
  </si>
  <si>
    <t>Sum</t>
  </si>
  <si>
    <t>07월 연재</t>
  </si>
  <si>
    <t>07월 휴재</t>
  </si>
  <si>
    <t>홈파이브</t>
  </si>
  <si>
    <t>2022 Q3</t>
    <phoneticPr fontId="31" type="noConversion"/>
  </si>
  <si>
    <t>리디</t>
    <phoneticPr fontId="31" type="noConversion"/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</si>
  <si>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</si>
  <si>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</si>
  <si>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</si>
  <si>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</si>
  <si>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</si>
  <si>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</si>
  <si>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</si>
  <si>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</si>
  <si>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</si>
  <si>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</si>
  <si>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</si>
  <si>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</si>
  <si>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</si>
  <si>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</si>
  <si>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</si>
  <si>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</si>
  <si>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</si>
  <si>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</si>
  <si>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</si>
  <si>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</si>
  <si>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</si>
  <si>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</si>
  <si>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</si>
  <si>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</si>
  <si>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</si>
  <si>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</si>
  <si>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</si>
  <si>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</si>
  <si>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</si>
  <si>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</si>
  <si>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</si>
  <si>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</si>
  <si>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</si>
  <si>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대형막내!</t>
  </si>
  <si>
    <t>위작난전</t>
  </si>
  <si>
    <t>대형막내 外</t>
    <phoneticPr fontId="31" type="noConversion"/>
  </si>
  <si>
    <t>리워드비디오_그녀의버킷리스트</t>
    <phoneticPr fontId="31" type="noConversion"/>
  </si>
  <si>
    <t>그녀의버킷리스트_앱</t>
    <phoneticPr fontId="31" type="noConversion"/>
  </si>
  <si>
    <t>리워드비디오_데드라이프</t>
    <phoneticPr fontId="31" type="noConversion"/>
  </si>
  <si>
    <t>리워드비디오_악마와계약연애</t>
    <phoneticPr fontId="31" type="noConversion"/>
  </si>
  <si>
    <t>말랑말랑 무브먼트</t>
  </si>
  <si>
    <t>죽은자를 상대하는 방법</t>
  </si>
  <si>
    <t>한 번 더</t>
  </si>
  <si>
    <t>&lt;재밌니짝사랑&gt; 10월</t>
    <phoneticPr fontId="31" type="noConversion"/>
  </si>
  <si>
    <r>
      <t>&lt;</t>
    </r>
    <r>
      <rPr>
        <sz val="10"/>
        <color rgb="FF000000"/>
        <rFont val="맑은 고딕"/>
        <family val="3"/>
        <charset val="129"/>
      </rPr>
      <t>우리집아이돌&gt; 10월</t>
    </r>
    <phoneticPr fontId="31" type="noConversion"/>
  </si>
  <si>
    <t>스윗솔티_앱</t>
    <phoneticPr fontId="31" type="noConversion"/>
  </si>
  <si>
    <t>&lt;웹+앱&gt;</t>
    <phoneticPr fontId="31" type="noConversion"/>
  </si>
  <si>
    <t>10월 RS</t>
    <phoneticPr fontId="31" type="noConversion"/>
  </si>
  <si>
    <t>54.0%</t>
  </si>
  <si>
    <t>42.0%</t>
  </si>
  <si>
    <t>45.0%</t>
  </si>
  <si>
    <t>35.0%</t>
  </si>
  <si>
    <t>*DEL: 델리툰, BON: 봉툰, DELX: 델리툰X</t>
  </si>
  <si>
    <t>순매출 (EUR)</t>
  </si>
  <si>
    <t>순매출 (KRW)</t>
  </si>
  <si>
    <t>MG-순매출(KRW)</t>
  </si>
  <si>
    <t>정산 금액(KRW)</t>
  </si>
  <si>
    <t>애증과 애정사이</t>
  </si>
  <si>
    <t>대만 Boomtoon 정산</t>
    <phoneticPr fontId="31" type="noConversion"/>
  </si>
  <si>
    <t>Content ID</t>
  </si>
  <si>
    <t>2022-3Q</t>
    <phoneticPr fontId="1" type="Hiragana"/>
  </si>
  <si>
    <t>정산처</t>
    <phoneticPr fontId="1" type="Hiragana"/>
  </si>
  <si>
    <t>구분</t>
    <phoneticPr fontId="1" type="Hiragana"/>
  </si>
  <si>
    <t>글/그림</t>
    <phoneticPr fontId="1" type="Hiragana"/>
  </si>
  <si>
    <t>밀토담</t>
  </si>
  <si>
    <r>
      <rPr>
        <b/>
        <sz val="10"/>
        <color rgb="FF000000"/>
        <rFont val="맑은 고딕"/>
        <family val="3"/>
        <charset val="129"/>
      </rPr>
      <t>■</t>
    </r>
    <r>
      <rPr>
        <b/>
        <sz val="14"/>
        <color indexed="8"/>
        <rFont val="맑은 고딕"/>
        <family val="3"/>
        <charset val="129"/>
      </rPr>
      <t xml:space="preserve"> 만화가족 2022.12월 KT 정산서</t>
    </r>
    <phoneticPr fontId="31" type="noConversion"/>
  </si>
  <si>
    <t>12월 MG (요율 : 약 60%, 카카오페이지 약관에 따름)</t>
    <phoneticPr fontId="31" type="noConversion"/>
  </si>
  <si>
    <t>애착인형</t>
    <phoneticPr fontId="31" type="noConversion"/>
  </si>
  <si>
    <t>노이즈컴백</t>
    <phoneticPr fontId="31" type="noConversion"/>
  </si>
  <si>
    <t>염라의숨결</t>
    <phoneticPr fontId="31" type="noConversion"/>
  </si>
  <si>
    <t>픽코마 11월 RS</t>
    <phoneticPr fontId="31" type="noConversion"/>
  </si>
  <si>
    <t>11월 고료</t>
    <phoneticPr fontId="31" type="noConversion"/>
  </si>
  <si>
    <t>12월 초과수익</t>
    <phoneticPr fontId="31" type="noConversion"/>
  </si>
  <si>
    <t>11월 글로벌</t>
    <phoneticPr fontId="31" type="noConversion"/>
  </si>
  <si>
    <t>11월 창작</t>
    <phoneticPr fontId="31" type="noConversion"/>
  </si>
  <si>
    <t>11월 리워드비디오</t>
    <phoneticPr fontId="31" type="noConversion"/>
  </si>
  <si>
    <t>12월</t>
    <phoneticPr fontId="31" type="noConversion"/>
  </si>
  <si>
    <t>그녀의버킷리스트_웹</t>
    <phoneticPr fontId="31" type="noConversion"/>
  </si>
  <si>
    <t>양방향서비스 22년 10월 서비스분 매출정산</t>
    <phoneticPr fontId="53" type="noConversion"/>
  </si>
  <si>
    <t>11월 RS</t>
    <phoneticPr fontId="31" type="noConversion"/>
  </si>
  <si>
    <t>델리툰/봉툰 (FR) 10월 정산</t>
  </si>
  <si>
    <t>매출월</t>
  </si>
  <si>
    <t>플랫폼</t>
  </si>
  <si>
    <t>작가정산</t>
  </si>
  <si>
    <t>bontoon.com</t>
  </si>
  <si>
    <t>11월 국내/해외 RS</t>
    <phoneticPr fontId="31" type="noConversion"/>
  </si>
  <si>
    <t>만화전쟁</t>
  </si>
  <si>
    <t>소음</t>
  </si>
  <si>
    <t>iOS 정산대상액</t>
  </si>
  <si>
    <t>iOS 수수료</t>
  </si>
  <si>
    <t>iOS 취소액</t>
  </si>
  <si>
    <t>Android 정산대상액</t>
  </si>
  <si>
    <t>Android 수수료</t>
  </si>
  <si>
    <t>Android 취소액</t>
  </si>
  <si>
    <t>OneStore 정산대상액</t>
  </si>
  <si>
    <t>OneStore 수수료</t>
  </si>
  <si>
    <t>OneStore 취소액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</si>
</sst>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 &quot;* #,##0&quot; &quot;;&quot;-&quot;* #,##0&quot; &quot;;&quot; &quot;* &quot;- &quot;"/>
    <numFmt numFmtId="177" formatCode="&quot; &quot;* #,##0.00&quot; &quot;;&quot;-&quot;* #,##0.00&quot; &quot;;&quot; &quot;* &quot;-&quot;??&quot; &quot;"/>
    <numFmt numFmtId="178" formatCode="_(* #,##0_);_(* \(#,##0\);_(* &quot;-&quot;_);_(@_)"/>
    <numFmt numFmtId="179" formatCode="_(* #,##0.00_);_(* \(#,##0.00\);_(* &quot;-&quot;??_);_(@_)"/>
    <numFmt numFmtId="180" formatCode="#,##0_ ;[Red]\-#,##0\ "/>
    <numFmt numFmtId="181" formatCode="#,##0_ "/>
    <numFmt numFmtId="182" formatCode="0.0%"/>
    <numFmt numFmtId="183" formatCode="yyyy\.mm;@"/>
    <numFmt numFmtId="184" formatCode="yyyy/mm;@"/>
    <numFmt numFmtId="185" formatCode="_-* #,##0.00_-;\-* #,##0.00_-;_-* &quot;-&quot;_-;_-@"/>
    <numFmt numFmtId="186" formatCode="_-* #,##0_-;\-* #,##0_-;_-* &quot;-&quot;_-;_-@"/>
    <numFmt numFmtId="187" formatCode="yyyy\-mm\-dd"/>
    <numFmt numFmtId="188" formatCode="_-* #,##0.0_-;\-* #,##0.0_-;_-* &quot;-&quot;_-;_-@"/>
    <numFmt numFmtId="189" formatCode="_-* #,##0.00_-;\-* #,##0.00_-;_-* &quot;-&quot;_-;_-@_-"/>
    <numFmt numFmtId="190" formatCode="_-* #,##0.0_-;\-* #,##0.0_-;_-* &quot;-&quot;_-;_-@_-"/>
  </numFmts>
  <fonts count="120">
    <font>
      <sz val="11"/>
      <color indexed="8"/>
      <name val="Calibri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0"/>
      <color indexed="8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돋움"/>
      <family val="3"/>
    </font>
    <font>
      <sz val="11"/>
      <color indexed="8"/>
      <name val="맑은 고딕"/>
      <family val="3"/>
    </font>
    <font>
      <sz val="11"/>
      <name val="굴림"/>
      <family val="3"/>
      <charset val="129"/>
    </font>
    <font>
      <sz val="11"/>
      <color indexed="9"/>
      <name val="맑은 고딕"/>
      <family val="3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0"/>
      <name val="Helvetica"/>
      <family val="2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indexed="17"/>
      <name val="맑은 고딕"/>
      <family val="3"/>
    </font>
    <font>
      <b/>
      <sz val="11"/>
      <color indexed="63"/>
      <name val="맑은 고딕"/>
      <family val="3"/>
    </font>
    <font>
      <sz val="11"/>
      <color indexed="8"/>
      <name val="돋움"/>
      <family val="3"/>
    </font>
    <font>
      <sz val="10"/>
      <color indexed="8"/>
      <name val="맑은 고딕"/>
      <family val="3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Helvetica Neue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rgb="FFFF000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11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16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6100"/>
      <name val="Helvetica Neue"/>
      <family val="2"/>
      <charset val="129"/>
      <scheme val="minor"/>
    </font>
    <font>
      <sz val="11"/>
      <color rgb="FF9C0006"/>
      <name val="Helvetica Neue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1"/>
      <color indexed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1"/>
      <name val="맑은 고딕"/>
      <family val="3"/>
      <charset val="129"/>
    </font>
    <font>
      <b/>
      <sz val="11"/>
      <color indexed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Helvetica Neue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theme="1"/>
      <name val="Helvetica Neue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sz val="12"/>
      <color theme="1"/>
      <name val="Helvetica Neue"/>
      <family val="2"/>
      <charset val="129"/>
      <scheme val="minor"/>
    </font>
    <font>
      <sz val="9"/>
      <color theme="0" tint="-0.34998626667073579"/>
      <name val="맑은 고딕"/>
      <family val="3"/>
      <charset val="129"/>
    </font>
    <font>
      <b/>
      <sz val="15"/>
      <color theme="3"/>
      <name val="Helvetica Neue"/>
      <family val="2"/>
      <charset val="129"/>
      <scheme val="minor"/>
    </font>
    <font>
      <b/>
      <sz val="13"/>
      <color theme="3"/>
      <name val="Helvetica Neue"/>
      <family val="2"/>
      <charset val="129"/>
      <scheme val="minor"/>
    </font>
    <font>
      <b/>
      <sz val="11"/>
      <color theme="3"/>
      <name val="Helvetica Neue"/>
      <family val="2"/>
      <charset val="129"/>
      <scheme val="minor"/>
    </font>
    <font>
      <sz val="11"/>
      <color rgb="FF3F3F76"/>
      <name val="Helvetica Neue"/>
      <family val="2"/>
      <charset val="129"/>
      <scheme val="minor"/>
    </font>
    <font>
      <b/>
      <sz val="11"/>
      <color rgb="FF3F3F3F"/>
      <name val="Helvetica Neue"/>
      <family val="2"/>
      <charset val="129"/>
      <scheme val="minor"/>
    </font>
    <font>
      <b/>
      <sz val="11"/>
      <color rgb="FFFA7D00"/>
      <name val="Helvetica Neue"/>
      <family val="2"/>
      <charset val="129"/>
      <scheme val="minor"/>
    </font>
    <font>
      <sz val="11"/>
      <color rgb="FFFA7D00"/>
      <name val="Helvetica Neue"/>
      <family val="2"/>
      <charset val="129"/>
      <scheme val="minor"/>
    </font>
    <font>
      <b/>
      <sz val="11"/>
      <color theme="0"/>
      <name val="Helvetica Neue"/>
      <family val="2"/>
      <charset val="129"/>
      <scheme val="minor"/>
    </font>
    <font>
      <sz val="11"/>
      <color rgb="FFFF0000"/>
      <name val="Helvetica Neue"/>
      <family val="2"/>
      <charset val="129"/>
      <scheme val="minor"/>
    </font>
    <font>
      <i/>
      <sz val="11"/>
      <color rgb="FF7F7F7F"/>
      <name val="Helvetica Neue"/>
      <family val="2"/>
      <charset val="129"/>
      <scheme val="minor"/>
    </font>
    <font>
      <b/>
      <sz val="11"/>
      <color theme="1"/>
      <name val="Helvetica Neue"/>
      <family val="2"/>
      <charset val="129"/>
      <scheme val="minor"/>
    </font>
    <font>
      <sz val="11"/>
      <color theme="0"/>
      <name val="Helvetica Neue"/>
      <family val="2"/>
      <charset val="129"/>
      <scheme val="minor"/>
    </font>
    <font>
      <sz val="9"/>
      <color theme="0" tint="-0.249977111117893"/>
      <name val="맑은 고딕"/>
      <family val="3"/>
      <charset val="129"/>
    </font>
    <font>
      <sz val="11"/>
      <color indexed="8"/>
      <name val="Helvetica Neue"/>
      <family val="2"/>
      <scheme val="minor"/>
    </font>
    <font>
      <sz val="10"/>
      <color rgb="FF000000"/>
      <name val="Arial"/>
      <family val="2"/>
    </font>
    <font>
      <b/>
      <sz val="18"/>
      <color theme="3"/>
      <name val="Helvetica Neue"/>
      <family val="2"/>
      <charset val="129"/>
      <scheme val="major"/>
    </font>
    <font>
      <sz val="11"/>
      <color rgb="FF9C6500"/>
      <name val="Helvetica Neue"/>
      <family val="2"/>
      <charset val="129"/>
      <scheme val="minor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indexed="8"/>
      <name val="Malgun Gothic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rgb="FF33993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EE3333"/>
      <name val="맑은 고딕"/>
      <family val="3"/>
      <charset val="129"/>
    </font>
    <font>
      <sz val="10"/>
      <color rgb="FFCCCCCC"/>
      <name val="맑은 고딕"/>
      <family val="3"/>
      <charset val="129"/>
    </font>
    <font>
      <b/>
      <sz val="10"/>
      <color rgb="FF3333EE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b/>
      <sz val="10"/>
      <color rgb="FFC641DD"/>
      <name val="맑은 고딕"/>
      <family val="3"/>
      <charset val="129"/>
    </font>
    <font>
      <sz val="10"/>
      <color rgb="FFAAAAAA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indexed="8"/>
      <name val="Malgun Gothic"/>
      <family val="3"/>
      <charset val="129"/>
    </font>
    <font>
      <sz val="10"/>
      <color indexed="8"/>
      <name val="Malgun Gothic Semilight"/>
      <family val="3"/>
      <charset val="129"/>
    </font>
    <font>
      <b/>
      <sz val="10"/>
      <color indexed="8"/>
      <name val="Malgun Gothic Semilight"/>
      <family val="2"/>
      <charset val="129"/>
    </font>
    <font>
      <sz val="10"/>
      <color indexed="8"/>
      <name val="Helvetica"/>
      <family val="2"/>
    </font>
  </fonts>
  <fills count="7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8D8D8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218">
    <xf numFmtId="0" fontId="0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8" borderId="1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8" fillId="23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9" fontId="7" fillId="0" borderId="0" applyNumberFormat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3" applyNumberFormat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0" borderId="0"/>
    <xf numFmtId="0" fontId="21" fillId="4" borderId="1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8" borderId="9" applyNumberFormat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0" fontId="61" fillId="0" borderId="34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3" fillId="0" borderId="36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8" borderId="37" applyNumberFormat="0" applyAlignment="0" applyProtection="0">
      <alignment vertical="center"/>
    </xf>
    <xf numFmtId="0" fontId="65" fillId="39" borderId="38" applyNumberFormat="0" applyAlignment="0" applyProtection="0">
      <alignment vertical="center"/>
    </xf>
    <xf numFmtId="0" fontId="66" fillId="39" borderId="37" applyNumberFormat="0" applyAlignment="0" applyProtection="0">
      <alignment vertical="center"/>
    </xf>
    <xf numFmtId="0" fontId="67" fillId="0" borderId="39" applyNumberFormat="0" applyFill="0" applyAlignment="0" applyProtection="0">
      <alignment vertical="center"/>
    </xf>
    <xf numFmtId="0" fontId="68" fillId="40" borderId="40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2" applyNumberFormat="0" applyFill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74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7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5" borderId="0" applyNumberFormat="0" applyBorder="0" applyAlignment="0" applyProtection="0">
      <alignment vertical="center"/>
    </xf>
    <xf numFmtId="0" fontId="56" fillId="0" borderId="0">
      <alignment vertical="center"/>
    </xf>
    <xf numFmtId="0" fontId="7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44" fillId="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8" fillId="0" borderId="0"/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18" borderId="43" applyNumberFormat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78" fillId="23" borderId="44" applyNumberFormat="0" applyFont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25" borderId="3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86" fillId="0" borderId="0"/>
    <xf numFmtId="0" fontId="87" fillId="0" borderId="4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88" fillId="4" borderId="43" applyNumberFormat="0" applyAlignment="0" applyProtection="0">
      <alignment vertical="center"/>
    </xf>
    <xf numFmtId="0" fontId="89" fillId="0" borderId="6" applyNumberFormat="0" applyFill="0" applyAlignment="0" applyProtection="0">
      <alignment vertical="center"/>
    </xf>
    <xf numFmtId="0" fontId="90" fillId="0" borderId="7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94" fillId="18" borderId="46" applyNumberFormat="0" applyAlignment="0" applyProtection="0">
      <alignment vertical="center"/>
    </xf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59" fillId="0" borderId="0"/>
    <xf numFmtId="0" fontId="75" fillId="0" borderId="0"/>
    <xf numFmtId="0" fontId="1" fillId="0" borderId="0">
      <alignment vertical="center"/>
    </xf>
    <xf numFmtId="0" fontId="119" fillId="0" borderId="0" applyNumberFormat="0" applyFill="0" applyBorder="0" applyProtection="0">
      <alignment vertical="top" wrapText="1"/>
    </xf>
  </cellStyleXfs>
  <cellXfs count="293">
    <xf numFmtId="0" fontId="0" fillId="0" borderId="0" xfId="0">
      <alignment vertical="center"/>
    </xf>
    <xf numFmtId="0" fontId="36" fillId="0" borderId="0" xfId="0" applyFont="1">
      <alignment vertical="center"/>
    </xf>
    <xf numFmtId="176" fontId="36" fillId="28" borderId="10" xfId="0" applyNumberFormat="1" applyFont="1" applyFill="1" applyBorder="1">
      <alignment vertical="center"/>
    </xf>
    <xf numFmtId="176" fontId="36" fillId="28" borderId="12" xfId="0" applyNumberFormat="1" applyFont="1" applyFill="1" applyBorder="1" applyAlignment="1">
      <alignment horizontal="center" vertical="center"/>
    </xf>
    <xf numFmtId="0" fontId="35" fillId="31" borderId="13" xfId="0" applyFont="1" applyFill="1" applyBorder="1" applyAlignment="1">
      <alignment horizontal="center" vertical="center"/>
    </xf>
    <xf numFmtId="49" fontId="35" fillId="27" borderId="10" xfId="0" applyNumberFormat="1" applyFont="1" applyFill="1" applyBorder="1" applyAlignment="1">
      <alignment horizontal="center" vertical="center"/>
    </xf>
    <xf numFmtId="49" fontId="35" fillId="31" borderId="13" xfId="0" applyNumberFormat="1" applyFont="1" applyFill="1" applyBorder="1" applyAlignment="1">
      <alignment horizontal="center" vertical="center"/>
    </xf>
    <xf numFmtId="176" fontId="35" fillId="31" borderId="13" xfId="0" applyNumberFormat="1" applyFont="1" applyFill="1" applyBorder="1">
      <alignment vertical="center"/>
    </xf>
    <xf numFmtId="176" fontId="36" fillId="27" borderId="11" xfId="0" applyNumberFormat="1" applyFont="1" applyFill="1" applyBorder="1">
      <alignment vertical="center"/>
    </xf>
    <xf numFmtId="41" fontId="36" fillId="27" borderId="15" xfId="3" applyFont="1" applyFill="1" applyBorder="1" applyAlignment="1">
      <alignment vertical="center"/>
    </xf>
    <xf numFmtId="176" fontId="36" fillId="28" borderId="15" xfId="0" applyNumberFormat="1" applyFont="1" applyFill="1" applyBorder="1" applyAlignment="1">
      <alignment horizontal="center" vertical="center"/>
    </xf>
    <xf numFmtId="176" fontId="36" fillId="27" borderId="15" xfId="0" applyNumberFormat="1" applyFont="1" applyFill="1" applyBorder="1" applyAlignment="1">
      <alignment horizontal="center" vertical="center"/>
    </xf>
    <xf numFmtId="49" fontId="36" fillId="28" borderId="15" xfId="0" applyNumberFormat="1" applyFont="1" applyFill="1" applyBorder="1" applyAlignment="1">
      <alignment horizontal="right" vertical="center"/>
    </xf>
    <xf numFmtId="49" fontId="36" fillId="0" borderId="15" xfId="0" applyNumberFormat="1" applyFont="1" applyFill="1" applyBorder="1" applyAlignment="1">
      <alignment horizontal="left" vertical="center"/>
    </xf>
    <xf numFmtId="176" fontId="36" fillId="0" borderId="15" xfId="0" applyNumberFormat="1" applyFont="1" applyFill="1" applyBorder="1">
      <alignment vertical="center"/>
    </xf>
    <xf numFmtId="49" fontId="35" fillId="27" borderId="15" xfId="0" applyNumberFormat="1" applyFont="1" applyFill="1" applyBorder="1" applyAlignment="1">
      <alignment horizontal="center" vertical="center"/>
    </xf>
    <xf numFmtId="49" fontId="35" fillId="31" borderId="15" xfId="0" applyNumberFormat="1" applyFont="1" applyFill="1" applyBorder="1" applyAlignment="1">
      <alignment horizontal="center" vertical="center"/>
    </xf>
    <xf numFmtId="0" fontId="35" fillId="31" borderId="15" xfId="0" applyFont="1" applyFill="1" applyBorder="1" applyAlignment="1">
      <alignment horizontal="center" vertical="center"/>
    </xf>
    <xf numFmtId="176" fontId="35" fillId="31" borderId="15" xfId="0" applyNumberFormat="1" applyFont="1" applyFill="1" applyBorder="1">
      <alignment vertical="center"/>
    </xf>
    <xf numFmtId="176" fontId="36" fillId="27" borderId="15" xfId="0" applyNumberFormat="1" applyFont="1" applyFill="1" applyBorder="1">
      <alignment vertical="center"/>
    </xf>
    <xf numFmtId="0" fontId="44" fillId="0" borderId="0" xfId="0" applyFont="1">
      <alignment vertical="center"/>
    </xf>
    <xf numFmtId="49" fontId="35" fillId="28" borderId="24" xfId="0" applyNumberFormat="1" applyFont="1" applyFill="1" applyBorder="1" applyAlignment="1">
      <alignment horizontal="center" vertical="center"/>
    </xf>
    <xf numFmtId="176" fontId="48" fillId="28" borderId="25" xfId="0" applyNumberFormat="1" applyFont="1" applyFill="1" applyBorder="1" applyAlignment="1">
      <alignment horizontal="center" vertical="center"/>
    </xf>
    <xf numFmtId="176" fontId="36" fillId="0" borderId="29" xfId="0" applyNumberFormat="1" applyFont="1" applyFill="1" applyBorder="1">
      <alignment vertical="center"/>
    </xf>
    <xf numFmtId="49" fontId="35" fillId="27" borderId="31" xfId="0" applyNumberFormat="1" applyFont="1" applyFill="1" applyBorder="1" applyAlignment="1">
      <alignment horizontal="center" vertical="center"/>
    </xf>
    <xf numFmtId="176" fontId="36" fillId="27" borderId="31" xfId="0" applyNumberFormat="1" applyFont="1" applyFill="1" applyBorder="1">
      <alignment vertical="center"/>
    </xf>
    <xf numFmtId="49" fontId="35" fillId="31" borderId="31" xfId="0" applyNumberFormat="1" applyFont="1" applyFill="1" applyBorder="1" applyAlignment="1">
      <alignment horizontal="center" vertical="center"/>
    </xf>
    <xf numFmtId="0" fontId="35" fillId="31" borderId="31" xfId="0" applyFont="1" applyFill="1" applyBorder="1" applyAlignment="1">
      <alignment horizontal="center" vertical="center"/>
    </xf>
    <xf numFmtId="176" fontId="35" fillId="31" borderId="31" xfId="0" applyNumberFormat="1" applyFont="1" applyFill="1" applyBorder="1">
      <alignment vertical="center"/>
    </xf>
    <xf numFmtId="0" fontId="44" fillId="0" borderId="0" xfId="0" applyFont="1" applyFill="1">
      <alignment vertical="center"/>
    </xf>
    <xf numFmtId="0" fontId="57" fillId="0" borderId="0" xfId="0" applyFont="1" applyFill="1" applyBorder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35" fillId="36" borderId="31" xfId="0" applyFont="1" applyFill="1" applyBorder="1" applyAlignment="1">
      <alignment horizontal="center" vertical="center"/>
    </xf>
    <xf numFmtId="0" fontId="35" fillId="34" borderId="31" xfId="0" applyFont="1" applyFill="1" applyBorder="1" applyAlignment="1">
      <alignment horizontal="center" vertical="center"/>
    </xf>
    <xf numFmtId="0" fontId="35" fillId="33" borderId="31" xfId="0" applyFont="1" applyFill="1" applyBorder="1" applyAlignment="1">
      <alignment horizontal="center" vertical="center"/>
    </xf>
    <xf numFmtId="0" fontId="35" fillId="33" borderId="31" xfId="0" applyFont="1" applyFill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181" fontId="35" fillId="0" borderId="31" xfId="0" applyNumberFormat="1" applyFont="1" applyBorder="1">
      <alignment vertical="center"/>
    </xf>
    <xf numFmtId="181" fontId="58" fillId="0" borderId="31" xfId="0" applyNumberFormat="1" applyFont="1" applyBorder="1">
      <alignment vertical="center"/>
    </xf>
    <xf numFmtId="181" fontId="58" fillId="0" borderId="31" xfId="0" applyNumberFormat="1" applyFont="1" applyFill="1" applyBorder="1" applyAlignment="1">
      <alignment horizontal="right" vertical="center"/>
    </xf>
    <xf numFmtId="0" fontId="41" fillId="0" borderId="0" xfId="0" applyFont="1">
      <alignment vertical="center"/>
    </xf>
    <xf numFmtId="0" fontId="44" fillId="0" borderId="0" xfId="0" applyFont="1" applyFill="1" applyBorder="1">
      <alignment vertical="center"/>
    </xf>
    <xf numFmtId="0" fontId="55" fillId="0" borderId="0" xfId="0" applyFont="1" applyFill="1" applyBorder="1">
      <alignment vertical="center"/>
    </xf>
    <xf numFmtId="0" fontId="44" fillId="0" borderId="0" xfId="0" applyFont="1" applyAlignment="1">
      <alignment horizontal="center" vertical="center" wrapText="1"/>
    </xf>
    <xf numFmtId="0" fontId="35" fillId="36" borderId="31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181" fontId="36" fillId="0" borderId="31" xfId="0" applyNumberFormat="1" applyFont="1" applyBorder="1">
      <alignment vertical="center"/>
    </xf>
    <xf numFmtId="181" fontId="35" fillId="27" borderId="31" xfId="0" applyNumberFormat="1" applyFont="1" applyFill="1" applyBorder="1">
      <alignment vertical="center"/>
    </xf>
    <xf numFmtId="181" fontId="35" fillId="0" borderId="0" xfId="0" applyNumberFormat="1" applyFont="1" applyFill="1" applyBorder="1">
      <alignment vertical="center"/>
    </xf>
    <xf numFmtId="182" fontId="36" fillId="0" borderId="31" xfId="0" applyNumberFormat="1" applyFont="1" applyBorder="1">
      <alignment vertical="center"/>
    </xf>
    <xf numFmtId="182" fontId="35" fillId="27" borderId="31" xfId="0" applyNumberFormat="1" applyFont="1" applyFill="1" applyBorder="1">
      <alignment vertical="center"/>
    </xf>
    <xf numFmtId="182" fontId="35" fillId="0" borderId="0" xfId="0" applyNumberFormat="1" applyFont="1" applyFill="1" applyBorder="1">
      <alignment vertical="center"/>
    </xf>
    <xf numFmtId="176" fontId="36" fillId="0" borderId="15" xfId="0" applyNumberFormat="1" applyFont="1" applyFill="1" applyBorder="1" applyAlignment="1">
      <alignment horizontal="center" vertical="center"/>
    </xf>
    <xf numFmtId="49" fontId="36" fillId="0" borderId="12" xfId="0" applyNumberFormat="1" applyFont="1" applyFill="1" applyBorder="1" applyAlignment="1">
      <alignment horizontal="center" vertical="center"/>
    </xf>
    <xf numFmtId="49" fontId="38" fillId="0" borderId="31" xfId="0" applyNumberFormat="1" applyFont="1" applyFill="1" applyBorder="1" applyAlignment="1">
      <alignment horizontal="center" vertical="center"/>
    </xf>
    <xf numFmtId="176" fontId="36" fillId="0" borderId="31" xfId="0" applyNumberFormat="1" applyFont="1" applyFill="1" applyBorder="1">
      <alignment vertical="center"/>
    </xf>
    <xf numFmtId="49" fontId="99" fillId="0" borderId="0" xfId="0" applyNumberFormat="1" applyFont="1">
      <alignment vertical="center"/>
    </xf>
    <xf numFmtId="0" fontId="100" fillId="0" borderId="0" xfId="0" applyFont="1">
      <alignment vertical="center"/>
    </xf>
    <xf numFmtId="180" fontId="101" fillId="0" borderId="0" xfId="215" applyNumberFormat="1" applyFont="1" applyFill="1" applyBorder="1" applyAlignment="1">
      <alignment vertical="center"/>
    </xf>
    <xf numFmtId="41" fontId="101" fillId="0" borderId="0" xfId="215" applyFont="1" applyFill="1" applyBorder="1" applyAlignment="1">
      <alignment vertical="center"/>
    </xf>
    <xf numFmtId="0" fontId="100" fillId="0" borderId="14" xfId="0" applyFont="1" applyBorder="1">
      <alignment vertical="center"/>
    </xf>
    <xf numFmtId="0" fontId="102" fillId="27" borderId="14" xfId="703" applyFont="1" applyFill="1" applyBorder="1" applyAlignment="1">
      <alignment horizontal="center" vertical="center"/>
    </xf>
    <xf numFmtId="0" fontId="100" fillId="27" borderId="31" xfId="0" applyFont="1" applyFill="1" applyBorder="1" applyAlignment="1">
      <alignment horizontal="center" vertical="center"/>
    </xf>
    <xf numFmtId="180" fontId="100" fillId="27" borderId="31" xfId="215" applyNumberFormat="1" applyFont="1" applyFill="1" applyBorder="1" applyAlignment="1">
      <alignment horizontal="center" vertical="center"/>
    </xf>
    <xf numFmtId="180" fontId="100" fillId="27" borderId="31" xfId="0" applyNumberFormat="1" applyFont="1" applyFill="1" applyBorder="1" applyAlignment="1">
      <alignment horizontal="center" vertical="center"/>
    </xf>
    <xf numFmtId="9" fontId="100" fillId="27" borderId="31" xfId="209" applyFont="1" applyFill="1" applyBorder="1" applyAlignment="1">
      <alignment horizontal="center" vertical="center"/>
    </xf>
    <xf numFmtId="180" fontId="103" fillId="27" borderId="14" xfId="702" applyNumberFormat="1" applyFont="1" applyFill="1" applyBorder="1" applyAlignment="1">
      <alignment horizontal="center" vertical="center"/>
    </xf>
    <xf numFmtId="41" fontId="100" fillId="27" borderId="31" xfId="215" applyFont="1" applyFill="1" applyBorder="1" applyAlignment="1">
      <alignment horizontal="center" vertical="center"/>
    </xf>
    <xf numFmtId="0" fontId="100" fillId="0" borderId="0" xfId="335" applyFont="1">
      <alignment vertical="center"/>
    </xf>
    <xf numFmtId="0" fontId="55" fillId="0" borderId="14" xfId="0" applyFont="1" applyBorder="1">
      <alignment vertical="center"/>
    </xf>
    <xf numFmtId="3" fontId="100" fillId="0" borderId="14" xfId="0" applyNumberFormat="1" applyFont="1" applyBorder="1">
      <alignment vertical="center"/>
    </xf>
    <xf numFmtId="41" fontId="104" fillId="0" borderId="14" xfId="618" applyFont="1" applyBorder="1" applyAlignment="1">
      <alignment vertical="center"/>
    </xf>
    <xf numFmtId="41" fontId="100" fillId="0" borderId="14" xfId="618" applyFont="1" applyBorder="1" applyAlignment="1">
      <alignment vertical="center"/>
    </xf>
    <xf numFmtId="49" fontId="100" fillId="0" borderId="14" xfId="0" applyNumberFormat="1" applyFont="1" applyBorder="1">
      <alignment vertical="center"/>
    </xf>
    <xf numFmtId="180" fontId="100" fillId="0" borderId="14" xfId="215" applyNumberFormat="1" applyFont="1" applyBorder="1" applyAlignment="1">
      <alignment vertical="center"/>
    </xf>
    <xf numFmtId="49" fontId="100" fillId="0" borderId="28" xfId="0" applyNumberFormat="1" applyFont="1" applyBorder="1">
      <alignment vertical="center"/>
    </xf>
    <xf numFmtId="180" fontId="100" fillId="0" borderId="31" xfId="215" applyNumberFormat="1" applyFont="1" applyBorder="1" applyAlignment="1">
      <alignment vertical="center"/>
    </xf>
    <xf numFmtId="0" fontId="55" fillId="0" borderId="31" xfId="0" applyFont="1" applyBorder="1">
      <alignment vertical="center"/>
    </xf>
    <xf numFmtId="180" fontId="100" fillId="0" borderId="14" xfId="618" applyNumberFormat="1" applyFont="1" applyBorder="1" applyAlignment="1">
      <alignment vertical="center"/>
    </xf>
    <xf numFmtId="41" fontId="100" fillId="0" borderId="28" xfId="618" applyFont="1" applyBorder="1" applyAlignment="1">
      <alignment vertical="center"/>
    </xf>
    <xf numFmtId="41" fontId="100" fillId="0" borderId="31" xfId="618" applyFont="1" applyBorder="1" applyAlignment="1">
      <alignment vertical="center"/>
    </xf>
    <xf numFmtId="176" fontId="38" fillId="0" borderId="31" xfId="0" applyNumberFormat="1" applyFont="1" applyFill="1" applyBorder="1">
      <alignment vertical="center"/>
    </xf>
    <xf numFmtId="0" fontId="54" fillId="0" borderId="14" xfId="0" applyFont="1" applyBorder="1">
      <alignment vertical="center"/>
    </xf>
    <xf numFmtId="0" fontId="105" fillId="0" borderId="14" xfId="0" applyFont="1" applyBorder="1">
      <alignment vertical="center"/>
    </xf>
    <xf numFmtId="0" fontId="106" fillId="0" borderId="14" xfId="0" applyFont="1" applyBorder="1">
      <alignment vertical="center"/>
    </xf>
    <xf numFmtId="0" fontId="109" fillId="0" borderId="14" xfId="0" applyFont="1" applyBorder="1">
      <alignment vertical="center"/>
    </xf>
    <xf numFmtId="0" fontId="110" fillId="0" borderId="14" xfId="0" applyFont="1" applyBorder="1">
      <alignment vertical="center"/>
    </xf>
    <xf numFmtId="0" fontId="111" fillId="0" borderId="14" xfId="0" applyFont="1" applyBorder="1">
      <alignment vertical="center"/>
    </xf>
    <xf numFmtId="0" fontId="112" fillId="0" borderId="14" xfId="0" applyFont="1" applyBorder="1">
      <alignment vertical="center"/>
    </xf>
    <xf numFmtId="0" fontId="107" fillId="0" borderId="14" xfId="0" applyFont="1" applyBorder="1">
      <alignment vertical="center"/>
    </xf>
    <xf numFmtId="176" fontId="36" fillId="0" borderId="11" xfId="0" applyNumberFormat="1" applyFont="1" applyFill="1" applyBorder="1">
      <alignment vertical="center"/>
    </xf>
    <xf numFmtId="176" fontId="38" fillId="0" borderId="12" xfId="0" applyNumberFormat="1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0" xfId="0" applyNumberFormat="1" applyFont="1" applyFill="1">
      <alignment vertical="center"/>
    </xf>
    <xf numFmtId="49" fontId="36" fillId="0" borderId="10" xfId="0" applyNumberFormat="1" applyFont="1" applyFill="1" applyBorder="1" applyAlignment="1">
      <alignment horizontal="center" vertical="center"/>
    </xf>
    <xf numFmtId="49" fontId="36" fillId="0" borderId="10" xfId="0" applyNumberFormat="1" applyFont="1" applyFill="1" applyBorder="1" applyAlignment="1">
      <alignment horizontal="left" vertical="center"/>
    </xf>
    <xf numFmtId="176" fontId="36" fillId="0" borderId="10" xfId="0" applyNumberFormat="1" applyFont="1" applyFill="1" applyBorder="1">
      <alignment vertical="center"/>
    </xf>
    <xf numFmtId="176" fontId="36" fillId="0" borderId="10" xfId="0" applyNumberFormat="1" applyFont="1" applyFill="1" applyBorder="1" applyAlignment="1">
      <alignment vertical="center" wrapText="1"/>
    </xf>
    <xf numFmtId="49" fontId="36" fillId="0" borderId="10" xfId="0" applyNumberFormat="1" applyFont="1" applyFill="1" applyBorder="1">
      <alignment vertical="center"/>
    </xf>
    <xf numFmtId="49" fontId="36" fillId="0" borderId="31" xfId="0" applyNumberFormat="1" applyFont="1" applyFill="1" applyBorder="1" applyAlignment="1">
      <alignment horizontal="left" vertical="center"/>
    </xf>
    <xf numFmtId="0" fontId="36" fillId="0" borderId="0" xfId="0" applyFont="1" applyFill="1" applyBorder="1">
      <alignment vertical="center"/>
    </xf>
    <xf numFmtId="41" fontId="38" fillId="0" borderId="0" xfId="3" applyFont="1" applyFill="1" applyBorder="1" applyAlignment="1">
      <alignment vertical="center"/>
    </xf>
    <xf numFmtId="176" fontId="36" fillId="27" borderId="10" xfId="0" applyNumberFormat="1" applyFont="1" applyFill="1" applyBorder="1">
      <alignment vertical="center"/>
    </xf>
    <xf numFmtId="49" fontId="36" fillId="0" borderId="11" xfId="0" applyNumberFormat="1" applyFont="1" applyFill="1" applyBorder="1" applyAlignment="1">
      <alignment horizontal="center" vertical="center"/>
    </xf>
    <xf numFmtId="41" fontId="36" fillId="0" borderId="10" xfId="3" applyFont="1" applyFill="1" applyBorder="1" applyAlignment="1">
      <alignment vertical="center"/>
    </xf>
    <xf numFmtId="41" fontId="36" fillId="0" borderId="10" xfId="3" applyFont="1" applyFill="1" applyBorder="1" applyAlignment="1">
      <alignment vertical="center" wrapText="1"/>
    </xf>
    <xf numFmtId="49" fontId="36" fillId="0" borderId="12" xfId="0" applyNumberFormat="1" applyFont="1" applyFill="1" applyBorder="1">
      <alignment vertical="center"/>
    </xf>
    <xf numFmtId="0" fontId="40" fillId="0" borderId="0" xfId="0" applyFont="1" applyFill="1">
      <alignment vertical="center"/>
    </xf>
    <xf numFmtId="49" fontId="36" fillId="0" borderId="12" xfId="0" applyNumberFormat="1" applyFont="1" applyFill="1" applyBorder="1" applyAlignment="1">
      <alignment horizontal="left" vertical="center"/>
    </xf>
    <xf numFmtId="49" fontId="36" fillId="0" borderId="31" xfId="0" applyNumberFormat="1" applyFont="1" applyFill="1" applyBorder="1">
      <alignment vertical="center"/>
    </xf>
    <xf numFmtId="0" fontId="35" fillId="0" borderId="0" xfId="0" applyFont="1" applyFill="1">
      <alignment vertical="center"/>
    </xf>
    <xf numFmtId="43" fontId="36" fillId="0" borderId="0" xfId="0" applyNumberFormat="1" applyFont="1" applyFill="1" applyBorder="1">
      <alignment vertical="center"/>
    </xf>
    <xf numFmtId="0" fontId="36" fillId="0" borderId="30" xfId="0" applyFont="1" applyFill="1" applyBorder="1" applyAlignment="1"/>
    <xf numFmtId="3" fontId="36" fillId="0" borderId="30" xfId="0" applyNumberFormat="1" applyFont="1" applyFill="1" applyBorder="1" applyAlignment="1"/>
    <xf numFmtId="3" fontId="36" fillId="0" borderId="0" xfId="0" applyNumberFormat="1" applyFont="1" applyFill="1">
      <alignment vertical="center"/>
    </xf>
    <xf numFmtId="0" fontId="36" fillId="0" borderId="0" xfId="0" applyNumberFormat="1" applyFont="1" applyFill="1" applyBorder="1">
      <alignment vertical="center"/>
    </xf>
    <xf numFmtId="49" fontId="36" fillId="0" borderId="15" xfId="0" applyNumberFormat="1" applyFont="1" applyFill="1" applyBorder="1" applyAlignment="1">
      <alignment horizontal="center" vertical="center"/>
    </xf>
    <xf numFmtId="176" fontId="36" fillId="0" borderId="15" xfId="0" applyNumberFormat="1" applyFont="1" applyFill="1" applyBorder="1" applyAlignment="1">
      <alignment horizontal="center" vertical="center" wrapText="1"/>
    </xf>
    <xf numFmtId="49" fontId="37" fillId="0" borderId="0" xfId="0" applyNumberFormat="1" applyFont="1" applyFill="1" applyBorder="1">
      <alignment vertical="center"/>
    </xf>
    <xf numFmtId="176" fontId="36" fillId="0" borderId="0" xfId="0" applyNumberFormat="1" applyFont="1" applyFill="1" applyBorder="1">
      <alignment vertical="center"/>
    </xf>
    <xf numFmtId="0" fontId="40" fillId="0" borderId="0" xfId="0" applyFont="1" applyFill="1" applyBorder="1">
      <alignment vertical="center"/>
    </xf>
    <xf numFmtId="177" fontId="36" fillId="0" borderId="0" xfId="0" applyNumberFormat="1" applyFont="1" applyFill="1" applyBorder="1">
      <alignment vertical="center"/>
    </xf>
    <xf numFmtId="3" fontId="39" fillId="0" borderId="0" xfId="0" applyNumberFormat="1" applyFont="1" applyFill="1" applyBorder="1">
      <alignment vertical="center"/>
    </xf>
    <xf numFmtId="3" fontId="36" fillId="0" borderId="0" xfId="0" applyNumberFormat="1" applyFont="1" applyFill="1" applyBorder="1">
      <alignment vertical="center"/>
    </xf>
    <xf numFmtId="41" fontId="36" fillId="0" borderId="15" xfId="3" applyFont="1" applyFill="1" applyBorder="1" applyAlignment="1">
      <alignment vertical="center"/>
    </xf>
    <xf numFmtId="176" fontId="36" fillId="0" borderId="15" xfId="0" applyNumberFormat="1" applyFont="1" applyFill="1" applyBorder="1" applyAlignment="1">
      <alignment vertical="center" wrapText="1"/>
    </xf>
    <xf numFmtId="49" fontId="36" fillId="0" borderId="29" xfId="0" applyNumberFormat="1" applyFont="1" applyFill="1" applyBorder="1" applyAlignment="1">
      <alignment horizontal="left" vertical="center"/>
    </xf>
    <xf numFmtId="0" fontId="41" fillId="0" borderId="0" xfId="0" applyNumberFormat="1" applyFont="1" applyFill="1" applyBorder="1">
      <alignment vertical="center"/>
    </xf>
    <xf numFmtId="0" fontId="34" fillId="0" borderId="0" xfId="0" applyNumberFormat="1" applyFont="1" applyFill="1" applyBorder="1">
      <alignment vertical="center"/>
    </xf>
    <xf numFmtId="0" fontId="41" fillId="0" borderId="0" xfId="0" applyFont="1" applyFill="1" applyBorder="1">
      <alignment vertical="center"/>
    </xf>
    <xf numFmtId="41" fontId="36" fillId="0" borderId="0" xfId="3" applyFont="1" applyFill="1" applyBorder="1" applyAlignment="1">
      <alignment vertical="center"/>
    </xf>
    <xf numFmtId="49" fontId="36" fillId="0" borderId="31" xfId="0" applyNumberFormat="1" applyFont="1" applyFill="1" applyBorder="1" applyAlignment="1">
      <alignment horizontal="center" vertical="center"/>
    </xf>
    <xf numFmtId="176" fontId="36" fillId="0" borderId="31" xfId="0" applyNumberFormat="1" applyFont="1" applyFill="1" applyBorder="1" applyAlignment="1">
      <alignment vertical="center" wrapText="1"/>
    </xf>
    <xf numFmtId="181" fontId="35" fillId="33" borderId="31" xfId="0" applyNumberFormat="1" applyFont="1" applyFill="1" applyBorder="1" applyAlignment="1">
      <alignment horizontal="center" vertical="center" wrapText="1"/>
    </xf>
    <xf numFmtId="0" fontId="29" fillId="0" borderId="15" xfId="0" applyFont="1" applyFill="1" applyBorder="1">
      <alignment vertical="center"/>
    </xf>
    <xf numFmtId="41" fontId="36" fillId="0" borderId="0" xfId="0" applyNumberFormat="1" applyFont="1" applyFill="1" applyBorder="1">
      <alignment vertical="center"/>
    </xf>
    <xf numFmtId="0" fontId="54" fillId="66" borderId="14" xfId="0" applyFont="1" applyFill="1" applyBorder="1" applyAlignment="1">
      <alignment horizontal="center" vertical="center"/>
    </xf>
    <xf numFmtId="0" fontId="44" fillId="0" borderId="0" xfId="0" applyNumberFormat="1" applyFont="1" applyFill="1">
      <alignment vertical="center"/>
    </xf>
    <xf numFmtId="49" fontId="45" fillId="0" borderId="0" xfId="0" applyNumberFormat="1" applyFont="1" applyFill="1" applyBorder="1">
      <alignment vertical="center"/>
    </xf>
    <xf numFmtId="0" fontId="36" fillId="0" borderId="29" xfId="0" applyNumberFormat="1" applyFont="1" applyFill="1" applyBorder="1">
      <alignment vertical="center"/>
    </xf>
    <xf numFmtId="0" fontId="36" fillId="0" borderId="50" xfId="0" applyNumberFormat="1" applyFont="1" applyFill="1" applyBorder="1">
      <alignment vertical="center"/>
    </xf>
    <xf numFmtId="0" fontId="36" fillId="0" borderId="51" xfId="0" applyNumberFormat="1" applyFont="1" applyFill="1" applyBorder="1">
      <alignment vertical="center"/>
    </xf>
    <xf numFmtId="0" fontId="36" fillId="0" borderId="49" xfId="0" applyNumberFormat="1" applyFont="1" applyFill="1" applyBorder="1">
      <alignment vertical="center"/>
    </xf>
    <xf numFmtId="41" fontId="54" fillId="0" borderId="14" xfId="3" applyFont="1" applyBorder="1" applyAlignment="1">
      <alignment horizontal="right" vertical="center"/>
    </xf>
    <xf numFmtId="41" fontId="36" fillId="0" borderId="0" xfId="3" applyFont="1" applyFill="1" applyAlignment="1">
      <alignment vertical="center"/>
    </xf>
    <xf numFmtId="0" fontId="55" fillId="0" borderId="0" xfId="0" applyNumberFormat="1" applyFont="1" applyFill="1">
      <alignment vertical="center"/>
    </xf>
    <xf numFmtId="176" fontId="36" fillId="0" borderId="12" xfId="0" applyNumberFormat="1" applyFont="1" applyFill="1" applyBorder="1" applyAlignment="1">
      <alignment horizontal="center" vertical="center"/>
    </xf>
    <xf numFmtId="176" fontId="36" fillId="0" borderId="12" xfId="0" applyNumberFormat="1" applyFont="1" applyFill="1" applyBorder="1" applyAlignment="1">
      <alignment horizontal="center" vertical="center" wrapText="1"/>
    </xf>
    <xf numFmtId="49" fontId="36" fillId="0" borderId="22" xfId="0" applyNumberFormat="1" applyFont="1" applyFill="1" applyBorder="1" applyAlignment="1">
      <alignment horizontal="center" vertical="center"/>
    </xf>
    <xf numFmtId="176" fontId="36" fillId="0" borderId="23" xfId="0" applyNumberFormat="1" applyFont="1" applyFill="1" applyBorder="1" applyAlignment="1">
      <alignment horizontal="right" vertical="center"/>
    </xf>
    <xf numFmtId="41" fontId="36" fillId="0" borderId="23" xfId="3" applyFont="1" applyFill="1" applyBorder="1" applyAlignment="1">
      <alignment horizontal="right" vertical="center"/>
    </xf>
    <xf numFmtId="41" fontId="44" fillId="0" borderId="0" xfId="3" applyFont="1" applyFill="1" applyAlignment="1">
      <alignment vertical="center"/>
    </xf>
    <xf numFmtId="176" fontId="38" fillId="0" borderId="31" xfId="0" applyNumberFormat="1" applyFont="1" applyFill="1" applyBorder="1" applyAlignment="1">
      <alignment horizontal="center" vertical="center"/>
    </xf>
    <xf numFmtId="41" fontId="38" fillId="0" borderId="31" xfId="3" applyFont="1" applyFill="1" applyBorder="1" applyAlignment="1">
      <alignment horizontal="center" vertical="center"/>
    </xf>
    <xf numFmtId="41" fontId="38" fillId="0" borderId="31" xfId="3" applyFont="1" applyFill="1" applyBorder="1" applyAlignment="1">
      <alignment horizontal="center" vertical="center" wrapText="1"/>
    </xf>
    <xf numFmtId="0" fontId="38" fillId="0" borderId="31" xfId="0" applyNumberFormat="1" applyFont="1" applyFill="1" applyBorder="1" applyAlignment="1">
      <alignment horizontal="center" vertical="center"/>
    </xf>
    <xf numFmtId="49" fontId="38" fillId="0" borderId="13" xfId="0" applyNumberFormat="1" applyFont="1" applyFill="1" applyBorder="1" applyAlignment="1">
      <alignment horizontal="center" vertical="center"/>
    </xf>
    <xf numFmtId="176" fontId="38" fillId="0" borderId="13" xfId="0" applyNumberFormat="1" applyFont="1" applyFill="1" applyBorder="1" applyAlignment="1">
      <alignment horizontal="center" vertical="center"/>
    </xf>
    <xf numFmtId="41" fontId="38" fillId="0" borderId="13" xfId="3" applyFont="1" applyFill="1" applyBorder="1" applyAlignment="1">
      <alignment horizontal="center" vertical="center"/>
    </xf>
    <xf numFmtId="41" fontId="38" fillId="0" borderId="13" xfId="3" applyFont="1" applyFill="1" applyBorder="1" applyAlignment="1">
      <alignment horizontal="center" vertical="center" wrapText="1"/>
    </xf>
    <xf numFmtId="0" fontId="38" fillId="0" borderId="12" xfId="0" applyNumberFormat="1" applyFont="1" applyFill="1" applyBorder="1" applyAlignment="1">
      <alignment horizontal="center" vertical="center"/>
    </xf>
    <xf numFmtId="49" fontId="36" fillId="0" borderId="20" xfId="0" applyNumberFormat="1" applyFont="1" applyFill="1" applyBorder="1" applyAlignment="1">
      <alignment horizontal="center" vertical="center"/>
    </xf>
    <xf numFmtId="41" fontId="36" fillId="0" borderId="21" xfId="3" applyFont="1" applyFill="1" applyBorder="1" applyAlignment="1">
      <alignment horizontal="right" vertical="center"/>
    </xf>
    <xf numFmtId="41" fontId="97" fillId="0" borderId="0" xfId="3" applyFont="1" applyFill="1" applyBorder="1" applyAlignment="1">
      <alignment vertical="center"/>
    </xf>
    <xf numFmtId="0" fontId="73" fillId="0" borderId="0" xfId="0" applyFont="1" applyFill="1">
      <alignment vertical="center"/>
    </xf>
    <xf numFmtId="0" fontId="73" fillId="0" borderId="0" xfId="0" applyNumberFormat="1" applyFont="1" applyFill="1">
      <alignment vertical="center"/>
    </xf>
    <xf numFmtId="181" fontId="36" fillId="0" borderId="23" xfId="3" applyNumberFormat="1" applyFont="1" applyFill="1" applyBorder="1" applyAlignment="1">
      <alignment horizontal="right" vertical="center"/>
    </xf>
    <xf numFmtId="0" fontId="36" fillId="0" borderId="22" xfId="0" applyNumberFormat="1" applyFont="1" applyFill="1" applyBorder="1" applyAlignment="1">
      <alignment horizontal="center" vertical="center"/>
    </xf>
    <xf numFmtId="0" fontId="60" fillId="0" borderId="0" xfId="0" applyNumberFormat="1" applyFont="1" applyFill="1">
      <alignment vertical="center"/>
    </xf>
    <xf numFmtId="0" fontId="40" fillId="0" borderId="0" xfId="0" applyNumberFormat="1" applyFont="1" applyFill="1">
      <alignment vertical="center"/>
    </xf>
    <xf numFmtId="49" fontId="36" fillId="0" borderId="0" xfId="0" applyNumberFormat="1" applyFont="1" applyFill="1" applyAlignment="1">
      <alignment horizontal="left" vertical="center"/>
    </xf>
    <xf numFmtId="49" fontId="35" fillId="27" borderId="12" xfId="0" applyNumberFormat="1" applyFont="1" applyFill="1" applyBorder="1" applyAlignment="1">
      <alignment horizontal="center" vertical="center"/>
    </xf>
    <xf numFmtId="176" fontId="36" fillId="27" borderId="12" xfId="0" applyNumberFormat="1" applyFont="1" applyFill="1" applyBorder="1" applyAlignment="1">
      <alignment horizontal="center" vertical="center"/>
    </xf>
    <xf numFmtId="176" fontId="38" fillId="27" borderId="31" xfId="0" applyNumberFormat="1" applyFont="1" applyFill="1" applyBorder="1" applyAlignment="1">
      <alignment horizontal="center" vertical="center"/>
    </xf>
    <xf numFmtId="176" fontId="38" fillId="27" borderId="13" xfId="0" applyNumberFormat="1" applyFont="1" applyFill="1" applyBorder="1" applyAlignment="1">
      <alignment horizontal="center" vertical="center"/>
    </xf>
    <xf numFmtId="49" fontId="50" fillId="67" borderId="26" xfId="0" applyNumberFormat="1" applyFont="1" applyFill="1" applyBorder="1" applyAlignment="1">
      <alignment horizontal="center" vertical="center"/>
    </xf>
    <xf numFmtId="176" fontId="49" fillId="67" borderId="27" xfId="0" applyNumberFormat="1" applyFont="1" applyFill="1" applyBorder="1" applyAlignment="1">
      <alignment horizontal="center" vertical="center"/>
    </xf>
    <xf numFmtId="49" fontId="36" fillId="67" borderId="16" xfId="0" applyNumberFormat="1" applyFont="1" applyFill="1" applyBorder="1" applyAlignment="1">
      <alignment horizontal="center" vertical="center"/>
    </xf>
    <xf numFmtId="176" fontId="46" fillId="67" borderId="17" xfId="0" applyNumberFormat="1" applyFont="1" applyFill="1" applyBorder="1" applyAlignment="1">
      <alignment horizontal="center" vertical="center"/>
    </xf>
    <xf numFmtId="49" fontId="36" fillId="67" borderId="18" xfId="0" applyNumberFormat="1" applyFont="1" applyFill="1" applyBorder="1" applyAlignment="1">
      <alignment horizontal="center" vertical="center"/>
    </xf>
    <xf numFmtId="176" fontId="46" fillId="67" borderId="19" xfId="0" applyNumberFormat="1" applyFont="1" applyFill="1" applyBorder="1" applyAlignment="1">
      <alignment horizontal="center" vertical="center"/>
    </xf>
    <xf numFmtId="49" fontId="38" fillId="27" borderId="12" xfId="0" applyNumberFormat="1" applyFont="1" applyFill="1" applyBorder="1" applyAlignment="1">
      <alignment horizontal="center" vertical="center"/>
    </xf>
    <xf numFmtId="176" fontId="38" fillId="27" borderId="12" xfId="0" applyNumberFormat="1" applyFont="1" applyFill="1" applyBorder="1" applyAlignment="1">
      <alignment horizontal="center" vertical="center"/>
    </xf>
    <xf numFmtId="176" fontId="47" fillId="27" borderId="12" xfId="0" applyNumberFormat="1" applyFont="1" applyFill="1" applyBorder="1" applyAlignment="1">
      <alignment horizontal="center" vertical="center"/>
    </xf>
    <xf numFmtId="0" fontId="38" fillId="27" borderId="12" xfId="0" applyFont="1" applyFill="1" applyBorder="1" applyAlignment="1">
      <alignment horizontal="center" vertical="center"/>
    </xf>
    <xf numFmtId="9" fontId="58" fillId="0" borderId="31" xfId="736" applyNumberFormat="1" applyFont="1" applyFill="1" applyBorder="1" applyAlignment="1">
      <alignment horizontal="right" vertical="center"/>
    </xf>
    <xf numFmtId="41" fontId="114" fillId="0" borderId="31" xfId="736" applyFont="1" applyBorder="1">
      <alignment vertical="center"/>
    </xf>
    <xf numFmtId="0" fontId="35" fillId="0" borderId="0" xfId="0" applyFont="1" applyFill="1" applyBorder="1">
      <alignment vertical="center"/>
    </xf>
    <xf numFmtId="14" fontId="36" fillId="0" borderId="30" xfId="0" applyNumberFormat="1" applyFont="1" applyFill="1" applyBorder="1" applyAlignment="1"/>
    <xf numFmtId="0" fontId="36" fillId="68" borderId="54" xfId="0" applyFont="1" applyFill="1" applyBorder="1" applyAlignment="1">
      <alignment horizontal="center"/>
    </xf>
    <xf numFmtId="0" fontId="36" fillId="68" borderId="54" xfId="0" applyFont="1" applyFill="1" applyBorder="1" applyAlignment="1"/>
    <xf numFmtId="0" fontId="36" fillId="27" borderId="54" xfId="0" applyFont="1" applyFill="1" applyBorder="1" applyAlignment="1">
      <alignment horizontal="center"/>
    </xf>
    <xf numFmtId="0" fontId="36" fillId="68" borderId="53" xfId="0" applyFont="1" applyFill="1" applyBorder="1" applyAlignment="1">
      <alignment horizontal="left"/>
    </xf>
    <xf numFmtId="0" fontId="36" fillId="68" borderId="56" xfId="0" applyFont="1" applyFill="1" applyBorder="1" applyAlignment="1"/>
    <xf numFmtId="0" fontId="36" fillId="68" borderId="55" xfId="0" applyFont="1" applyFill="1" applyBorder="1" applyAlignment="1"/>
    <xf numFmtId="0" fontId="36" fillId="68" borderId="57" xfId="0" applyFont="1" applyFill="1" applyBorder="1" applyAlignment="1"/>
    <xf numFmtId="0" fontId="36" fillId="68" borderId="56" xfId="0" applyFont="1" applyFill="1" applyBorder="1" applyAlignment="1">
      <alignment horizontal="center"/>
    </xf>
    <xf numFmtId="0" fontId="36" fillId="68" borderId="55" xfId="0" applyFont="1" applyFill="1" applyBorder="1" applyAlignment="1">
      <alignment horizontal="center"/>
    </xf>
    <xf numFmtId="0" fontId="36" fillId="68" borderId="57" xfId="0" applyFont="1" applyFill="1" applyBorder="1" applyAlignment="1">
      <alignment horizontal="center"/>
    </xf>
    <xf numFmtId="3" fontId="36" fillId="0" borderId="58" xfId="0" applyNumberFormat="1" applyFont="1" applyFill="1" applyBorder="1" applyAlignment="1"/>
    <xf numFmtId="0" fontId="36" fillId="0" borderId="52" xfId="0" applyFont="1" applyFill="1" applyBorder="1">
      <alignment vertical="center"/>
    </xf>
    <xf numFmtId="3" fontId="36" fillId="0" borderId="52" xfId="0" applyNumberFormat="1" applyFont="1" applyFill="1" applyBorder="1">
      <alignment vertical="center"/>
    </xf>
    <xf numFmtId="41" fontId="107" fillId="0" borderId="14" xfId="3" applyFont="1" applyBorder="1" applyAlignment="1">
      <alignment horizontal="right" vertical="center"/>
    </xf>
    <xf numFmtId="41" fontId="108" fillId="0" borderId="14" xfId="3" applyFont="1" applyBorder="1" applyAlignment="1">
      <alignment horizontal="right" vertical="center"/>
    </xf>
    <xf numFmtId="41" fontId="36" fillId="0" borderId="14" xfId="3" applyFont="1" applyBorder="1" applyAlignment="1">
      <alignment horizontal="right" vertical="center"/>
    </xf>
    <xf numFmtId="3" fontId="98" fillId="0" borderId="0" xfId="0" applyNumberFormat="1" applyFont="1" applyFill="1">
      <alignment vertical="center"/>
    </xf>
    <xf numFmtId="49" fontId="36" fillId="0" borderId="52" xfId="0" applyNumberFormat="1" applyFont="1" applyFill="1" applyBorder="1" applyAlignment="1">
      <alignment horizontal="center" vertical="center"/>
    </xf>
    <xf numFmtId="176" fontId="36" fillId="0" borderId="52" xfId="0" applyNumberFormat="1" applyFont="1" applyFill="1" applyBorder="1">
      <alignment vertical="center"/>
    </xf>
    <xf numFmtId="3" fontId="36" fillId="27" borderId="0" xfId="0" applyNumberFormat="1" applyFont="1" applyFill="1">
      <alignment vertical="center"/>
    </xf>
    <xf numFmtId="41" fontId="36" fillId="0" borderId="52" xfId="3" applyFont="1" applyFill="1" applyBorder="1" applyAlignment="1">
      <alignment vertical="center"/>
    </xf>
    <xf numFmtId="0" fontId="29" fillId="0" borderId="52" xfId="0" applyFont="1" applyFill="1" applyBorder="1">
      <alignment vertical="center"/>
    </xf>
    <xf numFmtId="0" fontId="54" fillId="0" borderId="0" xfId="0" applyFont="1">
      <alignment vertical="center"/>
    </xf>
    <xf numFmtId="183" fontId="54" fillId="0" borderId="0" xfId="0" applyNumberFormat="1" applyFont="1" applyAlignment="1">
      <alignment horizontal="center" vertical="center"/>
    </xf>
    <xf numFmtId="41" fontId="54" fillId="0" borderId="0" xfId="3" applyFont="1" applyAlignment="1">
      <alignment vertical="center"/>
    </xf>
    <xf numFmtId="181" fontId="38" fillId="0" borderId="0" xfId="3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106" fillId="27" borderId="52" xfId="0" applyFont="1" applyFill="1" applyBorder="1" applyAlignment="1">
      <alignment horizontal="center" vertical="center"/>
    </xf>
    <xf numFmtId="2" fontId="106" fillId="27" borderId="52" xfId="0" applyNumberFormat="1" applyFont="1" applyFill="1" applyBorder="1" applyAlignment="1">
      <alignment horizontal="center" vertical="center"/>
    </xf>
    <xf numFmtId="0" fontId="47" fillId="27" borderId="52" xfId="703" applyFont="1" applyFill="1" applyBorder="1" applyAlignment="1">
      <alignment horizontal="center" vertical="center"/>
    </xf>
    <xf numFmtId="0" fontId="106" fillId="27" borderId="52" xfId="1214" applyFont="1" applyFill="1" applyBorder="1" applyAlignment="1">
      <alignment horizontal="center" vertical="center"/>
    </xf>
    <xf numFmtId="41" fontId="106" fillId="27" borderId="52" xfId="3" applyFont="1" applyFill="1" applyBorder="1" applyAlignment="1">
      <alignment horizontal="center" vertical="center"/>
    </xf>
    <xf numFmtId="0" fontId="54" fillId="32" borderId="0" xfId="0" applyFont="1" applyFill="1" applyAlignment="1">
      <alignment horizontal="center" vertical="center"/>
    </xf>
    <xf numFmtId="0" fontId="54" fillId="0" borderId="52" xfId="0" applyFont="1" applyFill="1" applyBorder="1">
      <alignment vertical="center"/>
    </xf>
    <xf numFmtId="184" fontId="54" fillId="0" borderId="52" xfId="0" quotePrefix="1" applyNumberFormat="1" applyFont="1" applyFill="1" applyBorder="1" applyAlignment="1">
      <alignment horizontal="center"/>
    </xf>
    <xf numFmtId="181" fontId="54" fillId="0" borderId="52" xfId="3" applyNumberFormat="1" applyFont="1" applyFill="1" applyBorder="1" applyAlignment="1">
      <alignment vertical="center"/>
    </xf>
    <xf numFmtId="0" fontId="30" fillId="0" borderId="0" xfId="0" applyFont="1" applyAlignment="1">
      <alignment vertical="center" wrapText="1"/>
    </xf>
    <xf numFmtId="0" fontId="117" fillId="0" borderId="0" xfId="0" applyFont="1" applyAlignment="1">
      <alignment vertical="center" wrapText="1"/>
    </xf>
    <xf numFmtId="0" fontId="113" fillId="0" borderId="60" xfId="328" applyFont="1" applyBorder="1" applyAlignment="1">
      <alignment horizontal="center" vertical="center"/>
    </xf>
    <xf numFmtId="0" fontId="113" fillId="0" borderId="60" xfId="328" applyNumberFormat="1" applyFont="1" applyFill="1" applyBorder="1" applyAlignment="1">
      <alignment vertical="center"/>
    </xf>
    <xf numFmtId="186" fontId="113" fillId="0" borderId="60" xfId="328" applyNumberFormat="1" applyFont="1" applyFill="1" applyBorder="1" applyAlignment="1">
      <alignment vertical="center"/>
    </xf>
    <xf numFmtId="185" fontId="106" fillId="69" borderId="59" xfId="328" applyNumberFormat="1" applyFont="1" applyFill="1" applyBorder="1" applyAlignment="1">
      <alignment horizontal="center" vertical="center"/>
    </xf>
    <xf numFmtId="185" fontId="115" fillId="70" borderId="14" xfId="0" applyNumberFormat="1" applyFont="1" applyFill="1" applyBorder="1">
      <alignment vertical="center"/>
    </xf>
    <xf numFmtId="0" fontId="115" fillId="69" borderId="59" xfId="328" applyFont="1" applyFill="1" applyBorder="1" applyAlignment="1">
      <alignment horizontal="center" vertical="center"/>
    </xf>
    <xf numFmtId="186" fontId="106" fillId="69" borderId="59" xfId="328" applyNumberFormat="1" applyFont="1" applyFill="1" applyBorder="1" applyAlignment="1">
      <alignment horizontal="center" vertical="center"/>
    </xf>
    <xf numFmtId="0" fontId="40" fillId="27" borderId="47" xfId="0" applyFont="1" applyFill="1" applyBorder="1" applyAlignment="1">
      <alignment horizontal="center" vertical="center"/>
    </xf>
    <xf numFmtId="186" fontId="106" fillId="72" borderId="59" xfId="328" applyNumberFormat="1" applyFont="1" applyFill="1" applyBorder="1" applyAlignment="1">
      <alignment horizontal="center" vertical="center"/>
    </xf>
    <xf numFmtId="186" fontId="54" fillId="0" borderId="60" xfId="328" applyNumberFormat="1" applyFont="1" applyBorder="1" applyAlignment="1">
      <alignment vertical="center"/>
    </xf>
    <xf numFmtId="188" fontId="54" fillId="0" borderId="60" xfId="328" applyNumberFormat="1" applyFont="1" applyBorder="1" applyAlignment="1">
      <alignment vertical="center"/>
    </xf>
    <xf numFmtId="9" fontId="54" fillId="0" borderId="60" xfId="328" applyNumberFormat="1" applyFont="1" applyBorder="1" applyAlignment="1">
      <alignment vertical="center"/>
    </xf>
    <xf numFmtId="186" fontId="54" fillId="71" borderId="60" xfId="328" applyNumberFormat="1" applyFont="1" applyFill="1" applyBorder="1" applyAlignment="1">
      <alignment vertical="center"/>
    </xf>
    <xf numFmtId="186" fontId="54" fillId="72" borderId="60" xfId="328" applyNumberFormat="1" applyFont="1" applyFill="1" applyBorder="1" applyAlignment="1">
      <alignment vertical="center"/>
    </xf>
    <xf numFmtId="185" fontId="106" fillId="70" borderId="14" xfId="328" applyNumberFormat="1" applyFont="1" applyFill="1" applyBorder="1" applyAlignment="1">
      <alignment vertical="center"/>
    </xf>
    <xf numFmtId="186" fontId="106" fillId="70" borderId="14" xfId="328" applyNumberFormat="1" applyFont="1" applyFill="1" applyBorder="1" applyAlignment="1">
      <alignment vertical="center"/>
    </xf>
    <xf numFmtId="0" fontId="36" fillId="26" borderId="17" xfId="0" applyNumberFormat="1" applyFont="1" applyFill="1" applyBorder="1" applyAlignment="1">
      <alignment horizontal="center" vertical="center"/>
    </xf>
    <xf numFmtId="41" fontId="36" fillId="27" borderId="65" xfId="3" applyFont="1" applyFill="1" applyBorder="1" applyAlignment="1">
      <alignment vertical="center"/>
    </xf>
    <xf numFmtId="176" fontId="36" fillId="28" borderId="60" xfId="0" applyNumberFormat="1" applyFont="1" applyFill="1" applyBorder="1" applyAlignment="1">
      <alignment horizontal="center" vertical="center"/>
    </xf>
    <xf numFmtId="0" fontId="54" fillId="66" borderId="59" xfId="0" applyFont="1" applyFill="1" applyBorder="1" applyAlignment="1">
      <alignment horizontal="center" vertical="center"/>
    </xf>
    <xf numFmtId="0" fontId="36" fillId="0" borderId="60" xfId="0" applyFont="1" applyFill="1" applyBorder="1">
      <alignment vertical="center"/>
    </xf>
    <xf numFmtId="49" fontId="38" fillId="0" borderId="60" xfId="0" applyNumberFormat="1" applyFont="1" applyFill="1" applyBorder="1" applyAlignment="1">
      <alignment horizontal="center" vertical="center"/>
    </xf>
    <xf numFmtId="176" fontId="38" fillId="0" borderId="60" xfId="0" applyNumberFormat="1" applyFont="1" applyFill="1" applyBorder="1" applyAlignment="1">
      <alignment horizontal="center" vertical="center"/>
    </xf>
    <xf numFmtId="176" fontId="38" fillId="27" borderId="60" xfId="0" applyNumberFormat="1" applyFont="1" applyFill="1" applyBorder="1" applyAlignment="1">
      <alignment horizontal="center" vertical="center"/>
    </xf>
    <xf numFmtId="41" fontId="38" fillId="0" borderId="60" xfId="3" applyFont="1" applyFill="1" applyBorder="1" applyAlignment="1">
      <alignment horizontal="center" vertical="center"/>
    </xf>
    <xf numFmtId="41" fontId="38" fillId="0" borderId="60" xfId="3" applyFont="1" applyFill="1" applyBorder="1" applyAlignment="1">
      <alignment horizontal="center" vertical="center" wrapText="1"/>
    </xf>
    <xf numFmtId="49" fontId="36" fillId="0" borderId="60" xfId="0" applyNumberFormat="1" applyFont="1" applyFill="1" applyBorder="1" applyAlignment="1">
      <alignment horizontal="left" vertical="center"/>
    </xf>
    <xf numFmtId="176" fontId="36" fillId="0" borderId="60" xfId="0" applyNumberFormat="1" applyFont="1" applyFill="1" applyBorder="1">
      <alignment vertical="center"/>
    </xf>
    <xf numFmtId="49" fontId="102" fillId="0" borderId="0" xfId="0" applyNumberFormat="1" applyFont="1" applyFill="1" applyBorder="1" applyAlignment="1">
      <alignment horizontal="left" vertical="center"/>
    </xf>
    <xf numFmtId="186" fontId="106" fillId="70" borderId="28" xfId="328" applyNumberFormat="1" applyFont="1" applyFill="1" applyBorder="1" applyAlignment="1">
      <alignment horizontal="center" vertical="center"/>
    </xf>
    <xf numFmtId="186" fontId="106" fillId="70" borderId="61" xfId="328" applyNumberFormat="1" applyFont="1" applyFill="1" applyBorder="1" applyAlignment="1">
      <alignment horizontal="center" vertical="center"/>
    </xf>
    <xf numFmtId="0" fontId="116" fillId="0" borderId="0" xfId="0" applyFont="1" applyAlignment="1">
      <alignment vertical="center" wrapText="1"/>
    </xf>
    <xf numFmtId="10" fontId="36" fillId="0" borderId="52" xfId="0" applyNumberFormat="1" applyFont="1" applyFill="1" applyBorder="1">
      <alignment vertical="center"/>
    </xf>
    <xf numFmtId="186" fontId="106" fillId="69" borderId="59" xfId="1216" applyNumberFormat="1" applyFont="1" applyFill="1" applyBorder="1" applyAlignment="1">
      <alignment horizontal="center" vertical="center"/>
    </xf>
    <xf numFmtId="185" fontId="106" fillId="69" borderId="59" xfId="1216" applyNumberFormat="1" applyFont="1" applyFill="1" applyBorder="1" applyAlignment="1">
      <alignment horizontal="center" vertical="center"/>
    </xf>
    <xf numFmtId="186" fontId="106" fillId="73" borderId="59" xfId="1216" applyNumberFormat="1" applyFont="1" applyFill="1" applyBorder="1" applyAlignment="1">
      <alignment horizontal="center" vertical="center"/>
    </xf>
    <xf numFmtId="2" fontId="36" fillId="0" borderId="60" xfId="1217" applyNumberFormat="1" applyFont="1" applyBorder="1" applyAlignment="1">
      <alignment horizontal="center" vertical="center"/>
    </xf>
    <xf numFmtId="41" fontId="40" fillId="0" borderId="60" xfId="220" applyFont="1" applyBorder="1" applyAlignment="1">
      <alignment vertical="center" wrapText="1"/>
    </xf>
    <xf numFmtId="189" fontId="36" fillId="0" borderId="60" xfId="220" applyNumberFormat="1" applyFont="1" applyBorder="1" applyAlignment="1">
      <alignment vertical="center" wrapText="1"/>
    </xf>
    <xf numFmtId="41" fontId="36" fillId="0" borderId="60" xfId="220" applyFont="1" applyBorder="1" applyAlignment="1">
      <alignment vertical="center" wrapText="1"/>
    </xf>
    <xf numFmtId="41" fontId="38" fillId="0" borderId="60" xfId="220" applyFont="1" applyBorder="1" applyAlignment="1">
      <alignment vertical="center"/>
    </xf>
    <xf numFmtId="41" fontId="38" fillId="0" borderId="60" xfId="220" applyFont="1" applyFill="1" applyBorder="1" applyAlignment="1">
      <alignment vertical="center"/>
    </xf>
    <xf numFmtId="190" fontId="38" fillId="0" borderId="60" xfId="220" applyNumberFormat="1" applyFont="1" applyFill="1" applyBorder="1" applyAlignment="1">
      <alignment vertical="center"/>
    </xf>
    <xf numFmtId="41" fontId="54" fillId="0" borderId="60" xfId="220" applyFont="1" applyBorder="1">
      <alignment vertical="center"/>
    </xf>
    <xf numFmtId="0" fontId="55" fillId="0" borderId="60" xfId="1217" applyFont="1" applyFill="1" applyBorder="1" applyAlignment="1">
      <alignment vertical="center" wrapText="1"/>
    </xf>
    <xf numFmtId="186" fontId="38" fillId="0" borderId="60" xfId="328" applyNumberFormat="1" applyFont="1" applyBorder="1" applyAlignment="1">
      <alignment vertical="center"/>
    </xf>
    <xf numFmtId="0" fontId="113" fillId="0" borderId="48" xfId="0" applyFont="1" applyBorder="1" applyAlignment="1">
      <alignment horizontal="center" vertical="center"/>
    </xf>
    <xf numFmtId="187" fontId="113" fillId="0" borderId="48" xfId="0" applyNumberFormat="1" applyFont="1" applyBorder="1" applyAlignment="1">
      <alignment horizontal="center" vertical="center"/>
    </xf>
    <xf numFmtId="0" fontId="36" fillId="0" borderId="60" xfId="0" applyFont="1" applyBorder="1">
      <alignment vertical="center"/>
    </xf>
    <xf numFmtId="49" fontId="45" fillId="0" borderId="0" xfId="0" applyNumberFormat="1" applyFont="1" applyFill="1" applyBorder="1" applyAlignment="1">
      <alignment horizontal="left" vertical="center"/>
    </xf>
    <xf numFmtId="49" fontId="36" fillId="0" borderId="20" xfId="0" applyNumberFormat="1" applyFont="1" applyFill="1" applyBorder="1" applyAlignment="1">
      <alignment horizontal="center" vertical="center"/>
    </xf>
    <xf numFmtId="49" fontId="36" fillId="0" borderId="21" xfId="0" applyNumberFormat="1" applyFont="1" applyFill="1" applyBorder="1" applyAlignment="1">
      <alignment horizontal="center" vertical="center"/>
    </xf>
    <xf numFmtId="0" fontId="36" fillId="26" borderId="16" xfId="0" applyNumberFormat="1" applyFont="1" applyFill="1" applyBorder="1" applyAlignment="1">
      <alignment horizontal="center" vertical="center"/>
    </xf>
    <xf numFmtId="0" fontId="36" fillId="26" borderId="62" xfId="0" applyNumberFormat="1" applyFont="1" applyFill="1" applyBorder="1" applyAlignment="1">
      <alignment horizontal="center" vertical="center"/>
    </xf>
    <xf numFmtId="0" fontId="36" fillId="0" borderId="63" xfId="0" applyNumberFormat="1" applyFont="1" applyFill="1" applyBorder="1" applyAlignment="1">
      <alignment horizontal="center" vertical="center"/>
    </xf>
    <xf numFmtId="0" fontId="36" fillId="0" borderId="64" xfId="0" applyNumberFormat="1" applyFont="1" applyFill="1" applyBorder="1" applyAlignment="1">
      <alignment horizontal="center" vertical="center"/>
    </xf>
    <xf numFmtId="0" fontId="36" fillId="0" borderId="47" xfId="0" applyNumberFormat="1" applyFont="1" applyFill="1" applyBorder="1" applyAlignment="1">
      <alignment horizontal="center" vertical="center"/>
    </xf>
    <xf numFmtId="0" fontId="36" fillId="0" borderId="48" xfId="0" applyNumberFormat="1" applyFont="1" applyFill="1" applyBorder="1" applyAlignment="1">
      <alignment horizontal="center" vertical="center"/>
    </xf>
    <xf numFmtId="0" fontId="36" fillId="0" borderId="49" xfId="0" applyNumberFormat="1" applyFont="1" applyFill="1" applyBorder="1" applyAlignment="1">
      <alignment horizontal="center" vertical="center"/>
    </xf>
    <xf numFmtId="0" fontId="57" fillId="35" borderId="32" xfId="0" applyFont="1" applyFill="1" applyBorder="1" applyAlignment="1">
      <alignment horizontal="center" vertical="center"/>
    </xf>
    <xf numFmtId="0" fontId="57" fillId="35" borderId="33" xfId="0" applyFont="1" applyFill="1" applyBorder="1" applyAlignment="1">
      <alignment horizontal="center" vertical="center"/>
    </xf>
    <xf numFmtId="0" fontId="116" fillId="0" borderId="0" xfId="0" applyFont="1" applyAlignment="1">
      <alignment vertical="center" wrapText="1"/>
    </xf>
    <xf numFmtId="0" fontId="118" fillId="0" borderId="0" xfId="0" applyFont="1" applyAlignment="1">
      <alignment vertical="center" wrapText="1"/>
    </xf>
    <xf numFmtId="41" fontId="35" fillId="0" borderId="0" xfId="3" applyFont="1" applyFill="1" applyBorder="1" applyAlignment="1">
      <alignment vertical="center"/>
    </xf>
    <xf numFmtId="0" fontId="116" fillId="0" borderId="0" xfId="0" applyFont="1" applyAlignment="1">
      <alignment vertical="center"/>
    </xf>
  </cellXfs>
  <cellStyles count="1218">
    <cellStyle name="=C:\WINNT\SYSTEM32\COMMAND.COM" xfId="4" xr:uid="{00000000-0005-0000-0000-000000000000}"/>
    <cellStyle name="=C:\WINNT\SYSTEM32\COMMAND.COM 10" xfId="5" xr:uid="{00000000-0005-0000-0000-000001000000}"/>
    <cellStyle name="=C:\WINNT\SYSTEM32\COMMAND.COM 2" xfId="6" xr:uid="{00000000-0005-0000-0000-000002000000}"/>
    <cellStyle name="=C:\WINNT\SYSTEM32\COMMAND.COM 2 2" xfId="7" xr:uid="{00000000-0005-0000-0000-000003000000}"/>
    <cellStyle name="=C:\WINNT\SYSTEM32\COMMAND.COM 2 2 2" xfId="752" xr:uid="{00000000-0005-0000-0000-000004000000}"/>
    <cellStyle name="=C:\WINNT\SYSTEM32\COMMAND.COM 2 3" xfId="8" xr:uid="{00000000-0005-0000-0000-000005000000}"/>
    <cellStyle name="=C:\WINNT\SYSTEM32\COMMAND.COM 2 3 2" xfId="753" xr:uid="{00000000-0005-0000-0000-000006000000}"/>
    <cellStyle name="=C:\WINNT\SYSTEM32\COMMAND.COM 2 4" xfId="9" xr:uid="{00000000-0005-0000-0000-000007000000}"/>
    <cellStyle name="=C:\WINNT\SYSTEM32\COMMAND.COM 2 4 2" xfId="754" xr:uid="{00000000-0005-0000-0000-000008000000}"/>
    <cellStyle name="=C:\WINNT\SYSTEM32\COMMAND.COM 2 5" xfId="10" xr:uid="{00000000-0005-0000-0000-000009000000}"/>
    <cellStyle name="=C:\WINNT\SYSTEM32\COMMAND.COM 2 5 2" xfId="755" xr:uid="{00000000-0005-0000-0000-00000A000000}"/>
    <cellStyle name="=C:\WINNT\SYSTEM32\COMMAND.COM 2 6" xfId="751" xr:uid="{00000000-0005-0000-0000-00000B000000}"/>
    <cellStyle name="=C:\WINNT\SYSTEM32\COMMAND.COM 3" xfId="11" xr:uid="{00000000-0005-0000-0000-00000C000000}"/>
    <cellStyle name="=C:\WINNT\SYSTEM32\COMMAND.COM 3 2" xfId="12" xr:uid="{00000000-0005-0000-0000-00000D000000}"/>
    <cellStyle name="=C:\WINNT\SYSTEM32\COMMAND.COM 3 3" xfId="13" xr:uid="{00000000-0005-0000-0000-00000E000000}"/>
    <cellStyle name="=C:\WINNT\SYSTEM32\COMMAND.COM 3 4" xfId="14" xr:uid="{00000000-0005-0000-0000-00000F000000}"/>
    <cellStyle name="=C:\WINNT\SYSTEM32\COMMAND.COM 3 5" xfId="15" xr:uid="{00000000-0005-0000-0000-000010000000}"/>
    <cellStyle name="=C:\WINNT\SYSTEM32\COMMAND.COM 3 6" xfId="756" xr:uid="{00000000-0005-0000-0000-000011000000}"/>
    <cellStyle name="=C:\WINNT\SYSTEM32\COMMAND.COM 4" xfId="16" xr:uid="{00000000-0005-0000-0000-000012000000}"/>
    <cellStyle name="=C:\WINNT\SYSTEM32\COMMAND.COM 4 2" xfId="17" xr:uid="{00000000-0005-0000-0000-000013000000}"/>
    <cellStyle name="=C:\WINNT\SYSTEM32\COMMAND.COM 4 3" xfId="757" xr:uid="{00000000-0005-0000-0000-000014000000}"/>
    <cellStyle name="=C:\WINNT\SYSTEM32\COMMAND.COM 5" xfId="18" xr:uid="{00000000-0005-0000-0000-000015000000}"/>
    <cellStyle name="=C:\WINNT\SYSTEM32\COMMAND.COM 5 2" xfId="758" xr:uid="{00000000-0005-0000-0000-000016000000}"/>
    <cellStyle name="=C:\WINNT\SYSTEM32\COMMAND.COM 6" xfId="19" xr:uid="{00000000-0005-0000-0000-000017000000}"/>
    <cellStyle name="=C:\WINNT\SYSTEM32\COMMAND.COM 6 2" xfId="759" xr:uid="{00000000-0005-0000-0000-000018000000}"/>
    <cellStyle name="=C:\WINNT\SYSTEM32\COMMAND.COM 7" xfId="20" xr:uid="{00000000-0005-0000-0000-000019000000}"/>
    <cellStyle name="=C:\WINNT\SYSTEM32\COMMAND.COM 7 2" xfId="760" xr:uid="{00000000-0005-0000-0000-00001A000000}"/>
    <cellStyle name="=C:\WINNT\SYSTEM32\COMMAND.COM 8" xfId="21" xr:uid="{00000000-0005-0000-0000-00001B000000}"/>
    <cellStyle name="=C:\WINNT\SYSTEM32\COMMAND.COM 8 2" xfId="761" xr:uid="{00000000-0005-0000-0000-00001C000000}"/>
    <cellStyle name="=C:\WINNT\SYSTEM32\COMMAND.COM 9" xfId="22" xr:uid="{00000000-0005-0000-0000-00001D000000}"/>
    <cellStyle name="=C:\WINNT\SYSTEM32\COMMAND.COM 9 2" xfId="762" xr:uid="{00000000-0005-0000-0000-00001E000000}"/>
    <cellStyle name="=C:\WINNT\SYSTEM32\COMMAND.COM_KT_WB_PPV_NOV_11_WB" xfId="23" xr:uid="{00000000-0005-0000-0000-00001F000000}"/>
    <cellStyle name="20% - 강조색1" xfId="718" builtinId="30" customBuiltin="1"/>
    <cellStyle name="20% - 강조색1 10" xfId="24" xr:uid="{00000000-0005-0000-0000-000020000000}"/>
    <cellStyle name="20% - 강조색1 10 2" xfId="1104" xr:uid="{00000000-0005-0000-0000-000021000000}"/>
    <cellStyle name="20% - 강조색1 11" xfId="25" xr:uid="{00000000-0005-0000-0000-000022000000}"/>
    <cellStyle name="20% - 강조색1 11 2" xfId="1119" xr:uid="{00000000-0005-0000-0000-000023000000}"/>
    <cellStyle name="20% - 강조색1 12" xfId="26" xr:uid="{00000000-0005-0000-0000-000024000000}"/>
    <cellStyle name="20% - 강조색1 12 2" xfId="1134" xr:uid="{00000000-0005-0000-0000-000025000000}"/>
    <cellStyle name="20% - 강조색1 13" xfId="27" xr:uid="{00000000-0005-0000-0000-000026000000}"/>
    <cellStyle name="20% - 강조색1 13 2" xfId="1149" xr:uid="{00000000-0005-0000-0000-000027000000}"/>
    <cellStyle name="20% - 강조색1 14" xfId="28" xr:uid="{00000000-0005-0000-0000-000028000000}"/>
    <cellStyle name="20% - 강조색1 14 2" xfId="1199" xr:uid="{00000000-0005-0000-0000-000029000000}"/>
    <cellStyle name="20% - 강조색1 2" xfId="29" xr:uid="{00000000-0005-0000-0000-00002A000000}"/>
    <cellStyle name="20% - 강조색1 2 2" xfId="763" xr:uid="{00000000-0005-0000-0000-00002B000000}"/>
    <cellStyle name="20% - 강조색1 3" xfId="30" xr:uid="{00000000-0005-0000-0000-00002C000000}"/>
    <cellStyle name="20% - 강조색1 3 2" xfId="1002" xr:uid="{00000000-0005-0000-0000-00002D000000}"/>
    <cellStyle name="20% - 강조색1 4" xfId="31" xr:uid="{00000000-0005-0000-0000-00002E000000}"/>
    <cellStyle name="20% - 강조색1 4 2" xfId="1016" xr:uid="{00000000-0005-0000-0000-00002F000000}"/>
    <cellStyle name="20% - 강조색1 5" xfId="32" xr:uid="{00000000-0005-0000-0000-000030000000}"/>
    <cellStyle name="20% - 강조색1 5 2" xfId="1030" xr:uid="{00000000-0005-0000-0000-000031000000}"/>
    <cellStyle name="20% - 강조색1 6" xfId="33" xr:uid="{00000000-0005-0000-0000-000032000000}"/>
    <cellStyle name="20% - 강조색1 6 2" xfId="1044" xr:uid="{00000000-0005-0000-0000-000033000000}"/>
    <cellStyle name="20% - 강조색1 7" xfId="34" xr:uid="{00000000-0005-0000-0000-000034000000}"/>
    <cellStyle name="20% - 강조색1 7 2" xfId="1059" xr:uid="{00000000-0005-0000-0000-000035000000}"/>
    <cellStyle name="20% - 강조색1 8" xfId="35" xr:uid="{00000000-0005-0000-0000-000036000000}"/>
    <cellStyle name="20% - 강조색1 8 2" xfId="1074" xr:uid="{00000000-0005-0000-0000-000037000000}"/>
    <cellStyle name="20% - 강조색1 9" xfId="36" xr:uid="{00000000-0005-0000-0000-000038000000}"/>
    <cellStyle name="20% - 강조색1 9 2" xfId="1089" xr:uid="{00000000-0005-0000-0000-000039000000}"/>
    <cellStyle name="20% - 강조색2" xfId="721" builtinId="34" customBuiltin="1"/>
    <cellStyle name="20% - 강조색2 10" xfId="37" xr:uid="{00000000-0005-0000-0000-00003A000000}"/>
    <cellStyle name="20% - 강조색2 10 2" xfId="1106" xr:uid="{00000000-0005-0000-0000-00003B000000}"/>
    <cellStyle name="20% - 강조색2 11" xfId="38" xr:uid="{00000000-0005-0000-0000-00003C000000}"/>
    <cellStyle name="20% - 강조색2 11 2" xfId="1121" xr:uid="{00000000-0005-0000-0000-00003D000000}"/>
    <cellStyle name="20% - 강조색2 12" xfId="39" xr:uid="{00000000-0005-0000-0000-00003E000000}"/>
    <cellStyle name="20% - 강조색2 12 2" xfId="1136" xr:uid="{00000000-0005-0000-0000-00003F000000}"/>
    <cellStyle name="20% - 강조색2 13" xfId="40" xr:uid="{00000000-0005-0000-0000-000040000000}"/>
    <cellStyle name="20% - 강조색2 13 2" xfId="1151" xr:uid="{00000000-0005-0000-0000-000041000000}"/>
    <cellStyle name="20% - 강조색2 14" xfId="41" xr:uid="{00000000-0005-0000-0000-000042000000}"/>
    <cellStyle name="20% - 강조색2 14 2" xfId="1201" xr:uid="{00000000-0005-0000-0000-000043000000}"/>
    <cellStyle name="20% - 강조색2 2" xfId="42" xr:uid="{00000000-0005-0000-0000-000044000000}"/>
    <cellStyle name="20% - 강조색2 2 2" xfId="764" xr:uid="{00000000-0005-0000-0000-000045000000}"/>
    <cellStyle name="20% - 강조색2 3" xfId="43" xr:uid="{00000000-0005-0000-0000-000046000000}"/>
    <cellStyle name="20% - 강조색2 3 2" xfId="1004" xr:uid="{00000000-0005-0000-0000-000047000000}"/>
    <cellStyle name="20% - 강조색2 4" xfId="44" xr:uid="{00000000-0005-0000-0000-000048000000}"/>
    <cellStyle name="20% - 강조색2 4 2" xfId="1018" xr:uid="{00000000-0005-0000-0000-000049000000}"/>
    <cellStyle name="20% - 강조색2 5" xfId="45" xr:uid="{00000000-0005-0000-0000-00004A000000}"/>
    <cellStyle name="20% - 강조색2 5 2" xfId="1032" xr:uid="{00000000-0005-0000-0000-00004B000000}"/>
    <cellStyle name="20% - 강조색2 6" xfId="46" xr:uid="{00000000-0005-0000-0000-00004C000000}"/>
    <cellStyle name="20% - 강조색2 6 2" xfId="1046" xr:uid="{00000000-0005-0000-0000-00004D000000}"/>
    <cellStyle name="20% - 강조색2 7" xfId="47" xr:uid="{00000000-0005-0000-0000-00004E000000}"/>
    <cellStyle name="20% - 강조색2 7 2" xfId="1061" xr:uid="{00000000-0005-0000-0000-00004F000000}"/>
    <cellStyle name="20% - 강조색2 8" xfId="48" xr:uid="{00000000-0005-0000-0000-000050000000}"/>
    <cellStyle name="20% - 강조색2 8 2" xfId="1076" xr:uid="{00000000-0005-0000-0000-000051000000}"/>
    <cellStyle name="20% - 강조색2 9" xfId="49" xr:uid="{00000000-0005-0000-0000-000052000000}"/>
    <cellStyle name="20% - 강조색2 9 2" xfId="1091" xr:uid="{00000000-0005-0000-0000-000053000000}"/>
    <cellStyle name="20% - 강조색3" xfId="724" builtinId="38" customBuiltin="1"/>
    <cellStyle name="20% - 강조색3 10" xfId="50" xr:uid="{00000000-0005-0000-0000-000054000000}"/>
    <cellStyle name="20% - 강조색3 10 2" xfId="1108" xr:uid="{00000000-0005-0000-0000-000055000000}"/>
    <cellStyle name="20% - 강조색3 11" xfId="51" xr:uid="{00000000-0005-0000-0000-000056000000}"/>
    <cellStyle name="20% - 강조색3 11 2" xfId="1123" xr:uid="{00000000-0005-0000-0000-000057000000}"/>
    <cellStyle name="20% - 강조색3 12" xfId="52" xr:uid="{00000000-0005-0000-0000-000058000000}"/>
    <cellStyle name="20% - 강조색3 12 2" xfId="1138" xr:uid="{00000000-0005-0000-0000-000059000000}"/>
    <cellStyle name="20% - 강조색3 13" xfId="53" xr:uid="{00000000-0005-0000-0000-00005A000000}"/>
    <cellStyle name="20% - 강조색3 13 2" xfId="1153" xr:uid="{00000000-0005-0000-0000-00005B000000}"/>
    <cellStyle name="20% - 강조색3 14" xfId="54" xr:uid="{00000000-0005-0000-0000-00005C000000}"/>
    <cellStyle name="20% - 강조색3 14 2" xfId="1203" xr:uid="{00000000-0005-0000-0000-00005D000000}"/>
    <cellStyle name="20% - 강조색3 2" xfId="55" xr:uid="{00000000-0005-0000-0000-00005E000000}"/>
    <cellStyle name="20% - 강조색3 2 2" xfId="765" xr:uid="{00000000-0005-0000-0000-00005F000000}"/>
    <cellStyle name="20% - 강조색3 3" xfId="56" xr:uid="{00000000-0005-0000-0000-000060000000}"/>
    <cellStyle name="20% - 강조색3 3 2" xfId="1006" xr:uid="{00000000-0005-0000-0000-000061000000}"/>
    <cellStyle name="20% - 강조색3 4" xfId="57" xr:uid="{00000000-0005-0000-0000-000062000000}"/>
    <cellStyle name="20% - 강조색3 4 2" xfId="1020" xr:uid="{00000000-0005-0000-0000-000063000000}"/>
    <cellStyle name="20% - 강조색3 5" xfId="58" xr:uid="{00000000-0005-0000-0000-000064000000}"/>
    <cellStyle name="20% - 강조색3 5 2" xfId="1034" xr:uid="{00000000-0005-0000-0000-000065000000}"/>
    <cellStyle name="20% - 강조색3 6" xfId="59" xr:uid="{00000000-0005-0000-0000-000066000000}"/>
    <cellStyle name="20% - 강조색3 6 2" xfId="1048" xr:uid="{00000000-0005-0000-0000-000067000000}"/>
    <cellStyle name="20% - 강조색3 7" xfId="60" xr:uid="{00000000-0005-0000-0000-000068000000}"/>
    <cellStyle name="20% - 강조색3 7 2" xfId="1063" xr:uid="{00000000-0005-0000-0000-000069000000}"/>
    <cellStyle name="20% - 강조색3 8" xfId="61" xr:uid="{00000000-0005-0000-0000-00006A000000}"/>
    <cellStyle name="20% - 강조색3 8 2" xfId="1078" xr:uid="{00000000-0005-0000-0000-00006B000000}"/>
    <cellStyle name="20% - 강조색3 9" xfId="62" xr:uid="{00000000-0005-0000-0000-00006C000000}"/>
    <cellStyle name="20% - 강조색3 9 2" xfId="1093" xr:uid="{00000000-0005-0000-0000-00006D000000}"/>
    <cellStyle name="20% - 강조색4" xfId="727" builtinId="42" customBuiltin="1"/>
    <cellStyle name="20% - 강조색4 10" xfId="63" xr:uid="{00000000-0005-0000-0000-00006E000000}"/>
    <cellStyle name="20% - 강조색4 10 2" xfId="1110" xr:uid="{00000000-0005-0000-0000-00006F000000}"/>
    <cellStyle name="20% - 강조색4 11" xfId="64" xr:uid="{00000000-0005-0000-0000-000070000000}"/>
    <cellStyle name="20% - 강조색4 11 2" xfId="1125" xr:uid="{00000000-0005-0000-0000-000071000000}"/>
    <cellStyle name="20% - 강조색4 12" xfId="65" xr:uid="{00000000-0005-0000-0000-000072000000}"/>
    <cellStyle name="20% - 강조색4 12 2" xfId="1140" xr:uid="{00000000-0005-0000-0000-000073000000}"/>
    <cellStyle name="20% - 강조색4 13" xfId="66" xr:uid="{00000000-0005-0000-0000-000074000000}"/>
    <cellStyle name="20% - 강조색4 13 2" xfId="1155" xr:uid="{00000000-0005-0000-0000-000075000000}"/>
    <cellStyle name="20% - 강조색4 14" xfId="67" xr:uid="{00000000-0005-0000-0000-000076000000}"/>
    <cellStyle name="20% - 강조색4 14 2" xfId="1205" xr:uid="{00000000-0005-0000-0000-000077000000}"/>
    <cellStyle name="20% - 강조색4 2" xfId="68" xr:uid="{00000000-0005-0000-0000-000078000000}"/>
    <cellStyle name="20% - 강조색4 2 2" xfId="766" xr:uid="{00000000-0005-0000-0000-000079000000}"/>
    <cellStyle name="20% - 강조색4 3" xfId="69" xr:uid="{00000000-0005-0000-0000-00007A000000}"/>
    <cellStyle name="20% - 강조색4 3 2" xfId="1008" xr:uid="{00000000-0005-0000-0000-00007B000000}"/>
    <cellStyle name="20% - 강조색4 4" xfId="70" xr:uid="{00000000-0005-0000-0000-00007C000000}"/>
    <cellStyle name="20% - 강조색4 4 2" xfId="1022" xr:uid="{00000000-0005-0000-0000-00007D000000}"/>
    <cellStyle name="20% - 강조색4 5" xfId="71" xr:uid="{00000000-0005-0000-0000-00007E000000}"/>
    <cellStyle name="20% - 강조색4 5 2" xfId="1036" xr:uid="{00000000-0005-0000-0000-00007F000000}"/>
    <cellStyle name="20% - 강조색4 6" xfId="72" xr:uid="{00000000-0005-0000-0000-000080000000}"/>
    <cellStyle name="20% - 강조색4 6 2" xfId="1050" xr:uid="{00000000-0005-0000-0000-000081000000}"/>
    <cellStyle name="20% - 강조색4 7" xfId="73" xr:uid="{00000000-0005-0000-0000-000082000000}"/>
    <cellStyle name="20% - 강조색4 7 2" xfId="1065" xr:uid="{00000000-0005-0000-0000-000083000000}"/>
    <cellStyle name="20% - 강조색4 8" xfId="74" xr:uid="{00000000-0005-0000-0000-000084000000}"/>
    <cellStyle name="20% - 강조색4 8 2" xfId="1080" xr:uid="{00000000-0005-0000-0000-000085000000}"/>
    <cellStyle name="20% - 강조색4 9" xfId="75" xr:uid="{00000000-0005-0000-0000-000086000000}"/>
    <cellStyle name="20% - 강조색4 9 2" xfId="1095" xr:uid="{00000000-0005-0000-0000-000087000000}"/>
    <cellStyle name="20% - 강조색5" xfId="730" builtinId="46" customBuiltin="1"/>
    <cellStyle name="20% - 강조색5 10" xfId="76" xr:uid="{00000000-0005-0000-0000-000088000000}"/>
    <cellStyle name="20% - 강조색5 10 2" xfId="1112" xr:uid="{00000000-0005-0000-0000-000089000000}"/>
    <cellStyle name="20% - 강조색5 11" xfId="77" xr:uid="{00000000-0005-0000-0000-00008A000000}"/>
    <cellStyle name="20% - 강조색5 11 2" xfId="1127" xr:uid="{00000000-0005-0000-0000-00008B000000}"/>
    <cellStyle name="20% - 강조색5 12" xfId="78" xr:uid="{00000000-0005-0000-0000-00008C000000}"/>
    <cellStyle name="20% - 강조색5 12 2" xfId="1142" xr:uid="{00000000-0005-0000-0000-00008D000000}"/>
    <cellStyle name="20% - 강조색5 13" xfId="79" xr:uid="{00000000-0005-0000-0000-00008E000000}"/>
    <cellStyle name="20% - 강조색5 13 2" xfId="1157" xr:uid="{00000000-0005-0000-0000-00008F000000}"/>
    <cellStyle name="20% - 강조색5 14" xfId="80" xr:uid="{00000000-0005-0000-0000-000090000000}"/>
    <cellStyle name="20% - 강조색5 14 2" xfId="1207" xr:uid="{00000000-0005-0000-0000-000091000000}"/>
    <cellStyle name="20% - 강조색5 2" xfId="81" xr:uid="{00000000-0005-0000-0000-000092000000}"/>
    <cellStyle name="20% - 강조색5 2 2" xfId="767" xr:uid="{00000000-0005-0000-0000-000093000000}"/>
    <cellStyle name="20% - 강조색5 3" xfId="82" xr:uid="{00000000-0005-0000-0000-000094000000}"/>
    <cellStyle name="20% - 강조색5 3 2" xfId="1010" xr:uid="{00000000-0005-0000-0000-000095000000}"/>
    <cellStyle name="20% - 강조색5 4" xfId="83" xr:uid="{00000000-0005-0000-0000-000096000000}"/>
    <cellStyle name="20% - 강조색5 4 2" xfId="1024" xr:uid="{00000000-0005-0000-0000-000097000000}"/>
    <cellStyle name="20% - 강조색5 5" xfId="84" xr:uid="{00000000-0005-0000-0000-000098000000}"/>
    <cellStyle name="20% - 강조색5 5 2" xfId="1038" xr:uid="{00000000-0005-0000-0000-000099000000}"/>
    <cellStyle name="20% - 강조색5 6" xfId="85" xr:uid="{00000000-0005-0000-0000-00009A000000}"/>
    <cellStyle name="20% - 강조색5 6 2" xfId="1052" xr:uid="{00000000-0005-0000-0000-00009B000000}"/>
    <cellStyle name="20% - 강조색5 7" xfId="86" xr:uid="{00000000-0005-0000-0000-00009C000000}"/>
    <cellStyle name="20% - 강조색5 7 2" xfId="1067" xr:uid="{00000000-0005-0000-0000-00009D000000}"/>
    <cellStyle name="20% - 강조색5 8" xfId="87" xr:uid="{00000000-0005-0000-0000-00009E000000}"/>
    <cellStyle name="20% - 강조색5 8 2" xfId="1082" xr:uid="{00000000-0005-0000-0000-00009F000000}"/>
    <cellStyle name="20% - 강조색5 9" xfId="88" xr:uid="{00000000-0005-0000-0000-0000A0000000}"/>
    <cellStyle name="20% - 강조색5 9 2" xfId="1097" xr:uid="{00000000-0005-0000-0000-0000A1000000}"/>
    <cellStyle name="20% - 강조색6" xfId="733" builtinId="50" customBuiltin="1"/>
    <cellStyle name="20% - 강조색6 10" xfId="89" xr:uid="{00000000-0005-0000-0000-0000A2000000}"/>
    <cellStyle name="20% - 강조색6 10 2" xfId="1114" xr:uid="{00000000-0005-0000-0000-0000A3000000}"/>
    <cellStyle name="20% - 강조색6 11" xfId="90" xr:uid="{00000000-0005-0000-0000-0000A4000000}"/>
    <cellStyle name="20% - 강조색6 11 2" xfId="1129" xr:uid="{00000000-0005-0000-0000-0000A5000000}"/>
    <cellStyle name="20% - 강조색6 12" xfId="91" xr:uid="{00000000-0005-0000-0000-0000A6000000}"/>
    <cellStyle name="20% - 강조색6 12 2" xfId="1144" xr:uid="{00000000-0005-0000-0000-0000A7000000}"/>
    <cellStyle name="20% - 강조색6 13" xfId="92" xr:uid="{00000000-0005-0000-0000-0000A8000000}"/>
    <cellStyle name="20% - 강조색6 13 2" xfId="1159" xr:uid="{00000000-0005-0000-0000-0000A9000000}"/>
    <cellStyle name="20% - 강조색6 14" xfId="93" xr:uid="{00000000-0005-0000-0000-0000AA000000}"/>
    <cellStyle name="20% - 강조색6 14 2" xfId="1209" xr:uid="{00000000-0005-0000-0000-0000AB000000}"/>
    <cellStyle name="20% - 강조색6 2" xfId="94" xr:uid="{00000000-0005-0000-0000-0000AC000000}"/>
    <cellStyle name="20% - 강조색6 2 2" xfId="768" xr:uid="{00000000-0005-0000-0000-0000AD000000}"/>
    <cellStyle name="20% - 강조색6 3" xfId="95" xr:uid="{00000000-0005-0000-0000-0000AE000000}"/>
    <cellStyle name="20% - 강조색6 3 2" xfId="1012" xr:uid="{00000000-0005-0000-0000-0000AF000000}"/>
    <cellStyle name="20% - 강조색6 4" xfId="96" xr:uid="{00000000-0005-0000-0000-0000B0000000}"/>
    <cellStyle name="20% - 강조색6 4 2" xfId="1026" xr:uid="{00000000-0005-0000-0000-0000B1000000}"/>
    <cellStyle name="20% - 강조색6 5" xfId="97" xr:uid="{00000000-0005-0000-0000-0000B2000000}"/>
    <cellStyle name="20% - 강조색6 5 2" xfId="1040" xr:uid="{00000000-0005-0000-0000-0000B3000000}"/>
    <cellStyle name="20% - 강조색6 6" xfId="98" xr:uid="{00000000-0005-0000-0000-0000B4000000}"/>
    <cellStyle name="20% - 강조색6 6 2" xfId="1054" xr:uid="{00000000-0005-0000-0000-0000B5000000}"/>
    <cellStyle name="20% - 강조색6 7" xfId="99" xr:uid="{00000000-0005-0000-0000-0000B6000000}"/>
    <cellStyle name="20% - 강조색6 7 2" xfId="1069" xr:uid="{00000000-0005-0000-0000-0000B7000000}"/>
    <cellStyle name="20% - 강조색6 8" xfId="100" xr:uid="{00000000-0005-0000-0000-0000B8000000}"/>
    <cellStyle name="20% - 강조색6 8 2" xfId="1084" xr:uid="{00000000-0005-0000-0000-0000B9000000}"/>
    <cellStyle name="20% - 강조색6 9" xfId="101" xr:uid="{00000000-0005-0000-0000-0000BA000000}"/>
    <cellStyle name="20% - 강조색6 9 2" xfId="1099" xr:uid="{00000000-0005-0000-0000-0000BB000000}"/>
    <cellStyle name="40% - 강조색1" xfId="719" builtinId="31" customBuiltin="1"/>
    <cellStyle name="40% - 강조색1 10" xfId="102" xr:uid="{00000000-0005-0000-0000-0000C2000000}"/>
    <cellStyle name="40% - 강조색1 10 2" xfId="1105" xr:uid="{00000000-0005-0000-0000-0000C3000000}"/>
    <cellStyle name="40% - 강조색1 11" xfId="103" xr:uid="{00000000-0005-0000-0000-0000C4000000}"/>
    <cellStyle name="40% - 강조색1 11 2" xfId="1120" xr:uid="{00000000-0005-0000-0000-0000C5000000}"/>
    <cellStyle name="40% - 강조색1 12" xfId="104" xr:uid="{00000000-0005-0000-0000-0000C6000000}"/>
    <cellStyle name="40% - 강조색1 12 2" xfId="1135" xr:uid="{00000000-0005-0000-0000-0000C7000000}"/>
    <cellStyle name="40% - 강조색1 13" xfId="105" xr:uid="{00000000-0005-0000-0000-0000C8000000}"/>
    <cellStyle name="40% - 강조색1 13 2" xfId="1150" xr:uid="{00000000-0005-0000-0000-0000C9000000}"/>
    <cellStyle name="40% - 강조색1 14" xfId="106" xr:uid="{00000000-0005-0000-0000-0000CA000000}"/>
    <cellStyle name="40% - 강조색1 14 2" xfId="1200" xr:uid="{00000000-0005-0000-0000-0000CB000000}"/>
    <cellStyle name="40% - 강조색1 2" xfId="107" xr:uid="{00000000-0005-0000-0000-0000CC000000}"/>
    <cellStyle name="40% - 강조색1 2 2" xfId="769" xr:uid="{00000000-0005-0000-0000-0000CD000000}"/>
    <cellStyle name="40% - 강조색1 3" xfId="108" xr:uid="{00000000-0005-0000-0000-0000CE000000}"/>
    <cellStyle name="40% - 강조색1 3 2" xfId="1003" xr:uid="{00000000-0005-0000-0000-0000CF000000}"/>
    <cellStyle name="40% - 강조색1 4" xfId="109" xr:uid="{00000000-0005-0000-0000-0000D0000000}"/>
    <cellStyle name="40% - 강조색1 4 2" xfId="1017" xr:uid="{00000000-0005-0000-0000-0000D1000000}"/>
    <cellStyle name="40% - 강조색1 5" xfId="110" xr:uid="{00000000-0005-0000-0000-0000D2000000}"/>
    <cellStyle name="40% - 강조색1 5 2" xfId="1031" xr:uid="{00000000-0005-0000-0000-0000D3000000}"/>
    <cellStyle name="40% - 강조색1 6" xfId="111" xr:uid="{00000000-0005-0000-0000-0000D4000000}"/>
    <cellStyle name="40% - 강조색1 6 2" xfId="1045" xr:uid="{00000000-0005-0000-0000-0000D5000000}"/>
    <cellStyle name="40% - 강조색1 7" xfId="112" xr:uid="{00000000-0005-0000-0000-0000D6000000}"/>
    <cellStyle name="40% - 강조색1 7 2" xfId="1060" xr:uid="{00000000-0005-0000-0000-0000D7000000}"/>
    <cellStyle name="40% - 강조색1 8" xfId="113" xr:uid="{00000000-0005-0000-0000-0000D8000000}"/>
    <cellStyle name="40% - 강조색1 8 2" xfId="1075" xr:uid="{00000000-0005-0000-0000-0000D9000000}"/>
    <cellStyle name="40% - 강조색1 9" xfId="114" xr:uid="{00000000-0005-0000-0000-0000DA000000}"/>
    <cellStyle name="40% - 강조색1 9 2" xfId="1090" xr:uid="{00000000-0005-0000-0000-0000DB000000}"/>
    <cellStyle name="40% - 강조색2" xfId="722" builtinId="35" customBuiltin="1"/>
    <cellStyle name="40% - 강조색2 10" xfId="115" xr:uid="{00000000-0005-0000-0000-0000DC000000}"/>
    <cellStyle name="40% - 강조색2 10 2" xfId="1107" xr:uid="{00000000-0005-0000-0000-0000DD000000}"/>
    <cellStyle name="40% - 강조색2 11" xfId="116" xr:uid="{00000000-0005-0000-0000-0000DE000000}"/>
    <cellStyle name="40% - 강조색2 11 2" xfId="1122" xr:uid="{00000000-0005-0000-0000-0000DF000000}"/>
    <cellStyle name="40% - 강조색2 12" xfId="117" xr:uid="{00000000-0005-0000-0000-0000E0000000}"/>
    <cellStyle name="40% - 강조색2 12 2" xfId="1137" xr:uid="{00000000-0005-0000-0000-0000E1000000}"/>
    <cellStyle name="40% - 강조색2 13" xfId="118" xr:uid="{00000000-0005-0000-0000-0000E2000000}"/>
    <cellStyle name="40% - 강조색2 13 2" xfId="1152" xr:uid="{00000000-0005-0000-0000-0000E3000000}"/>
    <cellStyle name="40% - 강조색2 14" xfId="119" xr:uid="{00000000-0005-0000-0000-0000E4000000}"/>
    <cellStyle name="40% - 강조색2 14 2" xfId="1202" xr:uid="{00000000-0005-0000-0000-0000E5000000}"/>
    <cellStyle name="40% - 강조색2 2" xfId="120" xr:uid="{00000000-0005-0000-0000-0000E6000000}"/>
    <cellStyle name="40% - 강조색2 2 2" xfId="770" xr:uid="{00000000-0005-0000-0000-0000E7000000}"/>
    <cellStyle name="40% - 강조색2 3" xfId="121" xr:uid="{00000000-0005-0000-0000-0000E8000000}"/>
    <cellStyle name="40% - 강조색2 3 2" xfId="1005" xr:uid="{00000000-0005-0000-0000-0000E9000000}"/>
    <cellStyle name="40% - 강조색2 4" xfId="122" xr:uid="{00000000-0005-0000-0000-0000EA000000}"/>
    <cellStyle name="40% - 강조색2 4 2" xfId="1019" xr:uid="{00000000-0005-0000-0000-0000EB000000}"/>
    <cellStyle name="40% - 강조색2 5" xfId="123" xr:uid="{00000000-0005-0000-0000-0000EC000000}"/>
    <cellStyle name="40% - 강조색2 5 2" xfId="1033" xr:uid="{00000000-0005-0000-0000-0000ED000000}"/>
    <cellStyle name="40% - 강조색2 6" xfId="124" xr:uid="{00000000-0005-0000-0000-0000EE000000}"/>
    <cellStyle name="40% - 강조색2 6 2" xfId="1047" xr:uid="{00000000-0005-0000-0000-0000EF000000}"/>
    <cellStyle name="40% - 강조색2 7" xfId="125" xr:uid="{00000000-0005-0000-0000-0000F0000000}"/>
    <cellStyle name="40% - 강조색2 7 2" xfId="1062" xr:uid="{00000000-0005-0000-0000-0000F1000000}"/>
    <cellStyle name="40% - 강조색2 8" xfId="126" xr:uid="{00000000-0005-0000-0000-0000F2000000}"/>
    <cellStyle name="40% - 강조색2 8 2" xfId="1077" xr:uid="{00000000-0005-0000-0000-0000F3000000}"/>
    <cellStyle name="40% - 강조색2 9" xfId="127" xr:uid="{00000000-0005-0000-0000-0000F4000000}"/>
    <cellStyle name="40% - 강조색2 9 2" xfId="1092" xr:uid="{00000000-0005-0000-0000-0000F5000000}"/>
    <cellStyle name="40% - 강조색3" xfId="725" builtinId="39" customBuiltin="1"/>
    <cellStyle name="40% - 강조색3 10" xfId="128" xr:uid="{00000000-0005-0000-0000-0000F6000000}"/>
    <cellStyle name="40% - 강조색3 10 2" xfId="1109" xr:uid="{00000000-0005-0000-0000-0000F7000000}"/>
    <cellStyle name="40% - 강조색3 11" xfId="129" xr:uid="{00000000-0005-0000-0000-0000F8000000}"/>
    <cellStyle name="40% - 강조색3 11 2" xfId="1124" xr:uid="{00000000-0005-0000-0000-0000F9000000}"/>
    <cellStyle name="40% - 강조색3 12" xfId="130" xr:uid="{00000000-0005-0000-0000-0000FA000000}"/>
    <cellStyle name="40% - 강조색3 12 2" xfId="1139" xr:uid="{00000000-0005-0000-0000-0000FB000000}"/>
    <cellStyle name="40% - 강조색3 13" xfId="131" xr:uid="{00000000-0005-0000-0000-0000FC000000}"/>
    <cellStyle name="40% - 강조색3 13 2" xfId="1154" xr:uid="{00000000-0005-0000-0000-0000FD000000}"/>
    <cellStyle name="40% - 강조색3 14" xfId="132" xr:uid="{00000000-0005-0000-0000-0000FE000000}"/>
    <cellStyle name="40% - 강조색3 14 2" xfId="1204" xr:uid="{00000000-0005-0000-0000-0000FF000000}"/>
    <cellStyle name="40% - 강조색3 2" xfId="133" xr:uid="{00000000-0005-0000-0000-000000010000}"/>
    <cellStyle name="40% - 강조색3 2 2" xfId="771" xr:uid="{00000000-0005-0000-0000-000001010000}"/>
    <cellStyle name="40% - 강조색3 3" xfId="134" xr:uid="{00000000-0005-0000-0000-000002010000}"/>
    <cellStyle name="40% - 강조색3 3 2" xfId="1007" xr:uid="{00000000-0005-0000-0000-000003010000}"/>
    <cellStyle name="40% - 강조색3 4" xfId="135" xr:uid="{00000000-0005-0000-0000-000004010000}"/>
    <cellStyle name="40% - 강조색3 4 2" xfId="1021" xr:uid="{00000000-0005-0000-0000-000005010000}"/>
    <cellStyle name="40% - 강조색3 5" xfId="136" xr:uid="{00000000-0005-0000-0000-000006010000}"/>
    <cellStyle name="40% - 강조색3 5 2" xfId="1035" xr:uid="{00000000-0005-0000-0000-000007010000}"/>
    <cellStyle name="40% - 강조색3 6" xfId="137" xr:uid="{00000000-0005-0000-0000-000008010000}"/>
    <cellStyle name="40% - 강조색3 6 2" xfId="1049" xr:uid="{00000000-0005-0000-0000-000009010000}"/>
    <cellStyle name="40% - 강조색3 7" xfId="138" xr:uid="{00000000-0005-0000-0000-00000A010000}"/>
    <cellStyle name="40% - 강조색3 7 2" xfId="1064" xr:uid="{00000000-0005-0000-0000-00000B010000}"/>
    <cellStyle name="40% - 강조색3 8" xfId="139" xr:uid="{00000000-0005-0000-0000-00000C010000}"/>
    <cellStyle name="40% - 강조색3 8 2" xfId="1079" xr:uid="{00000000-0005-0000-0000-00000D010000}"/>
    <cellStyle name="40% - 강조색3 9" xfId="140" xr:uid="{00000000-0005-0000-0000-00000E010000}"/>
    <cellStyle name="40% - 강조색3 9 2" xfId="1094" xr:uid="{00000000-0005-0000-0000-00000F010000}"/>
    <cellStyle name="40% - 강조색4" xfId="728" builtinId="43" customBuiltin="1"/>
    <cellStyle name="40% - 강조색4 10" xfId="141" xr:uid="{00000000-0005-0000-0000-000010010000}"/>
    <cellStyle name="40% - 강조색4 10 2" xfId="1111" xr:uid="{00000000-0005-0000-0000-000011010000}"/>
    <cellStyle name="40% - 강조색4 11" xfId="142" xr:uid="{00000000-0005-0000-0000-000012010000}"/>
    <cellStyle name="40% - 강조색4 11 2" xfId="1126" xr:uid="{00000000-0005-0000-0000-000013010000}"/>
    <cellStyle name="40% - 강조색4 12" xfId="143" xr:uid="{00000000-0005-0000-0000-000014010000}"/>
    <cellStyle name="40% - 강조색4 12 2" xfId="1141" xr:uid="{00000000-0005-0000-0000-000015010000}"/>
    <cellStyle name="40% - 강조색4 13" xfId="144" xr:uid="{00000000-0005-0000-0000-000016010000}"/>
    <cellStyle name="40% - 강조색4 13 2" xfId="1156" xr:uid="{00000000-0005-0000-0000-000017010000}"/>
    <cellStyle name="40% - 강조색4 14" xfId="145" xr:uid="{00000000-0005-0000-0000-000018010000}"/>
    <cellStyle name="40% - 강조색4 14 2" xfId="1206" xr:uid="{00000000-0005-0000-0000-000019010000}"/>
    <cellStyle name="40% - 강조색4 2" xfId="146" xr:uid="{00000000-0005-0000-0000-00001A010000}"/>
    <cellStyle name="40% - 강조색4 2 2" xfId="772" xr:uid="{00000000-0005-0000-0000-00001B010000}"/>
    <cellStyle name="40% - 강조색4 3" xfId="147" xr:uid="{00000000-0005-0000-0000-00001C010000}"/>
    <cellStyle name="40% - 강조색4 3 2" xfId="1009" xr:uid="{00000000-0005-0000-0000-00001D010000}"/>
    <cellStyle name="40% - 강조색4 4" xfId="148" xr:uid="{00000000-0005-0000-0000-00001E010000}"/>
    <cellStyle name="40% - 강조색4 4 2" xfId="1023" xr:uid="{00000000-0005-0000-0000-00001F010000}"/>
    <cellStyle name="40% - 강조색4 5" xfId="149" xr:uid="{00000000-0005-0000-0000-000020010000}"/>
    <cellStyle name="40% - 강조색4 5 2" xfId="1037" xr:uid="{00000000-0005-0000-0000-000021010000}"/>
    <cellStyle name="40% - 강조색4 6" xfId="150" xr:uid="{00000000-0005-0000-0000-000022010000}"/>
    <cellStyle name="40% - 강조색4 6 2" xfId="1051" xr:uid="{00000000-0005-0000-0000-000023010000}"/>
    <cellStyle name="40% - 강조색4 7" xfId="151" xr:uid="{00000000-0005-0000-0000-000024010000}"/>
    <cellStyle name="40% - 강조색4 7 2" xfId="1066" xr:uid="{00000000-0005-0000-0000-000025010000}"/>
    <cellStyle name="40% - 강조색4 8" xfId="152" xr:uid="{00000000-0005-0000-0000-000026010000}"/>
    <cellStyle name="40% - 강조색4 8 2" xfId="1081" xr:uid="{00000000-0005-0000-0000-000027010000}"/>
    <cellStyle name="40% - 강조색4 9" xfId="153" xr:uid="{00000000-0005-0000-0000-000028010000}"/>
    <cellStyle name="40% - 강조색4 9 2" xfId="1096" xr:uid="{00000000-0005-0000-0000-000029010000}"/>
    <cellStyle name="40% - 강조색5" xfId="731" builtinId="47" customBuiltin="1"/>
    <cellStyle name="40% - 강조색5 10" xfId="154" xr:uid="{00000000-0005-0000-0000-00002A010000}"/>
    <cellStyle name="40% - 강조색5 10 2" xfId="1113" xr:uid="{00000000-0005-0000-0000-00002B010000}"/>
    <cellStyle name="40% - 강조색5 11" xfId="155" xr:uid="{00000000-0005-0000-0000-00002C010000}"/>
    <cellStyle name="40% - 강조색5 11 2" xfId="1128" xr:uid="{00000000-0005-0000-0000-00002D010000}"/>
    <cellStyle name="40% - 강조색5 12" xfId="156" xr:uid="{00000000-0005-0000-0000-00002E010000}"/>
    <cellStyle name="40% - 강조색5 12 2" xfId="1143" xr:uid="{00000000-0005-0000-0000-00002F010000}"/>
    <cellStyle name="40% - 강조색5 13" xfId="157" xr:uid="{00000000-0005-0000-0000-000030010000}"/>
    <cellStyle name="40% - 강조색5 13 2" xfId="1158" xr:uid="{00000000-0005-0000-0000-000031010000}"/>
    <cellStyle name="40% - 강조색5 14" xfId="158" xr:uid="{00000000-0005-0000-0000-000032010000}"/>
    <cellStyle name="40% - 강조색5 14 2" xfId="1208" xr:uid="{00000000-0005-0000-0000-000033010000}"/>
    <cellStyle name="40% - 강조색5 2" xfId="159" xr:uid="{00000000-0005-0000-0000-000034010000}"/>
    <cellStyle name="40% - 강조색5 2 2" xfId="773" xr:uid="{00000000-0005-0000-0000-000035010000}"/>
    <cellStyle name="40% - 강조색5 3" xfId="160" xr:uid="{00000000-0005-0000-0000-000036010000}"/>
    <cellStyle name="40% - 강조색5 3 2" xfId="1011" xr:uid="{00000000-0005-0000-0000-000037010000}"/>
    <cellStyle name="40% - 강조색5 4" xfId="161" xr:uid="{00000000-0005-0000-0000-000038010000}"/>
    <cellStyle name="40% - 강조색5 4 2" xfId="1025" xr:uid="{00000000-0005-0000-0000-000039010000}"/>
    <cellStyle name="40% - 강조색5 5" xfId="162" xr:uid="{00000000-0005-0000-0000-00003A010000}"/>
    <cellStyle name="40% - 강조색5 5 2" xfId="1039" xr:uid="{00000000-0005-0000-0000-00003B010000}"/>
    <cellStyle name="40% - 강조색5 6" xfId="163" xr:uid="{00000000-0005-0000-0000-00003C010000}"/>
    <cellStyle name="40% - 강조색5 6 2" xfId="1053" xr:uid="{00000000-0005-0000-0000-00003D010000}"/>
    <cellStyle name="40% - 강조색5 7" xfId="164" xr:uid="{00000000-0005-0000-0000-00003E010000}"/>
    <cellStyle name="40% - 강조색5 7 2" xfId="1068" xr:uid="{00000000-0005-0000-0000-00003F010000}"/>
    <cellStyle name="40% - 강조색5 8" xfId="165" xr:uid="{00000000-0005-0000-0000-000040010000}"/>
    <cellStyle name="40% - 강조색5 8 2" xfId="1083" xr:uid="{00000000-0005-0000-0000-000041010000}"/>
    <cellStyle name="40% - 강조색5 9" xfId="166" xr:uid="{00000000-0005-0000-0000-000042010000}"/>
    <cellStyle name="40% - 강조색5 9 2" xfId="1098" xr:uid="{00000000-0005-0000-0000-000043010000}"/>
    <cellStyle name="40% - 강조색6" xfId="734" builtinId="51" customBuiltin="1"/>
    <cellStyle name="40% - 강조색6 10" xfId="167" xr:uid="{00000000-0005-0000-0000-000044010000}"/>
    <cellStyle name="40% - 강조색6 10 2" xfId="1115" xr:uid="{00000000-0005-0000-0000-000045010000}"/>
    <cellStyle name="40% - 강조색6 11" xfId="168" xr:uid="{00000000-0005-0000-0000-000046010000}"/>
    <cellStyle name="40% - 강조색6 11 2" xfId="1130" xr:uid="{00000000-0005-0000-0000-000047010000}"/>
    <cellStyle name="40% - 강조색6 12" xfId="169" xr:uid="{00000000-0005-0000-0000-000048010000}"/>
    <cellStyle name="40% - 강조색6 12 2" xfId="1145" xr:uid="{00000000-0005-0000-0000-000049010000}"/>
    <cellStyle name="40% - 강조색6 13" xfId="170" xr:uid="{00000000-0005-0000-0000-00004A010000}"/>
    <cellStyle name="40% - 강조색6 13 2" xfId="1160" xr:uid="{00000000-0005-0000-0000-00004B010000}"/>
    <cellStyle name="40% - 강조색6 14" xfId="171" xr:uid="{00000000-0005-0000-0000-00004C010000}"/>
    <cellStyle name="40% - 강조색6 14 2" xfId="1210" xr:uid="{00000000-0005-0000-0000-00004D010000}"/>
    <cellStyle name="40% - 강조색6 2" xfId="172" xr:uid="{00000000-0005-0000-0000-00004E010000}"/>
    <cellStyle name="40% - 강조색6 2 2" xfId="774" xr:uid="{00000000-0005-0000-0000-00004F010000}"/>
    <cellStyle name="40% - 강조색6 3" xfId="173" xr:uid="{00000000-0005-0000-0000-000050010000}"/>
    <cellStyle name="40% - 강조색6 3 2" xfId="1013" xr:uid="{00000000-0005-0000-0000-000051010000}"/>
    <cellStyle name="40% - 강조색6 4" xfId="174" xr:uid="{00000000-0005-0000-0000-000052010000}"/>
    <cellStyle name="40% - 강조색6 4 2" xfId="1027" xr:uid="{00000000-0005-0000-0000-000053010000}"/>
    <cellStyle name="40% - 강조색6 5" xfId="175" xr:uid="{00000000-0005-0000-0000-000054010000}"/>
    <cellStyle name="40% - 강조색6 5 2" xfId="1041" xr:uid="{00000000-0005-0000-0000-000055010000}"/>
    <cellStyle name="40% - 강조색6 6" xfId="176" xr:uid="{00000000-0005-0000-0000-000056010000}"/>
    <cellStyle name="40% - 강조색6 6 2" xfId="1055" xr:uid="{00000000-0005-0000-0000-000057010000}"/>
    <cellStyle name="40% - 강조색6 7" xfId="177" xr:uid="{00000000-0005-0000-0000-000058010000}"/>
    <cellStyle name="40% - 강조색6 7 2" xfId="1070" xr:uid="{00000000-0005-0000-0000-000059010000}"/>
    <cellStyle name="40% - 강조색6 8" xfId="178" xr:uid="{00000000-0005-0000-0000-00005A010000}"/>
    <cellStyle name="40% - 강조색6 8 2" xfId="1085" xr:uid="{00000000-0005-0000-0000-00005B010000}"/>
    <cellStyle name="40% - 강조색6 9" xfId="179" xr:uid="{00000000-0005-0000-0000-00005C010000}"/>
    <cellStyle name="40% - 강조색6 9 2" xfId="1100" xr:uid="{00000000-0005-0000-0000-00005D010000}"/>
    <cellStyle name="60% - 강조색1 2" xfId="180" xr:uid="{00000000-0005-0000-0000-000064010000}"/>
    <cellStyle name="60% - 강조색1 2 2" xfId="775" xr:uid="{00000000-0005-0000-0000-000065010000}"/>
    <cellStyle name="60% - 강조색1 3" xfId="744" xr:uid="{00000000-0005-0000-0000-000066010000}"/>
    <cellStyle name="60% - 강조색2 2" xfId="181" xr:uid="{00000000-0005-0000-0000-000067010000}"/>
    <cellStyle name="60% - 강조색2 2 2" xfId="776" xr:uid="{00000000-0005-0000-0000-000068010000}"/>
    <cellStyle name="60% - 강조색2 3" xfId="745" xr:uid="{00000000-0005-0000-0000-000069010000}"/>
    <cellStyle name="60% - 강조색3 2" xfId="182" xr:uid="{00000000-0005-0000-0000-00006A010000}"/>
    <cellStyle name="60% - 강조색3 2 2" xfId="777" xr:uid="{00000000-0005-0000-0000-00006B010000}"/>
    <cellStyle name="60% - 강조색3 3" xfId="746" xr:uid="{00000000-0005-0000-0000-00006C010000}"/>
    <cellStyle name="60% - 강조색4 2" xfId="183" xr:uid="{00000000-0005-0000-0000-00006D010000}"/>
    <cellStyle name="60% - 강조색4 2 2" xfId="778" xr:uid="{00000000-0005-0000-0000-00006E010000}"/>
    <cellStyle name="60% - 강조색4 3" xfId="747" xr:uid="{00000000-0005-0000-0000-00006F010000}"/>
    <cellStyle name="60% - 강조색5 2" xfId="184" xr:uid="{00000000-0005-0000-0000-000070010000}"/>
    <cellStyle name="60% - 강조색5 2 2" xfId="779" xr:uid="{00000000-0005-0000-0000-000071010000}"/>
    <cellStyle name="60% - 강조색5 3" xfId="748" xr:uid="{00000000-0005-0000-0000-000072010000}"/>
    <cellStyle name="60% - 강조색6 2" xfId="185" xr:uid="{00000000-0005-0000-0000-000073010000}"/>
    <cellStyle name="60% - 강조색6 2 2" xfId="780" xr:uid="{00000000-0005-0000-0000-000074010000}"/>
    <cellStyle name="60% - 강조색6 3" xfId="749" xr:uid="{00000000-0005-0000-0000-000075010000}"/>
    <cellStyle name="Excel Built-in Normal" xfId="503" xr:uid="{00000000-0005-0000-0000-0000F0030000}"/>
    <cellStyle name="Excel Built-in Normal 2" xfId="781" xr:uid="{00000000-0005-0000-0000-0000F1030000}"/>
    <cellStyle name="Normal 2" xfId="504" xr:uid="{00000000-0005-0000-0000-0000BB040000}"/>
    <cellStyle name="강조색1" xfId="717" builtinId="29" customBuiltin="1"/>
    <cellStyle name="강조색1 2" xfId="186" xr:uid="{00000000-0005-0000-0000-000076010000}"/>
    <cellStyle name="강조색1 2 2" xfId="782" xr:uid="{00000000-0005-0000-0000-000077010000}"/>
    <cellStyle name="강조색2" xfId="720" builtinId="33" customBuiltin="1"/>
    <cellStyle name="강조색2 2" xfId="187" xr:uid="{00000000-0005-0000-0000-000078010000}"/>
    <cellStyle name="강조색2 2 2" xfId="783" xr:uid="{00000000-0005-0000-0000-000079010000}"/>
    <cellStyle name="강조색3" xfId="723" builtinId="37" customBuiltin="1"/>
    <cellStyle name="강조색3 2" xfId="188" xr:uid="{00000000-0005-0000-0000-00007A010000}"/>
    <cellStyle name="강조색3 2 2" xfId="784" xr:uid="{00000000-0005-0000-0000-00007B010000}"/>
    <cellStyle name="강조색4" xfId="726" builtinId="41" customBuiltin="1"/>
    <cellStyle name="강조색4 2" xfId="189" xr:uid="{00000000-0005-0000-0000-00007C010000}"/>
    <cellStyle name="강조색4 2 2" xfId="785" xr:uid="{00000000-0005-0000-0000-00007D010000}"/>
    <cellStyle name="강조색5" xfId="729" builtinId="45" customBuiltin="1"/>
    <cellStyle name="강조색5 2" xfId="190" xr:uid="{00000000-0005-0000-0000-00007E010000}"/>
    <cellStyle name="강조색5 2 2" xfId="786" xr:uid="{00000000-0005-0000-0000-00007F010000}"/>
    <cellStyle name="강조색6" xfId="732" builtinId="49" customBuiltin="1"/>
    <cellStyle name="강조색6 2" xfId="191" xr:uid="{00000000-0005-0000-0000-000080010000}"/>
    <cellStyle name="강조색6 2 2" xfId="787" xr:uid="{00000000-0005-0000-0000-000081010000}"/>
    <cellStyle name="경고문" xfId="714" builtinId="11" customBuiltin="1"/>
    <cellStyle name="경고문 2" xfId="192" xr:uid="{00000000-0005-0000-0000-000082010000}"/>
    <cellStyle name="경고문 2 2" xfId="788" xr:uid="{00000000-0005-0000-0000-000083010000}"/>
    <cellStyle name="계산" xfId="711" builtinId="22" customBuiltin="1"/>
    <cellStyle name="계산 2" xfId="193" xr:uid="{00000000-0005-0000-0000-000084010000}"/>
    <cellStyle name="계산 2 2" xfId="789" xr:uid="{00000000-0005-0000-0000-000085010000}"/>
    <cellStyle name="나쁨" xfId="703" builtinId="27" customBuiltin="1"/>
    <cellStyle name="나쁨 2" xfId="194" xr:uid="{00000000-0005-0000-0000-000086010000}"/>
    <cellStyle name="나쁨 2 2" xfId="790" xr:uid="{00000000-0005-0000-0000-000087010000}"/>
    <cellStyle name="메모 2" xfId="195" xr:uid="{00000000-0005-0000-0000-000088010000}"/>
    <cellStyle name="메모 2 2" xfId="791" xr:uid="{00000000-0005-0000-0000-000089010000}"/>
    <cellStyle name="메모 3" xfId="196" xr:uid="{00000000-0005-0000-0000-00008A010000}"/>
    <cellStyle name="메모 3 10" xfId="197" xr:uid="{00000000-0005-0000-0000-00008B010000}"/>
    <cellStyle name="메모 3 10 2" xfId="1132" xr:uid="{00000000-0005-0000-0000-00008C010000}"/>
    <cellStyle name="메모 3 11" xfId="198" xr:uid="{00000000-0005-0000-0000-00008D010000}"/>
    <cellStyle name="메모 3 11 2" xfId="1147" xr:uid="{00000000-0005-0000-0000-00008E010000}"/>
    <cellStyle name="메모 3 12" xfId="199" xr:uid="{00000000-0005-0000-0000-00008F010000}"/>
    <cellStyle name="메모 3 12 2" xfId="1162" xr:uid="{00000000-0005-0000-0000-000090010000}"/>
    <cellStyle name="메모 3 13" xfId="200" xr:uid="{00000000-0005-0000-0000-000091010000}"/>
    <cellStyle name="메모 3 13 2" xfId="1212" xr:uid="{00000000-0005-0000-0000-000092010000}"/>
    <cellStyle name="메모 3 14" xfId="1001" xr:uid="{00000000-0005-0000-0000-000093010000}"/>
    <cellStyle name="메모 3 2" xfId="201" xr:uid="{00000000-0005-0000-0000-000094010000}"/>
    <cellStyle name="메모 3 2 2" xfId="1015" xr:uid="{00000000-0005-0000-0000-000095010000}"/>
    <cellStyle name="메모 3 3" xfId="202" xr:uid="{00000000-0005-0000-0000-000096010000}"/>
    <cellStyle name="메모 3 3 2" xfId="1029" xr:uid="{00000000-0005-0000-0000-000097010000}"/>
    <cellStyle name="메모 3 4" xfId="203" xr:uid="{00000000-0005-0000-0000-000098010000}"/>
    <cellStyle name="메모 3 4 2" xfId="1043" xr:uid="{00000000-0005-0000-0000-000099010000}"/>
    <cellStyle name="메모 3 5" xfId="204" xr:uid="{00000000-0005-0000-0000-00009A010000}"/>
    <cellStyle name="메모 3 5 2" xfId="1057" xr:uid="{00000000-0005-0000-0000-00009B010000}"/>
    <cellStyle name="메모 3 6" xfId="205" xr:uid="{00000000-0005-0000-0000-00009C010000}"/>
    <cellStyle name="메모 3 6 2" xfId="1072" xr:uid="{00000000-0005-0000-0000-00009D010000}"/>
    <cellStyle name="메모 3 7" xfId="206" xr:uid="{00000000-0005-0000-0000-00009E010000}"/>
    <cellStyle name="메모 3 7 2" xfId="1087" xr:uid="{00000000-0005-0000-0000-00009F010000}"/>
    <cellStyle name="메모 3 8" xfId="207" xr:uid="{00000000-0005-0000-0000-0000A0010000}"/>
    <cellStyle name="메모 3 8 2" xfId="1102" xr:uid="{00000000-0005-0000-0000-0000A1010000}"/>
    <cellStyle name="메모 3 9" xfId="208" xr:uid="{00000000-0005-0000-0000-0000A2010000}"/>
    <cellStyle name="메모 3 9 2" xfId="1117" xr:uid="{00000000-0005-0000-0000-0000A3010000}"/>
    <cellStyle name="백분율 2" xfId="209" xr:uid="{00000000-0005-0000-0000-0000A4010000}"/>
    <cellStyle name="백분율 2 2 3" xfId="704" xr:uid="{00000000-0005-0000-0000-0000A5010000}"/>
    <cellStyle name="백분율 3" xfId="210" xr:uid="{00000000-0005-0000-0000-0000A6010000}"/>
    <cellStyle name="백분율 3 2" xfId="793" xr:uid="{00000000-0005-0000-0000-0000A7010000}"/>
    <cellStyle name="백분율 4" xfId="211" xr:uid="{00000000-0005-0000-0000-0000A8010000}"/>
    <cellStyle name="백분율 4 2" xfId="792" xr:uid="{00000000-0005-0000-0000-0000A9010000}"/>
    <cellStyle name="보통 2" xfId="212" xr:uid="{00000000-0005-0000-0000-0000AA010000}"/>
    <cellStyle name="보통 2 2" xfId="794" xr:uid="{00000000-0005-0000-0000-0000AB010000}"/>
    <cellStyle name="보통 3" xfId="743" xr:uid="{00000000-0005-0000-0000-0000AC010000}"/>
    <cellStyle name="설명 텍스트" xfId="715" builtinId="53" customBuiltin="1"/>
    <cellStyle name="설명 텍스트 2" xfId="213" xr:uid="{00000000-0005-0000-0000-0000AD010000}"/>
    <cellStyle name="설명 텍스트 2 2" xfId="795" xr:uid="{00000000-0005-0000-0000-0000AE010000}"/>
    <cellStyle name="셀 확인" xfId="713" builtinId="23" customBuiltin="1"/>
    <cellStyle name="셀 확인 2" xfId="214" xr:uid="{00000000-0005-0000-0000-0000AF010000}"/>
    <cellStyle name="셀 확인 2 2" xfId="796" xr:uid="{00000000-0005-0000-0000-0000B0010000}"/>
    <cellStyle name="쉼표 [0]" xfId="3" builtinId="6"/>
    <cellStyle name="쉼표 [0] 10" xfId="736" xr:uid="{00000000-0005-0000-0000-0000B1010000}"/>
    <cellStyle name="쉼표 [0] 2" xfId="215" xr:uid="{00000000-0005-0000-0000-0000B2010000}"/>
    <cellStyle name="쉼표 [0] 2 10" xfId="216" xr:uid="{00000000-0005-0000-0000-0000B3010000}"/>
    <cellStyle name="쉼표 [0] 2 10 2" xfId="1165" xr:uid="{00000000-0005-0000-0000-0000B4010000}"/>
    <cellStyle name="쉼표 [0] 2 11" xfId="798" xr:uid="{00000000-0005-0000-0000-0000B5010000}"/>
    <cellStyle name="쉼표 [0] 2 2" xfId="217" xr:uid="{00000000-0005-0000-0000-0000B6010000}"/>
    <cellStyle name="쉼표 [0] 2 2 2" xfId="218" xr:uid="{00000000-0005-0000-0000-0000B7010000}"/>
    <cellStyle name="쉼표 [0] 2 2 2 2" xfId="1166" xr:uid="{00000000-0005-0000-0000-0000B8010000}"/>
    <cellStyle name="쉼표 [0] 2 2 3" xfId="799" xr:uid="{00000000-0005-0000-0000-0000B9010000}"/>
    <cellStyle name="쉼표 [0] 2 3" xfId="219" xr:uid="{00000000-0005-0000-0000-0000BA010000}"/>
    <cellStyle name="쉼표 [0] 2 3 2" xfId="220" xr:uid="{00000000-0005-0000-0000-0000BB010000}"/>
    <cellStyle name="쉼표 [0] 2 3 2 2" xfId="1167" xr:uid="{00000000-0005-0000-0000-0000BC010000}"/>
    <cellStyle name="쉼표 [0] 2 3 3" xfId="800" xr:uid="{00000000-0005-0000-0000-0000BD010000}"/>
    <cellStyle name="쉼표 [0] 2 4" xfId="221" xr:uid="{00000000-0005-0000-0000-0000BE010000}"/>
    <cellStyle name="쉼표 [0] 2 4 2" xfId="222" xr:uid="{00000000-0005-0000-0000-0000BF010000}"/>
    <cellStyle name="쉼표 [0] 2 4 2 2" xfId="1168" xr:uid="{00000000-0005-0000-0000-0000C0010000}"/>
    <cellStyle name="쉼표 [0] 2 4 3" xfId="801" xr:uid="{00000000-0005-0000-0000-0000C1010000}"/>
    <cellStyle name="쉼표 [0] 2 5" xfId="223" xr:uid="{00000000-0005-0000-0000-0000C2010000}"/>
    <cellStyle name="쉼표 [0] 2 5 2" xfId="224" xr:uid="{00000000-0005-0000-0000-0000C3010000}"/>
    <cellStyle name="쉼표 [0] 2 5 2 2" xfId="1169" xr:uid="{00000000-0005-0000-0000-0000C4010000}"/>
    <cellStyle name="쉼표 [0] 2 5 3" xfId="802" xr:uid="{00000000-0005-0000-0000-0000C5010000}"/>
    <cellStyle name="쉼표 [0] 2 6" xfId="225" xr:uid="{00000000-0005-0000-0000-0000C6010000}"/>
    <cellStyle name="쉼표 [0] 2 6 2" xfId="226" xr:uid="{00000000-0005-0000-0000-0000C7010000}"/>
    <cellStyle name="쉼표 [0] 2 6 2 2" xfId="1170" xr:uid="{00000000-0005-0000-0000-0000C8010000}"/>
    <cellStyle name="쉼표 [0] 2 6 3" xfId="803" xr:uid="{00000000-0005-0000-0000-0000C9010000}"/>
    <cellStyle name="쉼표 [0] 2 7" xfId="227" xr:uid="{00000000-0005-0000-0000-0000CA010000}"/>
    <cellStyle name="쉼표 [0] 2 7 2" xfId="228" xr:uid="{00000000-0005-0000-0000-0000CB010000}"/>
    <cellStyle name="쉼표 [0] 2 7 2 2" xfId="229" xr:uid="{00000000-0005-0000-0000-0000CC010000}"/>
    <cellStyle name="쉼표 [0] 2 7 2 2 2" xfId="1172" xr:uid="{00000000-0005-0000-0000-0000CD010000}"/>
    <cellStyle name="쉼표 [0] 2 7 3" xfId="230" xr:uid="{00000000-0005-0000-0000-0000CE010000}"/>
    <cellStyle name="쉼표 [0] 2 7 3 2" xfId="231" xr:uid="{00000000-0005-0000-0000-0000CF010000}"/>
    <cellStyle name="쉼표 [0] 2 7 3 2 2" xfId="1173" xr:uid="{00000000-0005-0000-0000-0000D0010000}"/>
    <cellStyle name="쉼표 [0] 2 7 3 3" xfId="804" xr:uid="{00000000-0005-0000-0000-0000D1010000}"/>
    <cellStyle name="쉼표 [0] 2 7 4" xfId="232" xr:uid="{00000000-0005-0000-0000-0000D2010000}"/>
    <cellStyle name="쉼표 [0] 2 7 4 2" xfId="233" xr:uid="{00000000-0005-0000-0000-0000D3010000}"/>
    <cellStyle name="쉼표 [0] 2 7 4 2 2" xfId="1174" xr:uid="{00000000-0005-0000-0000-0000D4010000}"/>
    <cellStyle name="쉼표 [0] 2 7 5" xfId="234" xr:uid="{00000000-0005-0000-0000-0000D5010000}"/>
    <cellStyle name="쉼표 [0] 2 7 5 2" xfId="1171" xr:uid="{00000000-0005-0000-0000-0000D6010000}"/>
    <cellStyle name="쉼표 [0] 2 8" xfId="235" xr:uid="{00000000-0005-0000-0000-0000D7010000}"/>
    <cellStyle name="쉼표 [0] 2 8 2" xfId="236" xr:uid="{00000000-0005-0000-0000-0000D8010000}"/>
    <cellStyle name="쉼표 [0] 2 8 2 2" xfId="237" xr:uid="{00000000-0005-0000-0000-0000D9010000}"/>
    <cellStyle name="쉼표 [0] 2 8 2 2 2" xfId="1176" xr:uid="{00000000-0005-0000-0000-0000DA010000}"/>
    <cellStyle name="쉼표 [0] 2 8 2 3" xfId="806" xr:uid="{00000000-0005-0000-0000-0000DB010000}"/>
    <cellStyle name="쉼표 [0] 2 8 3" xfId="238" xr:uid="{00000000-0005-0000-0000-0000DC010000}"/>
    <cellStyle name="쉼표 [0] 2 8 3 2" xfId="239" xr:uid="{00000000-0005-0000-0000-0000DD010000}"/>
    <cellStyle name="쉼표 [0] 2 8 3 2 2" xfId="1177" xr:uid="{00000000-0005-0000-0000-0000DE010000}"/>
    <cellStyle name="쉼표 [0] 2 8 3 3" xfId="807" xr:uid="{00000000-0005-0000-0000-0000DF010000}"/>
    <cellStyle name="쉼표 [0] 2 8 4" xfId="240" xr:uid="{00000000-0005-0000-0000-0000E0010000}"/>
    <cellStyle name="쉼표 [0] 2 8 4 2" xfId="1175" xr:uid="{00000000-0005-0000-0000-0000E1010000}"/>
    <cellStyle name="쉼표 [0] 2 8 5" xfId="805" xr:uid="{00000000-0005-0000-0000-0000E2010000}"/>
    <cellStyle name="쉼표 [0] 2 9" xfId="241" xr:uid="{00000000-0005-0000-0000-0000E3010000}"/>
    <cellStyle name="쉼표 [0] 2 9 2" xfId="242" xr:uid="{00000000-0005-0000-0000-0000E4010000}"/>
    <cellStyle name="쉼표 [0] 2 9 2 2" xfId="1178" xr:uid="{00000000-0005-0000-0000-0000E5010000}"/>
    <cellStyle name="쉼표 [0] 3" xfId="243" xr:uid="{00000000-0005-0000-0000-0000E6010000}"/>
    <cellStyle name="쉼표 [0] 3 10" xfId="244" xr:uid="{00000000-0005-0000-0000-0000E7010000}"/>
    <cellStyle name="쉼표 [0] 3 10 2" xfId="1179" xr:uid="{00000000-0005-0000-0000-0000E8010000}"/>
    <cellStyle name="쉼표 [0] 3 11" xfId="808" xr:uid="{00000000-0005-0000-0000-0000E9010000}"/>
    <cellStyle name="쉼표 [0] 3 2" xfId="245" xr:uid="{00000000-0005-0000-0000-0000EA010000}"/>
    <cellStyle name="쉼표 [0] 3 2 2" xfId="246" xr:uid="{00000000-0005-0000-0000-0000EB010000}"/>
    <cellStyle name="쉼표 [0] 3 2 2 2" xfId="1180" xr:uid="{00000000-0005-0000-0000-0000EC010000}"/>
    <cellStyle name="쉼표 [0] 3 2 3" xfId="809" xr:uid="{00000000-0005-0000-0000-0000ED010000}"/>
    <cellStyle name="쉼표 [0] 3 3" xfId="247" xr:uid="{00000000-0005-0000-0000-0000EE010000}"/>
    <cellStyle name="쉼표 [0] 3 3 2" xfId="248" xr:uid="{00000000-0005-0000-0000-0000EF010000}"/>
    <cellStyle name="쉼표 [0] 3 3 2 2" xfId="1181" xr:uid="{00000000-0005-0000-0000-0000F0010000}"/>
    <cellStyle name="쉼표 [0] 3 3 3" xfId="810" xr:uid="{00000000-0005-0000-0000-0000F1010000}"/>
    <cellStyle name="쉼표 [0] 3 4" xfId="249" xr:uid="{00000000-0005-0000-0000-0000F2010000}"/>
    <cellStyle name="쉼표 [0] 3 4 2" xfId="250" xr:uid="{00000000-0005-0000-0000-0000F3010000}"/>
    <cellStyle name="쉼표 [0] 3 4 2 2" xfId="1182" xr:uid="{00000000-0005-0000-0000-0000F4010000}"/>
    <cellStyle name="쉼표 [0] 3 4 3" xfId="811" xr:uid="{00000000-0005-0000-0000-0000F5010000}"/>
    <cellStyle name="쉼표 [0] 3 5" xfId="251" xr:uid="{00000000-0005-0000-0000-0000F6010000}"/>
    <cellStyle name="쉼표 [0] 3 5 2" xfId="252" xr:uid="{00000000-0005-0000-0000-0000F7010000}"/>
    <cellStyle name="쉼표 [0] 3 5 2 2" xfId="1183" xr:uid="{00000000-0005-0000-0000-0000F8010000}"/>
    <cellStyle name="쉼표 [0] 3 5 3" xfId="812" xr:uid="{00000000-0005-0000-0000-0000F9010000}"/>
    <cellStyle name="쉼표 [0] 3 6" xfId="253" xr:uid="{00000000-0005-0000-0000-0000FA010000}"/>
    <cellStyle name="쉼표 [0] 3 6 2" xfId="254" xr:uid="{00000000-0005-0000-0000-0000FB010000}"/>
    <cellStyle name="쉼표 [0] 3 6 2 2" xfId="1184" xr:uid="{00000000-0005-0000-0000-0000FC010000}"/>
    <cellStyle name="쉼표 [0] 3 6 3" xfId="813" xr:uid="{00000000-0005-0000-0000-0000FD010000}"/>
    <cellStyle name="쉼표 [0] 3 7" xfId="255" xr:uid="{00000000-0005-0000-0000-0000FE010000}"/>
    <cellStyle name="쉼표 [0] 3 7 2" xfId="256" xr:uid="{00000000-0005-0000-0000-0000FF010000}"/>
    <cellStyle name="쉼표 [0] 3 7 2 2" xfId="1185" xr:uid="{00000000-0005-0000-0000-000000020000}"/>
    <cellStyle name="쉼표 [0] 3 7 3" xfId="814" xr:uid="{00000000-0005-0000-0000-000001020000}"/>
    <cellStyle name="쉼표 [0] 3 8" xfId="257" xr:uid="{00000000-0005-0000-0000-000002020000}"/>
    <cellStyle name="쉼표 [0] 3 8 2" xfId="258" xr:uid="{00000000-0005-0000-0000-000003020000}"/>
    <cellStyle name="쉼표 [0] 3 8 2 2" xfId="1186" xr:uid="{00000000-0005-0000-0000-000004020000}"/>
    <cellStyle name="쉼표 [0] 3 8 3" xfId="815" xr:uid="{00000000-0005-0000-0000-000005020000}"/>
    <cellStyle name="쉼표 [0] 3 9" xfId="259" xr:uid="{00000000-0005-0000-0000-000006020000}"/>
    <cellStyle name="쉼표 [0] 3 9 2" xfId="260" xr:uid="{00000000-0005-0000-0000-000007020000}"/>
    <cellStyle name="쉼표 [0] 3 9 2 2" xfId="1187" xr:uid="{00000000-0005-0000-0000-000008020000}"/>
    <cellStyle name="쉼표 [0] 3 9 3" xfId="816" xr:uid="{00000000-0005-0000-0000-000009020000}"/>
    <cellStyle name="쉼표 [0] 4" xfId="261" xr:uid="{00000000-0005-0000-0000-00000A020000}"/>
    <cellStyle name="쉼표 [0] 4 2" xfId="262" xr:uid="{00000000-0005-0000-0000-00000B020000}"/>
    <cellStyle name="쉼표 [0] 4 2 2" xfId="263" xr:uid="{00000000-0005-0000-0000-00000C020000}"/>
    <cellStyle name="쉼표 [0] 4 2 2 2" xfId="264" xr:uid="{00000000-0005-0000-0000-00000D020000}"/>
    <cellStyle name="쉼표 [0] 4 2 2 2 2" xfId="1190" xr:uid="{00000000-0005-0000-0000-00000E020000}"/>
    <cellStyle name="쉼표 [0] 4 2 2 3" xfId="819" xr:uid="{00000000-0005-0000-0000-00000F020000}"/>
    <cellStyle name="쉼표 [0] 4 2 3" xfId="265" xr:uid="{00000000-0005-0000-0000-000010020000}"/>
    <cellStyle name="쉼표 [0] 4 2 3 2" xfId="266" xr:uid="{00000000-0005-0000-0000-000011020000}"/>
    <cellStyle name="쉼표 [0] 4 2 3 2 2" xfId="1191" xr:uid="{00000000-0005-0000-0000-000012020000}"/>
    <cellStyle name="쉼표 [0] 4 2 3 3" xfId="820" xr:uid="{00000000-0005-0000-0000-000013020000}"/>
    <cellStyle name="쉼표 [0] 4 2 4" xfId="267" xr:uid="{00000000-0005-0000-0000-000014020000}"/>
    <cellStyle name="쉼표 [0] 4 2 4 2" xfId="1189" xr:uid="{00000000-0005-0000-0000-000015020000}"/>
    <cellStyle name="쉼표 [0] 4 2 5" xfId="818" xr:uid="{00000000-0005-0000-0000-000016020000}"/>
    <cellStyle name="쉼표 [0] 4 3" xfId="268" xr:uid="{00000000-0005-0000-0000-000017020000}"/>
    <cellStyle name="쉼표 [0] 4 3 2" xfId="1188" xr:uid="{00000000-0005-0000-0000-000018020000}"/>
    <cellStyle name="쉼표 [0] 4 4" xfId="817" xr:uid="{00000000-0005-0000-0000-000019020000}"/>
    <cellStyle name="쉼표 [0] 5" xfId="269" xr:uid="{00000000-0005-0000-0000-00001A020000}"/>
    <cellStyle name="쉼표 [0] 5 2" xfId="270" xr:uid="{00000000-0005-0000-0000-00001B020000}"/>
    <cellStyle name="쉼표 [0] 5 2 2" xfId="1192" xr:uid="{00000000-0005-0000-0000-00001C020000}"/>
    <cellStyle name="쉼표 [0] 5 3" xfId="821" xr:uid="{00000000-0005-0000-0000-00001D020000}"/>
    <cellStyle name="쉼표 [0] 6" xfId="271" xr:uid="{00000000-0005-0000-0000-00001E020000}"/>
    <cellStyle name="쉼표 [0] 6 2" xfId="272" xr:uid="{00000000-0005-0000-0000-00001F020000}"/>
    <cellStyle name="쉼표 [0] 6 2 2" xfId="1193" xr:uid="{00000000-0005-0000-0000-000020020000}"/>
    <cellStyle name="쉼표 [0] 6 3" xfId="822" xr:uid="{00000000-0005-0000-0000-000021020000}"/>
    <cellStyle name="쉼표 [0] 7" xfId="273" xr:uid="{00000000-0005-0000-0000-000022020000}"/>
    <cellStyle name="쉼표 [0] 7 2" xfId="797" xr:uid="{00000000-0005-0000-0000-000023020000}"/>
    <cellStyle name="쉼표 [0] 8" xfId="274" xr:uid="{00000000-0005-0000-0000-000024020000}"/>
    <cellStyle name="쉼표 [0] 8 2" xfId="1164" xr:uid="{00000000-0005-0000-0000-000025020000}"/>
    <cellStyle name="쉼표 [0] 9" xfId="536" xr:uid="{00000000-0005-0000-0000-000026020000}"/>
    <cellStyle name="쉼표 [0] 9 2" xfId="618" xr:uid="{00000000-0005-0000-0000-000027020000}"/>
    <cellStyle name="쉼표 2" xfId="275" xr:uid="{00000000-0005-0000-0000-000028020000}"/>
    <cellStyle name="쉼표 2 2" xfId="276" xr:uid="{00000000-0005-0000-0000-000029020000}"/>
    <cellStyle name="쉼표 2 2 2" xfId="1194" xr:uid="{00000000-0005-0000-0000-00002A020000}"/>
    <cellStyle name="쉼표 3" xfId="277" xr:uid="{00000000-0005-0000-0000-00002B020000}"/>
    <cellStyle name="쉼표 3 2" xfId="278" xr:uid="{00000000-0005-0000-0000-00002C020000}"/>
    <cellStyle name="쉼표 3 2 2" xfId="1195" xr:uid="{00000000-0005-0000-0000-00002D020000}"/>
    <cellStyle name="스타일 1" xfId="279" xr:uid="{00000000-0005-0000-0000-00002E020000}"/>
    <cellStyle name="스타일 1 2" xfId="823" xr:uid="{00000000-0005-0000-0000-00002F020000}"/>
    <cellStyle name="연결된 셀" xfId="712" builtinId="24" customBuiltin="1"/>
    <cellStyle name="연결된 셀 2" xfId="280" xr:uid="{00000000-0005-0000-0000-000030020000}"/>
    <cellStyle name="연결된 셀 2 2" xfId="824" xr:uid="{00000000-0005-0000-0000-000031020000}"/>
    <cellStyle name="열어 본 하이퍼링크" xfId="1" builtinId="9" hidden="1"/>
    <cellStyle name="열어 본 하이퍼링크" xfId="2" builtinId="9" hidden="1"/>
    <cellStyle name="열어 본 하이퍼링크" xfId="505" builtinId="9" hidden="1"/>
    <cellStyle name="열어 본 하이퍼링크" xfId="506" builtinId="9" hidden="1"/>
    <cellStyle name="열어 본 하이퍼링크" xfId="507" builtinId="9" hidden="1"/>
    <cellStyle name="열어 본 하이퍼링크" xfId="508" builtinId="9" hidden="1"/>
    <cellStyle name="열어 본 하이퍼링크" xfId="509" builtinId="9" hidden="1"/>
    <cellStyle name="열어 본 하이퍼링크" xfId="510" builtinId="9" hidden="1"/>
    <cellStyle name="열어 본 하이퍼링크" xfId="511" builtinId="9" hidden="1"/>
    <cellStyle name="열어 본 하이퍼링크" xfId="512" builtinId="9" hidden="1"/>
    <cellStyle name="열어 본 하이퍼링크" xfId="513" builtinId="9" hidden="1"/>
    <cellStyle name="열어 본 하이퍼링크" xfId="514" builtinId="9" hidden="1"/>
    <cellStyle name="열어 본 하이퍼링크" xfId="515" builtinId="9" hidden="1"/>
    <cellStyle name="열어 본 하이퍼링크" xfId="516" builtinId="9" hidden="1"/>
    <cellStyle name="열어 본 하이퍼링크" xfId="517" builtinId="9" hidden="1"/>
    <cellStyle name="열어 본 하이퍼링크" xfId="518" builtinId="9" hidden="1"/>
    <cellStyle name="열어 본 하이퍼링크" xfId="519" builtinId="9" hidden="1"/>
    <cellStyle name="열어 본 하이퍼링크" xfId="520" builtinId="9" hidden="1"/>
    <cellStyle name="열어 본 하이퍼링크" xfId="521" builtinId="9" hidden="1"/>
    <cellStyle name="열어 본 하이퍼링크" xfId="522" builtinId="9" hidden="1"/>
    <cellStyle name="열어 본 하이퍼링크" xfId="523" builtinId="9" hidden="1"/>
    <cellStyle name="열어 본 하이퍼링크" xfId="524" builtinId="9" hidden="1"/>
    <cellStyle name="열어 본 하이퍼링크" xfId="525" builtinId="9" hidden="1"/>
    <cellStyle name="열어 본 하이퍼링크" xfId="526" builtinId="9" hidden="1"/>
    <cellStyle name="열어 본 하이퍼링크" xfId="527" builtinId="9" hidden="1"/>
    <cellStyle name="열어 본 하이퍼링크" xfId="528" builtinId="9" hidden="1"/>
    <cellStyle name="열어 본 하이퍼링크" xfId="529" builtinId="9" hidden="1"/>
    <cellStyle name="열어 본 하이퍼링크" xfId="530" builtinId="9" hidden="1"/>
    <cellStyle name="열어 본 하이퍼링크" xfId="531" builtinId="9" hidden="1"/>
    <cellStyle name="열어 본 하이퍼링크" xfId="532" builtinId="9" hidden="1"/>
    <cellStyle name="열어 본 하이퍼링크" xfId="533" builtinId="9" hidden="1"/>
    <cellStyle name="열어 본 하이퍼링크" xfId="538" builtinId="9" hidden="1"/>
    <cellStyle name="열어 본 하이퍼링크" xfId="539" builtinId="9" hidden="1"/>
    <cellStyle name="열어 본 하이퍼링크" xfId="540" builtinId="9" hidden="1"/>
    <cellStyle name="열어 본 하이퍼링크" xfId="541" builtinId="9" hidden="1"/>
    <cellStyle name="열어 본 하이퍼링크" xfId="542" builtinId="9" hidden="1"/>
    <cellStyle name="열어 본 하이퍼링크" xfId="543" builtinId="9" hidden="1"/>
    <cellStyle name="열어 본 하이퍼링크" xfId="544" builtinId="9" hidden="1"/>
    <cellStyle name="열어 본 하이퍼링크" xfId="545" builtinId="9" hidden="1"/>
    <cellStyle name="열어 본 하이퍼링크" xfId="546" builtinId="9" hidden="1"/>
    <cellStyle name="열어 본 하이퍼링크" xfId="547" builtinId="9" hidden="1"/>
    <cellStyle name="열어 본 하이퍼링크" xfId="548" builtinId="9" hidden="1"/>
    <cellStyle name="열어 본 하이퍼링크" xfId="549" builtinId="9" hidden="1"/>
    <cellStyle name="열어 본 하이퍼링크" xfId="550" builtinId="9" hidden="1"/>
    <cellStyle name="열어 본 하이퍼링크" xfId="551" builtinId="9" hidden="1"/>
    <cellStyle name="열어 본 하이퍼링크" xfId="552" builtinId="9" hidden="1"/>
    <cellStyle name="열어 본 하이퍼링크" xfId="553" builtinId="9" hidden="1"/>
    <cellStyle name="열어 본 하이퍼링크" xfId="554" builtinId="9" hidden="1"/>
    <cellStyle name="열어 본 하이퍼링크" xfId="555" builtinId="9" hidden="1"/>
    <cellStyle name="열어 본 하이퍼링크" xfId="556" builtinId="9" hidden="1"/>
    <cellStyle name="열어 본 하이퍼링크" xfId="557" builtinId="9" hidden="1"/>
    <cellStyle name="열어 본 하이퍼링크" xfId="558" builtinId="9" hidden="1"/>
    <cellStyle name="열어 본 하이퍼링크" xfId="559" builtinId="9" hidden="1"/>
    <cellStyle name="열어 본 하이퍼링크" xfId="560" builtinId="9" hidden="1"/>
    <cellStyle name="열어 본 하이퍼링크" xfId="561" builtinId="9" hidden="1"/>
    <cellStyle name="열어 본 하이퍼링크" xfId="562" builtinId="9" hidden="1"/>
    <cellStyle name="열어 본 하이퍼링크" xfId="563" builtinId="9" hidden="1"/>
    <cellStyle name="열어 본 하이퍼링크" xfId="564" builtinId="9" hidden="1"/>
    <cellStyle name="열어 본 하이퍼링크" xfId="565" builtinId="9" hidden="1"/>
    <cellStyle name="열어 본 하이퍼링크" xfId="566" builtinId="9" hidden="1"/>
    <cellStyle name="열어 본 하이퍼링크" xfId="567" builtinId="9" hidden="1"/>
    <cellStyle name="열어 본 하이퍼링크" xfId="568" builtinId="9" hidden="1"/>
    <cellStyle name="열어 본 하이퍼링크" xfId="569" builtinId="9" hidden="1"/>
    <cellStyle name="열어 본 하이퍼링크" xfId="570" builtinId="9" hidden="1"/>
    <cellStyle name="열어 본 하이퍼링크" xfId="571" builtinId="9" hidden="1"/>
    <cellStyle name="열어 본 하이퍼링크" xfId="572" builtinId="9" hidden="1"/>
    <cellStyle name="열어 본 하이퍼링크" xfId="573" builtinId="9" hidden="1"/>
    <cellStyle name="열어 본 하이퍼링크" xfId="574" builtinId="9" hidden="1"/>
    <cellStyle name="열어 본 하이퍼링크" xfId="575" builtinId="9" hidden="1"/>
    <cellStyle name="열어 본 하이퍼링크" xfId="576" builtinId="9" hidden="1"/>
    <cellStyle name="열어 본 하이퍼링크" xfId="577" builtinId="9" hidden="1"/>
    <cellStyle name="열어 본 하이퍼링크" xfId="578" builtinId="9" hidden="1"/>
    <cellStyle name="열어 본 하이퍼링크" xfId="579" builtinId="9" hidden="1"/>
    <cellStyle name="열어 본 하이퍼링크" xfId="580" builtinId="9" hidden="1"/>
    <cellStyle name="열어 본 하이퍼링크" xfId="581" builtinId="9" hidden="1"/>
    <cellStyle name="열어 본 하이퍼링크" xfId="582" builtinId="9" hidden="1"/>
    <cellStyle name="열어 본 하이퍼링크" xfId="583" builtinId="9" hidden="1"/>
    <cellStyle name="열어 본 하이퍼링크" xfId="584" builtinId="9" hidden="1"/>
    <cellStyle name="열어 본 하이퍼링크" xfId="585" builtinId="9" hidden="1"/>
    <cellStyle name="열어 본 하이퍼링크" xfId="586" builtinId="9" hidden="1"/>
    <cellStyle name="열어 본 하이퍼링크" xfId="587" builtinId="9" hidden="1"/>
    <cellStyle name="열어 본 하이퍼링크" xfId="588" builtinId="9" hidden="1"/>
    <cellStyle name="열어 본 하이퍼링크" xfId="589" builtinId="9" hidden="1"/>
    <cellStyle name="열어 본 하이퍼링크" xfId="590" builtinId="9" hidden="1"/>
    <cellStyle name="열어 본 하이퍼링크" xfId="591" builtinId="9" hidden="1"/>
    <cellStyle name="열어 본 하이퍼링크" xfId="592" builtinId="9" hidden="1"/>
    <cellStyle name="열어 본 하이퍼링크" xfId="593" builtinId="9" hidden="1"/>
    <cellStyle name="열어 본 하이퍼링크" xfId="594" builtinId="9" hidden="1"/>
    <cellStyle name="열어 본 하이퍼링크" xfId="595" builtinId="9" hidden="1"/>
    <cellStyle name="열어 본 하이퍼링크" xfId="596" builtinId="9" hidden="1"/>
    <cellStyle name="열어 본 하이퍼링크" xfId="597" builtinId="9" hidden="1"/>
    <cellStyle name="열어 본 하이퍼링크" xfId="598" builtinId="9" hidden="1"/>
    <cellStyle name="열어 본 하이퍼링크" xfId="599" builtinId="9" hidden="1"/>
    <cellStyle name="열어 본 하이퍼링크" xfId="600" builtinId="9" hidden="1"/>
    <cellStyle name="열어 본 하이퍼링크" xfId="601" builtinId="9" hidden="1"/>
    <cellStyle name="열어 본 하이퍼링크" xfId="602" builtinId="9" hidden="1"/>
    <cellStyle name="열어 본 하이퍼링크" xfId="603" builtinId="9" hidden="1"/>
    <cellStyle name="열어 본 하이퍼링크" xfId="604" builtinId="9" hidden="1"/>
    <cellStyle name="열어 본 하이퍼링크" xfId="605" builtinId="9" hidden="1"/>
    <cellStyle name="열어 본 하이퍼링크" xfId="606" builtinId="9" hidden="1"/>
    <cellStyle name="열어 본 하이퍼링크" xfId="607" builtinId="9" hidden="1"/>
    <cellStyle name="열어 본 하이퍼링크" xfId="608" builtinId="9" hidden="1"/>
    <cellStyle name="열어 본 하이퍼링크" xfId="609" builtinId="9" hidden="1"/>
    <cellStyle name="열어 본 하이퍼링크" xfId="610" builtinId="9" hidden="1"/>
    <cellStyle name="열어 본 하이퍼링크" xfId="611" builtinId="9" hidden="1"/>
    <cellStyle name="열어 본 하이퍼링크" xfId="612" builtinId="9" hidden="1"/>
    <cellStyle name="열어 본 하이퍼링크" xfId="613" builtinId="9" hidden="1"/>
    <cellStyle name="열어 본 하이퍼링크" xfId="614" builtinId="9" hidden="1"/>
    <cellStyle name="열어 본 하이퍼링크" xfId="615" builtinId="9" hidden="1"/>
    <cellStyle name="열어 본 하이퍼링크" xfId="616" builtinId="9" hidden="1"/>
    <cellStyle name="열어 본 하이퍼링크" xfId="617" builtinId="9" hidden="1"/>
    <cellStyle name="열어 본 하이퍼링크" xfId="621" builtinId="9" hidden="1"/>
    <cellStyle name="열어 본 하이퍼링크" xfId="622" builtinId="9" hidden="1"/>
    <cellStyle name="열어 본 하이퍼링크" xfId="623" builtinId="9" hidden="1"/>
    <cellStyle name="열어 본 하이퍼링크" xfId="624" builtinId="9" hidden="1"/>
    <cellStyle name="열어 본 하이퍼링크" xfId="625" builtinId="9" hidden="1"/>
    <cellStyle name="열어 본 하이퍼링크" xfId="626" builtinId="9" hidden="1"/>
    <cellStyle name="열어 본 하이퍼링크" xfId="627" builtinId="9" hidden="1"/>
    <cellStyle name="열어 본 하이퍼링크" xfId="628" builtinId="9" hidden="1"/>
    <cellStyle name="열어 본 하이퍼링크" xfId="629" builtinId="9" hidden="1"/>
    <cellStyle name="열어 본 하이퍼링크" xfId="630" builtinId="9" hidden="1"/>
    <cellStyle name="열어 본 하이퍼링크" xfId="631" builtinId="9" hidden="1"/>
    <cellStyle name="열어 본 하이퍼링크" xfId="632" builtinId="9" hidden="1"/>
    <cellStyle name="열어 본 하이퍼링크" xfId="633" builtinId="9" hidden="1"/>
    <cellStyle name="열어 본 하이퍼링크" xfId="634" builtinId="9" hidden="1"/>
    <cellStyle name="열어 본 하이퍼링크" xfId="635" builtinId="9" hidden="1"/>
    <cellStyle name="열어 본 하이퍼링크" xfId="636" builtinId="9" hidden="1"/>
    <cellStyle name="열어 본 하이퍼링크" xfId="637" builtinId="9" hidden="1"/>
    <cellStyle name="열어 본 하이퍼링크" xfId="638" builtinId="9" hidden="1"/>
    <cellStyle name="열어 본 하이퍼링크" xfId="639" builtinId="9" hidden="1"/>
    <cellStyle name="열어 본 하이퍼링크" xfId="640" builtinId="9" hidden="1"/>
    <cellStyle name="열어 본 하이퍼링크" xfId="641" builtinId="9" hidden="1"/>
    <cellStyle name="열어 본 하이퍼링크" xfId="642" builtinId="9" hidden="1"/>
    <cellStyle name="열어 본 하이퍼링크" xfId="643" builtinId="9" hidden="1"/>
    <cellStyle name="열어 본 하이퍼링크" xfId="644" builtinId="9" hidden="1"/>
    <cellStyle name="열어 본 하이퍼링크" xfId="645" builtinId="9" hidden="1"/>
    <cellStyle name="열어 본 하이퍼링크" xfId="646" builtinId="9" hidden="1"/>
    <cellStyle name="열어 본 하이퍼링크" xfId="647" builtinId="9" hidden="1"/>
    <cellStyle name="열어 본 하이퍼링크" xfId="648" builtinId="9" hidden="1"/>
    <cellStyle name="열어 본 하이퍼링크" xfId="649" builtinId="9" hidden="1"/>
    <cellStyle name="열어 본 하이퍼링크" xfId="650" builtinId="9" hidden="1"/>
    <cellStyle name="열어 본 하이퍼링크" xfId="651" builtinId="9" hidden="1"/>
    <cellStyle name="열어 본 하이퍼링크" xfId="652" builtinId="9" hidden="1"/>
    <cellStyle name="열어 본 하이퍼링크" xfId="653" builtinId="9" hidden="1"/>
    <cellStyle name="열어 본 하이퍼링크" xfId="654" builtinId="9" hidden="1"/>
    <cellStyle name="열어 본 하이퍼링크" xfId="655" builtinId="9" hidden="1"/>
    <cellStyle name="열어 본 하이퍼링크" xfId="656" builtinId="9" hidden="1"/>
    <cellStyle name="열어 본 하이퍼링크" xfId="657" builtinId="9" hidden="1"/>
    <cellStyle name="열어 본 하이퍼링크" xfId="658" builtinId="9" hidden="1"/>
    <cellStyle name="열어 본 하이퍼링크" xfId="659" builtinId="9" hidden="1"/>
    <cellStyle name="열어 본 하이퍼링크" xfId="660" builtinId="9" hidden="1"/>
    <cellStyle name="열어 본 하이퍼링크" xfId="661" builtinId="9" hidden="1"/>
    <cellStyle name="열어 본 하이퍼링크" xfId="662" builtinId="9" hidden="1"/>
    <cellStyle name="열어 본 하이퍼링크" xfId="663" builtinId="9" hidden="1"/>
    <cellStyle name="열어 본 하이퍼링크" xfId="664" builtinId="9" hidden="1"/>
    <cellStyle name="열어 본 하이퍼링크" xfId="665" builtinId="9" hidden="1"/>
    <cellStyle name="열어 본 하이퍼링크" xfId="666" builtinId="9" hidden="1"/>
    <cellStyle name="열어 본 하이퍼링크" xfId="667" builtinId="9" hidden="1"/>
    <cellStyle name="열어 본 하이퍼링크" xfId="668" builtinId="9" hidden="1"/>
    <cellStyle name="열어 본 하이퍼링크" xfId="669" builtinId="9" hidden="1"/>
    <cellStyle name="열어 본 하이퍼링크" xfId="670" builtinId="9" hidden="1"/>
    <cellStyle name="열어 본 하이퍼링크" xfId="671" builtinId="9" hidden="1"/>
    <cellStyle name="열어 본 하이퍼링크" xfId="672" builtinId="9" hidden="1"/>
    <cellStyle name="열어 본 하이퍼링크" xfId="673" builtinId="9" hidden="1"/>
    <cellStyle name="열어 본 하이퍼링크" xfId="674" builtinId="9" hidden="1"/>
    <cellStyle name="열어 본 하이퍼링크" xfId="675" builtinId="9" hidden="1"/>
    <cellStyle name="열어 본 하이퍼링크" xfId="676" builtinId="9" hidden="1"/>
    <cellStyle name="열어 본 하이퍼링크" xfId="677" builtinId="9" hidden="1"/>
    <cellStyle name="열어 본 하이퍼링크" xfId="678" builtinId="9" hidden="1"/>
    <cellStyle name="열어 본 하이퍼링크" xfId="679" builtinId="9" hidden="1"/>
    <cellStyle name="열어 본 하이퍼링크" xfId="680" builtinId="9" hidden="1"/>
    <cellStyle name="열어 본 하이퍼링크" xfId="681" builtinId="9" hidden="1"/>
    <cellStyle name="열어 본 하이퍼링크" xfId="682" builtinId="9" hidden="1"/>
    <cellStyle name="열어 본 하이퍼링크" xfId="683" builtinId="9" hidden="1"/>
    <cellStyle name="열어 본 하이퍼링크" xfId="684" builtinId="9" hidden="1"/>
    <cellStyle name="열어 본 하이퍼링크" xfId="685" builtinId="9" hidden="1"/>
    <cellStyle name="열어 본 하이퍼링크" xfId="686" builtinId="9" hidden="1"/>
    <cellStyle name="열어 본 하이퍼링크" xfId="687" builtinId="9" hidden="1"/>
    <cellStyle name="열어 본 하이퍼링크" xfId="688" builtinId="9" hidden="1"/>
    <cellStyle name="열어 본 하이퍼링크" xfId="689" builtinId="9" hidden="1"/>
    <cellStyle name="열어 본 하이퍼링크" xfId="690" builtinId="9" hidden="1"/>
    <cellStyle name="열어 본 하이퍼링크" xfId="691" builtinId="9" hidden="1"/>
    <cellStyle name="열어 본 하이퍼링크" xfId="692" builtinId="9" hidden="1"/>
    <cellStyle name="열어 본 하이퍼링크" xfId="693" builtinId="9" hidden="1"/>
    <cellStyle name="열어 본 하이퍼링크" xfId="694" builtinId="9" hidden="1"/>
    <cellStyle name="열어 본 하이퍼링크" xfId="695" builtinId="9" hidden="1"/>
    <cellStyle name="열어 본 하이퍼링크" xfId="696" builtinId="9" hidden="1"/>
    <cellStyle name="열어 본 하이퍼링크" xfId="697" builtinId="9" hidden="1"/>
    <cellStyle name="열어 본 하이퍼링크" xfId="698" builtinId="9" hidden="1"/>
    <cellStyle name="열어 본 하이퍼링크" xfId="699" builtinId="9" hidden="1"/>
    <cellStyle name="열어 본 하이퍼링크" xfId="700" builtinId="9" hidden="1"/>
    <cellStyle name="열어 본 하이퍼링크" xfId="701" builtinId="9" hidden="1"/>
    <cellStyle name="요약" xfId="716" builtinId="25" customBuiltin="1"/>
    <cellStyle name="요약 2" xfId="281" xr:uid="{00000000-0005-0000-0000-000032020000}"/>
    <cellStyle name="요약 2 2" xfId="825" xr:uid="{00000000-0005-0000-0000-000033020000}"/>
    <cellStyle name="一般_Sheet1" xfId="282" xr:uid="{00000000-0005-0000-0000-000034020000}"/>
    <cellStyle name="입력" xfId="709" builtinId="20" customBuiltin="1"/>
    <cellStyle name="입력 2" xfId="283" xr:uid="{00000000-0005-0000-0000-000035020000}"/>
    <cellStyle name="입력 2 2" xfId="826" xr:uid="{00000000-0005-0000-0000-000036020000}"/>
    <cellStyle name="제목 1" xfId="705" builtinId="16" customBuiltin="1"/>
    <cellStyle name="제목 1 2" xfId="284" xr:uid="{00000000-0005-0000-0000-000037020000}"/>
    <cellStyle name="제목 1 2 2" xfId="827" xr:uid="{00000000-0005-0000-0000-000038020000}"/>
    <cellStyle name="제목 2" xfId="706" builtinId="17" customBuiltin="1"/>
    <cellStyle name="제목 2 2" xfId="285" xr:uid="{00000000-0005-0000-0000-000039020000}"/>
    <cellStyle name="제목 2 2 2" xfId="828" xr:uid="{00000000-0005-0000-0000-00003A020000}"/>
    <cellStyle name="제목 3" xfId="707" builtinId="18" customBuiltin="1"/>
    <cellStyle name="제목 3 2" xfId="286" xr:uid="{00000000-0005-0000-0000-00003B020000}"/>
    <cellStyle name="제목 3 2 2" xfId="829" xr:uid="{00000000-0005-0000-0000-00003C020000}"/>
    <cellStyle name="제목 4" xfId="708" builtinId="19" customBuiltin="1"/>
    <cellStyle name="제목 4 2" xfId="287" xr:uid="{00000000-0005-0000-0000-00003D020000}"/>
    <cellStyle name="제목 4 2 2" xfId="830" xr:uid="{00000000-0005-0000-0000-00003E020000}"/>
    <cellStyle name="제목 5" xfId="288" xr:uid="{00000000-0005-0000-0000-00003F020000}"/>
    <cellStyle name="제목 5 2" xfId="831" xr:uid="{00000000-0005-0000-0000-000040020000}"/>
    <cellStyle name="제목 6" xfId="742" xr:uid="{00000000-0005-0000-0000-000041020000}"/>
    <cellStyle name="좋음" xfId="702" builtinId="26" customBuiltin="1"/>
    <cellStyle name="좋음 2" xfId="289" xr:uid="{00000000-0005-0000-0000-000042020000}"/>
    <cellStyle name="좋음 2 2" xfId="832" xr:uid="{00000000-0005-0000-0000-000043020000}"/>
    <cellStyle name="출력" xfId="710" builtinId="21" customBuiltin="1"/>
    <cellStyle name="출력 2" xfId="290" xr:uid="{00000000-0005-0000-0000-000044020000}"/>
    <cellStyle name="출력 2 2" xfId="833" xr:uid="{00000000-0005-0000-0000-000045020000}"/>
    <cellStyle name="통화 [0] 3" xfId="291" xr:uid="{00000000-0005-0000-0000-000046020000}"/>
    <cellStyle name="통화 [0] 3 2" xfId="292" xr:uid="{00000000-0005-0000-0000-000047020000}"/>
    <cellStyle name="통화 [0] 3 2 2" xfId="1196" xr:uid="{00000000-0005-0000-0000-000048020000}"/>
    <cellStyle name="통화 [0] 3 3" xfId="834" xr:uid="{00000000-0005-0000-0000-000049020000}"/>
    <cellStyle name="통화 [0] 4" xfId="293" xr:uid="{00000000-0005-0000-0000-00004A020000}"/>
    <cellStyle name="통화 [0] 4 2" xfId="294" xr:uid="{00000000-0005-0000-0000-00004B020000}"/>
    <cellStyle name="통화 [0] 4 2 2" xfId="295" xr:uid="{00000000-0005-0000-0000-00004C020000}"/>
    <cellStyle name="통화 [0] 4 2 2 2" xfId="1198" xr:uid="{00000000-0005-0000-0000-00004D020000}"/>
    <cellStyle name="통화 [0] 4 2 3" xfId="835" xr:uid="{00000000-0005-0000-0000-00004E020000}"/>
    <cellStyle name="통화 [0] 4 3" xfId="296" xr:uid="{00000000-0005-0000-0000-00004F020000}"/>
    <cellStyle name="통화 [0] 4 3 2" xfId="1197" xr:uid="{00000000-0005-0000-0000-000050020000}"/>
    <cellStyle name="통화 [0] 4 4" xfId="738" xr:uid="{00000000-0005-0000-0000-000051020000}"/>
    <cellStyle name="표준" xfId="0" builtinId="0"/>
    <cellStyle name="표준 10" xfId="297" xr:uid="{00000000-0005-0000-0000-000052020000}"/>
    <cellStyle name="표준 10 10" xfId="298" xr:uid="{00000000-0005-0000-0000-000053020000}"/>
    <cellStyle name="표준 10 10 2" xfId="837" xr:uid="{00000000-0005-0000-0000-000054020000}"/>
    <cellStyle name="표준 10 12 2" xfId="299" xr:uid="{00000000-0005-0000-0000-000055020000}"/>
    <cellStyle name="표준 10 2" xfId="300" xr:uid="{00000000-0005-0000-0000-000056020000}"/>
    <cellStyle name="표준 10 2 2" xfId="838" xr:uid="{00000000-0005-0000-0000-000057020000}"/>
    <cellStyle name="표준 10 3" xfId="301" xr:uid="{00000000-0005-0000-0000-000058020000}"/>
    <cellStyle name="표준 10 3 2" xfId="839" xr:uid="{00000000-0005-0000-0000-000059020000}"/>
    <cellStyle name="표준 10 4" xfId="836" xr:uid="{00000000-0005-0000-0000-00005A020000}"/>
    <cellStyle name="표준 102 5 2 4 2 2" xfId="302" xr:uid="{00000000-0005-0000-0000-00005B020000}"/>
    <cellStyle name="표준 102 5 2 4 2 2 2" xfId="840" xr:uid="{00000000-0005-0000-0000-00005C020000}"/>
    <cellStyle name="표준 11" xfId="303" xr:uid="{00000000-0005-0000-0000-00005D020000}"/>
    <cellStyle name="표준 11 2" xfId="304" xr:uid="{00000000-0005-0000-0000-00005E020000}"/>
    <cellStyle name="표준 11 2 2" xfId="842" xr:uid="{00000000-0005-0000-0000-00005F020000}"/>
    <cellStyle name="표준 11 3" xfId="305" xr:uid="{00000000-0005-0000-0000-000060020000}"/>
    <cellStyle name="표준 11 3 2" xfId="306" xr:uid="{00000000-0005-0000-0000-000061020000}"/>
    <cellStyle name="표준 11 3 2 2" xfId="307" xr:uid="{00000000-0005-0000-0000-000062020000}"/>
    <cellStyle name="표준 11 3 2 2 2" xfId="845" xr:uid="{00000000-0005-0000-0000-000063020000}"/>
    <cellStyle name="표준 11 3 2 3" xfId="308" xr:uid="{00000000-0005-0000-0000-000064020000}"/>
    <cellStyle name="표준 11 3 2 3 2" xfId="846" xr:uid="{00000000-0005-0000-0000-000065020000}"/>
    <cellStyle name="표준 11 3 2 4" xfId="844" xr:uid="{00000000-0005-0000-0000-000066020000}"/>
    <cellStyle name="표준 11 3 3" xfId="309" xr:uid="{00000000-0005-0000-0000-000067020000}"/>
    <cellStyle name="표준 11 3 3 2" xfId="847" xr:uid="{00000000-0005-0000-0000-000068020000}"/>
    <cellStyle name="표준 11 3 4" xfId="310" xr:uid="{00000000-0005-0000-0000-000069020000}"/>
    <cellStyle name="표준 11 3 4 2" xfId="848" xr:uid="{00000000-0005-0000-0000-00006A020000}"/>
    <cellStyle name="표준 11 3 5" xfId="311" xr:uid="{00000000-0005-0000-0000-00006B020000}"/>
    <cellStyle name="표준 11 3 5 2" xfId="849" xr:uid="{00000000-0005-0000-0000-00006C020000}"/>
    <cellStyle name="표준 11 3 6" xfId="843" xr:uid="{00000000-0005-0000-0000-00006D020000}"/>
    <cellStyle name="표준 11 4" xfId="841" xr:uid="{00000000-0005-0000-0000-00006E020000}"/>
    <cellStyle name="표준 114" xfId="312" xr:uid="{00000000-0005-0000-0000-00006F020000}"/>
    <cellStyle name="표준 114 2" xfId="850" xr:uid="{00000000-0005-0000-0000-000070020000}"/>
    <cellStyle name="표준 12" xfId="313" xr:uid="{00000000-0005-0000-0000-000071020000}"/>
    <cellStyle name="표준 12 2" xfId="851" xr:uid="{00000000-0005-0000-0000-000072020000}"/>
    <cellStyle name="표준 13" xfId="314" xr:uid="{00000000-0005-0000-0000-000073020000}"/>
    <cellStyle name="표준 13 2" xfId="852" xr:uid="{00000000-0005-0000-0000-000074020000}"/>
    <cellStyle name="표준 14" xfId="315" xr:uid="{00000000-0005-0000-0000-000075020000}"/>
    <cellStyle name="표준 14 2" xfId="853" xr:uid="{00000000-0005-0000-0000-000076020000}"/>
    <cellStyle name="표준 15" xfId="316" xr:uid="{00000000-0005-0000-0000-000077020000}"/>
    <cellStyle name="표준 15 2" xfId="854" xr:uid="{00000000-0005-0000-0000-000078020000}"/>
    <cellStyle name="표준 16" xfId="317" xr:uid="{00000000-0005-0000-0000-000079020000}"/>
    <cellStyle name="표준 16 2" xfId="318" xr:uid="{00000000-0005-0000-0000-00007A020000}"/>
    <cellStyle name="표준 16 2 2" xfId="856" xr:uid="{00000000-0005-0000-0000-00007B020000}"/>
    <cellStyle name="표준 16 3" xfId="319" xr:uid="{00000000-0005-0000-0000-00007C020000}"/>
    <cellStyle name="표준 16 3 2" xfId="857" xr:uid="{00000000-0005-0000-0000-00007D020000}"/>
    <cellStyle name="표준 16 4" xfId="320" xr:uid="{00000000-0005-0000-0000-00007E020000}"/>
    <cellStyle name="표준 16 4 2" xfId="858" xr:uid="{00000000-0005-0000-0000-00007F020000}"/>
    <cellStyle name="표준 16 5" xfId="855" xr:uid="{00000000-0005-0000-0000-000080020000}"/>
    <cellStyle name="표준 17" xfId="321" xr:uid="{00000000-0005-0000-0000-000081020000}"/>
    <cellStyle name="표준 17 2" xfId="859" xr:uid="{00000000-0005-0000-0000-000082020000}"/>
    <cellStyle name="표준 18" xfId="322" xr:uid="{00000000-0005-0000-0000-000083020000}"/>
    <cellStyle name="표준 18 2" xfId="323" xr:uid="{00000000-0005-0000-0000-000084020000}"/>
    <cellStyle name="표준 18 2 2" xfId="861" xr:uid="{00000000-0005-0000-0000-000085020000}"/>
    <cellStyle name="표준 18 3" xfId="324" xr:uid="{00000000-0005-0000-0000-000086020000}"/>
    <cellStyle name="표준 18 3 2" xfId="862" xr:uid="{00000000-0005-0000-0000-000087020000}"/>
    <cellStyle name="표준 18 4" xfId="860" xr:uid="{00000000-0005-0000-0000-000088020000}"/>
    <cellStyle name="표준 19" xfId="325" xr:uid="{00000000-0005-0000-0000-000089020000}"/>
    <cellStyle name="표준 19 2" xfId="326" xr:uid="{00000000-0005-0000-0000-00008A020000}"/>
    <cellStyle name="표준 19 2 2" xfId="864" xr:uid="{00000000-0005-0000-0000-00008B020000}"/>
    <cellStyle name="표준 19 3" xfId="327" xr:uid="{00000000-0005-0000-0000-00008C020000}"/>
    <cellStyle name="표준 19 3 2" xfId="865" xr:uid="{00000000-0005-0000-0000-00008D020000}"/>
    <cellStyle name="표준 19 4" xfId="863" xr:uid="{00000000-0005-0000-0000-00008E020000}"/>
    <cellStyle name="표준 2" xfId="328" xr:uid="{00000000-0005-0000-0000-00008F020000}"/>
    <cellStyle name="표준 2 10" xfId="329" xr:uid="{00000000-0005-0000-0000-000090020000}"/>
    <cellStyle name="표준 2 10 2" xfId="330" xr:uid="{00000000-0005-0000-0000-000091020000}"/>
    <cellStyle name="표준 2 10 2 2" xfId="867" xr:uid="{00000000-0005-0000-0000-000092020000}"/>
    <cellStyle name="표준 2 10 3" xfId="866" xr:uid="{00000000-0005-0000-0000-000093020000}"/>
    <cellStyle name="표준 2 11" xfId="331" xr:uid="{00000000-0005-0000-0000-000094020000}"/>
    <cellStyle name="표준 2 11 2" xfId="868" xr:uid="{00000000-0005-0000-0000-000095020000}"/>
    <cellStyle name="표준 2 12" xfId="332" xr:uid="{00000000-0005-0000-0000-000096020000}"/>
    <cellStyle name="표준 2 13" xfId="333" xr:uid="{00000000-0005-0000-0000-000097020000}"/>
    <cellStyle name="표준 2 13 2" xfId="869" xr:uid="{00000000-0005-0000-0000-000098020000}"/>
    <cellStyle name="표준 2 14" xfId="334" xr:uid="{00000000-0005-0000-0000-000099020000}"/>
    <cellStyle name="표준 2 14 2" xfId="870" xr:uid="{00000000-0005-0000-0000-00009A020000}"/>
    <cellStyle name="표준 2 15" xfId="535" xr:uid="{00000000-0005-0000-0000-00009B020000}"/>
    <cellStyle name="표준 2 2" xfId="335" xr:uid="{00000000-0005-0000-0000-00009C020000}"/>
    <cellStyle name="표준 2 2 2" xfId="336" xr:uid="{00000000-0005-0000-0000-00009D020000}"/>
    <cellStyle name="표준 2 2 2 2" xfId="337" xr:uid="{00000000-0005-0000-0000-00009E020000}"/>
    <cellStyle name="표준 2 2 2 2 2" xfId="871" xr:uid="{00000000-0005-0000-0000-00009F020000}"/>
    <cellStyle name="표준 2 2 2 2 2 2 2 2" xfId="1217" xr:uid="{7C222985-6770-4CE5-A8BD-E76BEF213D6D}"/>
    <cellStyle name="표준 2 2 2 2 2 3 2" xfId="1216" xr:uid="{A4BAF015-5FBF-4DB0-AA75-F215871D821B}"/>
    <cellStyle name="표준 2 2 2 3" xfId="338" xr:uid="{00000000-0005-0000-0000-0000A0020000}"/>
    <cellStyle name="표준 2 2 2 3 2" xfId="872" xr:uid="{00000000-0005-0000-0000-0000A1020000}"/>
    <cellStyle name="표준 2 2 2 4" xfId="620" xr:uid="{00000000-0005-0000-0000-0000A2020000}"/>
    <cellStyle name="표준 2 2 3" xfId="339" xr:uid="{00000000-0005-0000-0000-0000A3020000}"/>
    <cellStyle name="표준 2 2 3 2" xfId="873" xr:uid="{00000000-0005-0000-0000-0000A4020000}"/>
    <cellStyle name="표준 2 2 4" xfId="340" xr:uid="{00000000-0005-0000-0000-0000A5020000}"/>
    <cellStyle name="표준 2 2 4 2" xfId="874" xr:uid="{00000000-0005-0000-0000-0000A6020000}"/>
    <cellStyle name="표준 2 2 5" xfId="341" xr:uid="{00000000-0005-0000-0000-0000A7020000}"/>
    <cellStyle name="표준 2 2 5 2" xfId="875" xr:uid="{00000000-0005-0000-0000-0000A8020000}"/>
    <cellStyle name="표준 2 22" xfId="1214" xr:uid="{00000000-0005-0000-0000-0000A9020000}"/>
    <cellStyle name="표준 2 3" xfId="342" xr:uid="{00000000-0005-0000-0000-0000AA020000}"/>
    <cellStyle name="표준 2 3 2" xfId="343" xr:uid="{00000000-0005-0000-0000-0000AB020000}"/>
    <cellStyle name="표준 2 3 2 2" xfId="877" xr:uid="{00000000-0005-0000-0000-0000AC020000}"/>
    <cellStyle name="표준 2 3 3" xfId="344" xr:uid="{00000000-0005-0000-0000-0000AD020000}"/>
    <cellStyle name="표준 2 3 3 2" xfId="878" xr:uid="{00000000-0005-0000-0000-0000AE020000}"/>
    <cellStyle name="표준 2 3 4" xfId="345" xr:uid="{00000000-0005-0000-0000-0000AF020000}"/>
    <cellStyle name="표준 2 3 4 2" xfId="879" xr:uid="{00000000-0005-0000-0000-0000B0020000}"/>
    <cellStyle name="표준 2 3 5" xfId="876" xr:uid="{00000000-0005-0000-0000-0000B1020000}"/>
    <cellStyle name="표준 2 4" xfId="346" xr:uid="{00000000-0005-0000-0000-0000B2020000}"/>
    <cellStyle name="표준 2 4 2" xfId="880" xr:uid="{00000000-0005-0000-0000-0000B3020000}"/>
    <cellStyle name="표준 2 5" xfId="347" xr:uid="{00000000-0005-0000-0000-0000B4020000}"/>
    <cellStyle name="표준 2 5 2" xfId="881" xr:uid="{00000000-0005-0000-0000-0000B5020000}"/>
    <cellStyle name="표준 2 6" xfId="348" xr:uid="{00000000-0005-0000-0000-0000B6020000}"/>
    <cellStyle name="표준 2 6 2" xfId="882" xr:uid="{00000000-0005-0000-0000-0000B7020000}"/>
    <cellStyle name="표준 2 7" xfId="349" xr:uid="{00000000-0005-0000-0000-0000B8020000}"/>
    <cellStyle name="표준 2 7 2" xfId="350" xr:uid="{00000000-0005-0000-0000-0000B9020000}"/>
    <cellStyle name="표준 2 7 3" xfId="351" xr:uid="{00000000-0005-0000-0000-0000BA020000}"/>
    <cellStyle name="표준 2 7 3 2" xfId="883" xr:uid="{00000000-0005-0000-0000-0000BB020000}"/>
    <cellStyle name="표준 2 7 4" xfId="352" xr:uid="{00000000-0005-0000-0000-0000BC020000}"/>
    <cellStyle name="표준 2 8" xfId="353" xr:uid="{00000000-0005-0000-0000-0000BD020000}"/>
    <cellStyle name="표준 2 8 2" xfId="354" xr:uid="{00000000-0005-0000-0000-0000BE020000}"/>
    <cellStyle name="표준 2 8 2 2" xfId="885" xr:uid="{00000000-0005-0000-0000-0000BF020000}"/>
    <cellStyle name="표준 2 8 3" xfId="355" xr:uid="{00000000-0005-0000-0000-0000C0020000}"/>
    <cellStyle name="표준 2 8 3 2" xfId="886" xr:uid="{00000000-0005-0000-0000-0000C1020000}"/>
    <cellStyle name="표준 2 8 4" xfId="884" xr:uid="{00000000-0005-0000-0000-0000C2020000}"/>
    <cellStyle name="표준 2 9" xfId="356" xr:uid="{00000000-0005-0000-0000-0000C3020000}"/>
    <cellStyle name="표준 20" xfId="357" xr:uid="{00000000-0005-0000-0000-0000C4020000}"/>
    <cellStyle name="표준 20 2" xfId="358" xr:uid="{00000000-0005-0000-0000-0000C5020000}"/>
    <cellStyle name="표준 20 2 2" xfId="888" xr:uid="{00000000-0005-0000-0000-0000C6020000}"/>
    <cellStyle name="표준 20 3" xfId="359" xr:uid="{00000000-0005-0000-0000-0000C7020000}"/>
    <cellStyle name="표준 20 3 2" xfId="889" xr:uid="{00000000-0005-0000-0000-0000C8020000}"/>
    <cellStyle name="표준 20 4" xfId="887" xr:uid="{00000000-0005-0000-0000-0000C9020000}"/>
    <cellStyle name="표준 21" xfId="360" xr:uid="{00000000-0005-0000-0000-0000CA020000}"/>
    <cellStyle name="표준 22" xfId="361" xr:uid="{00000000-0005-0000-0000-0000CB020000}"/>
    <cellStyle name="표준 23" xfId="362" xr:uid="{00000000-0005-0000-0000-0000CC020000}"/>
    <cellStyle name="표준 23 2" xfId="890" xr:uid="{00000000-0005-0000-0000-0000CD020000}"/>
    <cellStyle name="표준 24" xfId="363" xr:uid="{00000000-0005-0000-0000-0000CE020000}"/>
    <cellStyle name="표준 24 2" xfId="364" xr:uid="{00000000-0005-0000-0000-0000CF020000}"/>
    <cellStyle name="표준 24 2 2" xfId="891" xr:uid="{00000000-0005-0000-0000-0000D0020000}"/>
    <cellStyle name="표준 24 3" xfId="365" xr:uid="{00000000-0005-0000-0000-0000D1020000}"/>
    <cellStyle name="표준 24 3 2" xfId="892" xr:uid="{00000000-0005-0000-0000-0000D2020000}"/>
    <cellStyle name="표준 24 4" xfId="737" xr:uid="{00000000-0005-0000-0000-0000D3020000}"/>
    <cellStyle name="표준 25" xfId="366" xr:uid="{00000000-0005-0000-0000-0000D4020000}"/>
    <cellStyle name="표준 25 2" xfId="893" xr:uid="{00000000-0005-0000-0000-0000D5020000}"/>
    <cellStyle name="표준 26" xfId="367" xr:uid="{00000000-0005-0000-0000-0000D6020000}"/>
    <cellStyle name="표준 26 2" xfId="894" xr:uid="{00000000-0005-0000-0000-0000D7020000}"/>
    <cellStyle name="표준 27" xfId="368" xr:uid="{00000000-0005-0000-0000-0000D8020000}"/>
    <cellStyle name="표준 27 2" xfId="895" xr:uid="{00000000-0005-0000-0000-0000D9020000}"/>
    <cellStyle name="표준 28" xfId="369" xr:uid="{00000000-0005-0000-0000-0000DA020000}"/>
    <cellStyle name="표준 28 2" xfId="896" xr:uid="{00000000-0005-0000-0000-0000DB020000}"/>
    <cellStyle name="표준 29" xfId="370" xr:uid="{00000000-0005-0000-0000-0000DC020000}"/>
    <cellStyle name="표준 29 2" xfId="897" xr:uid="{00000000-0005-0000-0000-0000DD020000}"/>
    <cellStyle name="표준 3" xfId="371" xr:uid="{00000000-0005-0000-0000-0000DE020000}"/>
    <cellStyle name="표준 3 10" xfId="372" xr:uid="{00000000-0005-0000-0000-0000DF020000}"/>
    <cellStyle name="표준 3 10 2" xfId="899" xr:uid="{00000000-0005-0000-0000-0000E0020000}"/>
    <cellStyle name="표준 3 11" xfId="898" xr:uid="{00000000-0005-0000-0000-0000E1020000}"/>
    <cellStyle name="표준 3 2" xfId="373" xr:uid="{00000000-0005-0000-0000-0000E2020000}"/>
    <cellStyle name="표준 3 2 2" xfId="1215" xr:uid="{18AE663B-F6D0-4166-ACBD-89547250FC7C}"/>
    <cellStyle name="표준 3 3" xfId="374" xr:uid="{00000000-0005-0000-0000-0000E3020000}"/>
    <cellStyle name="표준 3 3 2" xfId="375" xr:uid="{00000000-0005-0000-0000-0000E4020000}"/>
    <cellStyle name="표준 3 3 2 2" xfId="901" xr:uid="{00000000-0005-0000-0000-0000E5020000}"/>
    <cellStyle name="표준 3 3 3" xfId="376" xr:uid="{00000000-0005-0000-0000-0000E6020000}"/>
    <cellStyle name="표준 3 3 4" xfId="377" xr:uid="{00000000-0005-0000-0000-0000E7020000}"/>
    <cellStyle name="표준 3 3 4 2" xfId="902" xr:uid="{00000000-0005-0000-0000-0000E8020000}"/>
    <cellStyle name="표준 3 3 5" xfId="900" xr:uid="{00000000-0005-0000-0000-0000E9020000}"/>
    <cellStyle name="표준 3 30" xfId="378" xr:uid="{00000000-0005-0000-0000-0000EA020000}"/>
    <cellStyle name="표준 3 4" xfId="379" xr:uid="{00000000-0005-0000-0000-0000EB020000}"/>
    <cellStyle name="표준 3 4 2" xfId="903" xr:uid="{00000000-0005-0000-0000-0000EC020000}"/>
    <cellStyle name="표준 3 5" xfId="380" xr:uid="{00000000-0005-0000-0000-0000ED020000}"/>
    <cellStyle name="표준 3 5 2" xfId="904" xr:uid="{00000000-0005-0000-0000-0000EE020000}"/>
    <cellStyle name="표준 3 6" xfId="381" xr:uid="{00000000-0005-0000-0000-0000EF020000}"/>
    <cellStyle name="표준 3 6 2" xfId="905" xr:uid="{00000000-0005-0000-0000-0000F0020000}"/>
    <cellStyle name="표준 3 7" xfId="382" xr:uid="{00000000-0005-0000-0000-0000F1020000}"/>
    <cellStyle name="표준 3 7 2" xfId="906" xr:uid="{00000000-0005-0000-0000-0000F2020000}"/>
    <cellStyle name="표준 3 8" xfId="383" xr:uid="{00000000-0005-0000-0000-0000F3020000}"/>
    <cellStyle name="표준 3 8 2" xfId="907" xr:uid="{00000000-0005-0000-0000-0000F4020000}"/>
    <cellStyle name="표준 3 9" xfId="384" xr:uid="{00000000-0005-0000-0000-0000F5020000}"/>
    <cellStyle name="표준 3 9 2" xfId="908" xr:uid="{00000000-0005-0000-0000-0000F6020000}"/>
    <cellStyle name="표준 30" xfId="385" xr:uid="{00000000-0005-0000-0000-0000F7020000}"/>
    <cellStyle name="표준 30 2" xfId="909" xr:uid="{00000000-0005-0000-0000-0000F8020000}"/>
    <cellStyle name="표준 31" xfId="386" xr:uid="{00000000-0005-0000-0000-0000F9020000}"/>
    <cellStyle name="표준 31 2" xfId="910" xr:uid="{00000000-0005-0000-0000-0000FA020000}"/>
    <cellStyle name="표준 32" xfId="387" xr:uid="{00000000-0005-0000-0000-0000FB020000}"/>
    <cellStyle name="표준 32 2" xfId="911" xr:uid="{00000000-0005-0000-0000-0000FC020000}"/>
    <cellStyle name="표준 33" xfId="388" xr:uid="{00000000-0005-0000-0000-0000FD020000}"/>
    <cellStyle name="표준 33 2" xfId="912" xr:uid="{00000000-0005-0000-0000-0000FE020000}"/>
    <cellStyle name="표준 34" xfId="389" xr:uid="{00000000-0005-0000-0000-0000FF020000}"/>
    <cellStyle name="표준 34 2" xfId="913" xr:uid="{00000000-0005-0000-0000-000000030000}"/>
    <cellStyle name="표준 35" xfId="390" xr:uid="{00000000-0005-0000-0000-000001030000}"/>
    <cellStyle name="표준 35 2" xfId="914" xr:uid="{00000000-0005-0000-0000-000002030000}"/>
    <cellStyle name="표준 36" xfId="391" xr:uid="{00000000-0005-0000-0000-000003030000}"/>
    <cellStyle name="표준 36 2" xfId="915" xr:uid="{00000000-0005-0000-0000-000004030000}"/>
    <cellStyle name="표준 37" xfId="392" xr:uid="{00000000-0005-0000-0000-000005030000}"/>
    <cellStyle name="표준 37 2" xfId="916" xr:uid="{00000000-0005-0000-0000-000006030000}"/>
    <cellStyle name="표준 38" xfId="393" xr:uid="{00000000-0005-0000-0000-000007030000}"/>
    <cellStyle name="표준 38 2" xfId="917" xr:uid="{00000000-0005-0000-0000-000008030000}"/>
    <cellStyle name="표준 39" xfId="394" xr:uid="{00000000-0005-0000-0000-000009030000}"/>
    <cellStyle name="표준 39 2" xfId="918" xr:uid="{00000000-0005-0000-0000-00000A030000}"/>
    <cellStyle name="표준 4" xfId="395" xr:uid="{00000000-0005-0000-0000-00000B030000}"/>
    <cellStyle name="표준 4 10" xfId="396" xr:uid="{00000000-0005-0000-0000-00000C030000}"/>
    <cellStyle name="표준 4 10 2" xfId="397" xr:uid="{00000000-0005-0000-0000-00000D030000}"/>
    <cellStyle name="표준 4 10 2 2" xfId="921" xr:uid="{00000000-0005-0000-0000-00000E030000}"/>
    <cellStyle name="표준 4 10 3" xfId="398" xr:uid="{00000000-0005-0000-0000-00000F030000}"/>
    <cellStyle name="표준 4 10 3 2" xfId="922" xr:uid="{00000000-0005-0000-0000-000010030000}"/>
    <cellStyle name="표준 4 10 4" xfId="920" xr:uid="{00000000-0005-0000-0000-000011030000}"/>
    <cellStyle name="표준 4 11" xfId="399" xr:uid="{00000000-0005-0000-0000-000012030000}"/>
    <cellStyle name="표준 4 11 2" xfId="400" xr:uid="{00000000-0005-0000-0000-000013030000}"/>
    <cellStyle name="표준 4 11 2 2" xfId="924" xr:uid="{00000000-0005-0000-0000-000014030000}"/>
    <cellStyle name="표준 4 11 3" xfId="401" xr:uid="{00000000-0005-0000-0000-000015030000}"/>
    <cellStyle name="표준 4 11 3 2" xfId="925" xr:uid="{00000000-0005-0000-0000-000016030000}"/>
    <cellStyle name="표준 4 11 4" xfId="923" xr:uid="{00000000-0005-0000-0000-000017030000}"/>
    <cellStyle name="표준 4 12" xfId="402" xr:uid="{00000000-0005-0000-0000-000018030000}"/>
    <cellStyle name="표준 4 12 2" xfId="926" xr:uid="{00000000-0005-0000-0000-000019030000}"/>
    <cellStyle name="표준 4 13" xfId="403" xr:uid="{00000000-0005-0000-0000-00001A030000}"/>
    <cellStyle name="표준 4 13 2" xfId="927" xr:uid="{00000000-0005-0000-0000-00001B030000}"/>
    <cellStyle name="표준 4 14" xfId="919" xr:uid="{00000000-0005-0000-0000-00001C030000}"/>
    <cellStyle name="표준 4 2" xfId="404" xr:uid="{00000000-0005-0000-0000-00001D030000}"/>
    <cellStyle name="표준 4 2 2" xfId="405" xr:uid="{00000000-0005-0000-0000-00001E030000}"/>
    <cellStyle name="표준 4 2 2 2" xfId="929" xr:uid="{00000000-0005-0000-0000-00001F030000}"/>
    <cellStyle name="표준 4 2 3" xfId="406" xr:uid="{00000000-0005-0000-0000-000020030000}"/>
    <cellStyle name="표준 4 2 3 2" xfId="930" xr:uid="{00000000-0005-0000-0000-000021030000}"/>
    <cellStyle name="표준 4 2 4" xfId="407" xr:uid="{00000000-0005-0000-0000-000022030000}"/>
    <cellStyle name="표준 4 2 4 2" xfId="931" xr:uid="{00000000-0005-0000-0000-000023030000}"/>
    <cellStyle name="표준 4 2 5" xfId="928" xr:uid="{00000000-0005-0000-0000-000024030000}"/>
    <cellStyle name="표준 4 3" xfId="408" xr:uid="{00000000-0005-0000-0000-000025030000}"/>
    <cellStyle name="표준 4 3 2" xfId="932" xr:uid="{00000000-0005-0000-0000-000026030000}"/>
    <cellStyle name="표준 4 4" xfId="409" xr:uid="{00000000-0005-0000-0000-000027030000}"/>
    <cellStyle name="표준 4 4 2" xfId="933" xr:uid="{00000000-0005-0000-0000-000028030000}"/>
    <cellStyle name="표준 4 5" xfId="410" xr:uid="{00000000-0005-0000-0000-000029030000}"/>
    <cellStyle name="표준 4 5 2" xfId="934" xr:uid="{00000000-0005-0000-0000-00002A030000}"/>
    <cellStyle name="표준 4 6" xfId="411" xr:uid="{00000000-0005-0000-0000-00002B030000}"/>
    <cellStyle name="표준 4 6 2" xfId="935" xr:uid="{00000000-0005-0000-0000-00002C030000}"/>
    <cellStyle name="표준 4 7" xfId="412" xr:uid="{00000000-0005-0000-0000-00002D030000}"/>
    <cellStyle name="표준 4 7 2" xfId="413" xr:uid="{00000000-0005-0000-0000-00002E030000}"/>
    <cellStyle name="표준 4 7 2 2" xfId="937" xr:uid="{00000000-0005-0000-0000-00002F030000}"/>
    <cellStyle name="표준 4 7 3" xfId="414" xr:uid="{00000000-0005-0000-0000-000030030000}"/>
    <cellStyle name="표준 4 7 3 2" xfId="938" xr:uid="{00000000-0005-0000-0000-000031030000}"/>
    <cellStyle name="표준 4 7 4" xfId="936" xr:uid="{00000000-0005-0000-0000-000032030000}"/>
    <cellStyle name="표준 4 8" xfId="415" xr:uid="{00000000-0005-0000-0000-000033030000}"/>
    <cellStyle name="표준 4 8 2" xfId="939" xr:uid="{00000000-0005-0000-0000-000034030000}"/>
    <cellStyle name="표준 4 9" xfId="416" xr:uid="{00000000-0005-0000-0000-000035030000}"/>
    <cellStyle name="표준 4 9 2" xfId="417" xr:uid="{00000000-0005-0000-0000-000036030000}"/>
    <cellStyle name="표준 4 9 2 2" xfId="941" xr:uid="{00000000-0005-0000-0000-000037030000}"/>
    <cellStyle name="표준 4 9 3" xfId="418" xr:uid="{00000000-0005-0000-0000-000038030000}"/>
    <cellStyle name="표준 4 9 3 2" xfId="942" xr:uid="{00000000-0005-0000-0000-000039030000}"/>
    <cellStyle name="표준 4 9 4" xfId="940" xr:uid="{00000000-0005-0000-0000-00003A030000}"/>
    <cellStyle name="표준 40" xfId="419" xr:uid="{00000000-0005-0000-0000-00003B030000}"/>
    <cellStyle name="표준 40 2" xfId="943" xr:uid="{00000000-0005-0000-0000-00003C030000}"/>
    <cellStyle name="표준 41" xfId="420" xr:uid="{00000000-0005-0000-0000-00003D030000}"/>
    <cellStyle name="표준 41 2" xfId="944" xr:uid="{00000000-0005-0000-0000-00003E030000}"/>
    <cellStyle name="표준 42" xfId="421" xr:uid="{00000000-0005-0000-0000-00003F030000}"/>
    <cellStyle name="표준 42 2" xfId="945" xr:uid="{00000000-0005-0000-0000-000040030000}"/>
    <cellStyle name="표준 43" xfId="422" xr:uid="{00000000-0005-0000-0000-000041030000}"/>
    <cellStyle name="표준 43 2" xfId="946" xr:uid="{00000000-0005-0000-0000-000042030000}"/>
    <cellStyle name="표준 44" xfId="423" xr:uid="{00000000-0005-0000-0000-000043030000}"/>
    <cellStyle name="표준 44 2" xfId="947" xr:uid="{00000000-0005-0000-0000-000044030000}"/>
    <cellStyle name="표준 45" xfId="424" xr:uid="{00000000-0005-0000-0000-000045030000}"/>
    <cellStyle name="표준 45 2" xfId="948" xr:uid="{00000000-0005-0000-0000-000046030000}"/>
    <cellStyle name="표준 46" xfId="425" xr:uid="{00000000-0005-0000-0000-000047030000}"/>
    <cellStyle name="표준 46 2" xfId="949" xr:uid="{00000000-0005-0000-0000-000048030000}"/>
    <cellStyle name="표준 47" xfId="426" xr:uid="{00000000-0005-0000-0000-000049030000}"/>
    <cellStyle name="표준 47 2" xfId="950" xr:uid="{00000000-0005-0000-0000-00004A030000}"/>
    <cellStyle name="표준 48" xfId="427" xr:uid="{00000000-0005-0000-0000-00004B030000}"/>
    <cellStyle name="표준 48 2" xfId="951" xr:uid="{00000000-0005-0000-0000-00004C030000}"/>
    <cellStyle name="표준 49" xfId="428" xr:uid="{00000000-0005-0000-0000-00004D030000}"/>
    <cellStyle name="표준 49 2" xfId="952" xr:uid="{00000000-0005-0000-0000-00004E030000}"/>
    <cellStyle name="표준 5" xfId="429" xr:uid="{00000000-0005-0000-0000-00004F030000}"/>
    <cellStyle name="표준 5 2" xfId="430" xr:uid="{00000000-0005-0000-0000-000050030000}"/>
    <cellStyle name="표준 5 2 2" xfId="954" xr:uid="{00000000-0005-0000-0000-000051030000}"/>
    <cellStyle name="표준 5 3" xfId="431" xr:uid="{00000000-0005-0000-0000-000052030000}"/>
    <cellStyle name="표준 5 3 2" xfId="432" xr:uid="{00000000-0005-0000-0000-000053030000}"/>
    <cellStyle name="표준 5 3 2 2" xfId="956" xr:uid="{00000000-0005-0000-0000-000054030000}"/>
    <cellStyle name="표준 5 3 3" xfId="433" xr:uid="{00000000-0005-0000-0000-000055030000}"/>
    <cellStyle name="표준 5 3 3 2" xfId="957" xr:uid="{00000000-0005-0000-0000-000056030000}"/>
    <cellStyle name="표준 5 3 4" xfId="955" xr:uid="{00000000-0005-0000-0000-000057030000}"/>
    <cellStyle name="표준 5 4" xfId="434" xr:uid="{00000000-0005-0000-0000-000058030000}"/>
    <cellStyle name="표준 5 4 2" xfId="435" xr:uid="{00000000-0005-0000-0000-000059030000}"/>
    <cellStyle name="표준 5 4 2 2" xfId="959" xr:uid="{00000000-0005-0000-0000-00005A030000}"/>
    <cellStyle name="표준 5 4 3" xfId="436" xr:uid="{00000000-0005-0000-0000-00005B030000}"/>
    <cellStyle name="표준 5 4 3 2" xfId="960" xr:uid="{00000000-0005-0000-0000-00005C030000}"/>
    <cellStyle name="표준 5 4 4" xfId="958" xr:uid="{00000000-0005-0000-0000-00005D030000}"/>
    <cellStyle name="표준 5 5" xfId="437" xr:uid="{00000000-0005-0000-0000-00005E030000}"/>
    <cellStyle name="표준 5 5 2" xfId="438" xr:uid="{00000000-0005-0000-0000-00005F030000}"/>
    <cellStyle name="표준 5 5 2 2" xfId="962" xr:uid="{00000000-0005-0000-0000-000060030000}"/>
    <cellStyle name="표준 5 5 3" xfId="439" xr:uid="{00000000-0005-0000-0000-000061030000}"/>
    <cellStyle name="표준 5 5 3 2" xfId="963" xr:uid="{00000000-0005-0000-0000-000062030000}"/>
    <cellStyle name="표준 5 5 4" xfId="961" xr:uid="{00000000-0005-0000-0000-000063030000}"/>
    <cellStyle name="표준 5 6" xfId="440" xr:uid="{00000000-0005-0000-0000-000064030000}"/>
    <cellStyle name="표준 5 6 2" xfId="441" xr:uid="{00000000-0005-0000-0000-000065030000}"/>
    <cellStyle name="표준 5 6 2 2" xfId="965" xr:uid="{00000000-0005-0000-0000-000066030000}"/>
    <cellStyle name="표준 5 6 3" xfId="442" xr:uid="{00000000-0005-0000-0000-000067030000}"/>
    <cellStyle name="표준 5 6 3 2" xfId="966" xr:uid="{00000000-0005-0000-0000-000068030000}"/>
    <cellStyle name="표준 5 6 4" xfId="964" xr:uid="{00000000-0005-0000-0000-000069030000}"/>
    <cellStyle name="표준 5 7" xfId="537" xr:uid="{00000000-0005-0000-0000-00006A030000}"/>
    <cellStyle name="표준 5 8" xfId="953" xr:uid="{00000000-0005-0000-0000-00006B030000}"/>
    <cellStyle name="표준 50" xfId="443" xr:uid="{00000000-0005-0000-0000-00006C030000}"/>
    <cellStyle name="표준 50 2" xfId="967" xr:uid="{00000000-0005-0000-0000-00006D030000}"/>
    <cellStyle name="표준 51" xfId="444" xr:uid="{00000000-0005-0000-0000-00006E030000}"/>
    <cellStyle name="표준 51 2" xfId="968" xr:uid="{00000000-0005-0000-0000-00006F030000}"/>
    <cellStyle name="표준 52" xfId="445" xr:uid="{00000000-0005-0000-0000-000070030000}"/>
    <cellStyle name="표준 52 2" xfId="969" xr:uid="{00000000-0005-0000-0000-000071030000}"/>
    <cellStyle name="표준 53" xfId="446" xr:uid="{00000000-0005-0000-0000-000072030000}"/>
    <cellStyle name="표준 53 2" xfId="970" xr:uid="{00000000-0005-0000-0000-000073030000}"/>
    <cellStyle name="표준 54" xfId="447" xr:uid="{00000000-0005-0000-0000-000074030000}"/>
    <cellStyle name="표준 54 2" xfId="971" xr:uid="{00000000-0005-0000-0000-000075030000}"/>
    <cellStyle name="표준 55" xfId="448" xr:uid="{00000000-0005-0000-0000-000076030000}"/>
    <cellStyle name="표준 55 2" xfId="972" xr:uid="{00000000-0005-0000-0000-000077030000}"/>
    <cellStyle name="표준 56" xfId="449" xr:uid="{00000000-0005-0000-0000-000078030000}"/>
    <cellStyle name="표준 56 2" xfId="973" xr:uid="{00000000-0005-0000-0000-000079030000}"/>
    <cellStyle name="표준 57" xfId="450" xr:uid="{00000000-0005-0000-0000-00007A030000}"/>
    <cellStyle name="표준 57 2" xfId="974" xr:uid="{00000000-0005-0000-0000-00007B030000}"/>
    <cellStyle name="표준 58" xfId="451" xr:uid="{00000000-0005-0000-0000-00007C030000}"/>
    <cellStyle name="표준 58 2" xfId="452" xr:uid="{00000000-0005-0000-0000-00007D030000}"/>
    <cellStyle name="표준 58 2 2" xfId="975" xr:uid="{00000000-0005-0000-0000-00007E030000}"/>
    <cellStyle name="표준 58 3" xfId="453" xr:uid="{00000000-0005-0000-0000-00007F030000}"/>
    <cellStyle name="표준 58 3 2" xfId="976" xr:uid="{00000000-0005-0000-0000-000080030000}"/>
    <cellStyle name="표준 58 4" xfId="739" xr:uid="{00000000-0005-0000-0000-000081030000}"/>
    <cellStyle name="표준 59" xfId="454" xr:uid="{00000000-0005-0000-0000-000082030000}"/>
    <cellStyle name="표준 59 2" xfId="741" xr:uid="{00000000-0005-0000-0000-000083030000}"/>
    <cellStyle name="표준 6" xfId="455" xr:uid="{00000000-0005-0000-0000-000084030000}"/>
    <cellStyle name="표준 6 2" xfId="456" xr:uid="{00000000-0005-0000-0000-000085030000}"/>
    <cellStyle name="표준 6 2 2" xfId="978" xr:uid="{00000000-0005-0000-0000-000086030000}"/>
    <cellStyle name="표준 6 3" xfId="457" xr:uid="{00000000-0005-0000-0000-000087030000}"/>
    <cellStyle name="표준 6 3 2" xfId="979" xr:uid="{00000000-0005-0000-0000-000088030000}"/>
    <cellStyle name="표준 6 4" xfId="458" xr:uid="{00000000-0005-0000-0000-000089030000}"/>
    <cellStyle name="표준 6 4 2" xfId="980" xr:uid="{00000000-0005-0000-0000-00008A030000}"/>
    <cellStyle name="표준 6 5" xfId="977" xr:uid="{00000000-0005-0000-0000-00008B030000}"/>
    <cellStyle name="표준 60" xfId="459" xr:uid="{00000000-0005-0000-0000-00008C030000}"/>
    <cellStyle name="표준 60 2" xfId="981" xr:uid="{00000000-0005-0000-0000-00008D030000}"/>
    <cellStyle name="표준 61" xfId="460" xr:uid="{00000000-0005-0000-0000-00008E030000}"/>
    <cellStyle name="표준 61 10" xfId="461" xr:uid="{00000000-0005-0000-0000-00008F030000}"/>
    <cellStyle name="표준 61 10 2" xfId="1131" xr:uid="{00000000-0005-0000-0000-000090030000}"/>
    <cellStyle name="표준 61 11" xfId="462" xr:uid="{00000000-0005-0000-0000-000091030000}"/>
    <cellStyle name="표준 61 11 2" xfId="1146" xr:uid="{00000000-0005-0000-0000-000092030000}"/>
    <cellStyle name="표준 61 12" xfId="463" xr:uid="{00000000-0005-0000-0000-000093030000}"/>
    <cellStyle name="표준 61 12 2" xfId="1161" xr:uid="{00000000-0005-0000-0000-000094030000}"/>
    <cellStyle name="표준 61 13" xfId="464" xr:uid="{00000000-0005-0000-0000-000095030000}"/>
    <cellStyle name="표준 61 13 2" xfId="1211" xr:uid="{00000000-0005-0000-0000-000096030000}"/>
    <cellStyle name="표준 61 14" xfId="1000" xr:uid="{00000000-0005-0000-0000-000097030000}"/>
    <cellStyle name="표준 61 2" xfId="465" xr:uid="{00000000-0005-0000-0000-000098030000}"/>
    <cellStyle name="표준 61 2 2" xfId="1014" xr:uid="{00000000-0005-0000-0000-000099030000}"/>
    <cellStyle name="표준 61 3" xfId="466" xr:uid="{00000000-0005-0000-0000-00009A030000}"/>
    <cellStyle name="표준 61 3 2" xfId="1028" xr:uid="{00000000-0005-0000-0000-00009B030000}"/>
    <cellStyle name="표준 61 4" xfId="467" xr:uid="{00000000-0005-0000-0000-00009C030000}"/>
    <cellStyle name="표준 61 4 2" xfId="1042" xr:uid="{00000000-0005-0000-0000-00009D030000}"/>
    <cellStyle name="표준 61 5" xfId="468" xr:uid="{00000000-0005-0000-0000-00009E030000}"/>
    <cellStyle name="표준 61 5 2" xfId="1056" xr:uid="{00000000-0005-0000-0000-00009F030000}"/>
    <cellStyle name="표준 61 6" xfId="469" xr:uid="{00000000-0005-0000-0000-0000A0030000}"/>
    <cellStyle name="표준 61 6 2" xfId="1071" xr:uid="{00000000-0005-0000-0000-0000A1030000}"/>
    <cellStyle name="표준 61 7" xfId="470" xr:uid="{00000000-0005-0000-0000-0000A2030000}"/>
    <cellStyle name="표준 61 7 2" xfId="1086" xr:uid="{00000000-0005-0000-0000-0000A3030000}"/>
    <cellStyle name="표준 61 8" xfId="471" xr:uid="{00000000-0005-0000-0000-0000A4030000}"/>
    <cellStyle name="표준 61 8 2" xfId="1101" xr:uid="{00000000-0005-0000-0000-0000A5030000}"/>
    <cellStyle name="표준 61 9" xfId="472" xr:uid="{00000000-0005-0000-0000-0000A6030000}"/>
    <cellStyle name="표준 61 9 2" xfId="1116" xr:uid="{00000000-0005-0000-0000-0000A7030000}"/>
    <cellStyle name="표준 62" xfId="473" xr:uid="{00000000-0005-0000-0000-0000A8030000}"/>
    <cellStyle name="표준 62 10" xfId="474" xr:uid="{00000000-0005-0000-0000-0000A9030000}"/>
    <cellStyle name="표준 62 10 2" xfId="1213" xr:uid="{00000000-0005-0000-0000-0000AA030000}"/>
    <cellStyle name="표준 62 11" xfId="750" xr:uid="{00000000-0005-0000-0000-0000AB030000}"/>
    <cellStyle name="표준 62 2" xfId="475" xr:uid="{00000000-0005-0000-0000-0000AC030000}"/>
    <cellStyle name="표준 62 2 2" xfId="1058" xr:uid="{00000000-0005-0000-0000-0000AD030000}"/>
    <cellStyle name="표준 62 3" xfId="476" xr:uid="{00000000-0005-0000-0000-0000AE030000}"/>
    <cellStyle name="표준 62 3 2" xfId="1073" xr:uid="{00000000-0005-0000-0000-0000AF030000}"/>
    <cellStyle name="표준 62 4" xfId="477" xr:uid="{00000000-0005-0000-0000-0000B0030000}"/>
    <cellStyle name="표준 62 4 2" xfId="1088" xr:uid="{00000000-0005-0000-0000-0000B1030000}"/>
    <cellStyle name="표준 62 5" xfId="478" xr:uid="{00000000-0005-0000-0000-0000B2030000}"/>
    <cellStyle name="표준 62 5 2" xfId="1103" xr:uid="{00000000-0005-0000-0000-0000B3030000}"/>
    <cellStyle name="표준 62 6" xfId="479" xr:uid="{00000000-0005-0000-0000-0000B4030000}"/>
    <cellStyle name="표준 62 6 2" xfId="1118" xr:uid="{00000000-0005-0000-0000-0000B5030000}"/>
    <cellStyle name="표준 62 7" xfId="480" xr:uid="{00000000-0005-0000-0000-0000B6030000}"/>
    <cellStyle name="표준 62 7 2" xfId="1133" xr:uid="{00000000-0005-0000-0000-0000B7030000}"/>
    <cellStyle name="표준 62 8" xfId="481" xr:uid="{00000000-0005-0000-0000-0000B8030000}"/>
    <cellStyle name="표준 62 8 2" xfId="1148" xr:uid="{00000000-0005-0000-0000-0000B9030000}"/>
    <cellStyle name="표준 62 9" xfId="482" xr:uid="{00000000-0005-0000-0000-0000BA030000}"/>
    <cellStyle name="표준 62 9 2" xfId="1163" xr:uid="{00000000-0005-0000-0000-0000BB030000}"/>
    <cellStyle name="표준 63" xfId="534" xr:uid="{00000000-0005-0000-0000-0000BC030000}"/>
    <cellStyle name="표준 63 2" xfId="619" xr:uid="{00000000-0005-0000-0000-0000BD030000}"/>
    <cellStyle name="표준 64" xfId="483" xr:uid="{00000000-0005-0000-0000-0000BE030000}"/>
    <cellStyle name="표준 64 2" xfId="982" xr:uid="{00000000-0005-0000-0000-0000BF030000}"/>
    <cellStyle name="표준 65" xfId="735" xr:uid="{00000000-0005-0000-0000-0000C0030000}"/>
    <cellStyle name="표준 69" xfId="484" xr:uid="{00000000-0005-0000-0000-0000C1030000}"/>
    <cellStyle name="표준 69 2" xfId="740" xr:uid="{00000000-0005-0000-0000-0000C2030000}"/>
    <cellStyle name="표준 7" xfId="485" xr:uid="{00000000-0005-0000-0000-0000C3030000}"/>
    <cellStyle name="표준 7 2" xfId="486" xr:uid="{00000000-0005-0000-0000-0000C4030000}"/>
    <cellStyle name="표준 7 2 2" xfId="487" xr:uid="{00000000-0005-0000-0000-0000C5030000}"/>
    <cellStyle name="표준 7 2 2 2" xfId="985" xr:uid="{00000000-0005-0000-0000-0000C6030000}"/>
    <cellStyle name="표준 7 2 3" xfId="488" xr:uid="{00000000-0005-0000-0000-0000C7030000}"/>
    <cellStyle name="표준 7 2 3 2" xfId="986" xr:uid="{00000000-0005-0000-0000-0000C8030000}"/>
    <cellStyle name="표준 7 2 4" xfId="984" xr:uid="{00000000-0005-0000-0000-0000C9030000}"/>
    <cellStyle name="표준 7 3" xfId="489" xr:uid="{00000000-0005-0000-0000-0000CA030000}"/>
    <cellStyle name="표준 7 3 2" xfId="987" xr:uid="{00000000-0005-0000-0000-0000CB030000}"/>
    <cellStyle name="표준 7 4" xfId="490" xr:uid="{00000000-0005-0000-0000-0000CC030000}"/>
    <cellStyle name="표준 7 4 2" xfId="491" xr:uid="{00000000-0005-0000-0000-0000CD030000}"/>
    <cellStyle name="표준 7 4 2 2" xfId="989" xr:uid="{00000000-0005-0000-0000-0000CE030000}"/>
    <cellStyle name="표준 7 4 3" xfId="492" xr:uid="{00000000-0005-0000-0000-0000CF030000}"/>
    <cellStyle name="표준 7 4 3 2" xfId="990" xr:uid="{00000000-0005-0000-0000-0000D0030000}"/>
    <cellStyle name="표준 7 4 4" xfId="988" xr:uid="{00000000-0005-0000-0000-0000D1030000}"/>
    <cellStyle name="표준 7 5" xfId="493" xr:uid="{00000000-0005-0000-0000-0000D2030000}"/>
    <cellStyle name="표준 7 5 2" xfId="991" xr:uid="{00000000-0005-0000-0000-0000D3030000}"/>
    <cellStyle name="표준 7 6" xfId="494" xr:uid="{00000000-0005-0000-0000-0000D4030000}"/>
    <cellStyle name="표준 7 6 2" xfId="992" xr:uid="{00000000-0005-0000-0000-0000D5030000}"/>
    <cellStyle name="표준 7 7" xfId="983" xr:uid="{00000000-0005-0000-0000-0000D6030000}"/>
    <cellStyle name="표준 8" xfId="495" xr:uid="{00000000-0005-0000-0000-0000D7030000}"/>
    <cellStyle name="표준 9" xfId="496" xr:uid="{00000000-0005-0000-0000-0000D8030000}"/>
    <cellStyle name="표준 9 2" xfId="497" xr:uid="{00000000-0005-0000-0000-0000D9030000}"/>
    <cellStyle name="표준 9 2 2" xfId="498" xr:uid="{00000000-0005-0000-0000-0000DA030000}"/>
    <cellStyle name="표준 9 2 2 2" xfId="995" xr:uid="{00000000-0005-0000-0000-0000DB030000}"/>
    <cellStyle name="표준 9 2 3" xfId="499" xr:uid="{00000000-0005-0000-0000-0000DC030000}"/>
    <cellStyle name="표준 9 2 3 2" xfId="996" xr:uid="{00000000-0005-0000-0000-0000DD030000}"/>
    <cellStyle name="표준 9 2 4" xfId="994" xr:uid="{00000000-0005-0000-0000-0000DE030000}"/>
    <cellStyle name="표준 9 3" xfId="500" xr:uid="{00000000-0005-0000-0000-0000DF030000}"/>
    <cellStyle name="표준 9 3 2" xfId="997" xr:uid="{00000000-0005-0000-0000-0000E0030000}"/>
    <cellStyle name="표준 9 4" xfId="501" xr:uid="{00000000-0005-0000-0000-0000E1030000}"/>
    <cellStyle name="표준 9 4 2" xfId="998" xr:uid="{00000000-0005-0000-0000-0000E2030000}"/>
    <cellStyle name="표준 9 5" xfId="502" xr:uid="{00000000-0005-0000-0000-0000E3030000}"/>
    <cellStyle name="표준 9 5 2" xfId="999" xr:uid="{00000000-0005-0000-0000-0000E4030000}"/>
    <cellStyle name="표준 9 6" xfId="993" xr:uid="{00000000-0005-0000-0000-0000E5030000}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FFFFFF00"/>
      <rgbColor rgb="FFC0C0C0"/>
      <rgbColor rgb="FF0000FF"/>
      <rgbColor rgb="FFFFFF99"/>
      <rgbColor rgb="FF333333"/>
      <rgbColor rgb="FFC0504D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006600"/>
      <color rgb="FFFFFFCC"/>
      <color rgb="FFFF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24</xdr:col>
      <xdr:colOff>265117</xdr:colOff>
      <xdr:row>58</xdr:row>
      <xdr:rowOff>170804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599112-81A9-7E99-9739-726A2D044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100"/>
          <a:ext cx="12666667" cy="51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118</xdr:row>
      <xdr:rowOff>0</xdr:rowOff>
    </xdr:from>
    <xdr:to>
      <xdr:col>20</xdr:col>
      <xdr:colOff>575192</xdr:colOff>
      <xdr:row>136</xdr:row>
      <xdr:rowOff>155779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B879B97-40B5-CA96-E4A8-BEC687211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15740"/>
          <a:ext cx="16180952" cy="3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20</xdr:col>
      <xdr:colOff>556145</xdr:colOff>
      <xdr:row>155</xdr:row>
      <xdr:rowOff>167230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1691FD8-70BC-84B7-DAB0-08D9532DB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3340"/>
          <a:ext cx="16161905" cy="3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20</xdr:col>
      <xdr:colOff>556145</xdr:colOff>
      <xdr:row>174</xdr:row>
      <xdr:rowOff>148183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FA1BE10-01EA-A2D1-5E10-0DD07423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148060"/>
          <a:ext cx="16161905" cy="3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20</xdr:col>
      <xdr:colOff>546621</xdr:colOff>
      <xdr:row>197</xdr:row>
      <xdr:rowOff>26187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A4125548-86D8-23D0-1141-5F858CF21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22780"/>
          <a:ext cx="16152381" cy="3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20</xdr:col>
      <xdr:colOff>565668</xdr:colOff>
      <xdr:row>218</xdr:row>
      <xdr:rowOff>180495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17E88FA-866E-6D8A-806D-0321381CD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646140"/>
          <a:ext cx="16171428" cy="3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20</xdr:col>
      <xdr:colOff>565668</xdr:colOff>
      <xdr:row>238</xdr:row>
      <xdr:rowOff>165303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C79AFF8-E687-6D1A-F3EE-C65ADCBFD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669500"/>
          <a:ext cx="16171428" cy="3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20</xdr:col>
      <xdr:colOff>546621</xdr:colOff>
      <xdr:row>259</xdr:row>
      <xdr:rowOff>163375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FC46094-8E51-865A-F305-F14962F5C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327100"/>
          <a:ext cx="16152381" cy="3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20</xdr:col>
      <xdr:colOff>546621</xdr:colOff>
      <xdr:row>278</xdr:row>
      <xdr:rowOff>138659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20A645A-22E4-24EE-2C50-EB164EE7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167580"/>
          <a:ext cx="16152381" cy="3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1"/>
  <sheetViews>
    <sheetView tabSelected="1" workbookViewId="0">
      <selection activeCell="G19" sqref="G19"/>
    </sheetView>
  </sheetViews>
  <sheetFormatPr defaultColWidth="8.77734375" defaultRowHeight="17.399999999999999"/>
  <cols>
    <col min="1" max="1" width="3.6640625" style="138" customWidth="1"/>
    <col min="2" max="2" width="19.44140625" style="138" customWidth="1"/>
    <col min="3" max="3" width="17.6640625" style="138" customWidth="1"/>
    <col min="4" max="4" width="13.109375" style="138" customWidth="1"/>
    <col min="5" max="5" width="15" style="138" bestFit="1" customWidth="1"/>
    <col min="6" max="6" width="15.6640625" style="138" bestFit="1" customWidth="1"/>
    <col min="7" max="7" width="15.44140625" style="138" customWidth="1"/>
    <col min="8" max="8" width="9.109375" style="138" bestFit="1" customWidth="1"/>
    <col min="9" max="9" width="7.109375" style="138" customWidth="1"/>
    <col min="10" max="10" width="15.6640625" style="138" bestFit="1" customWidth="1"/>
    <col min="11" max="11" width="16" style="138" customWidth="1"/>
    <col min="12" max="12" width="5.44140625" style="94" customWidth="1"/>
    <col min="13" max="13" width="8.77734375" style="138" customWidth="1"/>
    <col min="14" max="14" width="10.77734375" style="138" bestFit="1" customWidth="1"/>
    <col min="15" max="15" width="8.77734375" style="94" customWidth="1"/>
    <col min="16" max="16" width="13.33203125" style="145" bestFit="1" customWidth="1"/>
    <col min="17" max="256" width="8.77734375" style="138" customWidth="1"/>
    <col min="257" max="16384" width="8.77734375" style="29"/>
  </cols>
  <sheetData>
    <row r="1" spans="2:14" ht="7.8" customHeight="1"/>
    <row r="2" spans="2:14" ht="21.6" thickBot="1">
      <c r="B2" s="277" t="s">
        <v>361</v>
      </c>
      <c r="C2" s="277"/>
      <c r="D2" s="277"/>
      <c r="J2" s="146" t="s">
        <v>90</v>
      </c>
    </row>
    <row r="3" spans="2:14">
      <c r="B3" s="29"/>
      <c r="J3" s="178" t="s">
        <v>7</v>
      </c>
      <c r="K3" s="179">
        <v>512710000</v>
      </c>
    </row>
    <row r="4" spans="2:14" ht="18" thickBot="1">
      <c r="B4" s="172" t="s">
        <v>0</v>
      </c>
      <c r="C4" s="172" t="s">
        <v>1</v>
      </c>
      <c r="D4" s="172" t="s">
        <v>2</v>
      </c>
      <c r="E4" s="172" t="s">
        <v>3</v>
      </c>
      <c r="F4" s="172" t="s">
        <v>4</v>
      </c>
      <c r="G4" s="172" t="s">
        <v>5</v>
      </c>
      <c r="H4" s="172" t="s">
        <v>6</v>
      </c>
      <c r="J4" s="180" t="s">
        <v>10</v>
      </c>
      <c r="K4" s="181">
        <v>125000000</v>
      </c>
    </row>
    <row r="5" spans="2:14">
      <c r="B5" s="54" t="s">
        <v>38</v>
      </c>
      <c r="C5" s="147">
        <f>카카오페이지1!D9</f>
        <v>161000000</v>
      </c>
      <c r="D5" s="3">
        <f>카카오페이지1!E9</f>
        <v>0</v>
      </c>
      <c r="E5" s="173">
        <f>카카오페이지1!F9</f>
        <v>161000000</v>
      </c>
      <c r="F5" s="147">
        <f>카카오페이지1!G9</f>
        <v>32200000</v>
      </c>
      <c r="G5" s="148">
        <f>카카오페이지1!H9</f>
        <v>128800000</v>
      </c>
      <c r="H5" s="54" t="s">
        <v>9</v>
      </c>
      <c r="J5" s="278" t="s">
        <v>12</v>
      </c>
      <c r="K5" s="279"/>
    </row>
    <row r="6" spans="2:14">
      <c r="B6" s="54" t="s">
        <v>39</v>
      </c>
      <c r="C6" s="147">
        <f>카카오페이지2!D6</f>
        <v>4066869</v>
      </c>
      <c r="D6" s="147">
        <f>카카오페이지2!E6</f>
        <v>1325958</v>
      </c>
      <c r="E6" s="173">
        <f>카카오페이지2!F6</f>
        <v>2740911</v>
      </c>
      <c r="F6" s="147">
        <f>카카오페이지2!G6</f>
        <v>548182.20000000007</v>
      </c>
      <c r="G6" s="148">
        <f>카카오페이지2!H6</f>
        <v>2192728.8000000003</v>
      </c>
      <c r="H6" s="54" t="s">
        <v>14</v>
      </c>
      <c r="J6" s="149" t="s">
        <v>15</v>
      </c>
      <c r="K6" s="150">
        <v>14506621</v>
      </c>
      <c r="L6" s="94" t="s">
        <v>34</v>
      </c>
    </row>
    <row r="7" spans="2:14">
      <c r="B7" s="54" t="s">
        <v>11</v>
      </c>
      <c r="C7" s="147">
        <f>네이버웹툰1!D5</f>
        <v>0</v>
      </c>
      <c r="D7" s="3">
        <f>네이버웹툰1!E5</f>
        <v>0</v>
      </c>
      <c r="E7" s="173">
        <f>네이버웹툰1!F5</f>
        <v>0</v>
      </c>
      <c r="F7" s="147">
        <f>네이버웹툰1!G5</f>
        <v>0</v>
      </c>
      <c r="G7" s="148">
        <f>네이버웹툰1!H5</f>
        <v>0</v>
      </c>
      <c r="H7" s="54" t="s">
        <v>9</v>
      </c>
      <c r="J7" s="149" t="s">
        <v>16</v>
      </c>
      <c r="K7" s="151">
        <v>8562269</v>
      </c>
      <c r="L7" s="94" t="s">
        <v>34</v>
      </c>
      <c r="N7" s="152"/>
    </row>
    <row r="8" spans="2:14">
      <c r="B8" s="54" t="s">
        <v>13</v>
      </c>
      <c r="C8" s="147">
        <f>네이버웹툰2!D22</f>
        <v>91735767</v>
      </c>
      <c r="D8" s="147">
        <f>네이버웹툰2!E22</f>
        <v>45088649</v>
      </c>
      <c r="E8" s="173">
        <f>네이버웹툰2!F22</f>
        <v>46647118</v>
      </c>
      <c r="F8" s="147">
        <f>네이버웹툰2!G22</f>
        <v>9329423.6000000015</v>
      </c>
      <c r="G8" s="147">
        <f>네이버웹툰2!H22</f>
        <v>37317694.400000006</v>
      </c>
      <c r="H8" s="54" t="s">
        <v>14</v>
      </c>
      <c r="J8" s="149" t="s">
        <v>17</v>
      </c>
      <c r="K8" s="151">
        <v>17036883</v>
      </c>
      <c r="L8" s="94" t="s">
        <v>34</v>
      </c>
    </row>
    <row r="9" spans="2:14">
      <c r="B9" s="55" t="s">
        <v>144</v>
      </c>
      <c r="C9" s="153">
        <f>테크앤조이!D4</f>
        <v>322714</v>
      </c>
      <c r="D9" s="154">
        <f>테크앤조이!E4</f>
        <v>193628.4</v>
      </c>
      <c r="E9" s="174">
        <f>테크앤조이!F4</f>
        <v>129085.6</v>
      </c>
      <c r="F9" s="154">
        <f>테크앤조이!G4</f>
        <v>25817.120000000003</v>
      </c>
      <c r="G9" s="155">
        <f>테크앤조이!H4</f>
        <v>103268.48000000001</v>
      </c>
      <c r="H9" s="156" t="s">
        <v>14</v>
      </c>
      <c r="J9" s="149" t="s">
        <v>18</v>
      </c>
      <c r="K9" s="151">
        <v>30825944</v>
      </c>
      <c r="L9" s="94" t="s">
        <v>34</v>
      </c>
    </row>
    <row r="10" spans="2:14">
      <c r="B10" s="157" t="s">
        <v>75</v>
      </c>
      <c r="C10" s="158">
        <f>키다리스튜디오!D6</f>
        <v>13452734.8048</v>
      </c>
      <c r="D10" s="159">
        <f>키다리스튜디오!E6</f>
        <v>7360394.8048</v>
      </c>
      <c r="E10" s="175">
        <f>키다리스튜디오!F6</f>
        <v>6092340</v>
      </c>
      <c r="F10" s="159">
        <f>키다리스튜디오!G6</f>
        <v>1218468</v>
      </c>
      <c r="G10" s="160">
        <f>키다리스튜디오!H6</f>
        <v>4873872</v>
      </c>
      <c r="H10" s="161" t="s">
        <v>14</v>
      </c>
      <c r="J10" s="149" t="s">
        <v>19</v>
      </c>
      <c r="K10" s="151">
        <v>17198136</v>
      </c>
      <c r="L10" s="94" t="s">
        <v>34</v>
      </c>
    </row>
    <row r="11" spans="2:14" ht="18" thickBot="1">
      <c r="B11" s="55" t="s">
        <v>209</v>
      </c>
      <c r="C11" s="153">
        <f>탑툰!D4</f>
        <v>0</v>
      </c>
      <c r="D11" s="3">
        <f>네이버웹툰1!E9</f>
        <v>0</v>
      </c>
      <c r="E11" s="174">
        <f>탑툰!F4</f>
        <v>0</v>
      </c>
      <c r="F11" s="154">
        <f>탑툰!G4</f>
        <v>0</v>
      </c>
      <c r="G11" s="155">
        <f>탑툰!H4</f>
        <v>0</v>
      </c>
      <c r="H11" s="161" t="s">
        <v>14</v>
      </c>
      <c r="J11" s="21" t="s">
        <v>21</v>
      </c>
      <c r="K11" s="22">
        <f>SUM(K6:K10)</f>
        <v>88129853</v>
      </c>
    </row>
    <row r="12" spans="2:14" ht="18" thickTop="1">
      <c r="B12" s="249" t="s">
        <v>295</v>
      </c>
      <c r="C12" s="250">
        <f>리디!D4</f>
        <v>10341904</v>
      </c>
      <c r="D12" s="246">
        <f>리디!E4</f>
        <v>0</v>
      </c>
      <c r="E12" s="251">
        <f>리디!F4</f>
        <v>10341904</v>
      </c>
      <c r="F12" s="252">
        <f>리디!G4</f>
        <v>2068380.8</v>
      </c>
      <c r="G12" s="253">
        <f>리디!H4</f>
        <v>8273523.2000000002</v>
      </c>
      <c r="H12" s="161" t="s">
        <v>14</v>
      </c>
      <c r="J12" s="162" t="s">
        <v>77</v>
      </c>
      <c r="K12" s="163" t="s">
        <v>37</v>
      </c>
      <c r="L12" s="94" t="s">
        <v>34</v>
      </c>
    </row>
    <row r="13" spans="2:14">
      <c r="B13" s="182" t="s">
        <v>20</v>
      </c>
      <c r="C13" s="183">
        <f>SUM(C5:C12)</f>
        <v>280919988.80479997</v>
      </c>
      <c r="D13" s="183">
        <f t="shared" ref="D13:E13" si="0">SUM(D5:D12)</f>
        <v>53968630.204799995</v>
      </c>
      <c r="E13" s="183">
        <f t="shared" si="0"/>
        <v>226951358.59999999</v>
      </c>
      <c r="F13" s="184">
        <f>SUM(F5:F12)</f>
        <v>45390271.719999991</v>
      </c>
      <c r="G13" s="184">
        <f t="shared" ref="G13" si="1">SUM(G5:G12)</f>
        <v>181561086.87999997</v>
      </c>
      <c r="H13" s="185"/>
      <c r="J13" s="149" t="s">
        <v>78</v>
      </c>
      <c r="K13" s="151">
        <v>40642286</v>
      </c>
      <c r="L13" s="94" t="s">
        <v>34</v>
      </c>
    </row>
    <row r="14" spans="2:14">
      <c r="B14" s="256" t="s">
        <v>76</v>
      </c>
      <c r="F14" s="164">
        <f>E13*0.2</f>
        <v>45390271.719999999</v>
      </c>
      <c r="G14" s="164">
        <f>E13*0.8</f>
        <v>181561086.88</v>
      </c>
      <c r="J14" s="149" t="s">
        <v>79</v>
      </c>
      <c r="K14" s="151">
        <v>28776392</v>
      </c>
      <c r="L14" s="94" t="s">
        <v>34</v>
      </c>
    </row>
    <row r="15" spans="2:14">
      <c r="J15" s="149" t="s">
        <v>80</v>
      </c>
      <c r="K15" s="151">
        <v>17432662</v>
      </c>
      <c r="L15" s="94" t="s">
        <v>34</v>
      </c>
    </row>
    <row r="16" spans="2:14">
      <c r="J16" s="149" t="s">
        <v>81</v>
      </c>
      <c r="K16" s="151">
        <v>35056871</v>
      </c>
      <c r="L16" s="94" t="s">
        <v>34</v>
      </c>
    </row>
    <row r="17" spans="2:13" ht="18" thickBot="1">
      <c r="C17" s="29"/>
      <c r="D17" s="29"/>
      <c r="E17" s="29"/>
      <c r="J17" s="149" t="s">
        <v>82</v>
      </c>
      <c r="K17" s="151">
        <v>33089659</v>
      </c>
      <c r="L17" s="94" t="s">
        <v>34</v>
      </c>
    </row>
    <row r="18" spans="2:13">
      <c r="B18" s="280" t="s">
        <v>32</v>
      </c>
      <c r="C18" s="281"/>
      <c r="D18" s="244" t="s">
        <v>33</v>
      </c>
      <c r="E18" s="165"/>
      <c r="J18" s="149" t="s">
        <v>83</v>
      </c>
      <c r="K18" s="151">
        <v>17278906</v>
      </c>
      <c r="L18" s="94" t="s">
        <v>34</v>
      </c>
    </row>
    <row r="19" spans="2:13" ht="18" thickBot="1">
      <c r="B19" s="282" t="s">
        <v>222</v>
      </c>
      <c r="C19" s="283"/>
      <c r="D19" s="245">
        <f>F13</f>
        <v>45390271.719999991</v>
      </c>
      <c r="E19" s="166"/>
      <c r="J19" s="149" t="s">
        <v>84</v>
      </c>
      <c r="K19" s="167">
        <v>24626732</v>
      </c>
      <c r="L19" s="94" t="s">
        <v>34</v>
      </c>
    </row>
    <row r="20" spans="2:13">
      <c r="E20" s="166"/>
      <c r="J20" s="149" t="s">
        <v>85</v>
      </c>
      <c r="K20" s="167">
        <v>27140688</v>
      </c>
      <c r="L20" s="94" t="s">
        <v>88</v>
      </c>
    </row>
    <row r="21" spans="2:13">
      <c r="J21" s="149" t="s">
        <v>86</v>
      </c>
      <c r="K21" s="167">
        <v>29171298</v>
      </c>
      <c r="L21" s="94" t="s">
        <v>88</v>
      </c>
    </row>
    <row r="22" spans="2:13">
      <c r="J22" s="149" t="s">
        <v>87</v>
      </c>
      <c r="K22" s="167">
        <v>15744187</v>
      </c>
      <c r="L22" s="94" t="s">
        <v>88</v>
      </c>
    </row>
    <row r="23" spans="2:13">
      <c r="J23" s="168">
        <v>2019.12</v>
      </c>
      <c r="K23" s="167">
        <v>18683634</v>
      </c>
      <c r="L23" s="94" t="s">
        <v>88</v>
      </c>
    </row>
    <row r="24" spans="2:13" ht="18" thickBot="1">
      <c r="J24" s="21" t="s">
        <v>22</v>
      </c>
      <c r="K24" s="22">
        <f>SUM(K12:K23)</f>
        <v>287643315</v>
      </c>
    </row>
    <row r="25" spans="2:13" ht="18" thickTop="1">
      <c r="B25" s="169"/>
      <c r="J25" s="162" t="s">
        <v>97</v>
      </c>
      <c r="K25" s="163">
        <v>25963688</v>
      </c>
      <c r="L25" s="94" t="s">
        <v>88</v>
      </c>
    </row>
    <row r="26" spans="2:13">
      <c r="B26" s="166"/>
      <c r="J26" s="149" t="s">
        <v>98</v>
      </c>
      <c r="K26" s="151">
        <v>24673815</v>
      </c>
      <c r="L26" s="94" t="s">
        <v>88</v>
      </c>
      <c r="M26" s="170" t="s">
        <v>158</v>
      </c>
    </row>
    <row r="27" spans="2:13">
      <c r="J27" s="149" t="s">
        <v>99</v>
      </c>
      <c r="K27" s="151">
        <v>24315434</v>
      </c>
      <c r="L27" s="94" t="s">
        <v>88</v>
      </c>
      <c r="M27" s="170"/>
    </row>
    <row r="28" spans="2:13">
      <c r="J28" s="149" t="s">
        <v>100</v>
      </c>
      <c r="K28" s="151">
        <v>31918486</v>
      </c>
      <c r="L28" s="94" t="s">
        <v>88</v>
      </c>
    </row>
    <row r="29" spans="2:13">
      <c r="J29" s="149" t="s">
        <v>101</v>
      </c>
      <c r="K29" s="151">
        <v>27302553</v>
      </c>
      <c r="L29" s="94" t="s">
        <v>88</v>
      </c>
    </row>
    <row r="30" spans="2:13">
      <c r="J30" s="149" t="s">
        <v>102</v>
      </c>
      <c r="K30" s="151">
        <v>25712668</v>
      </c>
      <c r="L30" s="94" t="s">
        <v>88</v>
      </c>
    </row>
    <row r="31" spans="2:13">
      <c r="J31" s="149" t="s">
        <v>103</v>
      </c>
      <c r="K31" s="151">
        <v>29131889</v>
      </c>
      <c r="L31" s="94" t="s">
        <v>88</v>
      </c>
      <c r="M31" s="171"/>
    </row>
    <row r="32" spans="2:13">
      <c r="J32" s="149" t="s">
        <v>104</v>
      </c>
      <c r="K32" s="167">
        <v>27059690</v>
      </c>
      <c r="L32" s="94" t="s">
        <v>88</v>
      </c>
    </row>
    <row r="33" spans="10:13">
      <c r="J33" s="149" t="s">
        <v>105</v>
      </c>
      <c r="K33" s="167">
        <v>34344144</v>
      </c>
      <c r="L33" s="94" t="s">
        <v>88</v>
      </c>
    </row>
    <row r="34" spans="10:13">
      <c r="J34" s="149" t="s">
        <v>106</v>
      </c>
      <c r="K34" s="167">
        <v>27618375</v>
      </c>
      <c r="L34" s="94" t="s">
        <v>88</v>
      </c>
    </row>
    <row r="35" spans="10:13">
      <c r="J35" s="149" t="s">
        <v>107</v>
      </c>
      <c r="K35" s="167">
        <v>18666794</v>
      </c>
      <c r="L35" s="94" t="s">
        <v>88</v>
      </c>
      <c r="M35" s="94" t="s">
        <v>191</v>
      </c>
    </row>
    <row r="36" spans="10:13">
      <c r="J36" s="149" t="s">
        <v>108</v>
      </c>
      <c r="K36" s="167">
        <v>22399933</v>
      </c>
      <c r="L36" s="94" t="s">
        <v>88</v>
      </c>
    </row>
    <row r="37" spans="10:13" ht="18" thickBot="1">
      <c r="J37" s="21" t="s">
        <v>96</v>
      </c>
      <c r="K37" s="22">
        <f>SUM(K25:K36)</f>
        <v>319107469</v>
      </c>
    </row>
    <row r="38" spans="10:13" ht="18" thickTop="1">
      <c r="J38" s="162" t="s">
        <v>178</v>
      </c>
      <c r="K38" s="163">
        <v>25525200.799999997</v>
      </c>
      <c r="L38" s="94" t="s">
        <v>88</v>
      </c>
    </row>
    <row r="39" spans="10:13">
      <c r="J39" s="149" t="s">
        <v>179</v>
      </c>
      <c r="K39" s="151">
        <v>23838777.200000003</v>
      </c>
      <c r="L39" s="94" t="s">
        <v>88</v>
      </c>
    </row>
    <row r="40" spans="10:13">
      <c r="J40" s="149" t="s">
        <v>180</v>
      </c>
      <c r="K40" s="151">
        <v>19328258.200000003</v>
      </c>
      <c r="L40" s="94" t="s">
        <v>88</v>
      </c>
    </row>
    <row r="41" spans="10:13">
      <c r="J41" s="149" t="s">
        <v>181</v>
      </c>
      <c r="K41" s="151">
        <v>20722060</v>
      </c>
      <c r="L41" s="94" t="s">
        <v>88</v>
      </c>
    </row>
    <row r="42" spans="10:13">
      <c r="J42" s="149" t="s">
        <v>182</v>
      </c>
      <c r="K42" s="151">
        <v>20670191.199999999</v>
      </c>
      <c r="L42" s="94" t="s">
        <v>88</v>
      </c>
    </row>
    <row r="43" spans="10:13">
      <c r="J43" s="149" t="s">
        <v>183</v>
      </c>
      <c r="K43" s="151">
        <v>21199151</v>
      </c>
      <c r="L43" s="94" t="s">
        <v>88</v>
      </c>
    </row>
    <row r="44" spans="10:13">
      <c r="J44" s="149" t="s">
        <v>184</v>
      </c>
      <c r="K44" s="151">
        <v>20129780.880000003</v>
      </c>
      <c r="L44" s="94" t="s">
        <v>88</v>
      </c>
    </row>
    <row r="45" spans="10:13">
      <c r="J45" s="149" t="s">
        <v>185</v>
      </c>
      <c r="K45" s="167">
        <v>14471595.200000003</v>
      </c>
      <c r="L45" s="94" t="s">
        <v>88</v>
      </c>
    </row>
    <row r="46" spans="10:13">
      <c r="J46" s="149" t="s">
        <v>186</v>
      </c>
      <c r="K46" s="167">
        <v>13902655.76</v>
      </c>
      <c r="L46" s="94" t="s">
        <v>88</v>
      </c>
    </row>
    <row r="47" spans="10:13">
      <c r="J47" s="149" t="s">
        <v>187</v>
      </c>
      <c r="K47" s="167">
        <v>15806725.000000002</v>
      </c>
      <c r="L47" s="94" t="s">
        <v>88</v>
      </c>
    </row>
    <row r="48" spans="10:13">
      <c r="J48" s="149" t="s">
        <v>188</v>
      </c>
      <c r="K48" s="167">
        <v>14272427.000000002</v>
      </c>
      <c r="L48" s="94" t="s">
        <v>88</v>
      </c>
    </row>
    <row r="49" spans="10:12">
      <c r="J49" s="149" t="s">
        <v>189</v>
      </c>
      <c r="K49" s="167">
        <v>17635227.000000004</v>
      </c>
      <c r="L49" s="94" t="s">
        <v>88</v>
      </c>
    </row>
    <row r="50" spans="10:12" ht="18" thickBot="1">
      <c r="J50" s="21" t="s">
        <v>190</v>
      </c>
      <c r="K50" s="22">
        <f>SUM(K38:K49)</f>
        <v>227502049.24000001</v>
      </c>
    </row>
    <row r="51" spans="10:12" ht="18.600000000000001" thickTop="1" thickBot="1">
      <c r="J51" s="176" t="s">
        <v>23</v>
      </c>
      <c r="K51" s="177">
        <f>K3-K11-K24-K37-K50</f>
        <v>-409672686.24000001</v>
      </c>
    </row>
  </sheetData>
  <mergeCells count="4">
    <mergeCell ref="B2:D2"/>
    <mergeCell ref="J5:K5"/>
    <mergeCell ref="B18:C18"/>
    <mergeCell ref="B19:C19"/>
  </mergeCells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2"/>
  <sheetViews>
    <sheetView workbookViewId="0"/>
  </sheetViews>
  <sheetFormatPr defaultColWidth="8.77734375" defaultRowHeight="13.95" customHeight="1"/>
  <cols>
    <col min="1" max="1" width="3.6640625" style="138" customWidth="1"/>
    <col min="2" max="2" width="20" style="138" customWidth="1"/>
    <col min="3" max="3" width="17.109375" style="138" bestFit="1" customWidth="1"/>
    <col min="4" max="4" width="14.77734375" style="138" bestFit="1" customWidth="1"/>
    <col min="5" max="5" width="42" style="138" customWidth="1"/>
    <col min="6" max="256" width="8.77734375" style="138" customWidth="1"/>
    <col min="257" max="16384" width="8.77734375" style="29"/>
  </cols>
  <sheetData>
    <row r="1" spans="2:6" s="138" customFormat="1" ht="15.75" customHeight="1"/>
    <row r="2" spans="2:6" ht="19.95" customHeight="1">
      <c r="B2" s="139" t="s">
        <v>238</v>
      </c>
      <c r="C2" s="42"/>
      <c r="D2" s="42"/>
      <c r="E2" s="42"/>
    </row>
    <row r="3" spans="2:6" ht="15.45" customHeight="1">
      <c r="B3" s="42"/>
      <c r="C3" s="42"/>
      <c r="D3" s="42"/>
      <c r="E3" s="42"/>
    </row>
    <row r="4" spans="2:6" ht="17.399999999999999">
      <c r="B4" s="15" t="s">
        <v>24</v>
      </c>
      <c r="C4" s="15" t="s">
        <v>25</v>
      </c>
      <c r="D4" s="15" t="s">
        <v>26</v>
      </c>
      <c r="E4" s="15" t="s">
        <v>27</v>
      </c>
    </row>
    <row r="5" spans="2:6" ht="17.399999999999999">
      <c r="B5" s="95" t="s">
        <v>159</v>
      </c>
      <c r="C5" s="140" t="s">
        <v>28</v>
      </c>
      <c r="D5" s="140" t="s">
        <v>29</v>
      </c>
      <c r="E5" s="140" t="s">
        <v>160</v>
      </c>
    </row>
    <row r="6" spans="2:6" ht="17.399999999999999">
      <c r="B6" s="284" t="s">
        <v>161</v>
      </c>
      <c r="C6" s="141" t="s">
        <v>30</v>
      </c>
      <c r="D6" s="141" t="s">
        <v>162</v>
      </c>
      <c r="E6" s="141" t="s">
        <v>163</v>
      </c>
      <c r="F6" s="94" t="s">
        <v>171</v>
      </c>
    </row>
    <row r="7" spans="2:6" ht="17.399999999999999">
      <c r="B7" s="285"/>
      <c r="C7" s="142" t="s">
        <v>164</v>
      </c>
      <c r="D7" s="142" t="s">
        <v>29</v>
      </c>
      <c r="E7" s="142" t="s">
        <v>163</v>
      </c>
      <c r="F7" s="94" t="s">
        <v>172</v>
      </c>
    </row>
    <row r="8" spans="2:6" ht="17.399999999999999">
      <c r="B8" s="285"/>
      <c r="C8" s="142" t="s">
        <v>165</v>
      </c>
      <c r="D8" s="142" t="s">
        <v>29</v>
      </c>
      <c r="E8" s="142" t="s">
        <v>163</v>
      </c>
      <c r="F8" s="94" t="s">
        <v>173</v>
      </c>
    </row>
    <row r="9" spans="2:6" ht="17.399999999999999">
      <c r="B9" s="285"/>
      <c r="C9" s="142" t="s">
        <v>166</v>
      </c>
      <c r="D9" s="142" t="s">
        <v>167</v>
      </c>
      <c r="E9" s="142" t="s">
        <v>163</v>
      </c>
      <c r="F9" s="94" t="s">
        <v>174</v>
      </c>
    </row>
    <row r="10" spans="2:6" ht="17.399999999999999">
      <c r="B10" s="285"/>
      <c r="C10" s="142" t="s">
        <v>168</v>
      </c>
      <c r="D10" s="142" t="s">
        <v>29</v>
      </c>
      <c r="E10" s="142" t="s">
        <v>163</v>
      </c>
      <c r="F10" s="94" t="s">
        <v>175</v>
      </c>
    </row>
    <row r="11" spans="2:6" ht="17.399999999999999">
      <c r="B11" s="285"/>
      <c r="C11" s="142" t="s">
        <v>169</v>
      </c>
      <c r="D11" s="142" t="s">
        <v>29</v>
      </c>
      <c r="E11" s="142" t="s">
        <v>163</v>
      </c>
      <c r="F11" s="94" t="s">
        <v>176</v>
      </c>
    </row>
    <row r="12" spans="2:6" ht="17.399999999999999">
      <c r="B12" s="286"/>
      <c r="C12" s="143" t="s">
        <v>170</v>
      </c>
      <c r="D12" s="143" t="s">
        <v>29</v>
      </c>
      <c r="E12" s="143" t="s">
        <v>163</v>
      </c>
      <c r="F12" s="94" t="s">
        <v>177</v>
      </c>
    </row>
  </sheetData>
  <mergeCells count="1">
    <mergeCell ref="B6:B12"/>
  </mergeCells>
  <phoneticPr fontId="31" type="noConversion"/>
  <pageMargins left="0.7" right="0.7" top="0.75" bottom="0.75" header="0.3" footer="0.3"/>
  <headerFooter>
    <oddFooter>&amp;C&amp;"Helvetica Neue,Regular"&amp;12&amp;K000000&amp;P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IV24"/>
  <sheetViews>
    <sheetView workbookViewId="0">
      <selection activeCell="F9" sqref="F9"/>
    </sheetView>
  </sheetViews>
  <sheetFormatPr defaultColWidth="8.77734375" defaultRowHeight="13.95" customHeight="1"/>
  <cols>
    <col min="1" max="1" width="4" style="94" customWidth="1"/>
    <col min="2" max="2" width="13.109375" style="94" customWidth="1"/>
    <col min="3" max="3" width="24" style="94" customWidth="1"/>
    <col min="4" max="4" width="13.44140625" style="94" customWidth="1"/>
    <col min="5" max="5" width="12.6640625" style="94" customWidth="1"/>
    <col min="6" max="6" width="14.44140625" style="94" bestFit="1" customWidth="1"/>
    <col min="7" max="7" width="12.6640625" style="94" customWidth="1"/>
    <col min="8" max="8" width="15.109375" style="94" bestFit="1" customWidth="1"/>
    <col min="9" max="9" width="49.33203125" style="94" bestFit="1" customWidth="1"/>
    <col min="10" max="256" width="8.77734375" style="94" customWidth="1"/>
    <col min="257" max="16384" width="8.77734375" style="93"/>
  </cols>
  <sheetData>
    <row r="1" spans="1:256" s="94" customFormat="1" ht="15.45" customHeight="1"/>
    <row r="2" spans="1:256" ht="16.05" customHeight="1">
      <c r="B2" s="5" t="s">
        <v>0</v>
      </c>
      <c r="C2" s="5" t="s">
        <v>31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</row>
    <row r="3" spans="1:256" ht="16.5" customHeight="1">
      <c r="B3" s="95" t="s">
        <v>8</v>
      </c>
      <c r="C3" s="96" t="s">
        <v>151</v>
      </c>
      <c r="D3" s="97">
        <v>4000000</v>
      </c>
      <c r="E3" s="2">
        <v>0</v>
      </c>
      <c r="F3" s="103">
        <f t="shared" ref="F3" si="0">D3</f>
        <v>4000000</v>
      </c>
      <c r="G3" s="97">
        <f>F3*20%</f>
        <v>800000</v>
      </c>
      <c r="H3" s="98">
        <f>F3*80%</f>
        <v>3200000</v>
      </c>
      <c r="I3" s="99" t="s">
        <v>362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</row>
    <row r="4" spans="1:256" ht="16.5" customHeight="1">
      <c r="B4" s="95" t="s">
        <v>8</v>
      </c>
      <c r="C4" s="100" t="s">
        <v>204</v>
      </c>
      <c r="D4" s="56">
        <v>3600000</v>
      </c>
      <c r="E4" s="2">
        <v>0</v>
      </c>
      <c r="F4" s="103">
        <f t="shared" ref="F4" si="1">D4</f>
        <v>3600000</v>
      </c>
      <c r="G4" s="97">
        <f>F4*20%</f>
        <v>720000</v>
      </c>
      <c r="H4" s="98">
        <f>F4*80%</f>
        <v>2880000</v>
      </c>
      <c r="I4" s="99" t="s">
        <v>362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  <c r="HH4" s="93"/>
      <c r="HI4" s="93"/>
      <c r="HJ4" s="93"/>
      <c r="HK4" s="93"/>
      <c r="HL4" s="93"/>
      <c r="HM4" s="93"/>
      <c r="HN4" s="93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3"/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</row>
    <row r="5" spans="1:256" ht="16.5" customHeight="1">
      <c r="B5" s="95" t="s">
        <v>8</v>
      </c>
      <c r="C5" s="100" t="s">
        <v>227</v>
      </c>
      <c r="D5" s="56">
        <v>3400000</v>
      </c>
      <c r="E5" s="2">
        <v>0</v>
      </c>
      <c r="F5" s="103">
        <f t="shared" ref="F5:F8" si="2">D5</f>
        <v>3400000</v>
      </c>
      <c r="G5" s="97">
        <f t="shared" ref="G5:G8" si="3">F5*20%</f>
        <v>680000</v>
      </c>
      <c r="H5" s="98">
        <f t="shared" ref="H5:H8" si="4">F5*80%</f>
        <v>2720000</v>
      </c>
      <c r="I5" s="99" t="s">
        <v>362</v>
      </c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  <c r="HH5" s="93"/>
      <c r="HI5" s="93"/>
      <c r="HJ5" s="93"/>
      <c r="HK5" s="93"/>
      <c r="HL5" s="93"/>
      <c r="HM5" s="93"/>
      <c r="HN5" s="93"/>
      <c r="HO5" s="93"/>
      <c r="HP5" s="93"/>
      <c r="HQ5" s="93"/>
      <c r="HR5" s="93"/>
      <c r="HS5" s="93"/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93"/>
      <c r="IG5" s="93"/>
      <c r="IH5" s="93"/>
      <c r="II5" s="93"/>
      <c r="IJ5" s="93"/>
      <c r="IK5" s="93"/>
      <c r="IL5" s="93"/>
      <c r="IM5" s="93"/>
      <c r="IN5" s="93"/>
      <c r="IO5" s="93"/>
      <c r="IP5" s="93"/>
      <c r="IQ5" s="93"/>
      <c r="IR5" s="93"/>
      <c r="IS5" s="93"/>
      <c r="IT5" s="93"/>
      <c r="IU5" s="93"/>
      <c r="IV5" s="93"/>
    </row>
    <row r="6" spans="1:256" ht="16.5" customHeight="1">
      <c r="B6" s="95" t="s">
        <v>8</v>
      </c>
      <c r="C6" s="254" t="s">
        <v>364</v>
      </c>
      <c r="D6" s="255">
        <v>60000000</v>
      </c>
      <c r="E6" s="2">
        <v>0</v>
      </c>
      <c r="F6" s="103">
        <f t="shared" ref="F6:F8" si="5">D6</f>
        <v>60000000</v>
      </c>
      <c r="G6" s="97">
        <f t="shared" ref="G6:G8" si="6">F6*20%</f>
        <v>12000000</v>
      </c>
      <c r="H6" s="98">
        <f t="shared" ref="H6:H8" si="7">F6*80%</f>
        <v>48000000</v>
      </c>
      <c r="I6" s="99" t="s">
        <v>362</v>
      </c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</row>
    <row r="7" spans="1:256" ht="16.5" customHeight="1">
      <c r="B7" s="95" t="s">
        <v>8</v>
      </c>
      <c r="C7" s="254" t="s">
        <v>365</v>
      </c>
      <c r="D7" s="255">
        <v>40000000</v>
      </c>
      <c r="E7" s="2">
        <v>0</v>
      </c>
      <c r="F7" s="103">
        <f t="shared" si="5"/>
        <v>40000000</v>
      </c>
      <c r="G7" s="97">
        <f t="shared" si="6"/>
        <v>8000000</v>
      </c>
      <c r="H7" s="98">
        <f t="shared" si="7"/>
        <v>32000000</v>
      </c>
      <c r="I7" s="99" t="s">
        <v>362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</row>
    <row r="8" spans="1:256" ht="16.5" customHeight="1">
      <c r="B8" s="95" t="s">
        <v>8</v>
      </c>
      <c r="C8" s="100" t="s">
        <v>363</v>
      </c>
      <c r="D8" s="56">
        <v>50000000</v>
      </c>
      <c r="E8" s="2">
        <v>0</v>
      </c>
      <c r="F8" s="103">
        <f t="shared" si="5"/>
        <v>50000000</v>
      </c>
      <c r="G8" s="97">
        <f t="shared" si="6"/>
        <v>10000000</v>
      </c>
      <c r="H8" s="98">
        <f t="shared" si="7"/>
        <v>40000000</v>
      </c>
      <c r="I8" s="99" t="s">
        <v>362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</row>
    <row r="9" spans="1:256" ht="16.05" customHeight="1">
      <c r="A9" s="93"/>
      <c r="B9" s="6" t="s">
        <v>20</v>
      </c>
      <c r="C9" s="4"/>
      <c r="D9" s="7">
        <f>SUM(D3:D8)</f>
        <v>161000000</v>
      </c>
      <c r="E9" s="7">
        <f>SUM(E3:E8)</f>
        <v>0</v>
      </c>
      <c r="F9" s="7">
        <f>SUM(F3:F8)</f>
        <v>161000000</v>
      </c>
      <c r="G9" s="7">
        <f>SUM(G3:G8)</f>
        <v>32200000</v>
      </c>
      <c r="H9" s="7">
        <f>SUM(H3:H8)</f>
        <v>128800000</v>
      </c>
      <c r="I9" s="7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</row>
    <row r="10" spans="1:256" ht="15.45" customHeight="1">
      <c r="A10" s="93"/>
      <c r="B10" s="101"/>
      <c r="C10" s="101"/>
      <c r="D10" s="101"/>
      <c r="E10" s="101"/>
      <c r="F10" s="101"/>
      <c r="G10" s="102">
        <f>F9*0.2</f>
        <v>32200000</v>
      </c>
      <c r="H10" s="102">
        <f>F9*0.8</f>
        <v>128800000</v>
      </c>
      <c r="I10" s="101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</row>
    <row r="11" spans="1:256" s="94" customFormat="1" ht="15" customHeight="1"/>
    <row r="12" spans="1:256" s="94" customFormat="1" ht="15" customHeight="1"/>
    <row r="24" ht="13.2" customHeight="1"/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IV35"/>
  <sheetViews>
    <sheetView workbookViewId="0">
      <selection activeCell="F6" sqref="F6"/>
    </sheetView>
  </sheetViews>
  <sheetFormatPr defaultColWidth="8.77734375" defaultRowHeight="15.6"/>
  <cols>
    <col min="1" max="1" width="4" style="94" customWidth="1"/>
    <col min="2" max="2" width="13.109375" style="94" customWidth="1"/>
    <col min="3" max="3" width="13.109375" style="94" bestFit="1" customWidth="1"/>
    <col min="4" max="4" width="13.44140625" style="94" customWidth="1"/>
    <col min="5" max="6" width="12.6640625" style="94" customWidth="1"/>
    <col min="7" max="7" width="13.109375" style="94" bestFit="1" customWidth="1"/>
    <col min="8" max="8" width="13.44140625" style="94" customWidth="1"/>
    <col min="9" max="9" width="13.77734375" style="94" customWidth="1"/>
    <col min="10" max="10" width="11.44140625" style="94" hidden="1" customWidth="1"/>
    <col min="11" max="11" width="12.44140625" style="94" hidden="1" customWidth="1"/>
    <col min="12" max="12" width="14.109375" style="94" customWidth="1"/>
    <col min="13" max="19" width="4.5546875" style="94" hidden="1" customWidth="1"/>
    <col min="20" max="20" width="12.33203125" style="94" bestFit="1" customWidth="1"/>
    <col min="21" max="21" width="10" style="94" bestFit="1" customWidth="1"/>
    <col min="22" max="22" width="9.109375" style="94" bestFit="1" customWidth="1"/>
    <col min="23" max="23" width="11.88671875" style="94" bestFit="1" customWidth="1"/>
    <col min="24" max="25" width="14" style="94" bestFit="1" customWidth="1"/>
    <col min="26" max="26" width="11.88671875" style="94" bestFit="1" customWidth="1"/>
    <col min="27" max="27" width="12.33203125" style="94" bestFit="1" customWidth="1"/>
    <col min="28" max="28" width="10" style="94" bestFit="1" customWidth="1"/>
    <col min="29" max="29" width="11.109375" style="94" bestFit="1" customWidth="1"/>
    <col min="30" max="30" width="11.88671875" style="94" bestFit="1" customWidth="1"/>
    <col min="31" max="32" width="14" style="94" bestFit="1" customWidth="1"/>
    <col min="33" max="33" width="11.88671875" style="94" bestFit="1" customWidth="1"/>
    <col min="34" max="34" width="12.44140625" style="94" bestFit="1" customWidth="1"/>
    <col min="35" max="35" width="12.109375" style="94" bestFit="1" customWidth="1"/>
    <col min="36" max="36" width="11.109375" style="94" bestFit="1" customWidth="1"/>
    <col min="37" max="37" width="14" style="94" bestFit="1" customWidth="1"/>
    <col min="38" max="39" width="16.109375" style="94" bestFit="1" customWidth="1"/>
    <col min="40" max="40" width="11.88671875" style="94" bestFit="1" customWidth="1"/>
    <col min="41" max="41" width="21" style="94" bestFit="1" customWidth="1"/>
    <col min="42" max="42" width="14.88671875" style="94" bestFit="1" customWidth="1"/>
    <col min="43" max="43" width="13.77734375" style="94" bestFit="1" customWidth="1"/>
    <col min="44" max="44" width="21" style="94" bestFit="1" customWidth="1"/>
    <col min="45" max="47" width="10.21875" style="94" customWidth="1"/>
    <col min="48" max="256" width="8.77734375" style="94" customWidth="1"/>
    <col min="257" max="16384" width="8.77734375" style="93"/>
  </cols>
  <sheetData>
    <row r="1" spans="1:256" ht="15.4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</row>
    <row r="2" spans="1:256" ht="16.05" customHeight="1">
      <c r="A2" s="93"/>
      <c r="B2" s="5" t="s">
        <v>0</v>
      </c>
      <c r="C2" s="5" t="s">
        <v>31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</row>
    <row r="3" spans="1:256" ht="16.05" hidden="1" customHeight="1">
      <c r="A3" s="93"/>
      <c r="B3" s="104" t="s">
        <v>8</v>
      </c>
      <c r="C3" s="100" t="s">
        <v>89</v>
      </c>
      <c r="D3" s="91">
        <f>AG31</f>
        <v>0</v>
      </c>
      <c r="E3" s="97">
        <f>D3-F3</f>
        <v>0</v>
      </c>
      <c r="F3" s="8"/>
      <c r="G3" s="105">
        <f>F3*20%</f>
        <v>0</v>
      </c>
      <c r="H3" s="106">
        <f>F3*80%</f>
        <v>0</v>
      </c>
      <c r="I3" s="107" t="s">
        <v>368</v>
      </c>
      <c r="J3" s="108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</row>
    <row r="4" spans="1:256" ht="16.05" hidden="1" customHeight="1">
      <c r="A4" s="93"/>
      <c r="B4" s="104" t="s">
        <v>8</v>
      </c>
      <c r="C4" s="109" t="s">
        <v>155</v>
      </c>
      <c r="D4" s="92">
        <f>AG21</f>
        <v>0</v>
      </c>
      <c r="E4" s="97">
        <f>D4-F4</f>
        <v>0</v>
      </c>
      <c r="F4" s="8"/>
      <c r="G4" s="105">
        <f t="shared" ref="G4:G5" si="0">F4*20%</f>
        <v>0</v>
      </c>
      <c r="H4" s="106">
        <f t="shared" ref="H4:H5" si="1">F4*80%</f>
        <v>0</v>
      </c>
      <c r="I4" s="107" t="s">
        <v>368</v>
      </c>
      <c r="J4" s="108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  <c r="HH4" s="93"/>
      <c r="HI4" s="93"/>
      <c r="HJ4" s="93"/>
      <c r="HK4" s="93"/>
      <c r="HL4" s="93"/>
      <c r="HM4" s="93"/>
      <c r="HN4" s="93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3"/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</row>
    <row r="5" spans="1:256" ht="16.05" customHeight="1">
      <c r="A5" s="93"/>
      <c r="B5" s="104" t="s">
        <v>8</v>
      </c>
      <c r="C5" s="100" t="s">
        <v>206</v>
      </c>
      <c r="D5" s="82">
        <v>4066869</v>
      </c>
      <c r="E5" s="97">
        <f>D5-F5</f>
        <v>1325958</v>
      </c>
      <c r="F5" s="8">
        <v>2740911</v>
      </c>
      <c r="G5" s="105">
        <f t="shared" si="0"/>
        <v>548182.20000000007</v>
      </c>
      <c r="H5" s="106">
        <f t="shared" si="1"/>
        <v>2192728.8000000003</v>
      </c>
      <c r="I5" s="110" t="s">
        <v>366</v>
      </c>
      <c r="J5" s="108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  <c r="HH5" s="93"/>
      <c r="HI5" s="93"/>
      <c r="HJ5" s="93"/>
      <c r="HK5" s="93"/>
      <c r="HL5" s="93"/>
      <c r="HM5" s="93"/>
      <c r="HN5" s="93"/>
      <c r="HO5" s="93"/>
      <c r="HP5" s="93"/>
      <c r="HQ5" s="93"/>
      <c r="HR5" s="93"/>
      <c r="HS5" s="93"/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93"/>
      <c r="IG5" s="93"/>
      <c r="IH5" s="93"/>
      <c r="II5" s="93"/>
      <c r="IJ5" s="93"/>
      <c r="IK5" s="93"/>
      <c r="IL5" s="93"/>
      <c r="IM5" s="93"/>
      <c r="IN5" s="93"/>
      <c r="IO5" s="93"/>
      <c r="IP5" s="93"/>
      <c r="IQ5" s="93"/>
      <c r="IR5" s="93"/>
      <c r="IS5" s="93"/>
      <c r="IT5" s="93"/>
      <c r="IU5" s="93"/>
      <c r="IV5" s="93"/>
    </row>
    <row r="6" spans="1:256" ht="16.05" customHeight="1">
      <c r="A6" s="93"/>
      <c r="B6" s="6" t="s">
        <v>20</v>
      </c>
      <c r="C6" s="4"/>
      <c r="D6" s="7">
        <f>SUM(D3:D5)</f>
        <v>4066869</v>
      </c>
      <c r="E6" s="7">
        <f>SUM(E3:E5)</f>
        <v>1325958</v>
      </c>
      <c r="F6" s="7">
        <f>SUM(F3:F5)</f>
        <v>2740911</v>
      </c>
      <c r="G6" s="7">
        <f>SUM(G3:G5)</f>
        <v>548182.20000000007</v>
      </c>
      <c r="H6" s="7">
        <f>SUM(H3:H5)</f>
        <v>2192728.8000000003</v>
      </c>
      <c r="I6" s="7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</row>
    <row r="7" spans="1:256" ht="15.45" customHeight="1">
      <c r="A7" s="93"/>
      <c r="B7" s="101"/>
      <c r="C7" s="101"/>
      <c r="D7" s="101"/>
      <c r="E7" s="101"/>
      <c r="F7" s="101"/>
      <c r="G7" s="102">
        <f>F6*0.2</f>
        <v>548182.20000000007</v>
      </c>
      <c r="H7" s="102">
        <f>F6*0.8</f>
        <v>2192728.8000000003</v>
      </c>
      <c r="I7" s="101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</row>
    <row r="8" spans="1:256" ht="15.45" customHeight="1">
      <c r="A8" s="93"/>
      <c r="B8" s="101"/>
      <c r="C8" s="101"/>
      <c r="D8" s="101"/>
      <c r="E8" s="101"/>
      <c r="F8" s="101"/>
      <c r="G8" s="102"/>
      <c r="H8" s="102"/>
      <c r="I8" s="101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</row>
    <row r="9" spans="1:256" ht="15" customHeight="1">
      <c r="A9" s="93"/>
      <c r="B9" s="101"/>
      <c r="C9" s="101"/>
      <c r="D9" s="101"/>
      <c r="E9" s="101"/>
      <c r="F9" s="101"/>
      <c r="G9" s="102"/>
      <c r="H9" s="102"/>
      <c r="I9" s="101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</row>
    <row r="10" spans="1:256" ht="15" hidden="1" customHeight="1">
      <c r="A10" s="93" t="s">
        <v>339</v>
      </c>
      <c r="B10" s="111"/>
      <c r="C10" s="101"/>
      <c r="D10" s="112"/>
      <c r="E10" s="101"/>
      <c r="F10" s="101"/>
      <c r="G10" s="101"/>
      <c r="H10" s="101"/>
      <c r="I10" s="101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</row>
    <row r="11" spans="1:256" ht="16.2" hidden="1" thickBot="1">
      <c r="A11" s="193" t="s">
        <v>91</v>
      </c>
      <c r="B11" s="194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5"/>
      <c r="T11" s="197" t="s">
        <v>245</v>
      </c>
      <c r="U11" s="199"/>
      <c r="V11" s="199"/>
      <c r="W11" s="199"/>
      <c r="X11" s="199"/>
      <c r="Y11" s="199"/>
      <c r="Z11" s="198"/>
      <c r="AA11" s="197" t="s">
        <v>246</v>
      </c>
      <c r="AB11" s="199"/>
      <c r="AC11" s="199"/>
      <c r="AD11" s="199"/>
      <c r="AE11" s="199"/>
      <c r="AF11" s="199"/>
      <c r="AG11" s="198"/>
      <c r="AH11" s="197" t="s">
        <v>247</v>
      </c>
      <c r="AI11" s="199"/>
      <c r="AJ11" s="199"/>
      <c r="AK11" s="199"/>
      <c r="AL11" s="199"/>
      <c r="AM11" s="199"/>
      <c r="AN11" s="198"/>
      <c r="AO11" s="197" t="s">
        <v>248</v>
      </c>
      <c r="AP11" s="199"/>
      <c r="AQ11" s="199"/>
      <c r="AR11" s="198"/>
      <c r="AS11" s="197" t="s">
        <v>249</v>
      </c>
      <c r="AT11" s="199"/>
      <c r="AU11" s="198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</row>
    <row r="12" spans="1:256" ht="16.2" hidden="1" thickTop="1">
      <c r="A12" s="190" t="s">
        <v>41</v>
      </c>
      <c r="B12" s="191" t="s">
        <v>42</v>
      </c>
      <c r="C12" s="191" t="s">
        <v>43</v>
      </c>
      <c r="D12" s="191" t="s">
        <v>44</v>
      </c>
      <c r="E12" s="191" t="s">
        <v>46</v>
      </c>
      <c r="F12" s="191" t="s">
        <v>47</v>
      </c>
      <c r="G12" s="191" t="s">
        <v>45</v>
      </c>
      <c r="H12" s="191" t="s">
        <v>239</v>
      </c>
      <c r="I12" s="191" t="s">
        <v>240</v>
      </c>
      <c r="J12" s="191" t="s">
        <v>241</v>
      </c>
      <c r="K12" s="191" t="s">
        <v>48</v>
      </c>
      <c r="L12" s="191" t="s">
        <v>49</v>
      </c>
      <c r="M12" s="191" t="s">
        <v>242</v>
      </c>
      <c r="N12" s="191" t="s">
        <v>243</v>
      </c>
      <c r="O12" s="191" t="s">
        <v>244</v>
      </c>
      <c r="P12" s="191" t="s">
        <v>50</v>
      </c>
      <c r="Q12" s="191" t="s">
        <v>36</v>
      </c>
      <c r="R12" s="191" t="s">
        <v>51</v>
      </c>
      <c r="S12" s="191" t="s">
        <v>52</v>
      </c>
      <c r="T12" s="191" t="s">
        <v>250</v>
      </c>
      <c r="U12" s="191" t="s">
        <v>251</v>
      </c>
      <c r="V12" s="191" t="s">
        <v>252</v>
      </c>
      <c r="W12" s="191" t="s">
        <v>253</v>
      </c>
      <c r="X12" s="191" t="s">
        <v>254</v>
      </c>
      <c r="Y12" s="191" t="s">
        <v>255</v>
      </c>
      <c r="Z12" s="191" t="s">
        <v>256</v>
      </c>
      <c r="AA12" s="191" t="s">
        <v>257</v>
      </c>
      <c r="AB12" s="191" t="s">
        <v>258</v>
      </c>
      <c r="AC12" s="191" t="s">
        <v>259</v>
      </c>
      <c r="AD12" s="191" t="s">
        <v>260</v>
      </c>
      <c r="AE12" s="191" t="s">
        <v>261</v>
      </c>
      <c r="AF12" s="191" t="s">
        <v>262</v>
      </c>
      <c r="AG12" s="192" t="s">
        <v>263</v>
      </c>
      <c r="AH12" s="191" t="s">
        <v>264</v>
      </c>
      <c r="AI12" s="191" t="s">
        <v>265</v>
      </c>
      <c r="AJ12" s="191" t="s">
        <v>266</v>
      </c>
      <c r="AK12" s="191" t="s">
        <v>267</v>
      </c>
      <c r="AL12" s="191" t="s">
        <v>268</v>
      </c>
      <c r="AM12" s="191" t="s">
        <v>269</v>
      </c>
      <c r="AN12" s="191" t="s">
        <v>256</v>
      </c>
      <c r="AO12" s="191" t="s">
        <v>270</v>
      </c>
      <c r="AP12" s="191" t="s">
        <v>271</v>
      </c>
      <c r="AQ12" s="191" t="s">
        <v>272</v>
      </c>
      <c r="AR12" s="191" t="s">
        <v>273</v>
      </c>
      <c r="AS12" s="192" t="s">
        <v>53</v>
      </c>
      <c r="AT12" s="191" t="s">
        <v>57</v>
      </c>
      <c r="AU12" s="191" t="s">
        <v>274</v>
      </c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</row>
    <row r="13" spans="1:256" hidden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89"/>
      <c r="N13" s="189"/>
      <c r="O13" s="113"/>
      <c r="P13" s="113"/>
      <c r="Q13" s="113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200"/>
      <c r="AQ13" s="260"/>
      <c r="AR13" s="260"/>
      <c r="AS13" s="202"/>
      <c r="AT13" s="202"/>
      <c r="AU13" s="20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93"/>
      <c r="GK13" s="93"/>
      <c r="GL13" s="93"/>
      <c r="GM13" s="93"/>
      <c r="GN13" s="93"/>
      <c r="GO13" s="93"/>
      <c r="GP13" s="93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3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3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3"/>
    </row>
    <row r="14" spans="1:256" hidden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89"/>
      <c r="N14" s="189"/>
      <c r="O14" s="113"/>
      <c r="P14" s="113"/>
      <c r="Q14" s="113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200"/>
      <c r="AQ14" s="260"/>
      <c r="AR14" s="260"/>
      <c r="AS14" s="202"/>
      <c r="AT14" s="202"/>
      <c r="AU14" s="20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9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93"/>
      <c r="IS14" s="93"/>
      <c r="IT14" s="93"/>
      <c r="IU14" s="93"/>
      <c r="IV14" s="93"/>
    </row>
    <row r="15" spans="1:256" hidden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89"/>
      <c r="N15" s="189"/>
      <c r="O15" s="113"/>
      <c r="P15" s="113"/>
      <c r="Q15" s="113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200"/>
      <c r="AQ15" s="260"/>
      <c r="AR15" s="260"/>
      <c r="AS15" s="202"/>
      <c r="AT15" s="202"/>
      <c r="AU15" s="20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3"/>
      <c r="EQ15" s="93"/>
      <c r="ER15" s="93"/>
      <c r="ES15" s="93"/>
      <c r="ET15" s="93"/>
      <c r="EU15" s="93"/>
      <c r="EV15" s="93"/>
      <c r="EW15" s="93"/>
      <c r="EX15" s="93"/>
      <c r="EY15" s="93"/>
      <c r="EZ15" s="93"/>
      <c r="FA15" s="93"/>
      <c r="FB15" s="93"/>
      <c r="FC15" s="93"/>
      <c r="FD15" s="93"/>
      <c r="FE15" s="93"/>
      <c r="FF15" s="93"/>
      <c r="FG15" s="93"/>
      <c r="FH15" s="93"/>
      <c r="FI15" s="93"/>
      <c r="FJ15" s="93"/>
      <c r="FK15" s="93"/>
      <c r="FL15" s="93"/>
      <c r="FM15" s="93"/>
      <c r="FN15" s="93"/>
      <c r="FO15" s="93"/>
      <c r="FP15" s="93"/>
      <c r="FQ15" s="93"/>
      <c r="FR15" s="93"/>
      <c r="FS15" s="93"/>
      <c r="FT15" s="93"/>
      <c r="FU15" s="93"/>
      <c r="FV15" s="93"/>
      <c r="FW15" s="93"/>
      <c r="FX15" s="93"/>
      <c r="FY15" s="93"/>
      <c r="FZ15" s="93"/>
      <c r="GA15" s="93"/>
      <c r="GB15" s="93"/>
      <c r="GC15" s="93"/>
      <c r="GD15" s="93"/>
      <c r="GE15" s="93"/>
      <c r="GF15" s="93"/>
      <c r="GG15" s="93"/>
      <c r="GH15" s="93"/>
      <c r="GI15" s="93"/>
      <c r="GJ15" s="93"/>
      <c r="GK15" s="93"/>
      <c r="GL15" s="93"/>
      <c r="GM15" s="93"/>
      <c r="GN15" s="93"/>
      <c r="GO15" s="93"/>
      <c r="GP15" s="93"/>
      <c r="GQ15" s="93"/>
      <c r="GR15" s="93"/>
      <c r="GS15" s="93"/>
      <c r="GT15" s="93"/>
      <c r="GU15" s="93"/>
      <c r="GV15" s="93"/>
      <c r="GW15" s="93"/>
      <c r="GX15" s="93"/>
      <c r="GY15" s="93"/>
      <c r="GZ15" s="93"/>
      <c r="HA15" s="93"/>
      <c r="HB15" s="93"/>
      <c r="HC15" s="93"/>
      <c r="HD15" s="93"/>
      <c r="HE15" s="93"/>
      <c r="HF15" s="93"/>
      <c r="HG15" s="93"/>
      <c r="HH15" s="93"/>
      <c r="HI15" s="93"/>
      <c r="HJ15" s="93"/>
      <c r="HK15" s="93"/>
      <c r="HL15" s="93"/>
      <c r="HM15" s="93"/>
      <c r="HN15" s="93"/>
      <c r="HO15" s="93"/>
      <c r="HP15" s="93"/>
      <c r="HQ15" s="93"/>
      <c r="HR15" s="93"/>
      <c r="HS15" s="93"/>
      <c r="HT15" s="93"/>
      <c r="HU15" s="93"/>
      <c r="HV15" s="93"/>
      <c r="HW15" s="93"/>
      <c r="HX15" s="93"/>
      <c r="HY15" s="93"/>
      <c r="HZ15" s="93"/>
      <c r="IA15" s="93"/>
      <c r="IB15" s="93"/>
      <c r="IC15" s="93"/>
      <c r="ID15" s="93"/>
      <c r="IE15" s="93"/>
      <c r="IF15" s="93"/>
      <c r="IG15" s="93"/>
      <c r="IH15" s="93"/>
      <c r="II15" s="93"/>
      <c r="IJ15" s="93"/>
      <c r="IK15" s="93"/>
      <c r="IL15" s="93"/>
      <c r="IM15" s="93"/>
      <c r="IN15" s="93"/>
      <c r="IO15" s="93"/>
      <c r="IP15" s="93"/>
      <c r="IQ15" s="93"/>
      <c r="IR15" s="93"/>
      <c r="IS15" s="93"/>
      <c r="IT15" s="93"/>
      <c r="IU15" s="93"/>
      <c r="IV15" s="93"/>
    </row>
    <row r="16" spans="1:256" hidden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89"/>
      <c r="N16" s="189"/>
      <c r="O16" s="113"/>
      <c r="P16" s="113"/>
      <c r="Q16" s="113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200"/>
      <c r="AQ16" s="260"/>
      <c r="AR16" s="260"/>
      <c r="AS16" s="202"/>
      <c r="AT16" s="202"/>
      <c r="AU16" s="20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/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93"/>
      <c r="EM16" s="93"/>
      <c r="EN16" s="93"/>
      <c r="EO16" s="93"/>
      <c r="EP16" s="93"/>
      <c r="EQ16" s="93"/>
      <c r="ER16" s="93"/>
      <c r="ES16" s="93"/>
      <c r="ET16" s="93"/>
      <c r="EU16" s="93"/>
      <c r="EV16" s="93"/>
      <c r="EW16" s="93"/>
      <c r="EX16" s="93"/>
      <c r="EY16" s="93"/>
      <c r="EZ16" s="93"/>
      <c r="FA16" s="93"/>
      <c r="FB16" s="93"/>
      <c r="FC16" s="93"/>
      <c r="FD16" s="93"/>
      <c r="FE16" s="93"/>
      <c r="FF16" s="93"/>
      <c r="FG16" s="93"/>
      <c r="FH16" s="93"/>
      <c r="FI16" s="93"/>
      <c r="FJ16" s="93"/>
      <c r="FK16" s="93"/>
      <c r="FL16" s="93"/>
      <c r="FM16" s="93"/>
      <c r="FN16" s="93"/>
      <c r="FO16" s="93"/>
      <c r="FP16" s="93"/>
      <c r="FQ16" s="93"/>
      <c r="FR16" s="93"/>
      <c r="FS16" s="93"/>
      <c r="FT16" s="93"/>
      <c r="FU16" s="93"/>
      <c r="FV16" s="93"/>
      <c r="FW16" s="93"/>
      <c r="FX16" s="93"/>
      <c r="FY16" s="93"/>
      <c r="FZ16" s="93"/>
      <c r="GA16" s="93"/>
      <c r="GB16" s="93"/>
      <c r="GC16" s="93"/>
      <c r="GD16" s="93"/>
      <c r="GE16" s="93"/>
      <c r="GF16" s="93"/>
      <c r="GG16" s="93"/>
      <c r="GH16" s="93"/>
      <c r="GI16" s="93"/>
      <c r="GJ16" s="93"/>
      <c r="GK16" s="93"/>
      <c r="GL16" s="93"/>
      <c r="GM16" s="93"/>
      <c r="GN16" s="93"/>
      <c r="GO16" s="93"/>
      <c r="GP16" s="93"/>
      <c r="GQ16" s="93"/>
      <c r="GR16" s="93"/>
      <c r="GS16" s="93"/>
      <c r="GT16" s="93"/>
      <c r="GU16" s="93"/>
      <c r="GV16" s="93"/>
      <c r="GW16" s="93"/>
      <c r="GX16" s="93"/>
      <c r="GY16" s="93"/>
      <c r="GZ16" s="93"/>
      <c r="HA16" s="93"/>
      <c r="HB16" s="93"/>
      <c r="HC16" s="93"/>
      <c r="HD16" s="93"/>
      <c r="HE16" s="93"/>
      <c r="HF16" s="93"/>
      <c r="HG16" s="93"/>
      <c r="HH16" s="93"/>
      <c r="HI16" s="93"/>
      <c r="HJ16" s="93"/>
      <c r="HK16" s="93"/>
      <c r="HL16" s="93"/>
      <c r="HM16" s="93"/>
      <c r="HN16" s="93"/>
      <c r="HO16" s="93"/>
      <c r="HP16" s="93"/>
      <c r="HQ16" s="93"/>
      <c r="HR16" s="93"/>
      <c r="HS16" s="93"/>
      <c r="HT16" s="93"/>
      <c r="HU16" s="93"/>
      <c r="HV16" s="93"/>
      <c r="HW16" s="93"/>
      <c r="HX16" s="93"/>
      <c r="HY16" s="93"/>
      <c r="HZ16" s="93"/>
      <c r="IA16" s="93"/>
      <c r="IB16" s="93"/>
      <c r="IC16" s="93"/>
      <c r="ID16" s="93"/>
      <c r="IE16" s="93"/>
      <c r="IF16" s="93"/>
      <c r="IG16" s="93"/>
      <c r="IH16" s="93"/>
      <c r="II16" s="93"/>
      <c r="IJ16" s="93"/>
      <c r="IK16" s="93"/>
      <c r="IL16" s="93"/>
      <c r="IM16" s="93"/>
      <c r="IN16" s="93"/>
      <c r="IO16" s="93"/>
      <c r="IP16" s="93"/>
      <c r="IQ16" s="93"/>
      <c r="IR16" s="93"/>
      <c r="IS16" s="93"/>
      <c r="IT16" s="93"/>
      <c r="IU16" s="93"/>
      <c r="IV16" s="93"/>
    </row>
    <row r="17" spans="1:256" hidden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89"/>
      <c r="N17" s="189"/>
      <c r="O17" s="113"/>
      <c r="P17" s="113"/>
      <c r="Q17" s="113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200"/>
      <c r="AQ17" s="260"/>
      <c r="AR17" s="260"/>
      <c r="AS17" s="202"/>
      <c r="AT17" s="202"/>
      <c r="AU17" s="202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3"/>
      <c r="EL17" s="93"/>
      <c r="EM17" s="93"/>
      <c r="EN17" s="93"/>
      <c r="EO17" s="93"/>
      <c r="EP17" s="93"/>
      <c r="EQ17" s="93"/>
      <c r="ER17" s="93"/>
      <c r="ES17" s="93"/>
      <c r="ET17" s="93"/>
      <c r="EU17" s="93"/>
      <c r="EV17" s="93"/>
      <c r="EW17" s="93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  <c r="FK17" s="93"/>
      <c r="FL17" s="93"/>
      <c r="FM17" s="93"/>
      <c r="FN17" s="93"/>
      <c r="FO17" s="93"/>
      <c r="FP17" s="93"/>
      <c r="FQ17" s="93"/>
      <c r="FR17" s="93"/>
      <c r="FS17" s="93"/>
      <c r="FT17" s="93"/>
      <c r="FU17" s="93"/>
      <c r="FV17" s="93"/>
      <c r="FW17" s="93"/>
      <c r="FX17" s="93"/>
      <c r="FY17" s="93"/>
      <c r="FZ17" s="93"/>
      <c r="GA17" s="93"/>
      <c r="GB17" s="93"/>
      <c r="GC17" s="93"/>
      <c r="GD17" s="93"/>
      <c r="GE17" s="93"/>
      <c r="GF17" s="93"/>
      <c r="GG17" s="93"/>
      <c r="GH17" s="93"/>
      <c r="GI17" s="93"/>
      <c r="GJ17" s="93"/>
      <c r="GK17" s="93"/>
      <c r="GL17" s="93"/>
      <c r="GM17" s="93"/>
      <c r="GN17" s="93"/>
      <c r="GO17" s="93"/>
      <c r="GP17" s="93"/>
      <c r="GQ17" s="93"/>
      <c r="GR17" s="93"/>
      <c r="GS17" s="93"/>
      <c r="GT17" s="93"/>
      <c r="GU17" s="93"/>
      <c r="GV17" s="93"/>
      <c r="GW17" s="93"/>
      <c r="GX17" s="93"/>
      <c r="GY17" s="93"/>
      <c r="GZ17" s="93"/>
      <c r="HA17" s="93"/>
      <c r="HB17" s="93"/>
      <c r="HC17" s="93"/>
      <c r="HD17" s="93"/>
      <c r="HE17" s="93"/>
      <c r="HF17" s="93"/>
      <c r="HG17" s="93"/>
      <c r="HH17" s="93"/>
      <c r="HI17" s="93"/>
      <c r="HJ17" s="93"/>
      <c r="HK17" s="93"/>
      <c r="HL17" s="93"/>
      <c r="HM17" s="93"/>
      <c r="HN17" s="93"/>
      <c r="HO17" s="93"/>
      <c r="HP17" s="93"/>
      <c r="HQ17" s="93"/>
      <c r="HR17" s="93"/>
      <c r="HS17" s="93"/>
      <c r="HT17" s="93"/>
      <c r="HU17" s="93"/>
      <c r="HV17" s="93"/>
      <c r="HW17" s="93"/>
      <c r="HX17" s="93"/>
      <c r="HY17" s="93"/>
      <c r="HZ17" s="93"/>
      <c r="IA17" s="93"/>
      <c r="IB17" s="93"/>
      <c r="IC17" s="93"/>
      <c r="ID17" s="93"/>
      <c r="IE17" s="93"/>
      <c r="IF17" s="93"/>
      <c r="IG17" s="93"/>
      <c r="IH17" s="93"/>
      <c r="II17" s="93"/>
      <c r="IJ17" s="93"/>
      <c r="IK17" s="93"/>
      <c r="IL17" s="93"/>
      <c r="IM17" s="93"/>
      <c r="IN17" s="93"/>
      <c r="IO17" s="93"/>
      <c r="IP17" s="93"/>
      <c r="IQ17" s="93"/>
      <c r="IR17" s="93"/>
      <c r="IS17" s="93"/>
      <c r="IT17" s="93"/>
      <c r="IU17" s="93"/>
      <c r="IV17" s="93"/>
    </row>
    <row r="18" spans="1:256" hidden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89"/>
      <c r="N18" s="189"/>
      <c r="O18" s="113"/>
      <c r="P18" s="113"/>
      <c r="Q18" s="113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200"/>
      <c r="AQ18" s="260"/>
      <c r="AR18" s="260"/>
      <c r="AS18" s="202"/>
      <c r="AT18" s="202"/>
      <c r="AU18" s="202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93"/>
      <c r="EM18" s="93"/>
      <c r="EN18" s="93"/>
      <c r="EO18" s="93"/>
      <c r="EP18" s="93"/>
      <c r="EQ18" s="93"/>
      <c r="ER18" s="93"/>
      <c r="ES18" s="93"/>
      <c r="ET18" s="93"/>
      <c r="EU18" s="93"/>
      <c r="EV18" s="93"/>
      <c r="EW18" s="93"/>
      <c r="EX18" s="93"/>
      <c r="EY18" s="93"/>
      <c r="EZ18" s="93"/>
      <c r="FA18" s="93"/>
      <c r="FB18" s="93"/>
      <c r="FC18" s="93"/>
      <c r="FD18" s="93"/>
      <c r="FE18" s="93"/>
      <c r="FF18" s="93"/>
      <c r="FG18" s="93"/>
      <c r="FH18" s="93"/>
      <c r="FI18" s="93"/>
      <c r="FJ18" s="93"/>
      <c r="FK18" s="93"/>
      <c r="FL18" s="93"/>
      <c r="FM18" s="93"/>
      <c r="FN18" s="93"/>
      <c r="FO18" s="93"/>
      <c r="FP18" s="93"/>
      <c r="FQ18" s="93"/>
      <c r="FR18" s="93"/>
      <c r="FS18" s="93"/>
      <c r="FT18" s="93"/>
      <c r="FU18" s="93"/>
      <c r="FV18" s="93"/>
      <c r="FW18" s="93"/>
      <c r="FX18" s="93"/>
      <c r="FY18" s="93"/>
      <c r="FZ18" s="93"/>
      <c r="GA18" s="93"/>
      <c r="GB18" s="93"/>
      <c r="GC18" s="93"/>
      <c r="GD18" s="93"/>
      <c r="GE18" s="93"/>
      <c r="GF18" s="93"/>
      <c r="GG18" s="93"/>
      <c r="GH18" s="93"/>
      <c r="GI18" s="93"/>
      <c r="GJ18" s="93"/>
      <c r="GK18" s="93"/>
      <c r="GL18" s="93"/>
      <c r="GM18" s="93"/>
      <c r="GN18" s="93"/>
      <c r="GO18" s="93"/>
      <c r="GP18" s="93"/>
      <c r="GQ18" s="93"/>
      <c r="GR18" s="93"/>
      <c r="GS18" s="93"/>
      <c r="GT18" s="93"/>
      <c r="GU18" s="93"/>
      <c r="GV18" s="93"/>
      <c r="GW18" s="93"/>
      <c r="GX18" s="93"/>
      <c r="GY18" s="93"/>
      <c r="GZ18" s="93"/>
      <c r="HA18" s="93"/>
      <c r="HB18" s="93"/>
      <c r="HC18" s="93"/>
      <c r="HD18" s="93"/>
      <c r="HE18" s="93"/>
      <c r="HF18" s="93"/>
      <c r="HG18" s="93"/>
      <c r="HH18" s="93"/>
      <c r="HI18" s="93"/>
      <c r="HJ18" s="93"/>
      <c r="HK18" s="93"/>
      <c r="HL18" s="93"/>
      <c r="HM18" s="93"/>
      <c r="HN18" s="93"/>
      <c r="HO18" s="93"/>
      <c r="HP18" s="93"/>
      <c r="HQ18" s="93"/>
      <c r="HR18" s="93"/>
      <c r="HS18" s="93"/>
      <c r="HT18" s="93"/>
      <c r="HU18" s="93"/>
      <c r="HV18" s="93"/>
      <c r="HW18" s="93"/>
      <c r="HX18" s="93"/>
      <c r="HY18" s="93"/>
      <c r="HZ18" s="93"/>
      <c r="IA18" s="93"/>
      <c r="IB18" s="93"/>
      <c r="IC18" s="93"/>
      <c r="ID18" s="93"/>
      <c r="IE18" s="93"/>
      <c r="IF18" s="93"/>
      <c r="IG18" s="93"/>
      <c r="IH18" s="93"/>
      <c r="II18" s="93"/>
      <c r="IJ18" s="93"/>
      <c r="IK18" s="93"/>
      <c r="IL18" s="93"/>
      <c r="IM18" s="93"/>
      <c r="IN18" s="93"/>
      <c r="IO18" s="93"/>
      <c r="IP18" s="93"/>
      <c r="IQ18" s="93"/>
      <c r="IR18" s="93"/>
      <c r="IS18" s="93"/>
      <c r="IT18" s="93"/>
      <c r="IU18" s="93"/>
      <c r="IV18" s="93"/>
    </row>
    <row r="19" spans="1:256" hidden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89"/>
      <c r="N19" s="189"/>
      <c r="O19" s="113"/>
      <c r="P19" s="113"/>
      <c r="Q19" s="113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200"/>
      <c r="AQ19" s="260"/>
      <c r="AR19" s="260"/>
      <c r="AS19" s="202"/>
      <c r="AT19" s="202"/>
      <c r="AU19" s="202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  <c r="IH19" s="93"/>
      <c r="II19" s="93"/>
      <c r="IJ19" s="93"/>
      <c r="IK19" s="93"/>
      <c r="IL19" s="93"/>
      <c r="IM19" s="93"/>
      <c r="IN19" s="93"/>
      <c r="IO19" s="93"/>
      <c r="IP19" s="93"/>
      <c r="IQ19" s="93"/>
      <c r="IR19" s="93"/>
      <c r="IS19" s="93"/>
      <c r="IT19" s="93"/>
      <c r="IU19" s="93"/>
      <c r="IV19" s="93"/>
    </row>
    <row r="20" spans="1:256" hidden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89"/>
      <c r="N20" s="189"/>
      <c r="O20" s="113"/>
      <c r="P20" s="113"/>
      <c r="Q20" s="113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200"/>
      <c r="AQ20" s="260"/>
      <c r="AR20" s="260"/>
      <c r="AS20" s="202"/>
      <c r="AT20" s="202"/>
      <c r="AU20" s="20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3"/>
      <c r="DR20" s="93"/>
      <c r="DS20" s="93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  <c r="EQ20" s="93"/>
      <c r="ER20" s="93"/>
      <c r="ES20" s="93"/>
      <c r="ET20" s="93"/>
      <c r="EU20" s="93"/>
      <c r="EV20" s="93"/>
      <c r="EW20" s="93"/>
      <c r="EX20" s="93"/>
      <c r="EY20" s="93"/>
      <c r="EZ20" s="93"/>
      <c r="FA20" s="93"/>
      <c r="FB20" s="93"/>
      <c r="FC20" s="93"/>
      <c r="FD20" s="93"/>
      <c r="FE20" s="93"/>
      <c r="FF20" s="93"/>
      <c r="FG20" s="93"/>
      <c r="FH20" s="93"/>
      <c r="FI20" s="93"/>
      <c r="FJ20" s="93"/>
      <c r="FK20" s="93"/>
      <c r="FL20" s="93"/>
      <c r="FM20" s="93"/>
      <c r="FN20" s="93"/>
      <c r="FO20" s="93"/>
      <c r="FP20" s="93"/>
      <c r="FQ20" s="93"/>
      <c r="FR20" s="93"/>
      <c r="FS20" s="93"/>
      <c r="FT20" s="93"/>
      <c r="FU20" s="93"/>
      <c r="FV20" s="93"/>
      <c r="FW20" s="93"/>
      <c r="FX20" s="93"/>
      <c r="FY20" s="93"/>
      <c r="FZ20" s="93"/>
      <c r="GA20" s="93"/>
      <c r="GB20" s="93"/>
      <c r="GC20" s="93"/>
      <c r="GD20" s="93"/>
      <c r="GE20" s="93"/>
      <c r="GF20" s="93"/>
      <c r="GG20" s="93"/>
      <c r="GH20" s="93"/>
      <c r="GI20" s="93"/>
      <c r="GJ20" s="93"/>
      <c r="GK20" s="93"/>
      <c r="GL20" s="93"/>
      <c r="GM20" s="93"/>
      <c r="GN20" s="93"/>
      <c r="GO20" s="93"/>
      <c r="GP20" s="93"/>
      <c r="GQ20" s="93"/>
      <c r="GR20" s="93"/>
      <c r="GS20" s="93"/>
      <c r="GT20" s="93"/>
      <c r="GU20" s="93"/>
      <c r="GV20" s="93"/>
      <c r="GW20" s="93"/>
      <c r="GX20" s="93"/>
      <c r="GY20" s="93"/>
      <c r="GZ20" s="93"/>
      <c r="HA20" s="93"/>
      <c r="HB20" s="93"/>
      <c r="HC20" s="93"/>
      <c r="HD20" s="93"/>
      <c r="HE20" s="93"/>
      <c r="HF20" s="93"/>
      <c r="HG20" s="93"/>
      <c r="HH20" s="93"/>
      <c r="HI20" s="93"/>
      <c r="HJ20" s="93"/>
      <c r="HK20" s="93"/>
      <c r="HL20" s="93"/>
      <c r="HM20" s="93"/>
      <c r="HN20" s="93"/>
      <c r="HO20" s="93"/>
      <c r="HP20" s="93"/>
      <c r="HQ20" s="93"/>
      <c r="HR20" s="93"/>
      <c r="HS20" s="93"/>
      <c r="HT20" s="93"/>
      <c r="HU20" s="93"/>
      <c r="HV20" s="93"/>
      <c r="HW20" s="93"/>
      <c r="HX20" s="93"/>
      <c r="HY20" s="93"/>
      <c r="HZ20" s="93"/>
      <c r="IA20" s="93"/>
      <c r="IB20" s="93"/>
      <c r="IC20" s="93"/>
      <c r="ID20" s="93"/>
      <c r="IE20" s="93"/>
      <c r="IF20" s="93"/>
      <c r="IG20" s="93"/>
      <c r="IH20" s="93"/>
      <c r="II20" s="93"/>
      <c r="IJ20" s="93"/>
      <c r="IK20" s="93"/>
      <c r="IL20" s="93"/>
      <c r="IM20" s="93"/>
      <c r="IN20" s="93"/>
      <c r="IO20" s="93"/>
      <c r="IP20" s="93"/>
      <c r="IQ20" s="93"/>
      <c r="IR20" s="93"/>
      <c r="IS20" s="93"/>
      <c r="IT20" s="93"/>
      <c r="IU20" s="93"/>
      <c r="IV20" s="93"/>
    </row>
    <row r="21" spans="1:256" hidden="1">
      <c r="AD21" s="115"/>
      <c r="AG21" s="209">
        <f>SUM(AG13:AG20)</f>
        <v>0</v>
      </c>
      <c r="AN21" s="115"/>
      <c r="AP21" s="93"/>
      <c r="AQ21" s="93"/>
      <c r="AR21" s="93"/>
      <c r="AS21" s="115">
        <f>SUM(AS13:AS20)</f>
        <v>0</v>
      </c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3"/>
      <c r="EL21" s="93"/>
      <c r="EM21" s="93"/>
      <c r="EN21" s="93"/>
      <c r="EO21" s="93"/>
      <c r="EP21" s="93"/>
      <c r="EQ21" s="93"/>
      <c r="ER21" s="93"/>
      <c r="ES21" s="93"/>
      <c r="ET21" s="93"/>
      <c r="EU21" s="93"/>
      <c r="EV21" s="93"/>
      <c r="EW21" s="93"/>
      <c r="EX21" s="93"/>
      <c r="EY21" s="93"/>
      <c r="EZ21" s="93"/>
      <c r="FA21" s="93"/>
      <c r="FB21" s="93"/>
      <c r="FC21" s="93"/>
      <c r="FD21" s="93"/>
      <c r="FE21" s="93"/>
      <c r="FF21" s="93"/>
      <c r="FG21" s="93"/>
      <c r="FH21" s="93"/>
      <c r="FI21" s="93"/>
      <c r="FJ21" s="93"/>
      <c r="FK21" s="93"/>
      <c r="FL21" s="93"/>
      <c r="FM21" s="93"/>
      <c r="FN21" s="93"/>
      <c r="FO21" s="93"/>
      <c r="FP21" s="93"/>
      <c r="FQ21" s="93"/>
      <c r="FR21" s="93"/>
      <c r="FS21" s="93"/>
      <c r="FT21" s="93"/>
      <c r="FU21" s="93"/>
      <c r="FV21" s="93"/>
      <c r="FW21" s="93"/>
      <c r="FX21" s="93"/>
      <c r="FY21" s="93"/>
      <c r="FZ21" s="93"/>
      <c r="GA21" s="93"/>
      <c r="GB21" s="93"/>
      <c r="GC21" s="93"/>
      <c r="GD21" s="93"/>
      <c r="GE21" s="93"/>
      <c r="GF21" s="93"/>
      <c r="GG21" s="93"/>
      <c r="GH21" s="93"/>
      <c r="GI21" s="93"/>
      <c r="GJ21" s="93"/>
      <c r="GK21" s="93"/>
      <c r="GL21" s="93"/>
      <c r="GM21" s="93"/>
      <c r="GN21" s="93"/>
      <c r="GO21" s="93"/>
      <c r="GP21" s="93"/>
      <c r="GQ21" s="93"/>
      <c r="GR21" s="93"/>
      <c r="GS21" s="93"/>
      <c r="GT21" s="93"/>
      <c r="GU21" s="93"/>
      <c r="GV21" s="93"/>
      <c r="GW21" s="93"/>
      <c r="GX21" s="93"/>
      <c r="GY21" s="93"/>
      <c r="GZ21" s="93"/>
      <c r="HA21" s="93"/>
      <c r="HB21" s="93"/>
      <c r="HC21" s="93"/>
      <c r="HD21" s="93"/>
      <c r="HE21" s="93"/>
      <c r="HF21" s="93"/>
      <c r="HG21" s="93"/>
      <c r="HH21" s="93"/>
      <c r="HI21" s="93"/>
      <c r="HJ21" s="93"/>
      <c r="HK21" s="93"/>
      <c r="HL21" s="93"/>
      <c r="HM21" s="93"/>
      <c r="HN21" s="93"/>
      <c r="HO21" s="93"/>
      <c r="HP21" s="93"/>
      <c r="HQ21" s="93"/>
      <c r="HR21" s="93"/>
      <c r="HS21" s="93"/>
      <c r="HT21" s="93"/>
      <c r="HU21" s="93"/>
      <c r="HV21" s="93"/>
      <c r="HW21" s="93"/>
      <c r="HX21" s="93"/>
      <c r="HY21" s="93"/>
      <c r="HZ21" s="93"/>
      <c r="IA21" s="93"/>
      <c r="IB21" s="93"/>
      <c r="IC21" s="93"/>
      <c r="ID21" s="93"/>
      <c r="IE21" s="93"/>
      <c r="IF21" s="93"/>
      <c r="IG21" s="93"/>
      <c r="IH21" s="93"/>
      <c r="II21" s="93"/>
      <c r="IJ21" s="93"/>
      <c r="IK21" s="93"/>
      <c r="IL21" s="93"/>
      <c r="IM21" s="93"/>
      <c r="IN21" s="93"/>
      <c r="IO21" s="93"/>
      <c r="IP21" s="93"/>
      <c r="IQ21" s="93"/>
      <c r="IR21" s="93"/>
      <c r="IS21" s="93"/>
      <c r="IT21" s="93"/>
      <c r="IU21" s="93"/>
      <c r="IV21" s="93"/>
    </row>
    <row r="22" spans="1:256" hidden="1">
      <c r="AD22" s="115"/>
      <c r="AN22" s="115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93"/>
      <c r="EB22" s="93"/>
      <c r="EC22" s="93"/>
      <c r="ED22" s="93"/>
      <c r="EE22" s="93"/>
      <c r="EF22" s="93"/>
      <c r="EG22" s="93"/>
      <c r="EH22" s="93"/>
      <c r="EI22" s="93"/>
      <c r="EJ22" s="93"/>
      <c r="EK22" s="93"/>
      <c r="EL22" s="93"/>
      <c r="EM22" s="93"/>
      <c r="EN22" s="93"/>
      <c r="EO22" s="93"/>
      <c r="EP22" s="93"/>
      <c r="EQ22" s="93"/>
      <c r="ER22" s="93"/>
      <c r="ES22" s="93"/>
      <c r="ET22" s="93"/>
      <c r="EU22" s="93"/>
      <c r="EV22" s="93"/>
      <c r="EW22" s="93"/>
      <c r="EX22" s="93"/>
      <c r="EY22" s="93"/>
      <c r="EZ22" s="93"/>
      <c r="FA22" s="93"/>
      <c r="FB22" s="93"/>
      <c r="FC22" s="93"/>
      <c r="FD22" s="93"/>
      <c r="FE22" s="93"/>
      <c r="FF22" s="93"/>
      <c r="FG22" s="93"/>
      <c r="FH22" s="93"/>
      <c r="FI22" s="93"/>
      <c r="FJ22" s="93"/>
      <c r="FK22" s="93"/>
      <c r="FL22" s="93"/>
      <c r="FM22" s="93"/>
      <c r="FN22" s="93"/>
      <c r="FO22" s="93"/>
      <c r="FP22" s="93"/>
      <c r="FQ22" s="93"/>
      <c r="FR22" s="93"/>
      <c r="FS22" s="93"/>
      <c r="FT22" s="93"/>
      <c r="FU22" s="93"/>
      <c r="FV22" s="93"/>
      <c r="FW22" s="93"/>
      <c r="FX22" s="93"/>
      <c r="FY22" s="93"/>
      <c r="FZ22" s="93"/>
      <c r="GA22" s="93"/>
      <c r="GB22" s="93"/>
      <c r="GC22" s="93"/>
      <c r="GD22" s="93"/>
      <c r="GE22" s="93"/>
      <c r="GF22" s="93"/>
      <c r="GG22" s="93"/>
      <c r="GH22" s="93"/>
      <c r="GI22" s="93"/>
      <c r="GJ22" s="93"/>
      <c r="GK22" s="93"/>
      <c r="GL22" s="93"/>
      <c r="GM22" s="93"/>
      <c r="GN22" s="93"/>
      <c r="GO22" s="93"/>
      <c r="GP22" s="93"/>
      <c r="GQ22" s="93"/>
      <c r="GR22" s="93"/>
      <c r="GS22" s="93"/>
      <c r="GT22" s="93"/>
      <c r="GU22" s="93"/>
      <c r="GV22" s="93"/>
      <c r="GW22" s="93"/>
      <c r="GX22" s="93"/>
      <c r="GY22" s="93"/>
      <c r="GZ22" s="93"/>
      <c r="HA22" s="93"/>
      <c r="HB22" s="93"/>
      <c r="HC22" s="93"/>
      <c r="HD22" s="93"/>
      <c r="HE22" s="93"/>
      <c r="HF22" s="93"/>
      <c r="HG22" s="93"/>
      <c r="HH22" s="93"/>
      <c r="HI22" s="93"/>
      <c r="HJ22" s="93"/>
      <c r="HK22" s="93"/>
      <c r="HL22" s="93"/>
      <c r="HM22" s="93"/>
      <c r="HN22" s="93"/>
      <c r="HO22" s="93"/>
      <c r="HP22" s="93"/>
      <c r="HQ22" s="93"/>
      <c r="HR22" s="93"/>
      <c r="HS22" s="93"/>
      <c r="HT22" s="93"/>
      <c r="HU22" s="93"/>
      <c r="HV22" s="93"/>
      <c r="HW22" s="93"/>
      <c r="HX22" s="93"/>
      <c r="HY22" s="93"/>
      <c r="HZ22" s="93"/>
      <c r="IA22" s="93"/>
      <c r="IB22" s="93"/>
      <c r="IC22" s="93"/>
      <c r="ID22" s="93"/>
      <c r="IE22" s="93"/>
      <c r="IF22" s="93"/>
      <c r="IG22" s="93"/>
      <c r="IH22" s="93"/>
      <c r="II22" s="93"/>
      <c r="IJ22" s="93"/>
      <c r="IK22" s="93"/>
      <c r="IL22" s="93"/>
      <c r="IM22" s="93"/>
      <c r="IN22" s="93"/>
      <c r="IO22" s="93"/>
      <c r="IP22" s="93"/>
      <c r="IQ22" s="93"/>
      <c r="IR22" s="93"/>
      <c r="IS22" s="93"/>
      <c r="IT22" s="93"/>
      <c r="IU22" s="93"/>
      <c r="IV22" s="93"/>
    </row>
    <row r="23" spans="1:256" hidden="1">
      <c r="A23" s="93" t="s">
        <v>340</v>
      </c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  <c r="EP23" s="93"/>
      <c r="EQ23" s="93"/>
      <c r="ER23" s="93"/>
      <c r="ES23" s="93"/>
      <c r="ET23" s="93"/>
      <c r="EU23" s="93"/>
      <c r="EV23" s="93"/>
      <c r="EW23" s="93"/>
      <c r="EX23" s="93"/>
      <c r="EY23" s="93"/>
      <c r="EZ23" s="93"/>
      <c r="FA23" s="93"/>
      <c r="FB23" s="93"/>
      <c r="FC23" s="93"/>
      <c r="FD23" s="93"/>
      <c r="FE23" s="93"/>
      <c r="FF23" s="93"/>
      <c r="FG23" s="93"/>
      <c r="FH23" s="93"/>
      <c r="FI23" s="93"/>
      <c r="FJ23" s="93"/>
      <c r="FK23" s="93"/>
      <c r="FL23" s="93"/>
      <c r="FM23" s="93"/>
      <c r="FN23" s="93"/>
      <c r="FO23" s="93"/>
      <c r="FP23" s="93"/>
      <c r="FQ23" s="93"/>
      <c r="FR23" s="93"/>
      <c r="FS23" s="93"/>
      <c r="FT23" s="93"/>
      <c r="FU23" s="93"/>
      <c r="FV23" s="93"/>
      <c r="FW23" s="93"/>
      <c r="FX23" s="93"/>
      <c r="FY23" s="93"/>
      <c r="FZ23" s="93"/>
      <c r="GA23" s="93"/>
      <c r="GB23" s="93"/>
      <c r="GC23" s="93"/>
      <c r="GD23" s="93"/>
      <c r="GE23" s="93"/>
      <c r="GF23" s="93"/>
      <c r="GG23" s="93"/>
      <c r="GH23" s="93"/>
      <c r="GI23" s="93"/>
      <c r="GJ23" s="93"/>
      <c r="GK23" s="93"/>
      <c r="GL23" s="93"/>
      <c r="GM23" s="93"/>
      <c r="GN23" s="93"/>
      <c r="GO23" s="93"/>
      <c r="GP23" s="93"/>
      <c r="GQ23" s="93"/>
      <c r="GR23" s="93"/>
      <c r="GS23" s="93"/>
      <c r="GT23" s="93"/>
      <c r="GU23" s="93"/>
      <c r="GV23" s="93"/>
      <c r="GW23" s="93"/>
      <c r="GX23" s="93"/>
      <c r="GY23" s="93"/>
      <c r="GZ23" s="93"/>
      <c r="HA23" s="93"/>
      <c r="HB23" s="93"/>
      <c r="HC23" s="93"/>
      <c r="HD23" s="93"/>
      <c r="HE23" s="93"/>
      <c r="HF23" s="9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3"/>
      <c r="HS23" s="93"/>
      <c r="HT23" s="93"/>
      <c r="HU23" s="93"/>
      <c r="HV23" s="93"/>
      <c r="HW23" s="93"/>
      <c r="HX23" s="93"/>
      <c r="HY23" s="93"/>
      <c r="HZ23" s="93"/>
      <c r="IA23" s="93"/>
      <c r="IB23" s="93"/>
      <c r="IC23" s="93"/>
      <c r="ID23" s="93"/>
      <c r="IE23" s="93"/>
      <c r="IF23" s="93"/>
      <c r="IG23" s="93"/>
      <c r="IH23" s="93"/>
      <c r="II23" s="93"/>
      <c r="IJ23" s="93"/>
      <c r="IK23" s="93"/>
      <c r="IL23" s="93"/>
      <c r="IM23" s="93"/>
      <c r="IN23" s="93"/>
      <c r="IO23" s="93"/>
      <c r="IP23" s="93"/>
      <c r="IQ23" s="93"/>
      <c r="IR23" s="93"/>
      <c r="IS23" s="93"/>
      <c r="IT23" s="93"/>
      <c r="IU23" s="93"/>
      <c r="IV23" s="93"/>
    </row>
    <row r="24" spans="1:256" ht="16.2" hidden="1" thickBot="1">
      <c r="A24" s="193" t="s">
        <v>91</v>
      </c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5"/>
      <c r="T24" s="197" t="s">
        <v>245</v>
      </c>
      <c r="U24" s="199"/>
      <c r="V24" s="199"/>
      <c r="W24" s="199"/>
      <c r="X24" s="199"/>
      <c r="Y24" s="199"/>
      <c r="Z24" s="198"/>
      <c r="AA24" s="197" t="s">
        <v>246</v>
      </c>
      <c r="AB24" s="199"/>
      <c r="AC24" s="199"/>
      <c r="AD24" s="199"/>
      <c r="AE24" s="199"/>
      <c r="AF24" s="199"/>
      <c r="AG24" s="198"/>
      <c r="AH24" s="197" t="s">
        <v>247</v>
      </c>
      <c r="AI24" s="199"/>
      <c r="AJ24" s="199"/>
      <c r="AK24" s="199"/>
      <c r="AL24" s="199"/>
      <c r="AM24" s="199"/>
      <c r="AN24" s="198"/>
      <c r="AO24" s="197" t="s">
        <v>248</v>
      </c>
      <c r="AP24" s="199"/>
      <c r="AQ24" s="199"/>
      <c r="AR24" s="198"/>
      <c r="AS24" s="197" t="s">
        <v>249</v>
      </c>
      <c r="AT24" s="199"/>
      <c r="AU24" s="198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3"/>
      <c r="DD24" s="93"/>
      <c r="DE24" s="93"/>
      <c r="DF24" s="93"/>
      <c r="DG24" s="93"/>
      <c r="DH24" s="93"/>
      <c r="DI24" s="93"/>
      <c r="DJ24" s="93"/>
      <c r="DK24" s="93"/>
      <c r="DL24" s="93"/>
      <c r="DM24" s="93"/>
      <c r="DN24" s="93"/>
      <c r="DO24" s="93"/>
      <c r="DP24" s="93"/>
      <c r="DQ24" s="93"/>
      <c r="DR24" s="93"/>
      <c r="DS24" s="93"/>
      <c r="DT24" s="93"/>
      <c r="DU24" s="93"/>
      <c r="DV24" s="93"/>
      <c r="DW24" s="93"/>
      <c r="DX24" s="93"/>
      <c r="DY24" s="93"/>
      <c r="DZ24" s="93"/>
      <c r="EA24" s="93"/>
      <c r="EB24" s="93"/>
      <c r="EC24" s="93"/>
      <c r="ED24" s="93"/>
      <c r="EE24" s="93"/>
      <c r="EF24" s="93"/>
      <c r="EG24" s="93"/>
      <c r="EH24" s="93"/>
      <c r="EI24" s="93"/>
      <c r="EJ24" s="93"/>
      <c r="EK24" s="93"/>
      <c r="EL24" s="93"/>
      <c r="EM24" s="93"/>
      <c r="EN24" s="93"/>
      <c r="EO24" s="93"/>
      <c r="EP24" s="93"/>
      <c r="EQ24" s="93"/>
      <c r="ER24" s="93"/>
      <c r="ES24" s="93"/>
      <c r="ET24" s="93"/>
      <c r="EU24" s="93"/>
      <c r="EV24" s="93"/>
      <c r="EW24" s="93"/>
      <c r="EX24" s="93"/>
      <c r="EY24" s="93"/>
      <c r="EZ24" s="93"/>
      <c r="FA24" s="93"/>
      <c r="FB24" s="93"/>
      <c r="FC24" s="93"/>
      <c r="FD24" s="93"/>
      <c r="FE24" s="93"/>
      <c r="FF24" s="93"/>
      <c r="FG24" s="93"/>
      <c r="FH24" s="93"/>
      <c r="FI24" s="93"/>
      <c r="FJ24" s="93"/>
      <c r="FK24" s="93"/>
      <c r="FL24" s="93"/>
      <c r="FM24" s="93"/>
      <c r="FN24" s="93"/>
      <c r="FO24" s="93"/>
      <c r="FP24" s="93"/>
      <c r="FQ24" s="93"/>
      <c r="FR24" s="93"/>
      <c r="FS24" s="93"/>
      <c r="FT24" s="93"/>
      <c r="FU24" s="93"/>
      <c r="FV24" s="93"/>
      <c r="FW24" s="93"/>
      <c r="FX24" s="93"/>
      <c r="FY24" s="93"/>
      <c r="FZ24" s="93"/>
      <c r="GA24" s="93"/>
      <c r="GB24" s="93"/>
      <c r="GC24" s="93"/>
      <c r="GD24" s="93"/>
      <c r="GE24" s="93"/>
      <c r="GF24" s="93"/>
      <c r="GG24" s="93"/>
      <c r="GH24" s="93"/>
      <c r="GI24" s="93"/>
      <c r="GJ24" s="93"/>
      <c r="GK24" s="93"/>
      <c r="GL24" s="93"/>
      <c r="GM24" s="93"/>
      <c r="GN24" s="93"/>
      <c r="GO24" s="93"/>
      <c r="GP24" s="93"/>
      <c r="GQ24" s="93"/>
      <c r="GR24" s="93"/>
      <c r="GS24" s="93"/>
      <c r="GT24" s="93"/>
      <c r="GU24" s="93"/>
      <c r="GV24" s="93"/>
      <c r="GW24" s="93"/>
      <c r="GX24" s="93"/>
      <c r="GY24" s="93"/>
      <c r="GZ24" s="93"/>
      <c r="HA24" s="93"/>
      <c r="HB24" s="93"/>
      <c r="HC24" s="93"/>
      <c r="HD24" s="93"/>
      <c r="HE24" s="93"/>
      <c r="HF24" s="93"/>
      <c r="HG24" s="93"/>
      <c r="HH24" s="93"/>
      <c r="HI24" s="93"/>
      <c r="HJ24" s="93"/>
      <c r="HK24" s="93"/>
      <c r="HL24" s="93"/>
      <c r="HM24" s="93"/>
      <c r="HN24" s="93"/>
      <c r="HO24" s="93"/>
      <c r="HP24" s="93"/>
      <c r="HQ24" s="93"/>
      <c r="HR24" s="93"/>
      <c r="HS24" s="93"/>
      <c r="HT24" s="93"/>
      <c r="HU24" s="93"/>
      <c r="HV24" s="93"/>
      <c r="HW24" s="93"/>
      <c r="HX24" s="93"/>
      <c r="HY24" s="93"/>
      <c r="HZ24" s="93"/>
      <c r="IA24" s="93"/>
      <c r="IB24" s="93"/>
      <c r="IC24" s="93"/>
      <c r="ID24" s="93"/>
      <c r="IE24" s="93"/>
      <c r="IF24" s="93"/>
      <c r="IG24" s="93"/>
      <c r="IH24" s="93"/>
      <c r="II24" s="93"/>
      <c r="IJ24" s="93"/>
      <c r="IK24" s="93"/>
      <c r="IL24" s="93"/>
      <c r="IM24" s="93"/>
      <c r="IN24" s="93"/>
      <c r="IO24" s="93"/>
      <c r="IP24" s="93"/>
      <c r="IQ24" s="93"/>
      <c r="IR24" s="93"/>
      <c r="IS24" s="93"/>
      <c r="IT24" s="93"/>
      <c r="IU24" s="93"/>
      <c r="IV24" s="93"/>
    </row>
    <row r="25" spans="1:256" ht="16.2" hidden="1" thickTop="1">
      <c r="A25" s="190" t="s">
        <v>41</v>
      </c>
      <c r="B25" s="191" t="s">
        <v>42</v>
      </c>
      <c r="C25" s="191" t="s">
        <v>43</v>
      </c>
      <c r="D25" s="191" t="s">
        <v>44</v>
      </c>
      <c r="E25" s="191" t="s">
        <v>46</v>
      </c>
      <c r="F25" s="191" t="s">
        <v>47</v>
      </c>
      <c r="G25" s="191" t="s">
        <v>45</v>
      </c>
      <c r="H25" s="191" t="s">
        <v>239</v>
      </c>
      <c r="I25" s="191" t="s">
        <v>240</v>
      </c>
      <c r="J25" s="191" t="s">
        <v>241</v>
      </c>
      <c r="K25" s="191" t="s">
        <v>48</v>
      </c>
      <c r="L25" s="191" t="s">
        <v>49</v>
      </c>
      <c r="M25" s="191" t="s">
        <v>242</v>
      </c>
      <c r="N25" s="191" t="s">
        <v>243</v>
      </c>
      <c r="O25" s="191" t="s">
        <v>244</v>
      </c>
      <c r="P25" s="191" t="s">
        <v>50</v>
      </c>
      <c r="Q25" s="191" t="s">
        <v>36</v>
      </c>
      <c r="R25" s="191" t="s">
        <v>51</v>
      </c>
      <c r="S25" s="191" t="s">
        <v>52</v>
      </c>
      <c r="T25" s="191" t="s">
        <v>250</v>
      </c>
      <c r="U25" s="191" t="s">
        <v>251</v>
      </c>
      <c r="V25" s="191" t="s">
        <v>252</v>
      </c>
      <c r="W25" s="191" t="s">
        <v>253</v>
      </c>
      <c r="X25" s="191" t="s">
        <v>254</v>
      </c>
      <c r="Y25" s="191" t="s">
        <v>255</v>
      </c>
      <c r="Z25" s="191" t="s">
        <v>256</v>
      </c>
      <c r="AA25" s="191" t="s">
        <v>257</v>
      </c>
      <c r="AB25" s="191" t="s">
        <v>258</v>
      </c>
      <c r="AC25" s="191" t="s">
        <v>259</v>
      </c>
      <c r="AD25" s="191" t="s">
        <v>260</v>
      </c>
      <c r="AE25" s="191" t="s">
        <v>261</v>
      </c>
      <c r="AF25" s="191" t="s">
        <v>262</v>
      </c>
      <c r="AG25" s="192" t="s">
        <v>263</v>
      </c>
      <c r="AH25" s="191" t="s">
        <v>264</v>
      </c>
      <c r="AI25" s="191" t="s">
        <v>265</v>
      </c>
      <c r="AJ25" s="191" t="s">
        <v>266</v>
      </c>
      <c r="AK25" s="191" t="s">
        <v>267</v>
      </c>
      <c r="AL25" s="191" t="s">
        <v>268</v>
      </c>
      <c r="AM25" s="191" t="s">
        <v>269</v>
      </c>
      <c r="AN25" s="191" t="s">
        <v>256</v>
      </c>
      <c r="AO25" s="191" t="s">
        <v>270</v>
      </c>
      <c r="AP25" s="191" t="s">
        <v>271</v>
      </c>
      <c r="AQ25" s="191" t="s">
        <v>272</v>
      </c>
      <c r="AR25" s="191" t="s">
        <v>273</v>
      </c>
      <c r="AS25" s="192" t="s">
        <v>53</v>
      </c>
      <c r="AT25" s="191" t="s">
        <v>57</v>
      </c>
      <c r="AU25" s="191" t="s">
        <v>274</v>
      </c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9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9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9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93"/>
      <c r="EZ25" s="93"/>
      <c r="FA25" s="93"/>
      <c r="FB25" s="93"/>
      <c r="FC25" s="93"/>
      <c r="FD25" s="93"/>
      <c r="FE25" s="93"/>
      <c r="FF25" s="93"/>
      <c r="FG25" s="9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93"/>
      <c r="GG25" s="93"/>
      <c r="GH25" s="93"/>
      <c r="GI25" s="93"/>
      <c r="GJ25" s="93"/>
      <c r="GK25" s="93"/>
      <c r="GL25" s="93"/>
      <c r="GM25" s="93"/>
      <c r="GN25" s="93"/>
      <c r="GO25" s="93"/>
      <c r="GP25" s="93"/>
      <c r="GQ25" s="93"/>
      <c r="GR25" s="93"/>
      <c r="GS25" s="93"/>
      <c r="GT25" s="93"/>
      <c r="GU25" s="93"/>
      <c r="GV25" s="93"/>
      <c r="GW25" s="93"/>
      <c r="GX25" s="93"/>
      <c r="GY25" s="93"/>
      <c r="GZ25" s="93"/>
      <c r="HA25" s="93"/>
      <c r="HB25" s="93"/>
      <c r="HC25" s="93"/>
      <c r="HD25" s="93"/>
      <c r="HE25" s="93"/>
      <c r="HF25" s="9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3"/>
      <c r="HS25" s="93"/>
      <c r="HT25" s="93"/>
      <c r="HU25" s="93"/>
      <c r="HV25" s="93"/>
      <c r="HW25" s="93"/>
      <c r="HX25" s="93"/>
      <c r="HY25" s="93"/>
      <c r="HZ25" s="93"/>
      <c r="IA25" s="93"/>
      <c r="IB25" s="93"/>
      <c r="IC25" s="93"/>
      <c r="ID25" s="93"/>
      <c r="IE25" s="93"/>
      <c r="IF25" s="93"/>
      <c r="IG25" s="93"/>
      <c r="IH25" s="93"/>
      <c r="II25" s="93"/>
      <c r="IJ25" s="93"/>
      <c r="IK25" s="93"/>
      <c r="IL25" s="93"/>
      <c r="IM25" s="93"/>
      <c r="IN25" s="93"/>
      <c r="IO25" s="93"/>
      <c r="IP25" s="93"/>
      <c r="IQ25" s="93"/>
      <c r="IR25" s="93"/>
      <c r="IS25" s="93"/>
      <c r="IT25" s="93"/>
      <c r="IU25" s="93"/>
      <c r="IV25" s="93"/>
    </row>
    <row r="26" spans="1:256" hidden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89"/>
      <c r="N26" s="113"/>
      <c r="O26" s="113"/>
      <c r="P26" s="113"/>
      <c r="Q26" s="113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200"/>
      <c r="AQ26" s="260"/>
      <c r="AR26" s="260"/>
      <c r="AS26" s="202"/>
      <c r="AT26" s="201"/>
      <c r="AU26" s="202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</row>
    <row r="27" spans="1:256" hidden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89"/>
      <c r="N27" s="113"/>
      <c r="O27" s="113"/>
      <c r="P27" s="113"/>
      <c r="Q27" s="113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200"/>
      <c r="AQ27" s="260"/>
      <c r="AR27" s="260"/>
      <c r="AS27" s="202"/>
      <c r="AT27" s="202"/>
      <c r="AU27" s="20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3"/>
      <c r="DD27" s="93"/>
      <c r="DE27" s="93"/>
      <c r="DF27" s="93"/>
      <c r="DG27" s="93"/>
      <c r="DH27" s="93"/>
      <c r="DI27" s="93"/>
      <c r="DJ27" s="93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93"/>
      <c r="DV27" s="93"/>
      <c r="DW27" s="93"/>
      <c r="DX27" s="93"/>
      <c r="DY27" s="93"/>
      <c r="DZ27" s="93"/>
      <c r="EA27" s="93"/>
      <c r="EB27" s="93"/>
      <c r="EC27" s="93"/>
      <c r="ED27" s="93"/>
      <c r="EE27" s="93"/>
      <c r="EF27" s="93"/>
      <c r="EG27" s="93"/>
      <c r="EH27" s="93"/>
      <c r="EI27" s="93"/>
      <c r="EJ27" s="93"/>
      <c r="EK27" s="93"/>
      <c r="EL27" s="93"/>
      <c r="EM27" s="93"/>
      <c r="EN27" s="93"/>
      <c r="EO27" s="93"/>
      <c r="EP27" s="93"/>
      <c r="EQ27" s="93"/>
      <c r="ER27" s="93"/>
      <c r="ES27" s="93"/>
      <c r="ET27" s="93"/>
      <c r="EU27" s="93"/>
      <c r="EV27" s="93"/>
      <c r="EW27" s="93"/>
      <c r="EX27" s="93"/>
      <c r="EY27" s="93"/>
      <c r="EZ27" s="93"/>
      <c r="FA27" s="93"/>
      <c r="FB27" s="93"/>
      <c r="FC27" s="93"/>
      <c r="FD27" s="93"/>
      <c r="FE27" s="93"/>
      <c r="FF27" s="93"/>
      <c r="FG27" s="93"/>
      <c r="FH27" s="93"/>
      <c r="FI27" s="93"/>
      <c r="FJ27" s="93"/>
      <c r="FK27" s="93"/>
      <c r="FL27" s="93"/>
      <c r="FM27" s="93"/>
      <c r="FN27" s="93"/>
      <c r="FO27" s="93"/>
      <c r="FP27" s="93"/>
      <c r="FQ27" s="93"/>
      <c r="FR27" s="93"/>
      <c r="FS27" s="93"/>
      <c r="FT27" s="93"/>
      <c r="FU27" s="93"/>
      <c r="FV27" s="93"/>
      <c r="FW27" s="93"/>
      <c r="FX27" s="93"/>
      <c r="FY27" s="93"/>
      <c r="FZ27" s="93"/>
      <c r="GA27" s="93"/>
      <c r="GB27" s="93"/>
      <c r="GC27" s="93"/>
      <c r="GD27" s="93"/>
      <c r="GE27" s="93"/>
      <c r="GF27" s="93"/>
      <c r="GG27" s="93"/>
      <c r="GH27" s="93"/>
      <c r="GI27" s="93"/>
      <c r="GJ27" s="93"/>
      <c r="GK27" s="93"/>
      <c r="GL27" s="93"/>
      <c r="GM27" s="93"/>
      <c r="GN27" s="93"/>
      <c r="GO27" s="93"/>
      <c r="GP27" s="93"/>
      <c r="GQ27" s="93"/>
      <c r="GR27" s="93"/>
      <c r="GS27" s="93"/>
      <c r="GT27" s="93"/>
      <c r="GU27" s="93"/>
      <c r="GV27" s="93"/>
      <c r="GW27" s="93"/>
      <c r="GX27" s="93"/>
      <c r="GY27" s="93"/>
      <c r="GZ27" s="93"/>
      <c r="HA27" s="93"/>
      <c r="HB27" s="93"/>
      <c r="HC27" s="93"/>
      <c r="HD27" s="93"/>
      <c r="HE27" s="93"/>
      <c r="HF27" s="93"/>
      <c r="HG27" s="93"/>
      <c r="HH27" s="93"/>
      <c r="HI27" s="93"/>
      <c r="HJ27" s="93"/>
      <c r="HK27" s="93"/>
      <c r="HL27" s="93"/>
      <c r="HM27" s="93"/>
      <c r="HN27" s="93"/>
      <c r="HO27" s="93"/>
      <c r="HP27" s="93"/>
      <c r="HQ27" s="93"/>
      <c r="HR27" s="93"/>
      <c r="HS27" s="93"/>
      <c r="HT27" s="93"/>
      <c r="HU27" s="93"/>
      <c r="HV27" s="93"/>
      <c r="HW27" s="93"/>
      <c r="HX27" s="93"/>
      <c r="HY27" s="93"/>
      <c r="HZ27" s="93"/>
      <c r="IA27" s="93"/>
      <c r="IB27" s="93"/>
      <c r="IC27" s="93"/>
      <c r="ID27" s="93"/>
      <c r="IE27" s="93"/>
      <c r="IF27" s="93"/>
      <c r="IG27" s="93"/>
      <c r="IH27" s="93"/>
      <c r="II27" s="93"/>
      <c r="IJ27" s="93"/>
      <c r="IK27" s="93"/>
      <c r="IL27" s="93"/>
      <c r="IM27" s="93"/>
      <c r="IN27" s="93"/>
      <c r="IO27" s="93"/>
      <c r="IP27" s="93"/>
      <c r="IQ27" s="93"/>
      <c r="IR27" s="93"/>
      <c r="IS27" s="93"/>
      <c r="IT27" s="93"/>
      <c r="IU27" s="93"/>
      <c r="IV27" s="93"/>
    </row>
    <row r="28" spans="1:256" hidden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89"/>
      <c r="N28" s="113"/>
      <c r="O28" s="113"/>
      <c r="P28" s="113"/>
      <c r="Q28" s="113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200"/>
      <c r="AQ28" s="260"/>
      <c r="AR28" s="260"/>
      <c r="AS28" s="202"/>
      <c r="AT28" s="202"/>
      <c r="AU28" s="20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  <c r="GH28" s="93"/>
      <c r="GI28" s="93"/>
      <c r="GJ28" s="93"/>
      <c r="GK28" s="93"/>
      <c r="GL28" s="93"/>
      <c r="GM28" s="93"/>
      <c r="GN28" s="93"/>
      <c r="GO28" s="93"/>
      <c r="GP28" s="93"/>
      <c r="GQ28" s="93"/>
      <c r="GR28" s="93"/>
      <c r="GS28" s="93"/>
      <c r="GT28" s="93"/>
      <c r="GU28" s="93"/>
      <c r="GV28" s="93"/>
      <c r="GW28" s="93"/>
      <c r="GX28" s="93"/>
      <c r="GY28" s="93"/>
      <c r="GZ28" s="93"/>
      <c r="HA28" s="93"/>
      <c r="HB28" s="93"/>
      <c r="HC28" s="93"/>
      <c r="HD28" s="93"/>
      <c r="HE28" s="93"/>
      <c r="HF28" s="93"/>
      <c r="HG28" s="93"/>
      <c r="HH28" s="93"/>
      <c r="HI28" s="93"/>
      <c r="HJ28" s="93"/>
      <c r="HK28" s="93"/>
      <c r="HL28" s="93"/>
      <c r="HM28" s="93"/>
      <c r="HN28" s="93"/>
      <c r="HO28" s="93"/>
      <c r="HP28" s="93"/>
      <c r="HQ28" s="93"/>
      <c r="HR28" s="93"/>
      <c r="HS28" s="93"/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93"/>
      <c r="IG28" s="93"/>
      <c r="IH28" s="93"/>
      <c r="II28" s="93"/>
      <c r="IJ28" s="93"/>
      <c r="IK28" s="93"/>
      <c r="IL28" s="93"/>
      <c r="IM28" s="93"/>
      <c r="IN28" s="93"/>
      <c r="IO28" s="93"/>
      <c r="IP28" s="93"/>
      <c r="IQ28" s="93"/>
      <c r="IR28" s="93"/>
      <c r="IS28" s="93"/>
      <c r="IT28" s="93"/>
      <c r="IU28" s="93"/>
      <c r="IV28" s="93"/>
    </row>
    <row r="29" spans="1:256" hidden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89"/>
      <c r="N29" s="113"/>
      <c r="O29" s="113"/>
      <c r="P29" s="113"/>
      <c r="Q29" s="113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200"/>
      <c r="AQ29" s="260"/>
      <c r="AR29" s="260"/>
      <c r="AS29" s="202"/>
      <c r="AT29" s="202"/>
      <c r="AU29" s="20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3"/>
      <c r="DD29" s="93"/>
      <c r="DE29" s="93"/>
      <c r="DF29" s="93"/>
      <c r="DG29" s="93"/>
      <c r="DH29" s="93"/>
      <c r="DI29" s="93"/>
      <c r="DJ29" s="93"/>
      <c r="DK29" s="93"/>
      <c r="DL29" s="93"/>
      <c r="DM29" s="93"/>
      <c r="DN29" s="93"/>
      <c r="DO29" s="93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93"/>
      <c r="EZ29" s="93"/>
      <c r="FA29" s="93"/>
      <c r="FB29" s="93"/>
      <c r="FC29" s="93"/>
      <c r="FD29" s="93"/>
      <c r="FE29" s="93"/>
      <c r="FF29" s="93"/>
      <c r="FG29" s="9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3"/>
      <c r="FX29" s="93"/>
      <c r="FY29" s="93"/>
      <c r="FZ29" s="93"/>
      <c r="GA29" s="93"/>
      <c r="GB29" s="93"/>
      <c r="GC29" s="93"/>
      <c r="GD29" s="93"/>
      <c r="GE29" s="93"/>
      <c r="GF29" s="93"/>
      <c r="GG29" s="93"/>
      <c r="GH29" s="93"/>
      <c r="GI29" s="93"/>
      <c r="GJ29" s="93"/>
      <c r="GK29" s="93"/>
      <c r="GL29" s="93"/>
      <c r="GM29" s="93"/>
      <c r="GN29" s="93"/>
      <c r="GO29" s="93"/>
      <c r="GP29" s="93"/>
      <c r="GQ29" s="93"/>
      <c r="GR29" s="93"/>
      <c r="GS29" s="93"/>
      <c r="GT29" s="93"/>
      <c r="GU29" s="93"/>
      <c r="GV29" s="93"/>
      <c r="GW29" s="93"/>
      <c r="GX29" s="93"/>
      <c r="GY29" s="93"/>
      <c r="GZ29" s="93"/>
      <c r="HA29" s="93"/>
      <c r="HB29" s="93"/>
      <c r="HC29" s="93"/>
      <c r="HD29" s="93"/>
      <c r="HE29" s="93"/>
      <c r="HF29" s="93"/>
      <c r="HG29" s="93"/>
      <c r="HH29" s="93"/>
      <c r="HI29" s="93"/>
      <c r="HJ29" s="93"/>
      <c r="HK29" s="93"/>
      <c r="HL29" s="93"/>
      <c r="HM29" s="93"/>
      <c r="HN29" s="93"/>
      <c r="HO29" s="93"/>
      <c r="HP29" s="93"/>
      <c r="HQ29" s="93"/>
      <c r="HR29" s="93"/>
      <c r="HS29" s="93"/>
      <c r="HT29" s="93"/>
      <c r="HU29" s="93"/>
      <c r="HV29" s="93"/>
      <c r="HW29" s="93"/>
      <c r="HX29" s="93"/>
      <c r="HY29" s="93"/>
      <c r="HZ29" s="93"/>
      <c r="IA29" s="93"/>
      <c r="IB29" s="93"/>
      <c r="IC29" s="93"/>
      <c r="ID29" s="93"/>
      <c r="IE29" s="93"/>
      <c r="IF29" s="93"/>
      <c r="IG29" s="93"/>
      <c r="IH29" s="93"/>
      <c r="II29" s="93"/>
      <c r="IJ29" s="93"/>
      <c r="IK29" s="93"/>
      <c r="IL29" s="93"/>
      <c r="IM29" s="93"/>
      <c r="IN29" s="93"/>
      <c r="IO29" s="93"/>
      <c r="IP29" s="93"/>
      <c r="IQ29" s="93"/>
      <c r="IR29" s="93"/>
      <c r="IS29" s="93"/>
      <c r="IT29" s="93"/>
      <c r="IU29" s="93"/>
      <c r="IV29" s="93"/>
    </row>
    <row r="30" spans="1:256" hidden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89"/>
      <c r="N30" s="113"/>
      <c r="O30" s="113"/>
      <c r="P30" s="113"/>
      <c r="Q30" s="113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200"/>
      <c r="AQ30" s="260"/>
      <c r="AR30" s="260"/>
      <c r="AS30" s="202"/>
      <c r="AT30" s="202"/>
      <c r="AU30" s="20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93"/>
      <c r="ER30" s="93"/>
      <c r="ES30" s="93"/>
      <c r="ET30" s="93"/>
      <c r="EU30" s="93"/>
      <c r="EV30" s="93"/>
      <c r="EW30" s="93"/>
      <c r="EX30" s="93"/>
      <c r="EY30" s="93"/>
      <c r="EZ30" s="93"/>
      <c r="FA30" s="93"/>
      <c r="FB30" s="93"/>
      <c r="FC30" s="93"/>
      <c r="FD30" s="93"/>
      <c r="FE30" s="93"/>
      <c r="FF30" s="93"/>
      <c r="FG30" s="93"/>
      <c r="FH30" s="93"/>
      <c r="FI30" s="93"/>
      <c r="FJ30" s="93"/>
      <c r="FK30" s="93"/>
      <c r="FL30" s="93"/>
      <c r="FM30" s="93"/>
      <c r="FN30" s="93"/>
      <c r="FO30" s="93"/>
      <c r="FP30" s="93"/>
      <c r="FQ30" s="93"/>
      <c r="FR30" s="93"/>
      <c r="FS30" s="93"/>
      <c r="FT30" s="93"/>
      <c r="FU30" s="93"/>
      <c r="FV30" s="93"/>
      <c r="FW30" s="93"/>
      <c r="FX30" s="93"/>
      <c r="FY30" s="93"/>
      <c r="FZ30" s="93"/>
      <c r="GA30" s="93"/>
      <c r="GB30" s="93"/>
      <c r="GC30" s="93"/>
      <c r="GD30" s="93"/>
      <c r="GE30" s="93"/>
      <c r="GF30" s="93"/>
      <c r="GG30" s="93"/>
      <c r="GH30" s="93"/>
      <c r="GI30" s="93"/>
      <c r="GJ30" s="93"/>
      <c r="GK30" s="93"/>
      <c r="GL30" s="93"/>
      <c r="GM30" s="93"/>
      <c r="GN30" s="93"/>
      <c r="GO30" s="93"/>
      <c r="GP30" s="93"/>
      <c r="GQ30" s="93"/>
      <c r="GR30" s="93"/>
      <c r="GS30" s="93"/>
      <c r="GT30" s="93"/>
      <c r="GU30" s="93"/>
      <c r="GV30" s="93"/>
      <c r="GW30" s="93"/>
      <c r="GX30" s="93"/>
      <c r="GY30" s="93"/>
      <c r="GZ30" s="93"/>
      <c r="HA30" s="93"/>
      <c r="HB30" s="93"/>
      <c r="HC30" s="93"/>
      <c r="HD30" s="93"/>
      <c r="HE30" s="93"/>
      <c r="HF30" s="93"/>
      <c r="HG30" s="93"/>
      <c r="HH30" s="93"/>
      <c r="HI30" s="93"/>
      <c r="HJ30" s="93"/>
      <c r="HK30" s="93"/>
      <c r="HL30" s="93"/>
      <c r="HM30" s="93"/>
      <c r="HN30" s="93"/>
      <c r="HO30" s="93"/>
      <c r="HP30" s="93"/>
      <c r="HQ30" s="93"/>
      <c r="HR30" s="93"/>
      <c r="HS30" s="93"/>
      <c r="HT30" s="93"/>
      <c r="HU30" s="93"/>
      <c r="HV30" s="93"/>
      <c r="HW30" s="93"/>
      <c r="HX30" s="93"/>
      <c r="HY30" s="93"/>
      <c r="HZ30" s="93"/>
      <c r="IA30" s="93"/>
      <c r="IB30" s="93"/>
      <c r="IC30" s="93"/>
      <c r="ID30" s="93"/>
      <c r="IE30" s="93"/>
      <c r="IF30" s="93"/>
      <c r="IG30" s="93"/>
      <c r="IH30" s="93"/>
      <c r="II30" s="93"/>
      <c r="IJ30" s="93"/>
      <c r="IK30" s="93"/>
      <c r="IL30" s="93"/>
      <c r="IM30" s="93"/>
      <c r="IN30" s="93"/>
      <c r="IO30" s="93"/>
      <c r="IP30" s="93"/>
      <c r="IQ30" s="93"/>
      <c r="IR30" s="93"/>
      <c r="IS30" s="93"/>
      <c r="IT30" s="93"/>
      <c r="IU30" s="93"/>
      <c r="IV30" s="93"/>
    </row>
    <row r="31" spans="1:256" hidden="1">
      <c r="AD31" s="115"/>
      <c r="AG31" s="209">
        <f>SUM(AG26:AG30)</f>
        <v>0</v>
      </c>
      <c r="AP31" s="93"/>
      <c r="AQ31" s="93"/>
      <c r="AR31" s="93"/>
      <c r="AS31" s="115">
        <f>SUM(AS26:AS30)</f>
        <v>0</v>
      </c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3"/>
      <c r="DD31" s="93"/>
      <c r="DE31" s="93"/>
      <c r="DF31" s="93"/>
      <c r="DG31" s="93"/>
      <c r="DH31" s="93"/>
      <c r="DI31" s="93"/>
      <c r="DJ31" s="93"/>
      <c r="DK31" s="93"/>
      <c r="DL31" s="93"/>
      <c r="DM31" s="93"/>
      <c r="DN31" s="93"/>
      <c r="DO31" s="93"/>
      <c r="DP31" s="93"/>
      <c r="DQ31" s="93"/>
      <c r="DR31" s="93"/>
      <c r="DS31" s="93"/>
      <c r="DT31" s="93"/>
      <c r="DU31" s="93"/>
      <c r="DV31" s="93"/>
      <c r="DW31" s="93"/>
      <c r="DX31" s="93"/>
      <c r="DY31" s="93"/>
      <c r="DZ31" s="93"/>
      <c r="EA31" s="93"/>
      <c r="EB31" s="93"/>
      <c r="EC31" s="93"/>
      <c r="ED31" s="93"/>
      <c r="EE31" s="93"/>
      <c r="EF31" s="93"/>
      <c r="EG31" s="93"/>
      <c r="EH31" s="93"/>
      <c r="EI31" s="93"/>
      <c r="EJ31" s="93"/>
      <c r="EK31" s="93"/>
      <c r="EL31" s="93"/>
      <c r="EM31" s="93"/>
      <c r="EN31" s="93"/>
      <c r="EO31" s="93"/>
      <c r="EP31" s="93"/>
      <c r="EQ31" s="93"/>
      <c r="ER31" s="93"/>
      <c r="ES31" s="93"/>
      <c r="ET31" s="93"/>
      <c r="EU31" s="93"/>
      <c r="EV31" s="93"/>
      <c r="EW31" s="93"/>
      <c r="EX31" s="93"/>
      <c r="EY31" s="93"/>
      <c r="EZ31" s="93"/>
      <c r="FA31" s="93"/>
      <c r="FB31" s="93"/>
      <c r="FC31" s="93"/>
      <c r="FD31" s="93"/>
      <c r="FE31" s="93"/>
      <c r="FF31" s="93"/>
      <c r="FG31" s="93"/>
      <c r="FH31" s="93"/>
      <c r="FI31" s="93"/>
      <c r="FJ31" s="93"/>
      <c r="FK31" s="93"/>
      <c r="FL31" s="93"/>
      <c r="FM31" s="93"/>
      <c r="FN31" s="93"/>
      <c r="FO31" s="93"/>
      <c r="FP31" s="93"/>
      <c r="FQ31" s="93"/>
      <c r="FR31" s="93"/>
      <c r="FS31" s="93"/>
      <c r="FT31" s="93"/>
      <c r="FU31" s="93"/>
      <c r="FV31" s="93"/>
      <c r="FW31" s="93"/>
      <c r="FX31" s="93"/>
      <c r="FY31" s="93"/>
      <c r="FZ31" s="93"/>
      <c r="GA31" s="93"/>
      <c r="GB31" s="93"/>
      <c r="GC31" s="93"/>
      <c r="GD31" s="93"/>
      <c r="GE31" s="93"/>
      <c r="GF31" s="93"/>
      <c r="GG31" s="93"/>
      <c r="GH31" s="93"/>
      <c r="GI31" s="93"/>
      <c r="GJ31" s="93"/>
      <c r="GK31" s="93"/>
      <c r="GL31" s="93"/>
      <c r="GM31" s="93"/>
      <c r="GN31" s="93"/>
      <c r="GO31" s="93"/>
      <c r="GP31" s="93"/>
      <c r="GQ31" s="93"/>
      <c r="GR31" s="93"/>
      <c r="GS31" s="93"/>
      <c r="GT31" s="93"/>
      <c r="GU31" s="93"/>
      <c r="GV31" s="93"/>
      <c r="GW31" s="93"/>
      <c r="GX31" s="93"/>
      <c r="GY31" s="93"/>
      <c r="GZ31" s="93"/>
      <c r="HA31" s="93"/>
      <c r="HB31" s="93"/>
      <c r="HC31" s="93"/>
      <c r="HD31" s="93"/>
      <c r="HE31" s="93"/>
      <c r="HF31" s="93"/>
      <c r="HG31" s="93"/>
      <c r="HH31" s="93"/>
      <c r="HI31" s="93"/>
      <c r="HJ31" s="93"/>
      <c r="HK31" s="93"/>
      <c r="HL31" s="93"/>
      <c r="HM31" s="93"/>
      <c r="HN31" s="93"/>
      <c r="HO31" s="93"/>
      <c r="HP31" s="93"/>
      <c r="HQ31" s="93"/>
      <c r="HR31" s="93"/>
      <c r="HS31" s="93"/>
      <c r="HT31" s="93"/>
      <c r="HU31" s="93"/>
      <c r="HV31" s="93"/>
      <c r="HW31" s="93"/>
      <c r="HX31" s="93"/>
      <c r="HY31" s="93"/>
      <c r="HZ31" s="93"/>
      <c r="IA31" s="93"/>
      <c r="IB31" s="93"/>
      <c r="IC31" s="93"/>
      <c r="ID31" s="93"/>
      <c r="IE31" s="93"/>
      <c r="IF31" s="93"/>
      <c r="IG31" s="93"/>
      <c r="IH31" s="93"/>
      <c r="II31" s="93"/>
      <c r="IJ31" s="93"/>
      <c r="IK31" s="93"/>
      <c r="IL31" s="93"/>
      <c r="IM31" s="93"/>
      <c r="IN31" s="93"/>
      <c r="IO31" s="93"/>
      <c r="IP31" s="93"/>
      <c r="IQ31" s="93"/>
      <c r="IR31" s="93"/>
      <c r="IS31" s="93"/>
      <c r="IT31" s="93"/>
      <c r="IU31" s="93"/>
      <c r="IV31" s="93"/>
    </row>
    <row r="32" spans="1:256" hidden="1">
      <c r="AD32" s="115"/>
      <c r="AG32" s="93"/>
      <c r="AP32" s="93"/>
      <c r="AQ32" s="93"/>
      <c r="AR32" s="93"/>
      <c r="AS32" s="115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93"/>
      <c r="DC32" s="93"/>
      <c r="DD32" s="93"/>
      <c r="DE32" s="93"/>
      <c r="DF32" s="93"/>
      <c r="DG32" s="93"/>
      <c r="DH32" s="93"/>
      <c r="DI32" s="93"/>
      <c r="DJ32" s="93"/>
      <c r="DK32" s="93"/>
      <c r="DL32" s="93"/>
      <c r="DM32" s="93"/>
      <c r="DN32" s="93"/>
      <c r="DO32" s="93"/>
      <c r="DP32" s="93"/>
      <c r="DQ32" s="93"/>
      <c r="DR32" s="93"/>
      <c r="DS32" s="93"/>
      <c r="DT32" s="93"/>
      <c r="DU32" s="93"/>
      <c r="DV32" s="93"/>
      <c r="DW32" s="93"/>
      <c r="DX32" s="93"/>
      <c r="DY32" s="93"/>
      <c r="DZ32" s="93"/>
      <c r="EA32" s="93"/>
      <c r="EB32" s="93"/>
      <c r="EC32" s="93"/>
      <c r="ED32" s="93"/>
      <c r="EE32" s="93"/>
      <c r="EF32" s="93"/>
      <c r="EG32" s="93"/>
      <c r="EH32" s="93"/>
      <c r="EI32" s="93"/>
      <c r="EJ32" s="93"/>
      <c r="EK32" s="93"/>
      <c r="EL32" s="93"/>
      <c r="EM32" s="93"/>
      <c r="EN32" s="93"/>
      <c r="EO32" s="93"/>
      <c r="EP32" s="93"/>
      <c r="EQ32" s="93"/>
      <c r="ER32" s="93"/>
      <c r="ES32" s="93"/>
      <c r="ET32" s="93"/>
      <c r="EU32" s="93"/>
      <c r="EV32" s="93"/>
      <c r="EW32" s="93"/>
      <c r="EX32" s="93"/>
      <c r="EY32" s="93"/>
      <c r="EZ32" s="93"/>
      <c r="FA32" s="93"/>
      <c r="FB32" s="93"/>
      <c r="FC32" s="93"/>
      <c r="FD32" s="93"/>
      <c r="FE32" s="93"/>
      <c r="FF32" s="93"/>
      <c r="FG32" s="93"/>
      <c r="FH32" s="93"/>
      <c r="FI32" s="93"/>
      <c r="FJ32" s="93"/>
      <c r="FK32" s="93"/>
      <c r="FL32" s="93"/>
      <c r="FM32" s="93"/>
      <c r="FN32" s="93"/>
      <c r="FO32" s="93"/>
      <c r="FP32" s="93"/>
      <c r="FQ32" s="93"/>
      <c r="FR32" s="93"/>
      <c r="FS32" s="93"/>
      <c r="FT32" s="93"/>
      <c r="FU32" s="93"/>
      <c r="FV32" s="93"/>
      <c r="FW32" s="93"/>
      <c r="FX32" s="93"/>
      <c r="FY32" s="93"/>
      <c r="FZ32" s="93"/>
      <c r="GA32" s="93"/>
      <c r="GB32" s="93"/>
      <c r="GC32" s="93"/>
      <c r="GD32" s="93"/>
      <c r="GE32" s="93"/>
      <c r="GF32" s="93"/>
      <c r="GG32" s="93"/>
      <c r="GH32" s="93"/>
      <c r="GI32" s="93"/>
      <c r="GJ32" s="93"/>
      <c r="GK32" s="93"/>
      <c r="GL32" s="93"/>
      <c r="GM32" s="93"/>
      <c r="GN32" s="93"/>
      <c r="GO32" s="93"/>
      <c r="GP32" s="93"/>
      <c r="GQ32" s="93"/>
      <c r="GR32" s="93"/>
      <c r="GS32" s="93"/>
      <c r="GT32" s="93"/>
      <c r="GU32" s="93"/>
      <c r="GV32" s="93"/>
      <c r="GW32" s="93"/>
      <c r="GX32" s="93"/>
      <c r="GY32" s="93"/>
      <c r="GZ32" s="93"/>
      <c r="HA32" s="93"/>
      <c r="HB32" s="93"/>
      <c r="HC32" s="93"/>
      <c r="HD32" s="93"/>
      <c r="HE32" s="93"/>
      <c r="HF32" s="93"/>
      <c r="HG32" s="93"/>
      <c r="HH32" s="93"/>
      <c r="HI32" s="93"/>
      <c r="HJ32" s="93"/>
      <c r="HK32" s="93"/>
      <c r="HL32" s="93"/>
      <c r="HM32" s="93"/>
      <c r="HN32" s="93"/>
      <c r="HO32" s="93"/>
      <c r="HP32" s="93"/>
      <c r="HQ32" s="93"/>
      <c r="HR32" s="93"/>
      <c r="HS32" s="93"/>
      <c r="HT32" s="93"/>
      <c r="HU32" s="93"/>
      <c r="HV32" s="93"/>
      <c r="HW32" s="93"/>
      <c r="HX32" s="93"/>
      <c r="HY32" s="93"/>
      <c r="HZ32" s="93"/>
      <c r="IA32" s="93"/>
      <c r="IB32" s="93"/>
      <c r="IC32" s="93"/>
      <c r="ID32" s="93"/>
      <c r="IE32" s="93"/>
      <c r="IF32" s="93"/>
      <c r="IG32" s="93"/>
      <c r="IH32" s="93"/>
      <c r="II32" s="93"/>
      <c r="IJ32" s="93"/>
      <c r="IK32" s="93"/>
      <c r="IL32" s="93"/>
      <c r="IM32" s="93"/>
      <c r="IN32" s="93"/>
      <c r="IO32" s="93"/>
      <c r="IP32" s="93"/>
      <c r="IQ32" s="93"/>
      <c r="IR32" s="93"/>
      <c r="IS32" s="93"/>
      <c r="IT32" s="93"/>
      <c r="IU32" s="93"/>
      <c r="IV32" s="93"/>
    </row>
    <row r="33" spans="1:256">
      <c r="A33" s="94" t="s">
        <v>223</v>
      </c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3"/>
      <c r="DQ33" s="93"/>
      <c r="DR33" s="93"/>
      <c r="DS33" s="93"/>
      <c r="DT33" s="93"/>
      <c r="DU33" s="93"/>
      <c r="DV33" s="93"/>
      <c r="DW33" s="93"/>
      <c r="DX33" s="93"/>
      <c r="DY33" s="93"/>
      <c r="DZ33" s="93"/>
      <c r="EA33" s="93"/>
      <c r="EB33" s="93"/>
      <c r="EC33" s="93"/>
      <c r="ED33" s="93"/>
      <c r="EE33" s="93"/>
      <c r="EF33" s="93"/>
      <c r="EG33" s="93"/>
      <c r="EH33" s="93"/>
      <c r="EI33" s="93"/>
      <c r="EJ33" s="93"/>
      <c r="EK33" s="93"/>
      <c r="EL33" s="93"/>
      <c r="EM33" s="93"/>
      <c r="EN33" s="93"/>
      <c r="EO33" s="93"/>
      <c r="EP33" s="93"/>
      <c r="EQ33" s="93"/>
      <c r="ER33" s="93"/>
      <c r="ES33" s="93"/>
      <c r="ET33" s="93"/>
      <c r="EU33" s="93"/>
      <c r="EV33" s="93"/>
      <c r="EW33" s="93"/>
      <c r="EX33" s="93"/>
      <c r="EY33" s="93"/>
      <c r="EZ33" s="93"/>
      <c r="FA33" s="93"/>
      <c r="FB33" s="93"/>
      <c r="FC33" s="93"/>
      <c r="FD33" s="93"/>
      <c r="FE33" s="93"/>
      <c r="FF33" s="93"/>
      <c r="FG33" s="93"/>
      <c r="FH33" s="93"/>
      <c r="FI33" s="93"/>
      <c r="FJ33" s="93"/>
      <c r="FK33" s="93"/>
      <c r="FL33" s="93"/>
      <c r="FM33" s="93"/>
      <c r="FN33" s="93"/>
      <c r="FO33" s="93"/>
      <c r="FP33" s="93"/>
      <c r="FQ33" s="93"/>
      <c r="FR33" s="93"/>
      <c r="FS33" s="93"/>
      <c r="FT33" s="93"/>
      <c r="FU33" s="93"/>
      <c r="FV33" s="93"/>
      <c r="FW33" s="93"/>
      <c r="FX33" s="93"/>
      <c r="FY33" s="93"/>
      <c r="FZ33" s="93"/>
      <c r="GA33" s="93"/>
      <c r="GB33" s="93"/>
      <c r="GC33" s="93"/>
      <c r="GD33" s="93"/>
      <c r="GE33" s="93"/>
      <c r="GF33" s="93"/>
      <c r="GG33" s="93"/>
      <c r="GH33" s="93"/>
      <c r="GI33" s="93"/>
      <c r="GJ33" s="93"/>
      <c r="GK33" s="93"/>
      <c r="GL33" s="93"/>
      <c r="GM33" s="93"/>
      <c r="GN33" s="93"/>
      <c r="GO33" s="93"/>
      <c r="GP33" s="93"/>
      <c r="GQ33" s="93"/>
      <c r="GR33" s="93"/>
      <c r="GS33" s="93"/>
      <c r="GT33" s="93"/>
      <c r="GU33" s="93"/>
      <c r="GV33" s="93"/>
      <c r="GW33" s="93"/>
      <c r="GX33" s="93"/>
      <c r="GY33" s="93"/>
      <c r="GZ33" s="93"/>
      <c r="HA33" s="93"/>
      <c r="HB33" s="93"/>
      <c r="HC33" s="93"/>
      <c r="HD33" s="93"/>
      <c r="HE33" s="93"/>
      <c r="HF33" s="93"/>
      <c r="HG33" s="93"/>
      <c r="HH33" s="93"/>
      <c r="HI33" s="93"/>
      <c r="HJ33" s="93"/>
      <c r="HK33" s="93"/>
      <c r="HL33" s="93"/>
      <c r="HM33" s="93"/>
      <c r="HN33" s="93"/>
      <c r="HO33" s="93"/>
      <c r="HP33" s="93"/>
      <c r="HQ33" s="93"/>
      <c r="HR33" s="93"/>
      <c r="HS33" s="93"/>
      <c r="HT33" s="93"/>
      <c r="HU33" s="93"/>
      <c r="HV33" s="93"/>
      <c r="HW33" s="93"/>
      <c r="HX33" s="93"/>
      <c r="HY33" s="93"/>
      <c r="HZ33" s="93"/>
      <c r="IA33" s="93"/>
      <c r="IB33" s="93"/>
      <c r="IC33" s="93"/>
      <c r="ID33" s="93"/>
      <c r="IE33" s="93"/>
      <c r="IF33" s="93"/>
      <c r="IG33" s="93"/>
      <c r="IH33" s="93"/>
      <c r="II33" s="93"/>
      <c r="IJ33" s="93"/>
      <c r="IK33" s="93"/>
      <c r="IL33" s="93"/>
      <c r="IM33" s="93"/>
      <c r="IN33" s="93"/>
      <c r="IO33" s="93"/>
      <c r="IP33" s="93"/>
      <c r="IQ33" s="93"/>
      <c r="IR33" s="93"/>
      <c r="IS33" s="93"/>
      <c r="IT33" s="93"/>
      <c r="IU33" s="93"/>
      <c r="IV33" s="93"/>
    </row>
    <row r="34" spans="1:256">
      <c r="A34" s="116"/>
      <c r="S34" s="115"/>
      <c r="AD34" s="115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3"/>
      <c r="DD34" s="93"/>
      <c r="DE34" s="93"/>
      <c r="DF34" s="93"/>
      <c r="DG34" s="93"/>
      <c r="DH34" s="93"/>
      <c r="DI34" s="93"/>
      <c r="DJ34" s="93"/>
      <c r="DK34" s="93"/>
      <c r="DL34" s="93"/>
      <c r="DM34" s="93"/>
      <c r="DN34" s="93"/>
      <c r="DO34" s="93"/>
      <c r="DP34" s="93"/>
      <c r="DQ34" s="93"/>
      <c r="DR34" s="93"/>
      <c r="DS34" s="93"/>
      <c r="DT34" s="93"/>
      <c r="DU34" s="93"/>
      <c r="DV34" s="93"/>
      <c r="DW34" s="93"/>
      <c r="DX34" s="93"/>
      <c r="DY34" s="93"/>
      <c r="DZ34" s="93"/>
      <c r="EA34" s="93"/>
      <c r="EB34" s="93"/>
      <c r="EC34" s="93"/>
      <c r="ED34" s="93"/>
      <c r="EE34" s="93"/>
      <c r="EF34" s="93"/>
      <c r="EG34" s="93"/>
      <c r="EH34" s="93"/>
      <c r="EI34" s="93"/>
      <c r="EJ34" s="93"/>
      <c r="EK34" s="93"/>
      <c r="EL34" s="93"/>
      <c r="EM34" s="93"/>
      <c r="EN34" s="93"/>
      <c r="EO34" s="93"/>
      <c r="EP34" s="93"/>
      <c r="EQ34" s="93"/>
      <c r="ER34" s="93"/>
      <c r="ES34" s="93"/>
      <c r="ET34" s="93"/>
      <c r="EU34" s="93"/>
      <c r="EV34" s="93"/>
      <c r="EW34" s="93"/>
      <c r="EX34" s="93"/>
      <c r="EY34" s="93"/>
      <c r="EZ34" s="93"/>
      <c r="FA34" s="93"/>
      <c r="FB34" s="93"/>
      <c r="FC34" s="93"/>
      <c r="FD34" s="93"/>
      <c r="FE34" s="93"/>
      <c r="FF34" s="93"/>
      <c r="FG34" s="93"/>
      <c r="FH34" s="93"/>
      <c r="FI34" s="93"/>
      <c r="FJ34" s="93"/>
      <c r="FK34" s="93"/>
      <c r="FL34" s="93"/>
      <c r="FM34" s="93"/>
      <c r="FN34" s="93"/>
      <c r="FO34" s="93"/>
      <c r="FP34" s="93"/>
      <c r="FQ34" s="93"/>
      <c r="FR34" s="93"/>
      <c r="FS34" s="93"/>
      <c r="FT34" s="93"/>
      <c r="FU34" s="93"/>
      <c r="FV34" s="93"/>
      <c r="FW34" s="93"/>
      <c r="FX34" s="93"/>
      <c r="FY34" s="93"/>
      <c r="FZ34" s="93"/>
      <c r="GA34" s="93"/>
      <c r="GB34" s="93"/>
      <c r="GC34" s="93"/>
      <c r="GD34" s="93"/>
      <c r="GE34" s="93"/>
      <c r="GF34" s="93"/>
      <c r="GG34" s="93"/>
      <c r="GH34" s="93"/>
      <c r="GI34" s="93"/>
      <c r="GJ34" s="93"/>
      <c r="GK34" s="93"/>
      <c r="GL34" s="93"/>
      <c r="GM34" s="93"/>
      <c r="GN34" s="93"/>
      <c r="GO34" s="93"/>
      <c r="GP34" s="93"/>
      <c r="GQ34" s="93"/>
      <c r="GR34" s="93"/>
      <c r="GS34" s="93"/>
      <c r="GT34" s="93"/>
      <c r="GU34" s="93"/>
      <c r="GV34" s="93"/>
      <c r="GW34" s="93"/>
      <c r="GX34" s="93"/>
      <c r="GY34" s="93"/>
      <c r="GZ34" s="93"/>
      <c r="HA34" s="93"/>
      <c r="HB34" s="93"/>
      <c r="HC34" s="93"/>
      <c r="HD34" s="93"/>
      <c r="HE34" s="93"/>
      <c r="HF34" s="93"/>
      <c r="HG34" s="93"/>
      <c r="HH34" s="93"/>
      <c r="HI34" s="93"/>
      <c r="HJ34" s="93"/>
      <c r="HK34" s="93"/>
      <c r="HL34" s="93"/>
      <c r="HM34" s="93"/>
      <c r="HN34" s="93"/>
      <c r="HO34" s="93"/>
      <c r="HP34" s="93"/>
      <c r="HQ34" s="93"/>
      <c r="HR34" s="93"/>
      <c r="HS34" s="93"/>
      <c r="HT34" s="93"/>
      <c r="HU34" s="93"/>
      <c r="HV34" s="93"/>
      <c r="HW34" s="93"/>
      <c r="HX34" s="93"/>
      <c r="HY34" s="93"/>
      <c r="HZ34" s="93"/>
      <c r="IA34" s="93"/>
      <c r="IB34" s="93"/>
      <c r="IC34" s="93"/>
      <c r="ID34" s="93"/>
      <c r="IE34" s="93"/>
      <c r="IF34" s="93"/>
      <c r="IG34" s="93"/>
      <c r="IH34" s="93"/>
      <c r="II34" s="93"/>
      <c r="IJ34" s="93"/>
      <c r="IK34" s="93"/>
      <c r="IL34" s="93"/>
      <c r="IM34" s="93"/>
      <c r="IN34" s="93"/>
      <c r="IO34" s="93"/>
      <c r="IP34" s="93"/>
      <c r="IQ34" s="93"/>
      <c r="IR34" s="93"/>
      <c r="IS34" s="93"/>
      <c r="IT34" s="93"/>
      <c r="IU34" s="93"/>
      <c r="IV34" s="93"/>
    </row>
    <row r="35" spans="1:256">
      <c r="A35" s="116"/>
    </row>
  </sheetData>
  <phoneticPr fontId="31" type="noConversion"/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5"/>
  <sheetViews>
    <sheetView workbookViewId="0">
      <selection activeCell="I16" sqref="I16"/>
    </sheetView>
  </sheetViews>
  <sheetFormatPr defaultColWidth="8.77734375" defaultRowHeight="13.95" customHeight="1"/>
  <cols>
    <col min="1" max="1" width="4" style="116" customWidth="1"/>
    <col min="2" max="2" width="13.109375" style="116" customWidth="1"/>
    <col min="3" max="3" width="14.33203125" style="116" bestFit="1" customWidth="1"/>
    <col min="4" max="4" width="13.44140625" style="116" customWidth="1"/>
    <col min="5" max="5" width="13.6640625" style="116" customWidth="1"/>
    <col min="6" max="7" width="12.6640625" style="116" customWidth="1"/>
    <col min="8" max="8" width="13.44140625" style="116" customWidth="1"/>
    <col min="9" max="9" width="35.33203125" style="116" customWidth="1"/>
    <col min="10" max="256" width="8.77734375" style="116" customWidth="1"/>
    <col min="257" max="16384" width="8.77734375" style="101"/>
  </cols>
  <sheetData>
    <row r="1" spans="1:9" ht="15.45" customHeight="1">
      <c r="A1" s="101"/>
      <c r="B1" s="101"/>
      <c r="C1" s="101"/>
      <c r="D1" s="101"/>
      <c r="E1" s="101"/>
      <c r="F1" s="101"/>
      <c r="G1" s="101"/>
      <c r="H1" s="101"/>
      <c r="I1" s="101"/>
    </row>
    <row r="2" spans="1:9" ht="16.05" customHeight="1">
      <c r="A2" s="101"/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9" ht="16.2" customHeight="1">
      <c r="A3" s="101"/>
      <c r="B3" s="117" t="s">
        <v>59</v>
      </c>
      <c r="C3" s="13" t="s">
        <v>154</v>
      </c>
      <c r="D3" s="53"/>
      <c r="E3" s="10">
        <v>0</v>
      </c>
      <c r="F3" s="11">
        <f t="shared" ref="F3" si="0">D3</f>
        <v>0</v>
      </c>
      <c r="G3" s="53">
        <f t="shared" ref="G3" si="1">F3*20%</f>
        <v>0</v>
      </c>
      <c r="H3" s="118">
        <f t="shared" ref="H3" si="2">F3*80%</f>
        <v>0</v>
      </c>
      <c r="I3" s="13" t="s">
        <v>367</v>
      </c>
    </row>
    <row r="4" spans="1:9" ht="16.2" customHeight="1">
      <c r="A4" s="101"/>
      <c r="B4" s="117" t="s">
        <v>59</v>
      </c>
      <c r="C4" s="13" t="s">
        <v>156</v>
      </c>
      <c r="D4" s="53"/>
      <c r="E4" s="10">
        <v>0</v>
      </c>
      <c r="F4" s="11">
        <f t="shared" ref="F4" si="3">D4</f>
        <v>0</v>
      </c>
      <c r="G4" s="53">
        <f t="shared" ref="G4" si="4">F4*20%</f>
        <v>0</v>
      </c>
      <c r="H4" s="118">
        <f t="shared" ref="H4" si="5">F4*80%</f>
        <v>0</v>
      </c>
      <c r="I4" s="13" t="s">
        <v>367</v>
      </c>
    </row>
    <row r="5" spans="1:9" ht="16.05" customHeight="1">
      <c r="A5" s="101"/>
      <c r="B5" s="16" t="s">
        <v>20</v>
      </c>
      <c r="C5" s="17"/>
      <c r="D5" s="18">
        <f>SUM(D3:D4)</f>
        <v>0</v>
      </c>
      <c r="E5" s="18">
        <f>SUM(E3:E4)</f>
        <v>0</v>
      </c>
      <c r="F5" s="18">
        <f>SUM(F3:F4)</f>
        <v>0</v>
      </c>
      <c r="G5" s="18">
        <f>SUM(G3:G4)</f>
        <v>0</v>
      </c>
      <c r="H5" s="18">
        <f>SUM(H3:H4)</f>
        <v>0</v>
      </c>
      <c r="I5" s="18"/>
    </row>
    <row r="6" spans="1:9" ht="15.45" customHeight="1">
      <c r="A6" s="101"/>
      <c r="B6" s="119"/>
      <c r="C6" s="101"/>
      <c r="D6" s="101"/>
      <c r="E6" s="101"/>
      <c r="F6" s="101"/>
      <c r="G6" s="102">
        <f>F5*0.2</f>
        <v>0</v>
      </c>
      <c r="H6" s="102">
        <f>F5*0.8</f>
        <v>0</v>
      </c>
      <c r="I6" s="101"/>
    </row>
    <row r="7" spans="1:9" ht="15" customHeight="1">
      <c r="A7" s="101"/>
      <c r="B7" s="101"/>
      <c r="C7" s="101"/>
      <c r="D7" s="101"/>
      <c r="E7" s="101"/>
      <c r="F7" s="101"/>
      <c r="G7" s="120"/>
      <c r="H7" s="101"/>
      <c r="I7" s="101"/>
    </row>
    <row r="8" spans="1:9" ht="15" customHeight="1">
      <c r="A8" s="101"/>
      <c r="B8" s="121"/>
      <c r="C8" s="101"/>
      <c r="D8" s="101"/>
      <c r="E8" s="101"/>
      <c r="F8" s="101"/>
      <c r="G8" s="101"/>
      <c r="H8" s="101"/>
      <c r="I8" s="101"/>
    </row>
    <row r="9" spans="1:9" ht="15" customHeight="1">
      <c r="A9" s="101"/>
      <c r="B9" s="121"/>
      <c r="C9" s="101"/>
      <c r="D9" s="101"/>
      <c r="E9" s="101"/>
      <c r="F9" s="101"/>
      <c r="G9" s="101"/>
      <c r="H9" s="101"/>
      <c r="I9" s="101"/>
    </row>
    <row r="10" spans="1:9" ht="16.05" customHeight="1">
      <c r="A10" s="101"/>
      <c r="B10" s="101"/>
      <c r="C10" s="101"/>
      <c r="D10" s="120"/>
      <c r="E10" s="120"/>
      <c r="F10" s="101"/>
      <c r="G10" s="101"/>
      <c r="H10" s="101"/>
      <c r="I10" s="101"/>
    </row>
    <row r="11" spans="1:9" ht="16.05" customHeight="1">
      <c r="A11" s="101"/>
      <c r="B11" s="101"/>
      <c r="C11" s="101"/>
      <c r="D11" s="122"/>
      <c r="E11" s="101"/>
      <c r="F11" s="101"/>
      <c r="G11" s="101"/>
      <c r="H11" s="101"/>
      <c r="I11" s="101"/>
    </row>
    <row r="12" spans="1:9" ht="16.05" customHeight="1">
      <c r="A12" s="101"/>
      <c r="B12" s="101"/>
      <c r="C12" s="101"/>
      <c r="D12" s="101"/>
      <c r="E12" s="122"/>
      <c r="F12" s="101"/>
      <c r="G12" s="101"/>
      <c r="H12" s="101"/>
      <c r="I12" s="101"/>
    </row>
    <row r="13" spans="1:9" ht="19.95" customHeight="1">
      <c r="A13" s="101"/>
      <c r="B13" s="101"/>
      <c r="C13" s="123"/>
      <c r="D13" s="101"/>
      <c r="E13" s="101"/>
      <c r="F13" s="101"/>
      <c r="G13" s="101"/>
      <c r="H13" s="101"/>
      <c r="I13" s="101"/>
    </row>
    <row r="14" spans="1:9" ht="19.95" customHeight="1">
      <c r="A14" s="101"/>
      <c r="B14" s="101"/>
      <c r="C14" s="123"/>
      <c r="D14" s="101"/>
      <c r="E14" s="101"/>
      <c r="F14" s="101"/>
      <c r="G14" s="101"/>
      <c r="H14" s="101"/>
      <c r="I14" s="101"/>
    </row>
    <row r="15" spans="1:9" ht="16.05" customHeight="1">
      <c r="A15" s="101"/>
      <c r="B15" s="101"/>
      <c r="C15" s="124"/>
      <c r="D15" s="101"/>
      <c r="E15" s="101"/>
      <c r="F15" s="101"/>
      <c r="G15" s="101"/>
      <c r="H15" s="101"/>
    </row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IV118"/>
  <sheetViews>
    <sheetView workbookViewId="0">
      <selection activeCell="F22" sqref="F22"/>
    </sheetView>
  </sheetViews>
  <sheetFormatPr defaultColWidth="8.77734375" defaultRowHeight="14.7" customHeight="1"/>
  <cols>
    <col min="1" max="1" width="4" style="116" customWidth="1"/>
    <col min="2" max="2" width="12.77734375" style="116" customWidth="1"/>
    <col min="3" max="3" width="27.6640625" style="116" bestFit="1" customWidth="1"/>
    <col min="4" max="4" width="13.44140625" style="116" customWidth="1"/>
    <col min="5" max="5" width="13.77734375" style="116" customWidth="1"/>
    <col min="6" max="6" width="14.77734375" style="116" customWidth="1"/>
    <col min="7" max="7" width="15.109375" style="116" customWidth="1"/>
    <col min="8" max="8" width="13.77734375" style="116" bestFit="1" customWidth="1"/>
    <col min="9" max="9" width="15.6640625" style="116" customWidth="1"/>
    <col min="10" max="256" width="8.77734375" style="116" customWidth="1"/>
    <col min="257" max="16384" width="8.77734375" style="101"/>
  </cols>
  <sheetData>
    <row r="1" spans="1:11" ht="15.45" customHeight="1">
      <c r="A1" s="101"/>
      <c r="B1" s="101"/>
      <c r="C1" s="101"/>
      <c r="D1" s="101"/>
      <c r="E1" s="101"/>
      <c r="F1" s="101"/>
      <c r="G1" s="101"/>
      <c r="H1" s="101"/>
      <c r="I1" s="101"/>
    </row>
    <row r="2" spans="1:11" ht="16.05" customHeight="1">
      <c r="A2" s="101"/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11" ht="16.05" hidden="1" customHeight="1">
      <c r="A3" s="101"/>
      <c r="B3" s="117" t="s">
        <v>59</v>
      </c>
      <c r="C3" s="13" t="s">
        <v>58</v>
      </c>
      <c r="D3" s="206"/>
      <c r="E3" s="12" t="s">
        <v>60</v>
      </c>
      <c r="F3" s="9">
        <f>D3</f>
        <v>0</v>
      </c>
      <c r="G3" s="125">
        <f t="shared" ref="G3" si="0">F3*20%</f>
        <v>0</v>
      </c>
      <c r="H3" s="126">
        <f t="shared" ref="H3" si="1">F3*80%</f>
        <v>0</v>
      </c>
      <c r="I3" s="13" t="s">
        <v>369</v>
      </c>
    </row>
    <row r="4" spans="1:11" ht="16.5" hidden="1" customHeight="1">
      <c r="A4" s="101"/>
      <c r="B4" s="117" t="s">
        <v>59</v>
      </c>
      <c r="C4" s="13" t="s">
        <v>157</v>
      </c>
      <c r="D4" s="208"/>
      <c r="E4" s="12" t="s">
        <v>60</v>
      </c>
      <c r="F4" s="9">
        <f t="shared" ref="F4:F5" si="2">D4</f>
        <v>0</v>
      </c>
      <c r="G4" s="125">
        <f t="shared" ref="G4:G5" si="3">F4*20%</f>
        <v>0</v>
      </c>
      <c r="H4" s="126">
        <f t="shared" ref="H4:H5" si="4">F4*80%</f>
        <v>0</v>
      </c>
      <c r="I4" s="13" t="s">
        <v>370</v>
      </c>
    </row>
    <row r="5" spans="1:11" ht="16.5" hidden="1" customHeight="1">
      <c r="A5" s="101"/>
      <c r="B5" s="117" t="s">
        <v>59</v>
      </c>
      <c r="C5" s="13" t="s">
        <v>205</v>
      </c>
      <c r="D5" s="208"/>
      <c r="E5" s="12" t="s">
        <v>60</v>
      </c>
      <c r="F5" s="9">
        <f t="shared" si="2"/>
        <v>0</v>
      </c>
      <c r="G5" s="125">
        <f t="shared" si="3"/>
        <v>0</v>
      </c>
      <c r="H5" s="126">
        <f t="shared" si="4"/>
        <v>0</v>
      </c>
      <c r="I5" s="13" t="s">
        <v>370</v>
      </c>
    </row>
    <row r="6" spans="1:11" ht="16.5" hidden="1" customHeight="1">
      <c r="A6" s="101"/>
      <c r="B6" s="117" t="s">
        <v>59</v>
      </c>
      <c r="C6" s="254" t="s">
        <v>332</v>
      </c>
      <c r="D6" s="255"/>
      <c r="E6" s="12" t="s">
        <v>60</v>
      </c>
      <c r="F6" s="9">
        <f>D6</f>
        <v>0</v>
      </c>
      <c r="G6" s="125">
        <f>F6*20%</f>
        <v>0</v>
      </c>
      <c r="H6" s="126">
        <f>F6*80%</f>
        <v>0</v>
      </c>
      <c r="I6" s="254" t="s">
        <v>371</v>
      </c>
    </row>
    <row r="7" spans="1:11" ht="16.5" hidden="1" customHeight="1">
      <c r="A7" s="101"/>
      <c r="B7" s="117" t="s">
        <v>59</v>
      </c>
      <c r="C7" s="254" t="s">
        <v>334</v>
      </c>
      <c r="D7" s="255"/>
      <c r="E7" s="12" t="s">
        <v>60</v>
      </c>
      <c r="F7" s="9">
        <f>D7</f>
        <v>0</v>
      </c>
      <c r="G7" s="125">
        <f>F7*20%</f>
        <v>0</v>
      </c>
      <c r="H7" s="126">
        <f>F7*80%</f>
        <v>0</v>
      </c>
      <c r="I7" s="254" t="s">
        <v>371</v>
      </c>
    </row>
    <row r="8" spans="1:11" ht="16.5" hidden="1" customHeight="1">
      <c r="A8" s="101"/>
      <c r="B8" s="117" t="s">
        <v>59</v>
      </c>
      <c r="C8" s="254" t="s">
        <v>335</v>
      </c>
      <c r="D8" s="255"/>
      <c r="E8" s="12" t="s">
        <v>60</v>
      </c>
      <c r="F8" s="9">
        <f t="shared" ref="F8" si="5">D8</f>
        <v>0</v>
      </c>
      <c r="G8" s="125">
        <f t="shared" ref="G8" si="6">F8*20%</f>
        <v>0</v>
      </c>
      <c r="H8" s="126">
        <f t="shared" ref="H8" si="7">F8*80%</f>
        <v>0</v>
      </c>
      <c r="I8" s="254" t="s">
        <v>371</v>
      </c>
    </row>
    <row r="9" spans="1:11" ht="16.5" customHeight="1">
      <c r="A9" s="101"/>
      <c r="B9" s="117" t="s">
        <v>59</v>
      </c>
      <c r="C9" s="127" t="s">
        <v>152</v>
      </c>
      <c r="D9" s="23">
        <v>20565818</v>
      </c>
      <c r="E9" s="14">
        <f t="shared" ref="E9:E18" si="8">D9-F9</f>
        <v>9292614</v>
      </c>
      <c r="F9" s="19">
        <v>11273204</v>
      </c>
      <c r="G9" s="125">
        <f t="shared" ref="G9:G18" si="9">F9*20%</f>
        <v>2254640.8000000003</v>
      </c>
      <c r="H9" s="126">
        <f t="shared" ref="H9:H18" si="10">F9*80%</f>
        <v>9018563.2000000011</v>
      </c>
      <c r="I9" s="13" t="s">
        <v>372</v>
      </c>
      <c r="K9" s="124"/>
    </row>
    <row r="10" spans="1:11" ht="16.5" customHeight="1">
      <c r="A10" s="101"/>
      <c r="B10" s="117" t="s">
        <v>59</v>
      </c>
      <c r="C10" s="127" t="s">
        <v>153</v>
      </c>
      <c r="D10" s="23">
        <v>132660</v>
      </c>
      <c r="E10" s="14">
        <f t="shared" si="8"/>
        <v>57949</v>
      </c>
      <c r="F10" s="19">
        <v>74711</v>
      </c>
      <c r="G10" s="125">
        <f t="shared" si="9"/>
        <v>14942.2</v>
      </c>
      <c r="H10" s="126">
        <f t="shared" si="10"/>
        <v>59768.800000000003</v>
      </c>
      <c r="I10" s="13" t="s">
        <v>372</v>
      </c>
      <c r="K10" s="124"/>
    </row>
    <row r="11" spans="1:11" ht="16.5" customHeight="1">
      <c r="A11" s="101"/>
      <c r="B11" s="117" t="s">
        <v>59</v>
      </c>
      <c r="C11" s="13" t="s">
        <v>333</v>
      </c>
      <c r="D11" s="14">
        <v>96488</v>
      </c>
      <c r="E11" s="14">
        <f t="shared" si="8"/>
        <v>54529</v>
      </c>
      <c r="F11" s="19">
        <v>41959</v>
      </c>
      <c r="G11" s="125">
        <f t="shared" si="9"/>
        <v>8391.8000000000011</v>
      </c>
      <c r="H11" s="126">
        <f t="shared" si="10"/>
        <v>33567.200000000004</v>
      </c>
      <c r="I11" s="13" t="s">
        <v>372</v>
      </c>
    </row>
    <row r="12" spans="1:11" ht="16.5" customHeight="1">
      <c r="A12" s="101"/>
      <c r="B12" s="117" t="s">
        <v>59</v>
      </c>
      <c r="C12" s="13" t="s">
        <v>373</v>
      </c>
      <c r="D12" s="255">
        <v>960</v>
      </c>
      <c r="E12" s="14">
        <f t="shared" ref="E12:E14" si="11">D12-F12</f>
        <v>468</v>
      </c>
      <c r="F12" s="19">
        <v>492</v>
      </c>
      <c r="G12" s="125">
        <f t="shared" ref="G12:G14" si="12">F12*20%</f>
        <v>98.4</v>
      </c>
      <c r="H12" s="126">
        <f t="shared" ref="H12:H14" si="13">F12*80%</f>
        <v>393.6</v>
      </c>
      <c r="I12" s="13" t="s">
        <v>372</v>
      </c>
    </row>
    <row r="13" spans="1:11" ht="16.5" customHeight="1">
      <c r="A13" s="101"/>
      <c r="B13" s="117" t="s">
        <v>59</v>
      </c>
      <c r="C13" s="127" t="s">
        <v>94</v>
      </c>
      <c r="D13" s="14">
        <v>67425534</v>
      </c>
      <c r="E13" s="14">
        <f t="shared" si="11"/>
        <v>33933868</v>
      </c>
      <c r="F13" s="19">
        <v>33491666</v>
      </c>
      <c r="G13" s="125">
        <f t="shared" si="12"/>
        <v>6698333.2000000002</v>
      </c>
      <c r="H13" s="126">
        <f t="shared" si="13"/>
        <v>26793332.800000001</v>
      </c>
      <c r="I13" s="13" t="s">
        <v>372</v>
      </c>
    </row>
    <row r="14" spans="1:11" ht="16.5" customHeight="1">
      <c r="A14" s="101"/>
      <c r="B14" s="117" t="s">
        <v>59</v>
      </c>
      <c r="C14" s="127" t="s">
        <v>95</v>
      </c>
      <c r="D14" s="14">
        <v>296011</v>
      </c>
      <c r="E14" s="14">
        <f t="shared" si="11"/>
        <v>146232</v>
      </c>
      <c r="F14" s="19">
        <v>149779</v>
      </c>
      <c r="G14" s="125">
        <f t="shared" si="12"/>
        <v>29955.800000000003</v>
      </c>
      <c r="H14" s="126">
        <f t="shared" si="13"/>
        <v>119823.20000000001</v>
      </c>
      <c r="I14" s="13" t="s">
        <v>372</v>
      </c>
    </row>
    <row r="15" spans="1:11" ht="16.5" customHeight="1">
      <c r="A15" s="101"/>
      <c r="B15" s="117" t="s">
        <v>59</v>
      </c>
      <c r="C15" s="127" t="s">
        <v>92</v>
      </c>
      <c r="D15" s="14">
        <v>2552052</v>
      </c>
      <c r="E15" s="14">
        <f t="shared" si="8"/>
        <v>1289064</v>
      </c>
      <c r="F15" s="19">
        <v>1262988</v>
      </c>
      <c r="G15" s="125">
        <f t="shared" si="9"/>
        <v>252597.6</v>
      </c>
      <c r="H15" s="126">
        <f t="shared" si="10"/>
        <v>1010390.4</v>
      </c>
      <c r="I15" s="13" t="s">
        <v>372</v>
      </c>
    </row>
    <row r="16" spans="1:11" ht="16.5" customHeight="1">
      <c r="A16" s="101"/>
      <c r="B16" s="117" t="s">
        <v>59</v>
      </c>
      <c r="C16" s="127" t="s">
        <v>93</v>
      </c>
      <c r="D16" s="14">
        <v>53000</v>
      </c>
      <c r="E16" s="14">
        <f t="shared" si="8"/>
        <v>26094</v>
      </c>
      <c r="F16" s="19">
        <v>26906</v>
      </c>
      <c r="G16" s="125">
        <f t="shared" si="9"/>
        <v>5381.2000000000007</v>
      </c>
      <c r="H16" s="126">
        <f t="shared" si="10"/>
        <v>21524.800000000003</v>
      </c>
      <c r="I16" s="13" t="s">
        <v>372</v>
      </c>
    </row>
    <row r="17" spans="1:256" ht="16.5" customHeight="1">
      <c r="A17" s="101"/>
      <c r="B17" s="117" t="s">
        <v>59</v>
      </c>
      <c r="C17" s="13" t="s">
        <v>55</v>
      </c>
      <c r="D17" s="14">
        <v>13620</v>
      </c>
      <c r="E17" s="14">
        <f t="shared" si="8"/>
        <v>6793</v>
      </c>
      <c r="F17" s="19">
        <v>6827</v>
      </c>
      <c r="G17" s="125">
        <f t="shared" si="9"/>
        <v>1365.4</v>
      </c>
      <c r="H17" s="126">
        <f t="shared" si="10"/>
        <v>5461.6</v>
      </c>
      <c r="I17" s="13" t="s">
        <v>372</v>
      </c>
    </row>
    <row r="18" spans="1:256" ht="16.5" customHeight="1">
      <c r="A18" s="101"/>
      <c r="B18" s="117" t="s">
        <v>59</v>
      </c>
      <c r="C18" s="13" t="s">
        <v>54</v>
      </c>
      <c r="D18" s="14">
        <v>26000</v>
      </c>
      <c r="E18" s="14">
        <f t="shared" si="8"/>
        <v>13558</v>
      </c>
      <c r="F18" s="19">
        <v>12442</v>
      </c>
      <c r="G18" s="125">
        <f t="shared" si="9"/>
        <v>2488.4</v>
      </c>
      <c r="H18" s="126">
        <f t="shared" si="10"/>
        <v>9953.6</v>
      </c>
      <c r="I18" s="13" t="s">
        <v>372</v>
      </c>
    </row>
    <row r="19" spans="1:256" ht="16.5" customHeight="1">
      <c r="A19" s="101"/>
      <c r="B19" s="117" t="s">
        <v>59</v>
      </c>
      <c r="C19" s="254" t="s">
        <v>341</v>
      </c>
      <c r="D19" s="255">
        <v>112824</v>
      </c>
      <c r="E19" s="14">
        <f t="shared" ref="E19" si="14">D19-F19</f>
        <v>54357</v>
      </c>
      <c r="F19" s="19">
        <v>58467</v>
      </c>
      <c r="G19" s="125">
        <f t="shared" ref="G19" si="15">F19*20%</f>
        <v>11693.400000000001</v>
      </c>
      <c r="H19" s="126">
        <f t="shared" ref="H19" si="16">F19*80%</f>
        <v>46773.600000000006</v>
      </c>
      <c r="I19" s="13" t="s">
        <v>372</v>
      </c>
    </row>
    <row r="20" spans="1:256" ht="16.5" customHeight="1">
      <c r="A20" s="101"/>
      <c r="B20" s="117" t="s">
        <v>59</v>
      </c>
      <c r="C20" s="13" t="s">
        <v>232</v>
      </c>
      <c r="D20" s="14">
        <v>452860</v>
      </c>
      <c r="E20" s="14">
        <f t="shared" ref="E20:E21" si="17">D20-F20</f>
        <v>210203</v>
      </c>
      <c r="F20" s="19">
        <v>242657</v>
      </c>
      <c r="G20" s="125">
        <f t="shared" ref="G20:G21" si="18">F20*20%</f>
        <v>48531.4</v>
      </c>
      <c r="H20" s="126">
        <f t="shared" ref="H20:H21" si="19">F20*80%</f>
        <v>194125.6</v>
      </c>
      <c r="I20" s="13" t="s">
        <v>372</v>
      </c>
    </row>
    <row r="21" spans="1:256" ht="16.5" customHeight="1">
      <c r="A21" s="101"/>
      <c r="B21" s="117" t="s">
        <v>59</v>
      </c>
      <c r="C21" s="13" t="s">
        <v>233</v>
      </c>
      <c r="D21" s="14">
        <v>7940</v>
      </c>
      <c r="E21" s="14">
        <f t="shared" si="17"/>
        <v>2920</v>
      </c>
      <c r="F21" s="19">
        <v>5020</v>
      </c>
      <c r="G21" s="125">
        <f t="shared" si="18"/>
        <v>1004</v>
      </c>
      <c r="H21" s="126">
        <f t="shared" si="19"/>
        <v>4016</v>
      </c>
      <c r="I21" s="13" t="s">
        <v>372</v>
      </c>
    </row>
    <row r="22" spans="1:256" ht="16.05" customHeight="1">
      <c r="A22" s="101"/>
      <c r="B22" s="16" t="s">
        <v>20</v>
      </c>
      <c r="C22" s="17"/>
      <c r="D22" s="18">
        <f>SUM(D3:D21)</f>
        <v>91735767</v>
      </c>
      <c r="E22" s="18">
        <f>SUM(E3:E21)</f>
        <v>45088649</v>
      </c>
      <c r="F22" s="18">
        <f>SUM(F3:F21)</f>
        <v>46647118</v>
      </c>
      <c r="G22" s="18">
        <f>SUM(G3:G21)</f>
        <v>9329423.6000000015</v>
      </c>
      <c r="H22" s="18">
        <f>SUM(H3:H21)</f>
        <v>37317694.400000006</v>
      </c>
      <c r="I22" s="18"/>
    </row>
    <row r="23" spans="1:256" ht="15.45" customHeight="1">
      <c r="A23" s="101"/>
      <c r="B23" s="119"/>
      <c r="C23" s="101"/>
      <c r="D23" s="101"/>
      <c r="E23" s="101"/>
      <c r="F23" s="101"/>
      <c r="G23" s="102">
        <f>F22*0.2</f>
        <v>9329423.5999999996</v>
      </c>
      <c r="H23" s="102">
        <f>F22*0.8</f>
        <v>37317694.399999999</v>
      </c>
      <c r="I23" s="101"/>
    </row>
    <row r="24" spans="1:256" ht="15.45" customHeight="1">
      <c r="A24" s="101"/>
      <c r="B24" s="119"/>
      <c r="C24" s="101"/>
      <c r="D24" s="101"/>
      <c r="E24" s="101"/>
      <c r="F24" s="101"/>
      <c r="G24" s="102"/>
      <c r="H24" s="102"/>
      <c r="I24" s="101"/>
    </row>
    <row r="25" spans="1:256" ht="15.45" customHeight="1">
      <c r="A25" s="101"/>
      <c r="B25" s="119"/>
      <c r="C25" s="101"/>
      <c r="D25" s="101"/>
      <c r="E25" s="101"/>
      <c r="F25" s="101"/>
      <c r="G25" s="102"/>
      <c r="H25" s="102"/>
      <c r="I25" s="101"/>
    </row>
    <row r="26" spans="1:256" ht="14.7" hidden="1" customHeight="1">
      <c r="A26" s="101" t="s">
        <v>224</v>
      </c>
      <c r="B26" s="101"/>
      <c r="C26" s="101"/>
      <c r="D26" s="101"/>
      <c r="E26" s="101"/>
      <c r="F26" s="101"/>
      <c r="H26" s="101"/>
      <c r="I26" s="101"/>
    </row>
    <row r="27" spans="1:256" s="130" customFormat="1" ht="14.7" hidden="1" customHeight="1">
      <c r="A27" s="128"/>
      <c r="B27" s="129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28"/>
      <c r="DH27" s="128"/>
      <c r="DI27" s="128"/>
      <c r="DJ27" s="128"/>
      <c r="DK27" s="128"/>
      <c r="DL27" s="128"/>
      <c r="DM27" s="128"/>
      <c r="DN27" s="128"/>
      <c r="DO27" s="128"/>
      <c r="DP27" s="128"/>
      <c r="DQ27" s="128"/>
      <c r="DR27" s="128"/>
      <c r="DS27" s="128"/>
      <c r="DT27" s="128"/>
      <c r="DU27" s="128"/>
      <c r="DV27" s="128"/>
      <c r="DW27" s="128"/>
      <c r="DX27" s="128"/>
      <c r="DY27" s="128"/>
      <c r="DZ27" s="128"/>
      <c r="EA27" s="128"/>
      <c r="EB27" s="128"/>
      <c r="EC27" s="128"/>
      <c r="ED27" s="128"/>
      <c r="EE27" s="128"/>
      <c r="EF27" s="128"/>
      <c r="EG27" s="128"/>
      <c r="EH27" s="128"/>
      <c r="EI27" s="128"/>
      <c r="EJ27" s="128"/>
      <c r="EK27" s="128"/>
      <c r="EL27" s="128"/>
      <c r="EM27" s="128"/>
      <c r="EN27" s="128"/>
      <c r="EO27" s="128"/>
      <c r="EP27" s="128"/>
      <c r="EQ27" s="128"/>
      <c r="ER27" s="128"/>
      <c r="ES27" s="128"/>
      <c r="ET27" s="128"/>
      <c r="EU27" s="128"/>
      <c r="EV27" s="128"/>
      <c r="EW27" s="128"/>
      <c r="EX27" s="128"/>
      <c r="EY27" s="128"/>
      <c r="EZ27" s="128"/>
      <c r="FA27" s="128"/>
      <c r="FB27" s="128"/>
      <c r="FC27" s="128"/>
      <c r="FD27" s="128"/>
      <c r="FE27" s="128"/>
      <c r="FF27" s="128"/>
      <c r="FG27" s="128"/>
      <c r="FH27" s="128"/>
      <c r="FI27" s="128"/>
      <c r="FJ27" s="128"/>
      <c r="FK27" s="128"/>
      <c r="FL27" s="128"/>
      <c r="FM27" s="128"/>
      <c r="FN27" s="128"/>
      <c r="FO27" s="128"/>
      <c r="FP27" s="128"/>
      <c r="FQ27" s="128"/>
      <c r="FR27" s="128"/>
      <c r="FS27" s="128"/>
      <c r="FT27" s="128"/>
      <c r="FU27" s="128"/>
      <c r="FV27" s="128"/>
      <c r="FW27" s="128"/>
      <c r="FX27" s="128"/>
      <c r="FY27" s="128"/>
      <c r="FZ27" s="128"/>
      <c r="GA27" s="128"/>
      <c r="GB27" s="128"/>
      <c r="GC27" s="128"/>
      <c r="GD27" s="128"/>
      <c r="GE27" s="128"/>
      <c r="GF27" s="128"/>
      <c r="GG27" s="128"/>
      <c r="GH27" s="128"/>
      <c r="GI27" s="128"/>
      <c r="GJ27" s="128"/>
      <c r="GK27" s="128"/>
      <c r="GL27" s="128"/>
      <c r="GM27" s="128"/>
      <c r="GN27" s="128"/>
      <c r="GO27" s="128"/>
      <c r="GP27" s="128"/>
      <c r="GQ27" s="128"/>
      <c r="GR27" s="128"/>
      <c r="GS27" s="128"/>
      <c r="GT27" s="128"/>
      <c r="GU27" s="128"/>
      <c r="GV27" s="128"/>
      <c r="GW27" s="128"/>
      <c r="GX27" s="128"/>
      <c r="GY27" s="128"/>
      <c r="GZ27" s="128"/>
      <c r="HA27" s="128"/>
      <c r="HB27" s="128"/>
      <c r="HC27" s="128"/>
      <c r="HD27" s="128"/>
      <c r="HE27" s="128"/>
      <c r="HF27" s="128"/>
      <c r="HG27" s="128"/>
      <c r="HH27" s="128"/>
      <c r="HI27" s="128"/>
      <c r="HJ27" s="128"/>
      <c r="HK27" s="128"/>
      <c r="HL27" s="128"/>
      <c r="HM27" s="128"/>
      <c r="HN27" s="128"/>
      <c r="HO27" s="128"/>
      <c r="HP27" s="128"/>
      <c r="HQ27" s="128"/>
      <c r="HR27" s="128"/>
      <c r="HS27" s="128"/>
      <c r="HT27" s="128"/>
      <c r="HU27" s="128"/>
      <c r="HV27" s="128"/>
      <c r="HW27" s="128"/>
      <c r="HX27" s="128"/>
      <c r="HY27" s="128"/>
      <c r="HZ27" s="128"/>
      <c r="IA27" s="128"/>
      <c r="IB27" s="128"/>
      <c r="IC27" s="128"/>
      <c r="ID27" s="128"/>
      <c r="IE27" s="128"/>
      <c r="IF27" s="128"/>
      <c r="IG27" s="128"/>
      <c r="IH27" s="128"/>
      <c r="II27" s="128"/>
      <c r="IJ27" s="128"/>
      <c r="IK27" s="128"/>
      <c r="IL27" s="128"/>
      <c r="IM27" s="128"/>
      <c r="IN27" s="128"/>
      <c r="IO27" s="128"/>
      <c r="IP27" s="128"/>
      <c r="IQ27" s="128"/>
      <c r="IR27" s="128"/>
      <c r="IS27" s="128"/>
      <c r="IT27" s="128"/>
      <c r="IU27" s="128"/>
      <c r="IV27" s="128"/>
    </row>
    <row r="28" spans="1:256" ht="14.7" hidden="1" customHeight="1">
      <c r="A28" s="101"/>
      <c r="B28" s="101"/>
      <c r="C28" s="101"/>
      <c r="D28" s="101"/>
      <c r="E28" s="101"/>
      <c r="F28" s="101"/>
      <c r="G28" s="101"/>
      <c r="H28" s="101"/>
      <c r="I28" s="101"/>
    </row>
    <row r="29" spans="1:256" ht="14.7" hidden="1" customHeight="1">
      <c r="A29" s="101"/>
      <c r="B29" s="101"/>
      <c r="C29" s="101"/>
      <c r="D29" s="101"/>
      <c r="E29" s="101"/>
      <c r="F29" s="101"/>
      <c r="G29" s="101"/>
      <c r="H29" s="101"/>
      <c r="I29" s="101"/>
    </row>
    <row r="30" spans="1:256" ht="14.7" hidden="1" customHeight="1">
      <c r="A30" s="101"/>
      <c r="B30" s="101"/>
      <c r="C30" s="101"/>
      <c r="D30" s="101"/>
      <c r="E30" s="101"/>
      <c r="F30" s="101"/>
      <c r="G30" s="101"/>
      <c r="H30" s="101"/>
      <c r="I30" s="101"/>
    </row>
    <row r="31" spans="1:256" ht="14.7" hidden="1" customHeight="1">
      <c r="A31" s="101"/>
      <c r="B31" s="101"/>
      <c r="C31" s="101"/>
      <c r="D31" s="101"/>
      <c r="E31" s="101"/>
      <c r="F31" s="101"/>
      <c r="G31" s="101"/>
      <c r="H31" s="101"/>
      <c r="I31" s="101"/>
    </row>
    <row r="32" spans="1:256" ht="14.7" hidden="1" customHeight="1">
      <c r="A32" s="101"/>
      <c r="B32" s="101"/>
      <c r="C32" s="124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1"/>
      <c r="HF32" s="101"/>
      <c r="HG32" s="101"/>
      <c r="HH32" s="101"/>
      <c r="HI32" s="101"/>
      <c r="HJ32" s="101"/>
      <c r="HK32" s="101"/>
      <c r="HL32" s="101"/>
      <c r="HM32" s="101"/>
      <c r="HN32" s="101"/>
      <c r="HO32" s="101"/>
      <c r="HP32" s="101"/>
      <c r="HQ32" s="101"/>
      <c r="HR32" s="101"/>
      <c r="HS32" s="101"/>
      <c r="HT32" s="101"/>
      <c r="HU32" s="101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</row>
    <row r="33" spans="1:256" ht="14.7" hidden="1" customHeight="1">
      <c r="A33" s="101"/>
      <c r="B33" s="101"/>
      <c r="C33" s="124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</row>
    <row r="34" spans="1:256" ht="14.7" hidden="1" customHeight="1">
      <c r="A34" s="101"/>
      <c r="B34" s="101"/>
      <c r="C34" s="124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</row>
    <row r="35" spans="1:256" ht="14.7" hidden="1" customHeight="1">
      <c r="A35" s="101"/>
      <c r="B35" s="101"/>
      <c r="C35" s="124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</row>
    <row r="36" spans="1:256" ht="14.7" hidden="1" customHeight="1">
      <c r="A36" s="101"/>
      <c r="B36" s="101"/>
      <c r="C36" s="124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  <c r="IP36" s="101"/>
      <c r="IQ36" s="101"/>
      <c r="IR36" s="101"/>
      <c r="IS36" s="101"/>
      <c r="IT36" s="101"/>
      <c r="IU36" s="101"/>
      <c r="IV36" s="101"/>
    </row>
    <row r="37" spans="1:256" ht="14.7" hidden="1" customHeight="1">
      <c r="A37" s="101"/>
      <c r="B37" s="101"/>
      <c r="C37" s="124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</row>
    <row r="38" spans="1:256" ht="14.7" hidden="1" customHeight="1">
      <c r="A38" s="101"/>
      <c r="B38" s="101"/>
      <c r="C38" s="124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101"/>
      <c r="IP38" s="101"/>
      <c r="IQ38" s="101"/>
      <c r="IR38" s="101"/>
      <c r="IS38" s="101"/>
      <c r="IT38" s="101"/>
      <c r="IU38" s="101"/>
      <c r="IV38" s="101"/>
    </row>
    <row r="39" spans="1:256" ht="14.7" hidden="1" customHeight="1">
      <c r="A39" s="101"/>
      <c r="B39" s="101"/>
      <c r="C39" s="124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  <c r="HD39" s="101"/>
      <c r="HE39" s="101"/>
      <c r="HF39" s="101"/>
      <c r="HG39" s="101"/>
      <c r="HH39" s="101"/>
      <c r="HI39" s="101"/>
      <c r="HJ39" s="101"/>
      <c r="HK39" s="101"/>
      <c r="HL39" s="101"/>
      <c r="HM39" s="101"/>
      <c r="HN39" s="101"/>
      <c r="HO39" s="101"/>
      <c r="HP39" s="101"/>
      <c r="HQ39" s="101"/>
      <c r="HR39" s="101"/>
      <c r="HS39" s="101"/>
      <c r="HT39" s="101"/>
      <c r="HU39" s="101"/>
      <c r="HV39" s="101"/>
      <c r="HW39" s="101"/>
      <c r="HX39" s="101"/>
      <c r="HY39" s="101"/>
      <c r="HZ39" s="101"/>
      <c r="IA39" s="101"/>
      <c r="IB39" s="101"/>
      <c r="IC39" s="101"/>
      <c r="ID39" s="101"/>
      <c r="IE39" s="101"/>
      <c r="IF39" s="101"/>
      <c r="IG39" s="101"/>
      <c r="IH39" s="101"/>
      <c r="II39" s="101"/>
      <c r="IJ39" s="101"/>
      <c r="IK39" s="101"/>
      <c r="IL39" s="101"/>
      <c r="IM39" s="101"/>
      <c r="IN39" s="101"/>
      <c r="IO39" s="101"/>
      <c r="IP39" s="101"/>
      <c r="IQ39" s="101"/>
      <c r="IR39" s="101"/>
      <c r="IS39" s="101"/>
      <c r="IT39" s="101"/>
      <c r="IU39" s="101"/>
      <c r="IV39" s="101"/>
    </row>
    <row r="40" spans="1:256" ht="13.95" hidden="1" customHeight="1">
      <c r="A40" s="101"/>
      <c r="B40" s="101"/>
      <c r="C40" s="124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  <c r="HD40" s="101"/>
      <c r="HE40" s="101"/>
      <c r="HF40" s="101"/>
      <c r="HG40" s="101"/>
      <c r="HH40" s="101"/>
      <c r="HI40" s="101"/>
      <c r="HJ40" s="101"/>
      <c r="HK40" s="101"/>
      <c r="HL40" s="101"/>
      <c r="HM40" s="101"/>
      <c r="HN40" s="101"/>
      <c r="HO40" s="101"/>
      <c r="HP40" s="101"/>
      <c r="HQ40" s="101"/>
      <c r="HR40" s="101"/>
      <c r="HS40" s="101"/>
      <c r="HT40" s="101"/>
      <c r="HU40" s="101"/>
      <c r="HV40" s="101"/>
      <c r="HW40" s="101"/>
      <c r="HX40" s="101"/>
      <c r="HY40" s="101"/>
      <c r="HZ40" s="101"/>
      <c r="IA40" s="101"/>
      <c r="IB40" s="101"/>
      <c r="IC40" s="101"/>
      <c r="ID40" s="101"/>
      <c r="IE40" s="101"/>
      <c r="IF40" s="101"/>
      <c r="IG40" s="101"/>
      <c r="IH40" s="101"/>
      <c r="II40" s="101"/>
      <c r="IJ40" s="101"/>
      <c r="IK40" s="101"/>
      <c r="IL40" s="101"/>
      <c r="IM40" s="101"/>
      <c r="IN40" s="101"/>
      <c r="IO40" s="101"/>
      <c r="IP40" s="101"/>
      <c r="IQ40" s="101"/>
      <c r="IR40" s="101"/>
      <c r="IS40" s="101"/>
      <c r="IT40" s="101"/>
      <c r="IU40" s="101"/>
      <c r="IV40" s="101"/>
    </row>
    <row r="41" spans="1:256" ht="14.7" hidden="1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  <c r="IP41" s="101"/>
      <c r="IQ41" s="101"/>
      <c r="IR41" s="101"/>
      <c r="IS41" s="101"/>
      <c r="IT41" s="101"/>
      <c r="IU41" s="101"/>
      <c r="IV41" s="101"/>
    </row>
    <row r="42" spans="1:256" ht="14.7" hidden="1" customHeight="1">
      <c r="A42" s="101"/>
      <c r="B42" s="101"/>
      <c r="C42" s="124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1"/>
      <c r="HF42" s="101"/>
      <c r="HG42" s="101"/>
      <c r="HH42" s="101"/>
      <c r="HI42" s="101"/>
      <c r="HJ42" s="101"/>
      <c r="HK42" s="101"/>
      <c r="HL42" s="101"/>
      <c r="HM42" s="101"/>
      <c r="HN42" s="101"/>
      <c r="HO42" s="101"/>
      <c r="HP42" s="101"/>
      <c r="HQ42" s="101"/>
      <c r="HR42" s="101"/>
      <c r="HS42" s="101"/>
      <c r="HT42" s="101"/>
      <c r="HU42" s="101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  <c r="IP42" s="101"/>
      <c r="IQ42" s="101"/>
      <c r="IR42" s="101"/>
      <c r="IS42" s="101"/>
      <c r="IT42" s="101"/>
      <c r="IU42" s="101"/>
      <c r="IV42" s="101"/>
    </row>
    <row r="43" spans="1:256" ht="14.7" hidden="1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1"/>
      <c r="FN43" s="101"/>
      <c r="FO43" s="101"/>
      <c r="FP43" s="101"/>
      <c r="FQ43" s="101"/>
      <c r="FR43" s="101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01"/>
      <c r="GD43" s="101"/>
      <c r="GE43" s="101"/>
      <c r="GF43" s="101"/>
      <c r="GG43" s="101"/>
      <c r="GH43" s="101"/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/>
      <c r="GU43" s="101"/>
      <c r="GV43" s="101"/>
      <c r="GW43" s="101"/>
      <c r="GX43" s="101"/>
      <c r="GY43" s="101"/>
      <c r="GZ43" s="101"/>
      <c r="HA43" s="101"/>
      <c r="HB43" s="101"/>
      <c r="HC43" s="101"/>
      <c r="HD43" s="101"/>
      <c r="HE43" s="101"/>
      <c r="HF43" s="101"/>
      <c r="HG43" s="101"/>
      <c r="HH43" s="101"/>
      <c r="HI43" s="101"/>
      <c r="HJ43" s="101"/>
      <c r="HK43" s="101"/>
      <c r="HL43" s="101"/>
      <c r="HM43" s="101"/>
      <c r="HN43" s="101"/>
      <c r="HO43" s="101"/>
      <c r="HP43" s="101"/>
      <c r="HQ43" s="101"/>
      <c r="HR43" s="101"/>
      <c r="HS43" s="101"/>
      <c r="HT43" s="101"/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1"/>
      <c r="IJ43" s="101"/>
      <c r="IK43" s="101"/>
      <c r="IL43" s="101"/>
      <c r="IM43" s="101"/>
      <c r="IN43" s="101"/>
      <c r="IO43" s="101"/>
      <c r="IP43" s="101"/>
      <c r="IQ43" s="101"/>
      <c r="IR43" s="101"/>
      <c r="IS43" s="101"/>
      <c r="IT43" s="101"/>
      <c r="IU43" s="101"/>
      <c r="IV43" s="101"/>
    </row>
    <row r="44" spans="1:256" ht="14.7" hidden="1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/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  <c r="GY44" s="101"/>
      <c r="GZ44" s="101"/>
      <c r="HA44" s="101"/>
      <c r="HB44" s="101"/>
      <c r="HC44" s="101"/>
      <c r="HD44" s="101"/>
      <c r="HE44" s="101"/>
      <c r="HF44" s="101"/>
      <c r="HG44" s="101"/>
      <c r="HH44" s="101"/>
      <c r="HI44" s="101"/>
      <c r="HJ44" s="101"/>
      <c r="HK44" s="101"/>
      <c r="HL44" s="101"/>
      <c r="HM44" s="101"/>
      <c r="HN44" s="101"/>
      <c r="HO44" s="101"/>
      <c r="HP44" s="101"/>
      <c r="HQ44" s="101"/>
      <c r="HR44" s="101"/>
      <c r="HS44" s="101"/>
      <c r="HT44" s="101"/>
      <c r="HU44" s="101"/>
      <c r="HV44" s="101"/>
      <c r="HW44" s="101"/>
      <c r="HX44" s="101"/>
      <c r="HY44" s="101"/>
      <c r="HZ44" s="101"/>
      <c r="IA44" s="101"/>
      <c r="IB44" s="101"/>
      <c r="IC44" s="101"/>
      <c r="ID44" s="101"/>
      <c r="IE44" s="101"/>
      <c r="IF44" s="101"/>
      <c r="IG44" s="101"/>
      <c r="IH44" s="101"/>
      <c r="II44" s="101"/>
      <c r="IJ44" s="101"/>
      <c r="IK44" s="101"/>
      <c r="IL44" s="101"/>
      <c r="IM44" s="101"/>
      <c r="IN44" s="101"/>
      <c r="IO44" s="101"/>
      <c r="IP44" s="101"/>
      <c r="IQ44" s="101"/>
      <c r="IR44" s="101"/>
      <c r="IS44" s="101"/>
      <c r="IT44" s="101"/>
      <c r="IU44" s="101"/>
      <c r="IV44" s="101"/>
    </row>
    <row r="45" spans="1:256" ht="14.7" hidden="1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1"/>
      <c r="FO45" s="101"/>
      <c r="FP45" s="101"/>
      <c r="FQ45" s="101"/>
      <c r="FR45" s="101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1"/>
      <c r="GM45" s="101"/>
      <c r="GN45" s="101"/>
      <c r="GO45" s="101"/>
      <c r="GP45" s="101"/>
      <c r="GQ45" s="101"/>
      <c r="GR45" s="101"/>
      <c r="GS45" s="101"/>
      <c r="GT45" s="101"/>
      <c r="GU45" s="101"/>
      <c r="GV45" s="101"/>
      <c r="GW45" s="101"/>
      <c r="GX45" s="101"/>
      <c r="GY45" s="101"/>
      <c r="GZ45" s="101"/>
      <c r="HA45" s="101"/>
      <c r="HB45" s="101"/>
      <c r="HC45" s="101"/>
      <c r="HD45" s="101"/>
      <c r="HE45" s="101"/>
      <c r="HF45" s="101"/>
      <c r="HG45" s="101"/>
      <c r="HH45" s="101"/>
      <c r="HI45" s="101"/>
      <c r="HJ45" s="101"/>
      <c r="HK45" s="101"/>
      <c r="HL45" s="101"/>
      <c r="HM45" s="101"/>
      <c r="HN45" s="101"/>
      <c r="HO45" s="101"/>
      <c r="HP45" s="101"/>
      <c r="HQ45" s="101"/>
      <c r="HR45" s="101"/>
      <c r="HS45" s="101"/>
      <c r="HT45" s="101"/>
      <c r="HU45" s="101"/>
      <c r="HV45" s="101"/>
      <c r="HW45" s="101"/>
      <c r="HX45" s="101"/>
      <c r="HY45" s="101"/>
      <c r="HZ45" s="101"/>
      <c r="IA45" s="101"/>
      <c r="IB45" s="101"/>
      <c r="IC45" s="101"/>
      <c r="ID45" s="101"/>
      <c r="IE45" s="101"/>
      <c r="IF45" s="101"/>
      <c r="IG45" s="101"/>
      <c r="IH45" s="101"/>
      <c r="II45" s="101"/>
      <c r="IJ45" s="101"/>
      <c r="IK45" s="101"/>
      <c r="IL45" s="101"/>
      <c r="IM45" s="101"/>
      <c r="IN45" s="101"/>
      <c r="IO45" s="101"/>
      <c r="IP45" s="101"/>
      <c r="IQ45" s="101"/>
      <c r="IR45" s="101"/>
      <c r="IS45" s="101"/>
      <c r="IT45" s="101"/>
      <c r="IU45" s="101"/>
      <c r="IV45" s="101"/>
    </row>
    <row r="46" spans="1:256" ht="14.7" hidden="1" customHeight="1"/>
    <row r="47" spans="1:256" ht="14.7" hidden="1" customHeight="1"/>
    <row r="48" spans="1:256" ht="14.7" hidden="1" customHeight="1"/>
    <row r="49" spans="1:256" ht="14.7" hidden="1" customHeight="1"/>
    <row r="50" spans="1:256" ht="14.7" hidden="1" customHeight="1"/>
    <row r="51" spans="1:256" ht="14.7" hidden="1" customHeight="1"/>
    <row r="52" spans="1:256" ht="14.7" hidden="1" customHeight="1"/>
    <row r="53" spans="1:256" ht="14.7" hidden="1" customHeight="1"/>
    <row r="54" spans="1:256" ht="14.7" hidden="1" customHeight="1"/>
    <row r="55" spans="1:256" ht="14.7" hidden="1" customHeight="1"/>
    <row r="56" spans="1:256" ht="14.7" hidden="1" customHeight="1"/>
    <row r="57" spans="1:256" ht="14.7" hidden="1" customHeight="1"/>
    <row r="58" spans="1:256" ht="14.7" hidden="1" customHeight="1"/>
    <row r="59" spans="1:256" ht="14.7" hidden="1" customHeight="1"/>
    <row r="60" spans="1:256" ht="14.7" hidden="1" customHeight="1"/>
    <row r="61" spans="1:256" ht="14.7" hidden="1" customHeight="1"/>
    <row r="62" spans="1:256" ht="14.7" hidden="1" customHeight="1">
      <c r="A62" s="101"/>
      <c r="B62" s="101"/>
      <c r="C62" s="101"/>
      <c r="D62" s="101"/>
      <c r="E62" s="101"/>
      <c r="F62" s="13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  <c r="CU62" s="101"/>
      <c r="CV62" s="101"/>
      <c r="CW62" s="101"/>
      <c r="CX62" s="101"/>
      <c r="CY62" s="101"/>
      <c r="CZ62" s="101"/>
      <c r="DA62" s="101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  <c r="DR62" s="101"/>
      <c r="DS62" s="101"/>
      <c r="DT62" s="101"/>
      <c r="DU62" s="101"/>
      <c r="DV62" s="101"/>
      <c r="DW62" s="101"/>
      <c r="DX62" s="101"/>
      <c r="DY62" s="101"/>
      <c r="DZ62" s="101"/>
      <c r="EA62" s="101"/>
      <c r="EB62" s="101"/>
      <c r="EC62" s="101"/>
      <c r="ED62" s="101"/>
      <c r="EE62" s="101"/>
      <c r="EF62" s="101"/>
      <c r="EG62" s="101"/>
      <c r="EH62" s="101"/>
      <c r="EI62" s="101"/>
      <c r="EJ62" s="101"/>
      <c r="EK62" s="101"/>
      <c r="EL62" s="101"/>
      <c r="EM62" s="101"/>
      <c r="EN62" s="101"/>
      <c r="EO62" s="101"/>
      <c r="EP62" s="101"/>
      <c r="EQ62" s="101"/>
      <c r="ER62" s="101"/>
      <c r="ES62" s="101"/>
      <c r="ET62" s="101"/>
      <c r="EU62" s="101"/>
      <c r="EV62" s="101"/>
      <c r="EW62" s="101"/>
      <c r="EX62" s="101"/>
      <c r="EY62" s="101"/>
      <c r="EZ62" s="101"/>
      <c r="FA62" s="101"/>
      <c r="FB62" s="101"/>
      <c r="FC62" s="101"/>
      <c r="FD62" s="101"/>
      <c r="FE62" s="101"/>
      <c r="FF62" s="101"/>
      <c r="FG62" s="101"/>
      <c r="FH62" s="101"/>
      <c r="FI62" s="101"/>
      <c r="FJ62" s="101"/>
      <c r="FK62" s="101"/>
      <c r="FL62" s="101"/>
      <c r="FM62" s="101"/>
      <c r="FN62" s="101"/>
      <c r="FO62" s="101"/>
      <c r="FP62" s="101"/>
      <c r="FQ62" s="101"/>
      <c r="FR62" s="101"/>
      <c r="FS62" s="101"/>
      <c r="FT62" s="101"/>
      <c r="FU62" s="101"/>
      <c r="FV62" s="101"/>
      <c r="FW62" s="101"/>
      <c r="FX62" s="101"/>
      <c r="FY62" s="101"/>
      <c r="FZ62" s="101"/>
      <c r="GA62" s="101"/>
      <c r="GB62" s="101"/>
      <c r="GC62" s="101"/>
      <c r="GD62" s="101"/>
      <c r="GE62" s="101"/>
      <c r="GF62" s="101"/>
      <c r="GG62" s="101"/>
      <c r="GH62" s="101"/>
      <c r="GI62" s="101"/>
      <c r="GJ62" s="101"/>
      <c r="GK62" s="101"/>
      <c r="GL62" s="101"/>
      <c r="GM62" s="101"/>
      <c r="GN62" s="101"/>
      <c r="GO62" s="101"/>
      <c r="GP62" s="101"/>
      <c r="GQ62" s="101"/>
      <c r="GR62" s="101"/>
      <c r="GS62" s="101"/>
      <c r="GT62" s="101"/>
      <c r="GU62" s="101"/>
      <c r="GV62" s="101"/>
      <c r="GW62" s="101"/>
      <c r="GX62" s="101"/>
      <c r="GY62" s="101"/>
      <c r="GZ62" s="101"/>
      <c r="HA62" s="101"/>
      <c r="HB62" s="101"/>
      <c r="HC62" s="101"/>
      <c r="HD62" s="101"/>
      <c r="HE62" s="101"/>
      <c r="HF62" s="101"/>
      <c r="HG62" s="101"/>
      <c r="HH62" s="101"/>
      <c r="HI62" s="101"/>
      <c r="HJ62" s="101"/>
      <c r="HK62" s="101"/>
      <c r="HL62" s="101"/>
      <c r="HM62" s="101"/>
      <c r="HN62" s="101"/>
      <c r="HO62" s="101"/>
      <c r="HP62" s="101"/>
      <c r="HQ62" s="101"/>
      <c r="HR62" s="101"/>
      <c r="HS62" s="101"/>
      <c r="HT62" s="101"/>
      <c r="HU62" s="101"/>
      <c r="HV62" s="101"/>
      <c r="HW62" s="101"/>
      <c r="HX62" s="101"/>
      <c r="HY62" s="101"/>
      <c r="HZ62" s="101"/>
      <c r="IA62" s="101"/>
      <c r="IB62" s="101"/>
      <c r="IC62" s="101"/>
      <c r="ID62" s="101"/>
      <c r="IE62" s="101"/>
      <c r="IF62" s="101"/>
      <c r="IG62" s="101"/>
      <c r="IH62" s="101"/>
      <c r="II62" s="101"/>
      <c r="IJ62" s="101"/>
      <c r="IK62" s="101"/>
      <c r="IL62" s="101"/>
      <c r="IM62" s="101"/>
      <c r="IN62" s="101"/>
      <c r="IO62" s="101"/>
      <c r="IP62" s="101"/>
      <c r="IQ62" s="101"/>
      <c r="IR62" s="101"/>
      <c r="IS62" s="101"/>
      <c r="IT62" s="101"/>
      <c r="IU62" s="101"/>
      <c r="IV62" s="101"/>
    </row>
    <row r="63" spans="1:256" ht="14.7" hidden="1" customHeight="1"/>
    <row r="64" spans="1:256" ht="14.7" hidden="1" customHeight="1"/>
    <row r="65" ht="14.7" hidden="1" customHeight="1"/>
    <row r="66" ht="14.7" hidden="1" customHeight="1"/>
    <row r="67" ht="14.7" hidden="1" customHeight="1"/>
    <row r="68" ht="14.7" hidden="1" customHeight="1"/>
    <row r="69" ht="14.7" hidden="1" customHeight="1"/>
    <row r="70" ht="14.7" hidden="1" customHeight="1"/>
    <row r="71" ht="14.7" hidden="1" customHeight="1"/>
    <row r="72" ht="14.7" hidden="1" customHeight="1"/>
    <row r="73" ht="14.7" hidden="1" customHeight="1"/>
    <row r="74" ht="14.7" hidden="1" customHeight="1"/>
    <row r="75" ht="14.7" hidden="1" customHeight="1"/>
    <row r="76" ht="14.7" hidden="1" customHeight="1"/>
    <row r="77" ht="14.7" hidden="1" customHeight="1"/>
    <row r="78" ht="14.7" hidden="1" customHeight="1"/>
    <row r="79" ht="14.7" hidden="1" customHeight="1"/>
    <row r="80" ht="14.7" hidden="1" customHeight="1"/>
    <row r="81" ht="14.7" hidden="1" customHeight="1"/>
    <row r="82" ht="14.7" hidden="1" customHeight="1"/>
    <row r="83" ht="14.7" hidden="1" customHeight="1"/>
    <row r="84" ht="14.7" hidden="1" customHeight="1"/>
    <row r="85" ht="14.7" hidden="1" customHeight="1"/>
    <row r="86" ht="14.7" hidden="1" customHeight="1"/>
    <row r="87" ht="14.7" hidden="1" customHeight="1"/>
    <row r="88" ht="14.7" hidden="1" customHeight="1"/>
    <row r="89" ht="14.7" hidden="1" customHeight="1"/>
    <row r="90" ht="14.7" hidden="1" customHeight="1"/>
    <row r="91" ht="14.7" hidden="1" customHeight="1"/>
    <row r="92" ht="14.7" hidden="1" customHeight="1"/>
    <row r="93" ht="14.7" hidden="1" customHeight="1"/>
    <row r="94" ht="14.7" hidden="1" customHeight="1"/>
    <row r="95" ht="14.7" hidden="1" customHeight="1"/>
    <row r="96" ht="14.7" hidden="1" customHeight="1"/>
    <row r="97" ht="14.7" hidden="1" customHeight="1"/>
    <row r="98" ht="14.7" hidden="1" customHeight="1"/>
    <row r="99" ht="14.7" hidden="1" customHeight="1"/>
    <row r="100" ht="14.7" hidden="1" customHeight="1"/>
    <row r="101" ht="14.7" hidden="1" customHeight="1"/>
    <row r="102" ht="14.7" hidden="1" customHeight="1"/>
    <row r="103" ht="14.7" hidden="1" customHeight="1"/>
    <row r="104" ht="14.7" hidden="1" customHeight="1"/>
    <row r="105" ht="14.7" hidden="1" customHeight="1"/>
    <row r="106" ht="14.7" hidden="1" customHeight="1"/>
    <row r="107" ht="14.7" hidden="1" customHeight="1"/>
    <row r="108" ht="14.7" hidden="1" customHeight="1"/>
    <row r="109" ht="14.7" hidden="1" customHeight="1"/>
    <row r="110" ht="14.7" hidden="1" customHeight="1"/>
    <row r="111" ht="14.7" hidden="1" customHeight="1"/>
    <row r="112" ht="14.7" hidden="1" customHeight="1"/>
    <row r="113" spans="1:1" ht="14.7" hidden="1" customHeight="1"/>
    <row r="114" spans="1:1" ht="14.7" hidden="1" customHeight="1"/>
    <row r="115" spans="1:1" ht="14.7" hidden="1" customHeight="1"/>
    <row r="116" spans="1:1" ht="14.7" hidden="1" customHeight="1"/>
    <row r="117" spans="1:1" ht="14.7" hidden="1" customHeight="1">
      <c r="A117" s="101"/>
    </row>
    <row r="118" spans="1:1" ht="14.7" customHeight="1">
      <c r="A118" s="116" t="s">
        <v>342</v>
      </c>
    </row>
  </sheetData>
  <phoneticPr fontId="31" type="noConversion"/>
  <pageMargins left="0.75" right="0.75" top="1" bottom="1" header="0.5" footer="0.5"/>
  <pageSetup paperSize="9" orientation="portrait" horizontalDpi="4294967292" verticalDpi="4294967292" r:id="rId1"/>
  <headerFooter>
    <oddFooter>&amp;C&amp;"Helvetica Neue,Regular"&amp;12&amp;K000000&amp;P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1:I17"/>
  <sheetViews>
    <sheetView workbookViewId="0">
      <selection activeCell="F4" sqref="F4"/>
    </sheetView>
  </sheetViews>
  <sheetFormatPr defaultColWidth="11.44140625" defaultRowHeight="15.6"/>
  <cols>
    <col min="1" max="1" width="5.44140625" style="101" customWidth="1"/>
    <col min="2" max="2" width="13.109375" style="101" customWidth="1"/>
    <col min="3" max="3" width="20.109375" style="101" customWidth="1"/>
    <col min="4" max="4" width="13.77734375" style="101" bestFit="1" customWidth="1"/>
    <col min="5" max="5" width="13.109375" style="101" bestFit="1" customWidth="1"/>
    <col min="6" max="6" width="14.21875" style="101" customWidth="1"/>
    <col min="7" max="8" width="13.77734375" style="101" bestFit="1" customWidth="1"/>
    <col min="9" max="9" width="12" style="101" customWidth="1"/>
    <col min="10" max="16384" width="11.44140625" style="101"/>
  </cols>
  <sheetData>
    <row r="1" spans="1:9" ht="15.45" customHeight="1"/>
    <row r="2" spans="1:9">
      <c r="B2" s="24" t="s">
        <v>0</v>
      </c>
      <c r="C2" s="24" t="s">
        <v>31</v>
      </c>
      <c r="D2" s="24" t="s">
        <v>1</v>
      </c>
      <c r="E2" s="24" t="s">
        <v>2</v>
      </c>
      <c r="F2" s="24" t="s">
        <v>3</v>
      </c>
      <c r="G2" s="24" t="s">
        <v>4</v>
      </c>
      <c r="H2" s="24" t="s">
        <v>5</v>
      </c>
      <c r="I2" s="24" t="s">
        <v>6</v>
      </c>
    </row>
    <row r="3" spans="1:9" ht="16.5" customHeight="1">
      <c r="B3" s="132" t="s">
        <v>141</v>
      </c>
      <c r="C3" s="132" t="s">
        <v>142</v>
      </c>
      <c r="D3" s="56">
        <f>C13</f>
        <v>322714</v>
      </c>
      <c r="E3" s="56">
        <f>D3-F3</f>
        <v>193628.4</v>
      </c>
      <c r="F3" s="25">
        <f>D16</f>
        <v>129085.6</v>
      </c>
      <c r="G3" s="56">
        <f t="shared" ref="G3" si="0">F3*20%</f>
        <v>25817.120000000003</v>
      </c>
      <c r="H3" s="133">
        <f t="shared" ref="H3" si="1">F3*80%</f>
        <v>103268.48000000001</v>
      </c>
      <c r="I3" s="100" t="s">
        <v>343</v>
      </c>
    </row>
    <row r="4" spans="1:9">
      <c r="B4" s="26" t="s">
        <v>20</v>
      </c>
      <c r="C4" s="27"/>
      <c r="D4" s="28">
        <f>SUM(D3:D3)</f>
        <v>322714</v>
      </c>
      <c r="E4" s="28">
        <f>SUM(E3:E3)</f>
        <v>193628.4</v>
      </c>
      <c r="F4" s="28">
        <f>SUM(F3:F3)</f>
        <v>129085.6</v>
      </c>
      <c r="G4" s="28">
        <f>SUM(G3:G3)</f>
        <v>25817.120000000003</v>
      </c>
      <c r="H4" s="28">
        <f>SUM(H3:H3)</f>
        <v>103268.48000000001</v>
      </c>
      <c r="I4" s="28"/>
    </row>
    <row r="5" spans="1:9" ht="15.45" customHeight="1">
      <c r="G5" s="102">
        <f>F4*0.2</f>
        <v>25817.120000000003</v>
      </c>
      <c r="H5" s="102">
        <f>F4*0.8</f>
        <v>103268.48000000001</v>
      </c>
    </row>
    <row r="6" spans="1:9" ht="15" customHeight="1">
      <c r="B6" s="121"/>
    </row>
    <row r="7" spans="1:9" ht="15" customHeight="1">
      <c r="B7" s="121"/>
    </row>
    <row r="8" spans="1:9" ht="15" customHeight="1">
      <c r="A8" s="101" t="s">
        <v>226</v>
      </c>
    </row>
    <row r="9" spans="1:9" s="20" customFormat="1" ht="37.5" customHeight="1">
      <c r="B9" s="287" t="s">
        <v>374</v>
      </c>
      <c r="C9" s="288"/>
      <c r="D9" s="288"/>
      <c r="E9" s="288"/>
      <c r="F9" s="288"/>
      <c r="G9" s="288"/>
    </row>
    <row r="10" spans="1:9" s="29" customFormat="1" ht="16.5" customHeight="1">
      <c r="B10" s="30"/>
      <c r="C10" s="30"/>
      <c r="D10" s="30"/>
      <c r="E10" s="30"/>
      <c r="F10" s="30"/>
      <c r="G10" s="30"/>
    </row>
    <row r="11" spans="1:9" s="20" customFormat="1" ht="17.399999999999999">
      <c r="C11" s="31"/>
      <c r="D11" s="31"/>
      <c r="E11" s="31"/>
      <c r="F11" s="31"/>
      <c r="G11" s="32" t="s">
        <v>237</v>
      </c>
    </row>
    <row r="12" spans="1:9" s="20" customFormat="1" ht="62.4">
      <c r="B12" s="33" t="s">
        <v>145</v>
      </c>
      <c r="C12" s="33" t="s">
        <v>146</v>
      </c>
      <c r="D12" s="34" t="s">
        <v>143</v>
      </c>
      <c r="E12" s="35" t="s">
        <v>147</v>
      </c>
      <c r="F12" s="36" t="s">
        <v>228</v>
      </c>
      <c r="G12" s="134" t="s">
        <v>225</v>
      </c>
    </row>
    <row r="13" spans="1:9" s="20" customFormat="1" ht="34.5" customHeight="1">
      <c r="B13" s="37" t="s">
        <v>229</v>
      </c>
      <c r="C13" s="38">
        <v>322714</v>
      </c>
      <c r="D13" s="39">
        <v>296000</v>
      </c>
      <c r="E13" s="40">
        <v>26714</v>
      </c>
      <c r="F13" s="186">
        <v>0.5</v>
      </c>
      <c r="G13" s="187">
        <f>E13*F13</f>
        <v>13357</v>
      </c>
    </row>
    <row r="14" spans="1:9" s="20" customFormat="1" ht="15" customHeight="1">
      <c r="B14" s="41"/>
      <c r="C14" s="31"/>
      <c r="E14" s="42"/>
      <c r="F14" s="42"/>
      <c r="G14" s="43"/>
    </row>
    <row r="15" spans="1:9" s="44" customFormat="1" ht="34.5" customHeight="1">
      <c r="B15" s="45" t="s">
        <v>148</v>
      </c>
      <c r="C15" s="45" t="s">
        <v>149</v>
      </c>
      <c r="D15" s="45" t="s">
        <v>150</v>
      </c>
      <c r="E15" s="46"/>
      <c r="F15" s="46"/>
      <c r="G15" s="46"/>
    </row>
    <row r="16" spans="1:9" s="20" customFormat="1" ht="34.5" customHeight="1">
      <c r="B16" s="37" t="s">
        <v>230</v>
      </c>
      <c r="C16" s="47">
        <f>C13*C17</f>
        <v>193628.4</v>
      </c>
      <c r="D16" s="48">
        <f>C13*D17</f>
        <v>129085.6</v>
      </c>
      <c r="E16" s="49"/>
      <c r="F16" s="49"/>
      <c r="G16" s="49"/>
    </row>
    <row r="17" spans="2:7" s="20" customFormat="1" ht="34.5" customHeight="1">
      <c r="B17" s="37" t="s">
        <v>231</v>
      </c>
      <c r="C17" s="50">
        <v>0.6</v>
      </c>
      <c r="D17" s="51">
        <v>0.4</v>
      </c>
      <c r="E17" s="52"/>
      <c r="F17" s="291"/>
      <c r="G17" s="52"/>
    </row>
  </sheetData>
  <mergeCells count="1">
    <mergeCell ref="B9:G9"/>
  </mergeCells>
  <phoneticPr fontId="31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2:AF44"/>
  <sheetViews>
    <sheetView workbookViewId="0">
      <selection activeCell="F6" sqref="F6"/>
    </sheetView>
  </sheetViews>
  <sheetFormatPr defaultColWidth="11.44140625" defaultRowHeight="15.6"/>
  <cols>
    <col min="1" max="1" width="5.44140625" style="101" customWidth="1"/>
    <col min="2" max="2" width="12.77734375" style="101" customWidth="1"/>
    <col min="3" max="3" width="20.44140625" style="101" customWidth="1"/>
    <col min="4" max="4" width="13.77734375" style="101" bestFit="1" customWidth="1"/>
    <col min="5" max="6" width="13.109375" style="101" bestFit="1" customWidth="1"/>
    <col min="7" max="7" width="13.77734375" style="101" bestFit="1" customWidth="1"/>
    <col min="8" max="8" width="14.109375" style="101" bestFit="1" customWidth="1"/>
    <col min="9" max="9" width="13.33203125" style="101" customWidth="1"/>
    <col min="10" max="10" width="20.21875" style="101" bestFit="1" customWidth="1"/>
    <col min="11" max="11" width="12.109375" style="101" bestFit="1" customWidth="1"/>
    <col min="12" max="12" width="20.21875" style="101" bestFit="1" customWidth="1"/>
    <col min="13" max="13" width="16" style="101" bestFit="1" customWidth="1"/>
    <col min="14" max="14" width="17.33203125" style="101" bestFit="1" customWidth="1"/>
    <col min="15" max="16384" width="11.44140625" style="101"/>
  </cols>
  <sheetData>
    <row r="2" spans="1:32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32">
      <c r="B3" s="117" t="s">
        <v>61</v>
      </c>
      <c r="C3" s="117" t="s">
        <v>62</v>
      </c>
      <c r="D3" s="125">
        <f>SUM(Z11,H24,I32)</f>
        <v>13452734.8048</v>
      </c>
      <c r="E3" s="14">
        <f>D3-F3</f>
        <v>7360394.8048</v>
      </c>
      <c r="F3" s="19">
        <v>6092340</v>
      </c>
      <c r="G3" s="14">
        <f t="shared" ref="G3" si="0">F3*20%</f>
        <v>1218468</v>
      </c>
      <c r="H3" s="126">
        <f t="shared" ref="H3" si="1">F3*80%</f>
        <v>4873872</v>
      </c>
      <c r="I3" s="135" t="s">
        <v>375</v>
      </c>
    </row>
    <row r="4" spans="1:32" hidden="1">
      <c r="B4" s="117" t="s">
        <v>61</v>
      </c>
      <c r="C4" s="207" t="s">
        <v>275</v>
      </c>
      <c r="D4" s="210">
        <f>K38</f>
        <v>0</v>
      </c>
      <c r="E4" s="14">
        <f t="shared" ref="E4:E5" si="2">D4-F4</f>
        <v>0</v>
      </c>
      <c r="F4" s="19"/>
      <c r="G4" s="14">
        <f t="shared" ref="G4:G5" si="3">F4*20%</f>
        <v>0</v>
      </c>
      <c r="H4" s="126">
        <f t="shared" ref="H4:H5" si="4">F4*80%</f>
        <v>0</v>
      </c>
      <c r="I4" s="211" t="s">
        <v>294</v>
      </c>
    </row>
    <row r="5" spans="1:32" hidden="1">
      <c r="B5" s="117" t="s">
        <v>61</v>
      </c>
      <c r="C5" s="207" t="s">
        <v>276</v>
      </c>
      <c r="D5" s="210">
        <f>K43</f>
        <v>0</v>
      </c>
      <c r="E5" s="14">
        <f t="shared" si="2"/>
        <v>0</v>
      </c>
      <c r="F5" s="19"/>
      <c r="G5" s="14">
        <f t="shared" si="3"/>
        <v>0</v>
      </c>
      <c r="H5" s="126">
        <f t="shared" si="4"/>
        <v>0</v>
      </c>
      <c r="I5" s="211" t="s">
        <v>294</v>
      </c>
    </row>
    <row r="6" spans="1:32">
      <c r="B6" s="16" t="s">
        <v>20</v>
      </c>
      <c r="C6" s="17"/>
      <c r="D6" s="18">
        <f>SUM(D3:D5)</f>
        <v>13452734.8048</v>
      </c>
      <c r="E6" s="18">
        <f t="shared" ref="E6:H6" si="5">SUM(E3:E5)</f>
        <v>7360394.8048</v>
      </c>
      <c r="F6" s="18">
        <f t="shared" si="5"/>
        <v>6092340</v>
      </c>
      <c r="G6" s="18">
        <f t="shared" si="5"/>
        <v>1218468</v>
      </c>
      <c r="H6" s="18">
        <f t="shared" si="5"/>
        <v>4873872</v>
      </c>
      <c r="I6" s="18"/>
    </row>
    <row r="7" spans="1:32">
      <c r="G7" s="102">
        <f>F6*0.2</f>
        <v>1218468</v>
      </c>
      <c r="H7" s="102">
        <f>F6*0.8</f>
        <v>4873872</v>
      </c>
    </row>
    <row r="8" spans="1:32">
      <c r="G8" s="102"/>
      <c r="H8" s="102"/>
    </row>
    <row r="10" spans="1:32">
      <c r="A10" s="101" t="s">
        <v>226</v>
      </c>
    </row>
    <row r="11" spans="1:32">
      <c r="B11" s="57">
        <v>2022.11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>
        <v>0</v>
      </c>
      <c r="O11" s="60">
        <v>0</v>
      </c>
      <c r="P11" s="60">
        <v>0</v>
      </c>
      <c r="Q11" s="58"/>
      <c r="R11" s="58"/>
      <c r="S11" s="60"/>
      <c r="T11" s="60"/>
      <c r="U11" s="58"/>
      <c r="V11" s="58"/>
      <c r="W11" s="60"/>
      <c r="X11" s="60"/>
      <c r="Y11" s="60">
        <v>3781891</v>
      </c>
      <c r="Z11" s="60">
        <v>8809020</v>
      </c>
      <c r="AA11" s="60"/>
      <c r="AB11" s="60">
        <v>3781891</v>
      </c>
      <c r="AC11" s="60">
        <v>3781891</v>
      </c>
      <c r="AD11" s="59">
        <v>3781891</v>
      </c>
      <c r="AE11" s="60">
        <v>0</v>
      </c>
      <c r="AF11" s="60">
        <v>0</v>
      </c>
    </row>
    <row r="12" spans="1:32">
      <c r="B12" s="61" t="s">
        <v>63</v>
      </c>
      <c r="C12" s="61" t="s">
        <v>35</v>
      </c>
      <c r="D12" s="61" t="s">
        <v>71</v>
      </c>
      <c r="E12" s="61" t="s">
        <v>109</v>
      </c>
      <c r="F12" s="61" t="s">
        <v>110</v>
      </c>
      <c r="G12" s="61" t="s">
        <v>64</v>
      </c>
      <c r="H12" s="61" t="s">
        <v>111</v>
      </c>
      <c r="I12" s="61" t="s">
        <v>112</v>
      </c>
      <c r="J12" s="61" t="s">
        <v>36</v>
      </c>
      <c r="K12" s="62" t="s">
        <v>123</v>
      </c>
      <c r="L12" s="63" t="s">
        <v>35</v>
      </c>
      <c r="M12" s="63" t="s">
        <v>6</v>
      </c>
      <c r="N12" s="64" t="s">
        <v>124</v>
      </c>
      <c r="O12" s="65" t="s">
        <v>125</v>
      </c>
      <c r="P12" s="65" t="s">
        <v>126</v>
      </c>
      <c r="Q12" s="61" t="s">
        <v>65</v>
      </c>
      <c r="R12" s="61" t="s">
        <v>66</v>
      </c>
      <c r="S12" s="64" t="s">
        <v>127</v>
      </c>
      <c r="T12" s="65" t="s">
        <v>128</v>
      </c>
      <c r="U12" s="61" t="s">
        <v>67</v>
      </c>
      <c r="V12" s="61" t="s">
        <v>68</v>
      </c>
      <c r="W12" s="64" t="s">
        <v>129</v>
      </c>
      <c r="X12" s="65" t="s">
        <v>130</v>
      </c>
      <c r="Y12" s="63" t="s">
        <v>131</v>
      </c>
      <c r="Z12" s="63" t="s">
        <v>132</v>
      </c>
      <c r="AA12" s="66" t="s">
        <v>133</v>
      </c>
      <c r="AB12" s="63" t="s">
        <v>134</v>
      </c>
      <c r="AC12" s="63" t="s">
        <v>135</v>
      </c>
      <c r="AD12" s="67" t="s">
        <v>136</v>
      </c>
      <c r="AE12" s="68" t="s">
        <v>137</v>
      </c>
      <c r="AF12" s="69" t="s">
        <v>138</v>
      </c>
    </row>
    <row r="13" spans="1:32">
      <c r="B13" s="61">
        <v>4095</v>
      </c>
      <c r="C13" s="61" t="s">
        <v>69</v>
      </c>
      <c r="D13" s="61">
        <v>6335</v>
      </c>
      <c r="E13" s="61" t="s">
        <v>113</v>
      </c>
      <c r="F13" s="61"/>
      <c r="G13" s="61" t="s">
        <v>70</v>
      </c>
      <c r="H13" s="61" t="s">
        <v>115</v>
      </c>
      <c r="I13" s="70"/>
      <c r="J13" s="61" t="s">
        <v>120</v>
      </c>
      <c r="K13" s="61" t="s">
        <v>40</v>
      </c>
      <c r="L13" s="71" t="s">
        <v>72</v>
      </c>
      <c r="M13" s="71"/>
      <c r="N13" s="72" t="s">
        <v>234</v>
      </c>
      <c r="O13" s="73"/>
      <c r="P13" s="73"/>
      <c r="Q13" s="71">
        <v>0</v>
      </c>
      <c r="R13" s="74" t="s">
        <v>346</v>
      </c>
      <c r="S13" s="75" t="s">
        <v>234</v>
      </c>
      <c r="T13" s="75" t="s">
        <v>234</v>
      </c>
      <c r="U13" s="71">
        <v>138</v>
      </c>
      <c r="V13" s="76" t="s">
        <v>347</v>
      </c>
      <c r="W13" s="77">
        <v>24840</v>
      </c>
      <c r="X13" s="77">
        <v>8694</v>
      </c>
      <c r="Y13" s="77">
        <v>8694</v>
      </c>
      <c r="Z13" s="77">
        <v>24840</v>
      </c>
      <c r="AA13" s="78"/>
      <c r="AB13" s="73">
        <v>8694</v>
      </c>
      <c r="AC13" s="73">
        <v>8694</v>
      </c>
      <c r="AD13" s="79">
        <v>8694</v>
      </c>
      <c r="AE13" s="80" t="s">
        <v>234</v>
      </c>
      <c r="AF13" s="81" t="s">
        <v>234</v>
      </c>
    </row>
    <row r="14" spans="1:32">
      <c r="B14" s="61">
        <v>302</v>
      </c>
      <c r="C14" s="61" t="s">
        <v>69</v>
      </c>
      <c r="D14" s="61">
        <v>20105</v>
      </c>
      <c r="E14" s="61" t="s">
        <v>201</v>
      </c>
      <c r="F14" s="61" t="s">
        <v>202</v>
      </c>
      <c r="G14" s="61" t="s">
        <v>200</v>
      </c>
      <c r="H14" s="61" t="s">
        <v>115</v>
      </c>
      <c r="I14" s="70"/>
      <c r="J14" s="61" t="s">
        <v>203</v>
      </c>
      <c r="K14" s="61" t="s">
        <v>40</v>
      </c>
      <c r="L14" s="71" t="s">
        <v>72</v>
      </c>
      <c r="M14" s="71"/>
      <c r="N14" s="72" t="s">
        <v>234</v>
      </c>
      <c r="O14" s="73"/>
      <c r="P14" s="73"/>
      <c r="Q14" s="71">
        <v>4860</v>
      </c>
      <c r="R14" s="74" t="s">
        <v>344</v>
      </c>
      <c r="S14" s="75">
        <v>874800</v>
      </c>
      <c r="T14" s="75">
        <v>472392</v>
      </c>
      <c r="U14" s="71">
        <v>2524</v>
      </c>
      <c r="V14" s="76" t="s">
        <v>345</v>
      </c>
      <c r="W14" s="77">
        <v>454320</v>
      </c>
      <c r="X14" s="77">
        <v>190814</v>
      </c>
      <c r="Y14" s="77">
        <v>663206</v>
      </c>
      <c r="Z14" s="77">
        <v>1329120</v>
      </c>
      <c r="AA14" s="78"/>
      <c r="AB14" s="73">
        <v>663206</v>
      </c>
      <c r="AC14" s="73">
        <v>663206</v>
      </c>
      <c r="AD14" s="79">
        <v>663206</v>
      </c>
      <c r="AE14" s="80" t="s">
        <v>234</v>
      </c>
      <c r="AF14" s="81" t="s">
        <v>234</v>
      </c>
    </row>
    <row r="15" spans="1:32">
      <c r="B15" s="61">
        <v>7971</v>
      </c>
      <c r="C15" s="61" t="s">
        <v>69</v>
      </c>
      <c r="D15" s="61">
        <v>12145</v>
      </c>
      <c r="E15" s="61" t="s">
        <v>117</v>
      </c>
      <c r="F15" s="70"/>
      <c r="G15" s="61" t="s">
        <v>118</v>
      </c>
      <c r="H15" s="61" t="s">
        <v>115</v>
      </c>
      <c r="I15" s="70"/>
      <c r="J15" s="61" t="s">
        <v>119</v>
      </c>
      <c r="K15" s="61" t="s">
        <v>40</v>
      </c>
      <c r="L15" s="71" t="s">
        <v>72</v>
      </c>
      <c r="M15" s="71"/>
      <c r="N15" s="72" t="s">
        <v>234</v>
      </c>
      <c r="O15" s="73"/>
      <c r="P15" s="73"/>
      <c r="Q15" s="61">
        <v>20</v>
      </c>
      <c r="R15" s="74" t="s">
        <v>344</v>
      </c>
      <c r="S15" s="75">
        <v>3600</v>
      </c>
      <c r="T15" s="75">
        <v>1944</v>
      </c>
      <c r="U15" s="61">
        <v>0</v>
      </c>
      <c r="V15" s="76" t="s">
        <v>345</v>
      </c>
      <c r="W15" s="77" t="s">
        <v>234</v>
      </c>
      <c r="X15" s="77" t="s">
        <v>234</v>
      </c>
      <c r="Y15" s="77">
        <v>1944</v>
      </c>
      <c r="Z15" s="77">
        <v>3600</v>
      </c>
      <c r="AA15" s="78"/>
      <c r="AB15" s="73">
        <v>1944</v>
      </c>
      <c r="AC15" s="73">
        <v>1944</v>
      </c>
      <c r="AD15" s="79">
        <v>1944</v>
      </c>
      <c r="AE15" s="80" t="s">
        <v>234</v>
      </c>
      <c r="AF15" s="81" t="s">
        <v>234</v>
      </c>
    </row>
    <row r="16" spans="1:32">
      <c r="B16" s="61">
        <v>5691</v>
      </c>
      <c r="C16" s="61" t="s">
        <v>69</v>
      </c>
      <c r="D16" s="61">
        <v>5822</v>
      </c>
      <c r="E16" s="61" t="s">
        <v>117</v>
      </c>
      <c r="F16" s="70"/>
      <c r="G16" s="61" t="s">
        <v>74</v>
      </c>
      <c r="H16" s="61" t="s">
        <v>115</v>
      </c>
      <c r="I16" s="70"/>
      <c r="J16" s="61" t="s">
        <v>121</v>
      </c>
      <c r="K16" s="61" t="s">
        <v>40</v>
      </c>
      <c r="L16" s="71" t="s">
        <v>72</v>
      </c>
      <c r="M16" s="71"/>
      <c r="N16" s="72" t="s">
        <v>234</v>
      </c>
      <c r="O16" s="73"/>
      <c r="P16" s="73"/>
      <c r="Q16" s="61">
        <v>38</v>
      </c>
      <c r="R16" s="74" t="s">
        <v>346</v>
      </c>
      <c r="S16" s="75">
        <v>6840</v>
      </c>
      <c r="T16" s="75">
        <v>3078</v>
      </c>
      <c r="U16" s="61">
        <v>8</v>
      </c>
      <c r="V16" s="76" t="s">
        <v>347</v>
      </c>
      <c r="W16" s="77">
        <v>1440</v>
      </c>
      <c r="X16" s="77">
        <v>504</v>
      </c>
      <c r="Y16" s="77">
        <v>3582</v>
      </c>
      <c r="Z16" s="77">
        <v>8280</v>
      </c>
      <c r="AA16" s="78"/>
      <c r="AB16" s="73">
        <v>3582</v>
      </c>
      <c r="AC16" s="73">
        <v>3582</v>
      </c>
      <c r="AD16" s="79">
        <v>3582</v>
      </c>
      <c r="AE16" s="80" t="s">
        <v>234</v>
      </c>
      <c r="AF16" s="81" t="s">
        <v>234</v>
      </c>
    </row>
    <row r="17" spans="2:32">
      <c r="B17" s="61">
        <v>274</v>
      </c>
      <c r="C17" s="61" t="s">
        <v>69</v>
      </c>
      <c r="D17" s="61">
        <v>12853</v>
      </c>
      <c r="E17" s="61" t="s">
        <v>113</v>
      </c>
      <c r="F17" s="70"/>
      <c r="G17" s="61" t="s">
        <v>139</v>
      </c>
      <c r="H17" s="61" t="s">
        <v>115</v>
      </c>
      <c r="I17" s="70"/>
      <c r="J17" s="61" t="s">
        <v>140</v>
      </c>
      <c r="K17" s="61" t="s">
        <v>40</v>
      </c>
      <c r="L17" s="71" t="s">
        <v>72</v>
      </c>
      <c r="M17" s="71"/>
      <c r="N17" s="72" t="s">
        <v>234</v>
      </c>
      <c r="O17" s="73"/>
      <c r="P17" s="73"/>
      <c r="Q17" s="61">
        <v>4518</v>
      </c>
      <c r="R17" s="74" t="s">
        <v>346</v>
      </c>
      <c r="S17" s="75">
        <v>813240</v>
      </c>
      <c r="T17" s="75">
        <v>365958</v>
      </c>
      <c r="U17" s="61">
        <v>4866</v>
      </c>
      <c r="V17" s="76" t="s">
        <v>347</v>
      </c>
      <c r="W17" s="77">
        <v>875880</v>
      </c>
      <c r="X17" s="77">
        <v>306558</v>
      </c>
      <c r="Y17" s="77">
        <v>672516</v>
      </c>
      <c r="Z17" s="77">
        <v>1689120</v>
      </c>
      <c r="AA17" s="78"/>
      <c r="AB17" s="73">
        <v>672516</v>
      </c>
      <c r="AC17" s="73">
        <v>672516</v>
      </c>
      <c r="AD17" s="79">
        <v>672516</v>
      </c>
      <c r="AE17" s="80" t="s">
        <v>234</v>
      </c>
      <c r="AF17" s="81" t="s">
        <v>234</v>
      </c>
    </row>
    <row r="18" spans="2:32">
      <c r="B18" s="61">
        <v>119</v>
      </c>
      <c r="C18" s="61" t="s">
        <v>69</v>
      </c>
      <c r="D18" s="61">
        <v>17898</v>
      </c>
      <c r="E18" s="61" t="s">
        <v>113</v>
      </c>
      <c r="F18" s="70"/>
      <c r="G18" s="61" t="s">
        <v>192</v>
      </c>
      <c r="H18" s="61" t="s">
        <v>115</v>
      </c>
      <c r="I18" s="70"/>
      <c r="J18" s="61" t="s">
        <v>116</v>
      </c>
      <c r="K18" s="61" t="s">
        <v>40</v>
      </c>
      <c r="L18" s="71" t="s">
        <v>72</v>
      </c>
      <c r="M18" s="71"/>
      <c r="N18" s="72" t="s">
        <v>234</v>
      </c>
      <c r="O18" s="73"/>
      <c r="P18" s="73"/>
      <c r="Q18" s="61">
        <v>20520</v>
      </c>
      <c r="R18" s="74" t="s">
        <v>346</v>
      </c>
      <c r="S18" s="75">
        <v>3693600</v>
      </c>
      <c r="T18" s="75">
        <v>1662120</v>
      </c>
      <c r="U18" s="61">
        <v>6474</v>
      </c>
      <c r="V18" s="76" t="s">
        <v>347</v>
      </c>
      <c r="W18" s="77">
        <v>1165320</v>
      </c>
      <c r="X18" s="77">
        <v>407862</v>
      </c>
      <c r="Y18" s="77">
        <v>2069982</v>
      </c>
      <c r="Z18" s="77">
        <v>4858920</v>
      </c>
      <c r="AA18" s="78"/>
      <c r="AB18" s="73">
        <v>2069982</v>
      </c>
      <c r="AC18" s="73">
        <v>2069982</v>
      </c>
      <c r="AD18" s="79">
        <v>2069982</v>
      </c>
      <c r="AE18" s="80" t="s">
        <v>234</v>
      </c>
      <c r="AF18" s="81" t="s">
        <v>234</v>
      </c>
    </row>
    <row r="19" spans="2:32">
      <c r="B19" s="61">
        <v>397</v>
      </c>
      <c r="C19" s="61" t="s">
        <v>69</v>
      </c>
      <c r="D19" s="61">
        <v>12179</v>
      </c>
      <c r="E19" s="61" t="s">
        <v>113</v>
      </c>
      <c r="F19" s="70"/>
      <c r="G19" s="61" t="s">
        <v>114</v>
      </c>
      <c r="H19" s="61" t="s">
        <v>115</v>
      </c>
      <c r="I19" s="70"/>
      <c r="J19" s="61" t="s">
        <v>116</v>
      </c>
      <c r="K19" s="61" t="s">
        <v>40</v>
      </c>
      <c r="L19" s="71" t="s">
        <v>72</v>
      </c>
      <c r="M19" s="71"/>
      <c r="N19" s="72" t="s">
        <v>234</v>
      </c>
      <c r="O19" s="73"/>
      <c r="P19" s="73"/>
      <c r="Q19" s="61">
        <v>2628</v>
      </c>
      <c r="R19" s="74" t="s">
        <v>346</v>
      </c>
      <c r="S19" s="75">
        <v>473040</v>
      </c>
      <c r="T19" s="75">
        <v>212868</v>
      </c>
      <c r="U19" s="61">
        <v>2265</v>
      </c>
      <c r="V19" s="76" t="s">
        <v>347</v>
      </c>
      <c r="W19" s="77">
        <v>407700</v>
      </c>
      <c r="X19" s="77">
        <v>142695</v>
      </c>
      <c r="Y19" s="77">
        <v>355563</v>
      </c>
      <c r="Z19" s="77">
        <v>880740</v>
      </c>
      <c r="AA19" s="78"/>
      <c r="AB19" s="73">
        <v>355563</v>
      </c>
      <c r="AC19" s="73">
        <v>355563</v>
      </c>
      <c r="AD19" s="79">
        <v>355563</v>
      </c>
      <c r="AE19" s="80" t="s">
        <v>234</v>
      </c>
      <c r="AF19" s="81" t="s">
        <v>234</v>
      </c>
    </row>
    <row r="20" spans="2:32">
      <c r="B20" s="61">
        <v>8602</v>
      </c>
      <c r="C20" s="61" t="s">
        <v>69</v>
      </c>
      <c r="D20" s="61">
        <v>21065</v>
      </c>
      <c r="E20" s="61" t="s">
        <v>117</v>
      </c>
      <c r="F20" s="70"/>
      <c r="G20" s="61" t="s">
        <v>207</v>
      </c>
      <c r="H20" s="61" t="s">
        <v>115</v>
      </c>
      <c r="I20" s="70"/>
      <c r="J20" s="61" t="s">
        <v>208</v>
      </c>
      <c r="K20" s="61" t="s">
        <v>40</v>
      </c>
      <c r="L20" s="71" t="s">
        <v>72</v>
      </c>
      <c r="M20" s="71"/>
      <c r="N20" s="72" t="s">
        <v>234</v>
      </c>
      <c r="O20" s="73"/>
      <c r="P20" s="73"/>
      <c r="Q20" s="71">
        <v>0</v>
      </c>
      <c r="R20" s="74" t="s">
        <v>344</v>
      </c>
      <c r="S20" s="75" t="s">
        <v>234</v>
      </c>
      <c r="T20" s="75" t="s">
        <v>234</v>
      </c>
      <c r="U20" s="71">
        <v>14</v>
      </c>
      <c r="V20" s="76" t="s">
        <v>345</v>
      </c>
      <c r="W20" s="77">
        <v>2520</v>
      </c>
      <c r="X20" s="77">
        <v>1058</v>
      </c>
      <c r="Y20" s="77">
        <v>1058</v>
      </c>
      <c r="Z20" s="77">
        <v>2520</v>
      </c>
      <c r="AA20" s="78"/>
      <c r="AB20" s="73">
        <v>1058</v>
      </c>
      <c r="AC20" s="73">
        <v>1058</v>
      </c>
      <c r="AD20" s="79">
        <v>1058</v>
      </c>
      <c r="AE20" s="80" t="s">
        <v>234</v>
      </c>
      <c r="AF20" s="81" t="s">
        <v>234</v>
      </c>
    </row>
    <row r="21" spans="2:32">
      <c r="B21" s="61">
        <v>3461</v>
      </c>
      <c r="C21" s="61" t="s">
        <v>69</v>
      </c>
      <c r="D21" s="61">
        <v>5401</v>
      </c>
      <c r="E21" s="61" t="s">
        <v>117</v>
      </c>
      <c r="F21" s="70"/>
      <c r="G21" s="61" t="s">
        <v>73</v>
      </c>
      <c r="H21" s="61" t="s">
        <v>115</v>
      </c>
      <c r="I21" s="70"/>
      <c r="J21" s="61" t="s">
        <v>122</v>
      </c>
      <c r="K21" s="61" t="s">
        <v>40</v>
      </c>
      <c r="L21" s="71" t="s">
        <v>72</v>
      </c>
      <c r="M21" s="71"/>
      <c r="N21" s="72" t="s">
        <v>234</v>
      </c>
      <c r="O21" s="73"/>
      <c r="P21" s="73"/>
      <c r="Q21" s="61">
        <v>66</v>
      </c>
      <c r="R21" s="74" t="s">
        <v>346</v>
      </c>
      <c r="S21" s="75">
        <v>11880</v>
      </c>
      <c r="T21" s="75">
        <v>5346</v>
      </c>
      <c r="U21" s="61">
        <v>0</v>
      </c>
      <c r="V21" s="76" t="s">
        <v>347</v>
      </c>
      <c r="W21" s="77" t="s">
        <v>234</v>
      </c>
      <c r="X21" s="77" t="s">
        <v>234</v>
      </c>
      <c r="Y21" s="77">
        <v>5346</v>
      </c>
      <c r="Z21" s="77">
        <v>11880</v>
      </c>
      <c r="AA21" s="78"/>
      <c r="AB21" s="73">
        <v>5346</v>
      </c>
      <c r="AC21" s="73">
        <v>5346</v>
      </c>
      <c r="AD21" s="79">
        <v>5346</v>
      </c>
      <c r="AE21" s="80" t="s">
        <v>234</v>
      </c>
      <c r="AF21" s="81" t="s">
        <v>234</v>
      </c>
    </row>
    <row r="23" spans="2:32">
      <c r="B23" s="188" t="s">
        <v>235</v>
      </c>
    </row>
    <row r="24" spans="2:32">
      <c r="B24" s="212"/>
      <c r="C24" s="213"/>
      <c r="D24" s="214"/>
      <c r="E24" s="214"/>
      <c r="F24" s="214"/>
      <c r="G24" s="214"/>
      <c r="H24" s="215">
        <v>4529630</v>
      </c>
      <c r="I24" s="215">
        <v>2264815</v>
      </c>
      <c r="J24" s="216"/>
    </row>
    <row r="25" spans="2:32">
      <c r="B25" s="217" t="s">
        <v>195</v>
      </c>
      <c r="C25" s="218" t="s">
        <v>193</v>
      </c>
      <c r="D25" s="217" t="s">
        <v>194</v>
      </c>
      <c r="E25" s="217" t="s">
        <v>196</v>
      </c>
      <c r="F25" s="219" t="s">
        <v>197</v>
      </c>
      <c r="G25" s="220" t="s">
        <v>35</v>
      </c>
      <c r="H25" s="221" t="s">
        <v>56</v>
      </c>
      <c r="I25" s="221" t="s">
        <v>198</v>
      </c>
      <c r="J25" s="222"/>
    </row>
    <row r="26" spans="2:32">
      <c r="B26" s="223" t="s">
        <v>199</v>
      </c>
      <c r="C26" s="224">
        <v>44835</v>
      </c>
      <c r="D26" s="223">
        <v>12853</v>
      </c>
      <c r="E26" s="223" t="s">
        <v>139</v>
      </c>
      <c r="F26" s="223" t="s">
        <v>40</v>
      </c>
      <c r="G26" s="223" t="s">
        <v>72</v>
      </c>
      <c r="H26" s="225">
        <v>4087510</v>
      </c>
      <c r="I26" s="225">
        <v>2043755</v>
      </c>
      <c r="J26" s="216"/>
    </row>
    <row r="27" spans="2:32">
      <c r="B27" s="223" t="s">
        <v>199</v>
      </c>
      <c r="C27" s="224">
        <v>44835</v>
      </c>
      <c r="D27" s="223">
        <v>17898</v>
      </c>
      <c r="E27" s="223" t="s">
        <v>192</v>
      </c>
      <c r="F27" s="223" t="s">
        <v>40</v>
      </c>
      <c r="G27" s="223" t="s">
        <v>72</v>
      </c>
      <c r="H27" s="225">
        <v>370230</v>
      </c>
      <c r="I27" s="225">
        <v>185115</v>
      </c>
      <c r="J27" s="216"/>
    </row>
    <row r="28" spans="2:32">
      <c r="B28" s="223" t="s">
        <v>199</v>
      </c>
      <c r="C28" s="224">
        <v>44835</v>
      </c>
      <c r="D28" s="223">
        <v>12179</v>
      </c>
      <c r="E28" s="223" t="s">
        <v>114</v>
      </c>
      <c r="F28" s="223" t="s">
        <v>40</v>
      </c>
      <c r="G28" s="223" t="s">
        <v>72</v>
      </c>
      <c r="H28" s="225">
        <v>71890</v>
      </c>
      <c r="I28" s="225">
        <v>35945</v>
      </c>
      <c r="J28" s="216"/>
    </row>
    <row r="31" spans="2:32" ht="15.6" customHeight="1">
      <c r="B31" s="292" t="s">
        <v>376</v>
      </c>
      <c r="C31" s="259"/>
    </row>
    <row r="32" spans="2:32">
      <c r="B32" s="101" t="s">
        <v>348</v>
      </c>
      <c r="I32" s="101">
        <v>114084.8048</v>
      </c>
      <c r="M32" s="131">
        <v>45633.921920000001</v>
      </c>
    </row>
    <row r="33" spans="2:18">
      <c r="B33" s="261" t="s">
        <v>377</v>
      </c>
      <c r="C33" s="261" t="s">
        <v>378</v>
      </c>
      <c r="D33" s="261" t="s">
        <v>31</v>
      </c>
      <c r="E33" s="261" t="s">
        <v>278</v>
      </c>
      <c r="F33" s="262" t="s">
        <v>349</v>
      </c>
      <c r="G33" s="261" t="s">
        <v>350</v>
      </c>
      <c r="H33" s="261" t="s">
        <v>351</v>
      </c>
      <c r="I33" s="261" t="s">
        <v>352</v>
      </c>
      <c r="J33" s="263" t="s">
        <v>123</v>
      </c>
      <c r="K33" s="263" t="s">
        <v>35</v>
      </c>
      <c r="L33" s="263" t="s">
        <v>133</v>
      </c>
      <c r="M33" s="263" t="s">
        <v>379</v>
      </c>
    </row>
    <row r="34" spans="2:18">
      <c r="B34" s="264">
        <v>2022.1</v>
      </c>
      <c r="C34" s="264" t="s">
        <v>380</v>
      </c>
      <c r="D34" s="272" t="s">
        <v>353</v>
      </c>
      <c r="E34" s="265"/>
      <c r="F34" s="266">
        <v>80.72</v>
      </c>
      <c r="G34" s="267">
        <v>114084.8048</v>
      </c>
      <c r="H34" s="267">
        <v>-114084.8048</v>
      </c>
      <c r="I34" s="268">
        <v>114084.8048</v>
      </c>
      <c r="J34" s="269" t="s">
        <v>40</v>
      </c>
      <c r="K34" s="270" t="s">
        <v>72</v>
      </c>
      <c r="L34" s="270"/>
      <c r="M34" s="271">
        <v>45633.921920000001</v>
      </c>
    </row>
    <row r="36" spans="2:18" hidden="1">
      <c r="B36" s="289" t="s">
        <v>354</v>
      </c>
      <c r="C36" s="289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</row>
    <row r="37" spans="2:18" hidden="1">
      <c r="B37" s="233" t="s">
        <v>356</v>
      </c>
      <c r="C37" s="234" t="s">
        <v>355</v>
      </c>
      <c r="D37" s="234" t="s">
        <v>277</v>
      </c>
      <c r="E37" s="235" t="s">
        <v>357</v>
      </c>
      <c r="F37" s="235" t="s">
        <v>358</v>
      </c>
      <c r="G37" s="235" t="s">
        <v>359</v>
      </c>
      <c r="H37" s="231" t="s">
        <v>278</v>
      </c>
      <c r="I37" s="231" t="s">
        <v>279</v>
      </c>
      <c r="J37" s="231" t="s">
        <v>280</v>
      </c>
      <c r="K37" s="231" t="s">
        <v>281</v>
      </c>
      <c r="L37" s="236" t="s">
        <v>282</v>
      </c>
      <c r="M37" s="234" t="s">
        <v>283</v>
      </c>
      <c r="N37" s="234" t="s">
        <v>284</v>
      </c>
      <c r="O37" s="234" t="s">
        <v>285</v>
      </c>
      <c r="P37" s="231" t="s">
        <v>286</v>
      </c>
      <c r="Q37" s="231" t="s">
        <v>287</v>
      </c>
      <c r="R37" s="231" t="s">
        <v>289</v>
      </c>
    </row>
    <row r="38" spans="2:18" hidden="1">
      <c r="B38" s="228"/>
      <c r="C38" s="228"/>
      <c r="D38" s="229"/>
      <c r="E38" s="229"/>
      <c r="F38" s="229"/>
      <c r="G38" s="230"/>
      <c r="H38" s="273"/>
      <c r="I38" s="238"/>
      <c r="J38" s="237"/>
      <c r="K38" s="237"/>
      <c r="L38" s="239"/>
      <c r="M38" s="240"/>
      <c r="N38" s="237"/>
      <c r="O38" s="241"/>
      <c r="P38" s="274"/>
      <c r="Q38" s="275"/>
      <c r="R38" s="274"/>
    </row>
    <row r="39" spans="2:18" hidden="1">
      <c r="B39" s="257" t="s">
        <v>290</v>
      </c>
      <c r="C39" s="258"/>
      <c r="D39" s="258"/>
      <c r="E39" s="258"/>
      <c r="F39" s="258"/>
      <c r="G39" s="258"/>
      <c r="H39" s="242">
        <v>0</v>
      </c>
      <c r="I39" s="242">
        <v>8473.5</v>
      </c>
      <c r="J39" s="242">
        <v>0</v>
      </c>
      <c r="K39" s="242">
        <v>384188.49000000005</v>
      </c>
      <c r="L39" s="242"/>
      <c r="M39" s="242">
        <v>115256.54700000001</v>
      </c>
      <c r="N39" s="243"/>
      <c r="O39" s="243">
        <v>115256.54700000001</v>
      </c>
      <c r="P39" s="232">
        <v>45.34</v>
      </c>
      <c r="Q39" s="243"/>
      <c r="R39" s="243"/>
    </row>
    <row r="40" spans="2:18" hidden="1"/>
    <row r="41" spans="2:18" hidden="1">
      <c r="B41" s="290" t="s">
        <v>288</v>
      </c>
      <c r="C41" s="290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6"/>
      <c r="P41" s="226"/>
    </row>
    <row r="42" spans="2:18" hidden="1">
      <c r="B42" s="233" t="s">
        <v>356</v>
      </c>
      <c r="C42" s="234" t="s">
        <v>355</v>
      </c>
      <c r="D42" s="234" t="s">
        <v>277</v>
      </c>
      <c r="E42" s="235" t="s">
        <v>357</v>
      </c>
      <c r="F42" s="235" t="s">
        <v>358</v>
      </c>
      <c r="G42" s="235" t="s">
        <v>359</v>
      </c>
      <c r="H42" s="231" t="s">
        <v>278</v>
      </c>
      <c r="I42" s="231" t="s">
        <v>279</v>
      </c>
      <c r="J42" s="231" t="s">
        <v>280</v>
      </c>
      <c r="K42" s="231" t="s">
        <v>281</v>
      </c>
      <c r="L42" s="236" t="s">
        <v>282</v>
      </c>
      <c r="M42" s="234" t="s">
        <v>283</v>
      </c>
      <c r="N42" s="234" t="s">
        <v>284</v>
      </c>
      <c r="O42" s="234" t="s">
        <v>285</v>
      </c>
      <c r="P42" s="231" t="s">
        <v>286</v>
      </c>
      <c r="Q42" s="231" t="s">
        <v>287</v>
      </c>
      <c r="R42" s="231" t="s">
        <v>289</v>
      </c>
    </row>
    <row r="43" spans="2:18" hidden="1">
      <c r="B43" s="228"/>
      <c r="C43" s="228"/>
      <c r="D43" s="229"/>
      <c r="E43" s="229"/>
      <c r="F43" s="229"/>
      <c r="G43" s="230"/>
      <c r="H43" s="273"/>
      <c r="I43" s="238"/>
      <c r="J43" s="237"/>
      <c r="K43" s="237"/>
      <c r="L43" s="239"/>
      <c r="M43" s="240"/>
      <c r="N43" s="237"/>
      <c r="O43" s="241"/>
      <c r="P43" s="274"/>
      <c r="Q43" s="275"/>
      <c r="R43" s="274"/>
    </row>
    <row r="44" spans="2:18" hidden="1">
      <c r="B44" s="257"/>
      <c r="C44" s="258"/>
      <c r="D44" s="258"/>
      <c r="E44" s="258"/>
      <c r="F44" s="258"/>
      <c r="G44" s="258"/>
      <c r="H44" s="242">
        <v>0</v>
      </c>
      <c r="I44" s="242">
        <v>44821.71</v>
      </c>
      <c r="J44" s="242">
        <v>0</v>
      </c>
      <c r="K44" s="242">
        <v>1695605.2892999998</v>
      </c>
      <c r="L44" s="242"/>
      <c r="M44" s="242">
        <v>508681.58678999991</v>
      </c>
      <c r="N44" s="243">
        <v>-508681.58678999991</v>
      </c>
      <c r="O44" s="243">
        <v>508681.58678999991</v>
      </c>
      <c r="P44" s="232">
        <v>37.83</v>
      </c>
      <c r="Q44" s="243"/>
      <c r="R44" s="243"/>
    </row>
  </sheetData>
  <mergeCells count="2">
    <mergeCell ref="B36:C36"/>
    <mergeCell ref="B41:C41"/>
  </mergeCells>
  <phoneticPr fontId="31" type="noConversion"/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5378-3053-4A22-AB24-ABBD650C24E4}">
  <dimension ref="A2:P69"/>
  <sheetViews>
    <sheetView topLeftCell="A4" workbookViewId="0">
      <selection activeCell="D8" sqref="D8"/>
    </sheetView>
  </sheetViews>
  <sheetFormatPr defaultColWidth="11.44140625" defaultRowHeight="15.6"/>
  <cols>
    <col min="1" max="1" width="5.44140625" style="101" customWidth="1"/>
    <col min="2" max="2" width="12.77734375" style="101" customWidth="1"/>
    <col min="3" max="3" width="14.33203125" style="101" customWidth="1"/>
    <col min="4" max="4" width="13.77734375" style="101" bestFit="1" customWidth="1"/>
    <col min="5" max="6" width="13.109375" style="101" bestFit="1" customWidth="1"/>
    <col min="7" max="8" width="13.77734375" style="101" bestFit="1" customWidth="1"/>
    <col min="9" max="9" width="17.88671875" style="101" bestFit="1" customWidth="1"/>
    <col min="10" max="13" width="11.44140625" style="101"/>
    <col min="14" max="14" width="12.21875" style="101" bestFit="1" customWidth="1"/>
    <col min="15" max="16384" width="11.44140625" style="101"/>
  </cols>
  <sheetData>
    <row r="2" spans="1:16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16">
      <c r="B3" s="117" t="s">
        <v>209</v>
      </c>
      <c r="C3" s="117" t="s">
        <v>210</v>
      </c>
      <c r="D3" s="53"/>
      <c r="E3" s="10">
        <v>0</v>
      </c>
      <c r="F3" s="11">
        <f t="shared" ref="F3" si="0">D3</f>
        <v>0</v>
      </c>
      <c r="G3" s="14">
        <f t="shared" ref="G3" si="1">F3*20%</f>
        <v>0</v>
      </c>
      <c r="H3" s="126">
        <f t="shared" ref="H3" si="2">F3*80%</f>
        <v>0</v>
      </c>
      <c r="I3" s="135" t="s">
        <v>381</v>
      </c>
    </row>
    <row r="4" spans="1:16">
      <c r="B4" s="16" t="s">
        <v>20</v>
      </c>
      <c r="C4" s="17"/>
      <c r="D4" s="18">
        <f>SUM(D3:D3)</f>
        <v>0</v>
      </c>
      <c r="E4" s="18">
        <f>SUM(E3:E3)</f>
        <v>0</v>
      </c>
      <c r="F4" s="18">
        <f>SUM(F3:F3)</f>
        <v>0</v>
      </c>
      <c r="G4" s="18">
        <f>SUM(G3:G3)</f>
        <v>0</v>
      </c>
      <c r="H4" s="18">
        <f>SUM(H3:H3)</f>
        <v>0</v>
      </c>
      <c r="I4" s="18"/>
    </row>
    <row r="5" spans="1:16">
      <c r="G5" s="102">
        <f>F4*0.2</f>
        <v>0</v>
      </c>
      <c r="H5" s="102">
        <f>F4*0.8</f>
        <v>0</v>
      </c>
    </row>
    <row r="8" spans="1:16">
      <c r="A8" s="101" t="s">
        <v>226</v>
      </c>
      <c r="C8" s="136"/>
    </row>
    <row r="9" spans="1:16" s="20" customFormat="1" ht="17.399999999999999">
      <c r="A9" s="137" t="s">
        <v>211</v>
      </c>
      <c r="B9" s="137" t="s">
        <v>35</v>
      </c>
      <c r="C9" s="137" t="s">
        <v>31</v>
      </c>
      <c r="D9" s="137" t="s">
        <v>212</v>
      </c>
      <c r="E9" s="137" t="s">
        <v>213</v>
      </c>
      <c r="F9" s="137" t="s">
        <v>214</v>
      </c>
      <c r="G9" s="137" t="s">
        <v>215</v>
      </c>
      <c r="H9" s="137" t="s">
        <v>236</v>
      </c>
      <c r="I9" s="137" t="s">
        <v>291</v>
      </c>
      <c r="J9" s="137" t="s">
        <v>292</v>
      </c>
      <c r="K9" s="137" t="s">
        <v>216</v>
      </c>
      <c r="L9" s="137" t="s">
        <v>217</v>
      </c>
      <c r="M9" s="137" t="s">
        <v>218</v>
      </c>
      <c r="N9" s="137" t="s">
        <v>219</v>
      </c>
      <c r="O9" s="137" t="s">
        <v>220</v>
      </c>
      <c r="P9" s="137" t="s">
        <v>221</v>
      </c>
    </row>
    <row r="10" spans="1:16" s="1" customFormat="1">
      <c r="A10" s="83"/>
      <c r="B10" s="84"/>
      <c r="C10" s="85"/>
      <c r="D10" s="89"/>
      <c r="E10" s="85"/>
      <c r="F10" s="144"/>
      <c r="G10" s="144"/>
      <c r="H10" s="203"/>
      <c r="I10" s="204"/>
      <c r="J10" s="204"/>
      <c r="K10" s="144"/>
      <c r="L10" s="144"/>
      <c r="M10" s="144"/>
      <c r="N10" s="144"/>
      <c r="O10" s="144"/>
      <c r="P10" s="205"/>
    </row>
    <row r="11" spans="1:16" s="1" customFormat="1">
      <c r="A11" s="83"/>
      <c r="B11" s="84"/>
      <c r="C11" s="85"/>
      <c r="D11" s="89"/>
      <c r="E11" s="85"/>
      <c r="F11" s="144"/>
      <c r="G11" s="144"/>
      <c r="H11" s="205"/>
      <c r="I11" s="204"/>
      <c r="J11" s="204"/>
      <c r="K11" s="144"/>
      <c r="L11" s="144"/>
      <c r="M11" s="144"/>
      <c r="N11" s="144"/>
      <c r="O11" s="144"/>
      <c r="P11" s="205"/>
    </row>
    <row r="12" spans="1:16" s="1" customFormat="1">
      <c r="A12" s="83"/>
      <c r="B12" s="84"/>
      <c r="C12" s="85"/>
      <c r="D12" s="89"/>
      <c r="E12" s="85"/>
      <c r="F12" s="144"/>
      <c r="G12" s="144"/>
      <c r="H12" s="205"/>
      <c r="I12" s="204"/>
      <c r="J12" s="204"/>
      <c r="K12" s="144"/>
      <c r="L12" s="144"/>
      <c r="M12" s="144"/>
      <c r="N12" s="144"/>
      <c r="O12" s="144"/>
      <c r="P12" s="205"/>
    </row>
    <row r="13" spans="1:16" s="1" customFormat="1">
      <c r="A13" s="83"/>
      <c r="B13" s="84"/>
      <c r="C13" s="85"/>
      <c r="D13" s="89"/>
      <c r="E13" s="85"/>
      <c r="F13" s="144"/>
      <c r="G13" s="144"/>
      <c r="H13" s="205"/>
      <c r="I13" s="204"/>
      <c r="J13" s="204"/>
      <c r="K13" s="144"/>
      <c r="L13" s="144"/>
      <c r="M13" s="144"/>
      <c r="N13" s="144"/>
      <c r="O13" s="144"/>
      <c r="P13" s="205"/>
    </row>
    <row r="14" spans="1:16" s="1" customFormat="1">
      <c r="A14" s="83"/>
      <c r="B14" s="84"/>
      <c r="C14" s="85"/>
      <c r="D14" s="89"/>
      <c r="E14" s="85"/>
      <c r="F14" s="144"/>
      <c r="G14" s="144"/>
      <c r="H14" s="203"/>
      <c r="I14" s="204"/>
      <c r="J14" s="204"/>
      <c r="K14" s="144"/>
      <c r="L14" s="144"/>
      <c r="M14" s="144"/>
      <c r="N14" s="144"/>
      <c r="O14" s="144"/>
      <c r="P14" s="205"/>
    </row>
    <row r="15" spans="1:16" s="1" customFormat="1">
      <c r="A15" s="83"/>
      <c r="B15" s="84"/>
      <c r="C15" s="85"/>
      <c r="D15" s="89"/>
      <c r="E15" s="85"/>
      <c r="F15" s="144"/>
      <c r="G15" s="144"/>
      <c r="H15" s="205"/>
      <c r="I15" s="204"/>
      <c r="J15" s="204"/>
      <c r="K15" s="144"/>
      <c r="L15" s="144"/>
      <c r="M15" s="144"/>
      <c r="N15" s="144"/>
      <c r="O15" s="144"/>
      <c r="P15" s="205"/>
    </row>
    <row r="16" spans="1:16" s="1" customFormat="1">
      <c r="A16" s="83"/>
      <c r="B16" s="84"/>
      <c r="C16" s="85"/>
      <c r="D16" s="89"/>
      <c r="E16" s="85"/>
      <c r="F16" s="144"/>
      <c r="G16" s="144"/>
      <c r="H16" s="203"/>
      <c r="I16" s="204"/>
      <c r="J16" s="204"/>
      <c r="K16" s="144"/>
      <c r="L16" s="144"/>
      <c r="M16" s="144"/>
      <c r="N16" s="144"/>
      <c r="O16" s="144"/>
      <c r="P16" s="205"/>
    </row>
    <row r="17" spans="1:16" s="1" customFormat="1">
      <c r="A17" s="83"/>
      <c r="B17" s="84"/>
      <c r="C17" s="85"/>
      <c r="D17" s="89"/>
      <c r="E17" s="85"/>
      <c r="F17" s="144"/>
      <c r="G17" s="144"/>
      <c r="H17" s="203"/>
      <c r="I17" s="204"/>
      <c r="J17" s="204"/>
      <c r="K17" s="144"/>
      <c r="L17" s="144"/>
      <c r="M17" s="144"/>
      <c r="N17" s="144"/>
      <c r="O17" s="144"/>
      <c r="P17" s="205"/>
    </row>
    <row r="18" spans="1:16" s="1" customFormat="1">
      <c r="A18" s="83"/>
      <c r="B18" s="84"/>
      <c r="C18" s="85"/>
      <c r="D18" s="89"/>
      <c r="E18" s="85"/>
      <c r="F18" s="144"/>
      <c r="G18" s="144"/>
      <c r="H18" s="203"/>
      <c r="I18" s="204"/>
      <c r="J18" s="204"/>
      <c r="K18" s="144"/>
      <c r="L18" s="144"/>
      <c r="M18" s="144"/>
      <c r="N18" s="144"/>
      <c r="O18" s="144"/>
      <c r="P18" s="205"/>
    </row>
    <row r="19" spans="1:16" s="1" customFormat="1">
      <c r="A19" s="83"/>
      <c r="B19" s="84"/>
      <c r="C19" s="85"/>
      <c r="D19" s="89"/>
      <c r="E19" s="85"/>
      <c r="F19" s="144"/>
      <c r="G19" s="144"/>
      <c r="H19" s="203"/>
      <c r="I19" s="204"/>
      <c r="J19" s="204"/>
      <c r="K19" s="144"/>
      <c r="L19" s="144"/>
      <c r="M19" s="144"/>
      <c r="N19" s="144"/>
      <c r="O19" s="144"/>
      <c r="P19" s="205"/>
    </row>
    <row r="20" spans="1:16" s="1" customFormat="1">
      <c r="A20" s="83"/>
      <c r="B20" s="86"/>
      <c r="C20" s="85"/>
      <c r="D20" s="89"/>
      <c r="E20" s="85"/>
      <c r="F20" s="144"/>
      <c r="G20" s="144"/>
      <c r="H20" s="205"/>
      <c r="I20" s="204"/>
      <c r="J20" s="204"/>
      <c r="K20" s="144"/>
      <c r="L20" s="144"/>
      <c r="M20" s="144"/>
      <c r="N20" s="144"/>
      <c r="O20" s="144"/>
      <c r="P20" s="205"/>
    </row>
    <row r="21" spans="1:16" s="1" customFormat="1">
      <c r="A21" s="83"/>
      <c r="B21" s="86"/>
      <c r="C21" s="85"/>
      <c r="D21" s="89"/>
      <c r="E21" s="85"/>
      <c r="F21" s="144"/>
      <c r="G21" s="144"/>
      <c r="H21" s="205"/>
      <c r="I21" s="204"/>
      <c r="J21" s="204"/>
      <c r="K21" s="144"/>
      <c r="L21" s="144"/>
      <c r="M21" s="144"/>
      <c r="N21" s="144"/>
      <c r="O21" s="144"/>
      <c r="P21" s="205"/>
    </row>
    <row r="22" spans="1:16" s="1" customFormat="1">
      <c r="A22" s="83"/>
      <c r="B22" s="86"/>
      <c r="C22" s="85"/>
      <c r="D22" s="89"/>
      <c r="E22" s="85"/>
      <c r="F22" s="144"/>
      <c r="G22" s="144"/>
      <c r="H22" s="205"/>
      <c r="I22" s="204"/>
      <c r="J22" s="204"/>
      <c r="K22" s="144"/>
      <c r="L22" s="144"/>
      <c r="M22" s="144"/>
      <c r="N22" s="144"/>
      <c r="O22" s="144"/>
      <c r="P22" s="205"/>
    </row>
    <row r="23" spans="1:16" s="1" customFormat="1">
      <c r="A23" s="83"/>
      <c r="B23" s="86"/>
      <c r="C23" s="85"/>
      <c r="D23" s="89"/>
      <c r="E23" s="85"/>
      <c r="F23" s="144"/>
      <c r="G23" s="144"/>
      <c r="H23" s="205"/>
      <c r="I23" s="204"/>
      <c r="J23" s="204"/>
      <c r="K23" s="144"/>
      <c r="L23" s="144"/>
      <c r="M23" s="144"/>
      <c r="N23" s="144"/>
      <c r="O23" s="144"/>
      <c r="P23" s="205"/>
    </row>
    <row r="24" spans="1:16" s="1" customFormat="1">
      <c r="A24" s="83"/>
      <c r="B24" s="86"/>
      <c r="C24" s="85"/>
      <c r="D24" s="89"/>
      <c r="E24" s="85"/>
      <c r="F24" s="144"/>
      <c r="G24" s="144"/>
      <c r="H24" s="205"/>
      <c r="I24" s="204"/>
      <c r="J24" s="204"/>
      <c r="K24" s="144"/>
      <c r="L24" s="144"/>
      <c r="M24" s="144"/>
      <c r="N24" s="144"/>
      <c r="O24" s="144"/>
      <c r="P24" s="205"/>
    </row>
    <row r="25" spans="1:16" s="1" customFormat="1">
      <c r="A25" s="83"/>
      <c r="B25" s="86"/>
      <c r="C25" s="85"/>
      <c r="D25" s="89"/>
      <c r="E25" s="85"/>
      <c r="F25" s="144"/>
      <c r="G25" s="144"/>
      <c r="H25" s="205"/>
      <c r="I25" s="204"/>
      <c r="J25" s="204"/>
      <c r="K25" s="144"/>
      <c r="L25" s="144"/>
      <c r="M25" s="144"/>
      <c r="N25" s="144"/>
      <c r="O25" s="144"/>
      <c r="P25" s="205"/>
    </row>
    <row r="26" spans="1:16" s="1" customFormat="1">
      <c r="A26" s="83"/>
      <c r="B26" s="86"/>
      <c r="C26" s="85"/>
      <c r="D26" s="89"/>
      <c r="E26" s="85"/>
      <c r="F26" s="144"/>
      <c r="G26" s="144"/>
      <c r="H26" s="205"/>
      <c r="I26" s="204"/>
      <c r="J26" s="204"/>
      <c r="K26" s="144"/>
      <c r="L26" s="144"/>
      <c r="M26" s="144"/>
      <c r="N26" s="144"/>
      <c r="O26" s="144"/>
      <c r="P26" s="205"/>
    </row>
    <row r="27" spans="1:16" s="1" customFormat="1">
      <c r="A27" s="83"/>
      <c r="B27" s="86"/>
      <c r="C27" s="85"/>
      <c r="D27" s="89"/>
      <c r="E27" s="85"/>
      <c r="F27" s="144"/>
      <c r="G27" s="144"/>
      <c r="H27" s="205"/>
      <c r="I27" s="204"/>
      <c r="J27" s="204"/>
      <c r="K27" s="144"/>
      <c r="L27" s="144"/>
      <c r="M27" s="144"/>
      <c r="N27" s="144"/>
      <c r="O27" s="144"/>
      <c r="P27" s="205"/>
    </row>
    <row r="28" spans="1:16" s="1" customFormat="1">
      <c r="A28" s="83"/>
      <c r="B28" s="86"/>
      <c r="C28" s="85"/>
      <c r="D28" s="89"/>
      <c r="E28" s="85"/>
      <c r="F28" s="144"/>
      <c r="G28" s="144"/>
      <c r="H28" s="205"/>
      <c r="I28" s="204"/>
      <c r="J28" s="204"/>
      <c r="K28" s="144"/>
      <c r="L28" s="144"/>
      <c r="M28" s="144"/>
      <c r="N28" s="144"/>
      <c r="O28" s="144"/>
      <c r="P28" s="205"/>
    </row>
    <row r="29" spans="1:16" s="1" customFormat="1">
      <c r="A29" s="83"/>
      <c r="B29" s="86"/>
      <c r="C29" s="85"/>
      <c r="D29" s="89"/>
      <c r="E29" s="85"/>
      <c r="F29" s="144"/>
      <c r="G29" s="144"/>
      <c r="H29" s="205"/>
      <c r="I29" s="204"/>
      <c r="J29" s="204"/>
      <c r="K29" s="144"/>
      <c r="L29" s="144"/>
      <c r="M29" s="144"/>
      <c r="N29" s="144"/>
      <c r="O29" s="144"/>
      <c r="P29" s="205"/>
    </row>
    <row r="30" spans="1:16" s="1" customFormat="1">
      <c r="A30" s="83"/>
      <c r="B30" s="86"/>
      <c r="C30" s="85"/>
      <c r="D30" s="89"/>
      <c r="E30" s="85"/>
      <c r="F30" s="144"/>
      <c r="G30" s="144"/>
      <c r="H30" s="205"/>
      <c r="I30" s="204"/>
      <c r="J30" s="204"/>
      <c r="K30" s="144"/>
      <c r="L30" s="144"/>
      <c r="M30" s="144"/>
      <c r="N30" s="144"/>
      <c r="O30" s="144"/>
      <c r="P30" s="205"/>
    </row>
    <row r="31" spans="1:16" s="1" customFormat="1">
      <c r="A31" s="83"/>
      <c r="B31" s="87"/>
      <c r="C31" s="85"/>
      <c r="D31" s="89"/>
      <c r="E31" s="85"/>
      <c r="F31" s="144"/>
      <c r="G31" s="144"/>
      <c r="H31" s="205"/>
      <c r="I31" s="204"/>
      <c r="J31" s="204"/>
      <c r="K31" s="144"/>
      <c r="L31" s="144"/>
      <c r="M31" s="144"/>
      <c r="N31" s="144"/>
      <c r="O31" s="144"/>
      <c r="P31" s="205"/>
    </row>
    <row r="32" spans="1:16" s="1" customFormat="1">
      <c r="A32" s="83"/>
      <c r="B32" s="87"/>
      <c r="C32" s="85"/>
      <c r="D32" s="89"/>
      <c r="E32" s="85"/>
      <c r="F32" s="144"/>
      <c r="G32" s="144"/>
      <c r="H32" s="205"/>
      <c r="I32" s="204"/>
      <c r="J32" s="204"/>
      <c r="K32" s="144"/>
      <c r="L32" s="144"/>
      <c r="M32" s="144"/>
      <c r="N32" s="144"/>
      <c r="O32" s="144"/>
      <c r="P32" s="205"/>
    </row>
    <row r="33" spans="1:16" s="1" customFormat="1">
      <c r="A33" s="83"/>
      <c r="B33" s="87"/>
      <c r="C33" s="85"/>
      <c r="D33" s="89"/>
      <c r="E33" s="85"/>
      <c r="F33" s="144"/>
      <c r="G33" s="144"/>
      <c r="H33" s="205"/>
      <c r="I33" s="204"/>
      <c r="J33" s="204"/>
      <c r="K33" s="144"/>
      <c r="L33" s="144"/>
      <c r="M33" s="144"/>
      <c r="N33" s="144"/>
      <c r="O33" s="144"/>
      <c r="P33" s="205"/>
    </row>
    <row r="34" spans="1:16" s="1" customFormat="1">
      <c r="A34" s="83"/>
      <c r="B34" s="87"/>
      <c r="C34" s="85"/>
      <c r="D34" s="89"/>
      <c r="E34" s="85"/>
      <c r="F34" s="144"/>
      <c r="G34" s="144"/>
      <c r="H34" s="205"/>
      <c r="I34" s="204"/>
      <c r="J34" s="204"/>
      <c r="K34" s="144"/>
      <c r="L34" s="144"/>
      <c r="M34" s="144"/>
      <c r="N34" s="144"/>
      <c r="O34" s="144"/>
      <c r="P34" s="205"/>
    </row>
    <row r="35" spans="1:16" s="1" customFormat="1">
      <c r="A35" s="83"/>
      <c r="B35" s="87"/>
      <c r="C35" s="85"/>
      <c r="D35" s="89"/>
      <c r="E35" s="85"/>
      <c r="F35" s="144"/>
      <c r="G35" s="144"/>
      <c r="H35" s="205"/>
      <c r="I35" s="204"/>
      <c r="J35" s="204"/>
      <c r="K35" s="144"/>
      <c r="L35" s="144"/>
      <c r="M35" s="144"/>
      <c r="N35" s="144"/>
      <c r="O35" s="144"/>
      <c r="P35" s="205"/>
    </row>
    <row r="36" spans="1:16" s="1" customFormat="1">
      <c r="A36" s="83"/>
      <c r="B36" s="87"/>
      <c r="C36" s="85"/>
      <c r="D36" s="89"/>
      <c r="E36" s="85"/>
      <c r="F36" s="144"/>
      <c r="G36" s="144"/>
      <c r="H36" s="205"/>
      <c r="I36" s="204"/>
      <c r="J36" s="204"/>
      <c r="K36" s="144"/>
      <c r="L36" s="144"/>
      <c r="M36" s="144"/>
      <c r="N36" s="144"/>
      <c r="O36" s="144"/>
      <c r="P36" s="205"/>
    </row>
    <row r="37" spans="1:16" s="1" customFormat="1">
      <c r="A37" s="83"/>
      <c r="B37" s="87"/>
      <c r="C37" s="85"/>
      <c r="D37" s="89"/>
      <c r="E37" s="85"/>
      <c r="F37" s="144"/>
      <c r="G37" s="144"/>
      <c r="H37" s="205"/>
      <c r="I37" s="204"/>
      <c r="J37" s="204"/>
      <c r="K37" s="144"/>
      <c r="L37" s="144"/>
      <c r="M37" s="144"/>
      <c r="N37" s="144"/>
      <c r="O37" s="144"/>
      <c r="P37" s="205"/>
    </row>
    <row r="38" spans="1:16" s="1" customFormat="1">
      <c r="A38" s="83"/>
      <c r="B38" s="87"/>
      <c r="C38" s="85"/>
      <c r="D38" s="89"/>
      <c r="E38" s="85"/>
      <c r="F38" s="144"/>
      <c r="G38" s="144"/>
      <c r="H38" s="205"/>
      <c r="I38" s="204"/>
      <c r="J38" s="204"/>
      <c r="K38" s="144"/>
      <c r="L38" s="144"/>
      <c r="M38" s="144"/>
      <c r="N38" s="144"/>
      <c r="O38" s="144"/>
      <c r="P38" s="205"/>
    </row>
    <row r="39" spans="1:16" s="1" customFormat="1">
      <c r="A39" s="83"/>
      <c r="B39" s="87"/>
      <c r="C39" s="85"/>
      <c r="D39" s="89"/>
      <c r="E39" s="85"/>
      <c r="F39" s="144"/>
      <c r="G39" s="144"/>
      <c r="H39" s="205"/>
      <c r="I39" s="204"/>
      <c r="J39" s="204"/>
      <c r="K39" s="144"/>
      <c r="L39" s="144"/>
      <c r="M39" s="144"/>
      <c r="N39" s="144"/>
      <c r="O39" s="144"/>
      <c r="P39" s="205"/>
    </row>
    <row r="40" spans="1:16" s="1" customFormat="1">
      <c r="A40" s="83"/>
      <c r="B40" s="87"/>
      <c r="C40" s="85"/>
      <c r="D40" s="89"/>
      <c r="E40" s="85"/>
      <c r="F40" s="144"/>
      <c r="G40" s="144"/>
      <c r="H40" s="205"/>
      <c r="I40" s="204"/>
      <c r="J40" s="204"/>
      <c r="K40" s="144"/>
      <c r="L40" s="144"/>
      <c r="M40" s="144"/>
      <c r="N40" s="144"/>
      <c r="O40" s="144"/>
      <c r="P40" s="205"/>
    </row>
    <row r="41" spans="1:16" s="1" customFormat="1">
      <c r="A41" s="83"/>
      <c r="B41" s="87"/>
      <c r="C41" s="85"/>
      <c r="D41" s="89"/>
      <c r="E41" s="85"/>
      <c r="F41" s="144"/>
      <c r="G41" s="144"/>
      <c r="H41" s="205"/>
      <c r="I41" s="204"/>
      <c r="J41" s="204"/>
      <c r="K41" s="144"/>
      <c r="L41" s="144"/>
      <c r="M41" s="144"/>
      <c r="N41" s="144"/>
      <c r="O41" s="144"/>
      <c r="P41" s="205"/>
    </row>
    <row r="42" spans="1:16" s="1" customFormat="1">
      <c r="A42" s="83"/>
      <c r="B42" s="87"/>
      <c r="C42" s="85"/>
      <c r="D42" s="89"/>
      <c r="E42" s="85"/>
      <c r="F42" s="144"/>
      <c r="G42" s="144"/>
      <c r="H42" s="205"/>
      <c r="I42" s="204"/>
      <c r="J42" s="204"/>
      <c r="K42" s="144"/>
      <c r="L42" s="144"/>
      <c r="M42" s="144"/>
      <c r="N42" s="144"/>
      <c r="O42" s="144"/>
      <c r="P42" s="205"/>
    </row>
    <row r="43" spans="1:16" s="1" customFormat="1">
      <c r="A43" s="83"/>
      <c r="B43" s="87"/>
      <c r="C43" s="85"/>
      <c r="D43" s="89"/>
      <c r="E43" s="85"/>
      <c r="F43" s="144"/>
      <c r="G43" s="144"/>
      <c r="H43" s="205"/>
      <c r="I43" s="204"/>
      <c r="J43" s="204"/>
      <c r="K43" s="144"/>
      <c r="L43" s="144"/>
      <c r="M43" s="144"/>
      <c r="N43" s="144"/>
      <c r="O43" s="144"/>
      <c r="P43" s="205"/>
    </row>
    <row r="44" spans="1:16" s="1" customFormat="1">
      <c r="A44" s="83"/>
      <c r="B44" s="87"/>
      <c r="C44" s="85"/>
      <c r="D44" s="89"/>
      <c r="E44" s="85"/>
      <c r="F44" s="144"/>
      <c r="G44" s="144"/>
      <c r="H44" s="205"/>
      <c r="I44" s="204"/>
      <c r="J44" s="204"/>
      <c r="K44" s="144"/>
      <c r="L44" s="144"/>
      <c r="M44" s="144"/>
      <c r="N44" s="144"/>
      <c r="O44" s="144"/>
      <c r="P44" s="205"/>
    </row>
    <row r="45" spans="1:16" s="1" customFormat="1">
      <c r="A45" s="83"/>
      <c r="B45" s="87"/>
      <c r="C45" s="85"/>
      <c r="D45" s="89"/>
      <c r="E45" s="85"/>
      <c r="F45" s="144"/>
      <c r="G45" s="144"/>
      <c r="H45" s="205"/>
      <c r="I45" s="204"/>
      <c r="J45" s="204"/>
      <c r="K45" s="144"/>
      <c r="L45" s="144"/>
      <c r="M45" s="144"/>
      <c r="N45" s="144"/>
      <c r="O45" s="144"/>
      <c r="P45" s="205"/>
    </row>
    <row r="46" spans="1:16" s="1" customFormat="1">
      <c r="A46" s="83"/>
      <c r="B46" s="87"/>
      <c r="C46" s="85"/>
      <c r="D46" s="89"/>
      <c r="E46" s="85"/>
      <c r="F46" s="144"/>
      <c r="G46" s="144"/>
      <c r="H46" s="205"/>
      <c r="I46" s="204"/>
      <c r="J46" s="204"/>
      <c r="K46" s="144"/>
      <c r="L46" s="144"/>
      <c r="M46" s="144"/>
      <c r="N46" s="144"/>
      <c r="O46" s="144"/>
      <c r="P46" s="205"/>
    </row>
    <row r="47" spans="1:16" s="1" customFormat="1">
      <c r="A47" s="83"/>
      <c r="B47" s="87"/>
      <c r="C47" s="85"/>
      <c r="D47" s="89"/>
      <c r="E47" s="85"/>
      <c r="F47" s="144"/>
      <c r="G47" s="144"/>
      <c r="H47" s="205"/>
      <c r="I47" s="204"/>
      <c r="J47" s="204"/>
      <c r="K47" s="144"/>
      <c r="L47" s="144"/>
      <c r="M47" s="144"/>
      <c r="N47" s="144"/>
      <c r="O47" s="144"/>
      <c r="P47" s="205"/>
    </row>
    <row r="48" spans="1:16" s="1" customFormat="1">
      <c r="A48" s="83"/>
      <c r="B48" s="87"/>
      <c r="C48" s="85"/>
      <c r="D48" s="89"/>
      <c r="E48" s="85"/>
      <c r="F48" s="144"/>
      <c r="G48" s="144"/>
      <c r="H48" s="205"/>
      <c r="I48" s="204"/>
      <c r="J48" s="204"/>
      <c r="K48" s="144"/>
      <c r="L48" s="144"/>
      <c r="M48" s="144"/>
      <c r="N48" s="144"/>
      <c r="O48" s="144"/>
      <c r="P48" s="205"/>
    </row>
    <row r="49" spans="1:16" s="1" customFormat="1">
      <c r="A49" s="83"/>
      <c r="B49" s="88"/>
      <c r="C49" s="85"/>
      <c r="D49" s="89"/>
      <c r="E49" s="85"/>
      <c r="F49" s="144"/>
      <c r="G49" s="144"/>
      <c r="H49" s="203"/>
      <c r="I49" s="204"/>
      <c r="J49" s="204"/>
      <c r="K49" s="144"/>
      <c r="L49" s="144"/>
      <c r="M49" s="144"/>
      <c r="N49" s="144"/>
      <c r="O49" s="144"/>
      <c r="P49" s="205"/>
    </row>
    <row r="50" spans="1:16" s="1" customFormat="1">
      <c r="A50" s="83"/>
      <c r="B50" s="88"/>
      <c r="C50" s="85"/>
      <c r="D50" s="89"/>
      <c r="E50" s="85"/>
      <c r="F50" s="144"/>
      <c r="G50" s="144"/>
      <c r="H50" s="205"/>
      <c r="I50" s="204"/>
      <c r="J50" s="204"/>
      <c r="K50" s="144"/>
      <c r="L50" s="144"/>
      <c r="M50" s="144"/>
      <c r="N50" s="144"/>
      <c r="O50" s="144"/>
      <c r="P50" s="205"/>
    </row>
    <row r="51" spans="1:16" s="1" customFormat="1">
      <c r="A51" s="83"/>
      <c r="B51" s="88"/>
      <c r="C51" s="85"/>
      <c r="D51" s="89"/>
      <c r="E51" s="85"/>
      <c r="F51" s="144"/>
      <c r="G51" s="144"/>
      <c r="H51" s="203"/>
      <c r="I51" s="204"/>
      <c r="J51" s="204"/>
      <c r="K51" s="144"/>
      <c r="L51" s="144"/>
      <c r="M51" s="144"/>
      <c r="N51" s="144"/>
      <c r="O51" s="144"/>
      <c r="P51" s="205"/>
    </row>
    <row r="52" spans="1:16" s="1" customFormat="1">
      <c r="A52" s="83"/>
      <c r="B52" s="88"/>
      <c r="C52" s="85"/>
      <c r="D52" s="89"/>
      <c r="E52" s="85"/>
      <c r="F52" s="144"/>
      <c r="G52" s="144"/>
      <c r="H52" s="203"/>
      <c r="I52" s="204"/>
      <c r="J52" s="204"/>
      <c r="K52" s="144"/>
      <c r="L52" s="144"/>
      <c r="M52" s="144"/>
      <c r="N52" s="144"/>
      <c r="O52" s="144"/>
      <c r="P52" s="205"/>
    </row>
    <row r="53" spans="1:16" s="1" customFormat="1">
      <c r="A53" s="83"/>
      <c r="B53" s="88"/>
      <c r="C53" s="85"/>
      <c r="D53" s="89"/>
      <c r="E53" s="85"/>
      <c r="F53" s="144"/>
      <c r="G53" s="144"/>
      <c r="H53" s="203"/>
      <c r="I53" s="204"/>
      <c r="J53" s="204"/>
      <c r="K53" s="144"/>
      <c r="L53" s="144"/>
      <c r="M53" s="144"/>
      <c r="N53" s="144"/>
      <c r="O53" s="144"/>
      <c r="P53" s="205"/>
    </row>
    <row r="54" spans="1:16" s="1" customFormat="1">
      <c r="A54" s="83"/>
      <c r="B54" s="88"/>
      <c r="C54" s="85"/>
      <c r="D54" s="89"/>
      <c r="E54" s="85"/>
      <c r="F54" s="144"/>
      <c r="G54" s="144"/>
      <c r="H54" s="205"/>
      <c r="I54" s="204"/>
      <c r="J54" s="204"/>
      <c r="K54" s="144"/>
      <c r="L54" s="144"/>
      <c r="M54" s="144"/>
      <c r="N54" s="144"/>
      <c r="O54" s="144"/>
      <c r="P54" s="205"/>
    </row>
    <row r="55" spans="1:16" s="1" customFormat="1">
      <c r="A55" s="83"/>
      <c r="B55" s="88"/>
      <c r="C55" s="85"/>
      <c r="D55" s="89"/>
      <c r="E55" s="85"/>
      <c r="F55" s="144"/>
      <c r="G55" s="144"/>
      <c r="H55" s="205"/>
      <c r="I55" s="204"/>
      <c r="J55" s="204"/>
      <c r="K55" s="144"/>
      <c r="L55" s="144"/>
      <c r="M55" s="144"/>
      <c r="N55" s="144"/>
      <c r="O55" s="144"/>
      <c r="P55" s="205"/>
    </row>
    <row r="56" spans="1:16" s="1" customFormat="1">
      <c r="A56" s="83"/>
      <c r="B56" s="88"/>
      <c r="C56" s="85"/>
      <c r="D56" s="89"/>
      <c r="E56" s="85"/>
      <c r="F56" s="144"/>
      <c r="G56" s="144"/>
      <c r="H56" s="203"/>
      <c r="I56" s="204"/>
      <c r="J56" s="204"/>
      <c r="K56" s="144"/>
      <c r="L56" s="144"/>
      <c r="M56" s="144"/>
      <c r="N56" s="144"/>
      <c r="O56" s="144"/>
      <c r="P56" s="205"/>
    </row>
    <row r="57" spans="1:16" s="1" customFormat="1">
      <c r="A57" s="83"/>
      <c r="B57" s="88"/>
      <c r="C57" s="85"/>
      <c r="D57" s="89"/>
      <c r="E57" s="85"/>
      <c r="F57" s="144"/>
      <c r="G57" s="144"/>
      <c r="H57" s="203"/>
      <c r="I57" s="204"/>
      <c r="J57" s="204"/>
      <c r="K57" s="144"/>
      <c r="L57" s="144"/>
      <c r="M57" s="144"/>
      <c r="N57" s="144"/>
      <c r="O57" s="144"/>
      <c r="P57" s="205"/>
    </row>
    <row r="58" spans="1:16" s="1" customFormat="1">
      <c r="A58" s="83"/>
      <c r="B58" s="88"/>
      <c r="C58" s="85"/>
      <c r="D58" s="89"/>
      <c r="E58" s="85"/>
      <c r="F58" s="144"/>
      <c r="G58" s="144"/>
      <c r="H58" s="203"/>
      <c r="I58" s="204"/>
      <c r="J58" s="204"/>
      <c r="K58" s="144"/>
      <c r="L58" s="144"/>
      <c r="M58" s="144"/>
      <c r="N58" s="144"/>
      <c r="O58" s="144"/>
      <c r="P58" s="205"/>
    </row>
    <row r="59" spans="1:16" s="1" customFormat="1">
      <c r="A59" s="83"/>
      <c r="B59" s="87"/>
      <c r="C59" s="85"/>
      <c r="D59" s="90"/>
      <c r="E59" s="85"/>
      <c r="F59" s="144"/>
      <c r="G59" s="144"/>
      <c r="H59" s="205"/>
      <c r="I59" s="204"/>
      <c r="J59" s="204"/>
      <c r="K59" s="144"/>
      <c r="L59" s="144"/>
      <c r="M59" s="144"/>
      <c r="N59" s="144"/>
      <c r="O59" s="144"/>
      <c r="P59" s="205"/>
    </row>
    <row r="60" spans="1:16" s="1" customFormat="1">
      <c r="A60" s="83"/>
      <c r="B60" s="87"/>
      <c r="C60" s="85"/>
      <c r="D60" s="90"/>
      <c r="E60" s="85"/>
      <c r="F60" s="144"/>
      <c r="G60" s="144"/>
      <c r="H60" s="205"/>
      <c r="I60" s="204"/>
      <c r="J60" s="204"/>
      <c r="K60" s="144"/>
      <c r="L60" s="144"/>
      <c r="M60" s="144"/>
      <c r="N60" s="144"/>
      <c r="O60" s="144"/>
      <c r="P60" s="205"/>
    </row>
    <row r="61" spans="1:16">
      <c r="O61" s="136">
        <f>SUM(O10:O60)</f>
        <v>0</v>
      </c>
    </row>
    <row r="69" spans="15:15">
      <c r="O69" s="131"/>
    </row>
  </sheetData>
  <phoneticPr fontId="31" type="noConversion"/>
  <pageMargins left="0.75" right="0.75" top="1" bottom="1" header="0.5" footer="0.5"/>
  <pageSetup paperSize="9" orientation="portrait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CF6A-7DA0-412B-BB1B-232E7175FFF0}">
  <sheetPr>
    <tabColor theme="6" tint="0.39997558519241921"/>
  </sheetPr>
  <dimension ref="A2:AQ228"/>
  <sheetViews>
    <sheetView workbookViewId="0">
      <selection activeCell="F4" sqref="F4"/>
    </sheetView>
  </sheetViews>
  <sheetFormatPr defaultColWidth="11.44140625" defaultRowHeight="15.6"/>
  <cols>
    <col min="1" max="1" width="5.44140625" style="101" customWidth="1"/>
    <col min="2" max="2" width="12.77734375" style="101" customWidth="1"/>
    <col min="3" max="3" width="14.33203125" style="101" customWidth="1"/>
    <col min="4" max="4" width="13.88671875" style="101" bestFit="1" customWidth="1"/>
    <col min="5" max="6" width="13.21875" style="101" bestFit="1" customWidth="1"/>
    <col min="7" max="8" width="13.88671875" style="101" bestFit="1" customWidth="1"/>
    <col min="9" max="9" width="18" style="101" bestFit="1" customWidth="1"/>
    <col min="10" max="13" width="11.5546875" style="101" bestFit="1" customWidth="1"/>
    <col min="14" max="14" width="12.33203125" style="101" bestFit="1" customWidth="1"/>
    <col min="15" max="33" width="11.5546875" style="101" bestFit="1" customWidth="1"/>
    <col min="34" max="42" width="11.6640625" style="101" bestFit="1" customWidth="1"/>
    <col min="43" max="43" width="12.21875" style="101" bestFit="1" customWidth="1"/>
    <col min="44" max="16384" width="11.44140625" style="101"/>
  </cols>
  <sheetData>
    <row r="2" spans="1:43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43">
      <c r="B3" s="117" t="s">
        <v>295</v>
      </c>
      <c r="C3" s="117" t="s">
        <v>331</v>
      </c>
      <c r="D3" s="53">
        <v>10341904</v>
      </c>
      <c r="E3" s="10">
        <v>0</v>
      </c>
      <c r="F3" s="11">
        <f t="shared" ref="F3" si="0">D3</f>
        <v>10341904</v>
      </c>
      <c r="G3" s="14">
        <f t="shared" ref="G3" si="1">F3*20%</f>
        <v>2068380.8</v>
      </c>
      <c r="H3" s="126">
        <f t="shared" ref="H3" si="2">F3*80%</f>
        <v>8273523.2000000002</v>
      </c>
      <c r="I3" s="135" t="s">
        <v>375</v>
      </c>
    </row>
    <row r="4" spans="1:43">
      <c r="B4" s="16" t="s">
        <v>20</v>
      </c>
      <c r="C4" s="17"/>
      <c r="D4" s="18">
        <f>SUM(D3:D3)</f>
        <v>10341904</v>
      </c>
      <c r="E4" s="18">
        <f>SUM(E3:E3)</f>
        <v>0</v>
      </c>
      <c r="F4" s="18">
        <f>SUM(F3:F3)</f>
        <v>10341904</v>
      </c>
      <c r="G4" s="18">
        <f>SUM(G3:G3)</f>
        <v>2068380.8</v>
      </c>
      <c r="H4" s="18">
        <f>SUM(H3:H3)</f>
        <v>8273523.2000000002</v>
      </c>
      <c r="I4" s="18"/>
    </row>
    <row r="5" spans="1:43">
      <c r="G5" s="102">
        <f>F4*0.2</f>
        <v>2068380.8</v>
      </c>
      <c r="H5" s="102">
        <f>F4*0.8</f>
        <v>8273523.2000000002</v>
      </c>
    </row>
    <row r="8" spans="1:43">
      <c r="A8" s="101" t="s">
        <v>226</v>
      </c>
      <c r="C8" s="136"/>
    </row>
    <row r="9" spans="1:43">
      <c r="A9" s="247" t="s">
        <v>49</v>
      </c>
      <c r="B9" s="247" t="s">
        <v>296</v>
      </c>
      <c r="C9" s="247" t="s">
        <v>297</v>
      </c>
      <c r="D9" s="247" t="s">
        <v>298</v>
      </c>
      <c r="E9" s="247" t="s">
        <v>299</v>
      </c>
      <c r="F9" s="247" t="s">
        <v>300</v>
      </c>
      <c r="G9" s="247" t="s">
        <v>301</v>
      </c>
      <c r="H9" s="247" t="s">
        <v>302</v>
      </c>
      <c r="I9" s="247" t="s">
        <v>303</v>
      </c>
      <c r="J9" s="247" t="s">
        <v>304</v>
      </c>
      <c r="K9" s="247" t="s">
        <v>305</v>
      </c>
      <c r="L9" s="247" t="s">
        <v>306</v>
      </c>
      <c r="M9" s="247" t="s">
        <v>307</v>
      </c>
      <c r="N9" s="247" t="s">
        <v>308</v>
      </c>
      <c r="O9" s="247" t="s">
        <v>309</v>
      </c>
      <c r="P9" s="247" t="s">
        <v>310</v>
      </c>
      <c r="Q9" s="247" t="s">
        <v>311</v>
      </c>
      <c r="R9" s="247" t="s">
        <v>312</v>
      </c>
      <c r="S9" s="247" t="s">
        <v>313</v>
      </c>
      <c r="T9" s="247" t="s">
        <v>314</v>
      </c>
      <c r="U9" s="247" t="s">
        <v>315</v>
      </c>
      <c r="V9" s="247" t="s">
        <v>316</v>
      </c>
      <c r="W9" s="247" t="s">
        <v>317</v>
      </c>
      <c r="X9" s="247" t="s">
        <v>318</v>
      </c>
      <c r="Y9" s="247" t="s">
        <v>319</v>
      </c>
      <c r="Z9" s="247" t="s">
        <v>320</v>
      </c>
      <c r="AA9" s="247" t="s">
        <v>321</v>
      </c>
      <c r="AB9" s="247" t="s">
        <v>322</v>
      </c>
      <c r="AC9" s="247" t="s">
        <v>323</v>
      </c>
      <c r="AD9" s="247" t="s">
        <v>324</v>
      </c>
      <c r="AE9" s="247" t="s">
        <v>325</v>
      </c>
      <c r="AF9" s="247" t="s">
        <v>326</v>
      </c>
      <c r="AG9" s="247" t="s">
        <v>327</v>
      </c>
      <c r="AH9" s="247" t="s">
        <v>384</v>
      </c>
      <c r="AI9" s="247" t="s">
        <v>385</v>
      </c>
      <c r="AJ9" s="247" t="s">
        <v>386</v>
      </c>
      <c r="AK9" s="247" t="s">
        <v>387</v>
      </c>
      <c r="AL9" s="247" t="s">
        <v>388</v>
      </c>
      <c r="AM9" s="247" t="s">
        <v>389</v>
      </c>
      <c r="AN9" s="247" t="s">
        <v>390</v>
      </c>
      <c r="AO9" s="247" t="s">
        <v>391</v>
      </c>
      <c r="AP9" s="247" t="s">
        <v>392</v>
      </c>
      <c r="AQ9" s="247" t="s">
        <v>328</v>
      </c>
    </row>
    <row r="10" spans="1:43">
      <c r="A10" s="248" t="s">
        <v>200</v>
      </c>
      <c r="B10" s="248">
        <v>300</v>
      </c>
      <c r="C10" s="248">
        <v>40500</v>
      </c>
      <c r="D10" s="248">
        <v>135</v>
      </c>
      <c r="E10" s="248">
        <v>0</v>
      </c>
      <c r="F10" s="248">
        <v>83600</v>
      </c>
      <c r="G10" s="248">
        <v>418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248">
        <v>0</v>
      </c>
      <c r="Q10" s="248">
        <v>0</v>
      </c>
      <c r="R10" s="248">
        <v>0</v>
      </c>
      <c r="S10" s="248">
        <v>0</v>
      </c>
      <c r="T10" s="248">
        <v>0</v>
      </c>
      <c r="U10" s="248">
        <v>0</v>
      </c>
      <c r="V10" s="248">
        <v>0</v>
      </c>
      <c r="W10" s="248">
        <v>0</v>
      </c>
      <c r="X10" s="248">
        <v>0</v>
      </c>
      <c r="Y10" s="248">
        <v>124100</v>
      </c>
      <c r="Z10" s="248">
        <v>553</v>
      </c>
      <c r="AA10" s="248">
        <v>0</v>
      </c>
      <c r="AB10" s="248">
        <v>0</v>
      </c>
      <c r="AC10" s="248">
        <v>106781</v>
      </c>
      <c r="AD10" s="248">
        <v>0</v>
      </c>
      <c r="AE10" s="248">
        <v>20782.8</v>
      </c>
      <c r="AF10" s="248">
        <v>-4305.4799999999996</v>
      </c>
      <c r="AG10" s="248">
        <v>0</v>
      </c>
      <c r="AH10" s="248">
        <v>5760</v>
      </c>
      <c r="AI10" s="248">
        <v>-1728</v>
      </c>
      <c r="AJ10" s="248">
        <v>0</v>
      </c>
      <c r="AK10" s="248">
        <v>15022.8</v>
      </c>
      <c r="AL10" s="248">
        <v>-2577.48</v>
      </c>
      <c r="AM10" s="248">
        <v>0</v>
      </c>
      <c r="AN10" s="248"/>
      <c r="AO10" s="248">
        <v>0</v>
      </c>
      <c r="AP10" s="248">
        <v>0</v>
      </c>
      <c r="AQ10" s="248">
        <v>86280.82</v>
      </c>
    </row>
    <row r="11" spans="1:43">
      <c r="A11" s="248" t="s">
        <v>200</v>
      </c>
      <c r="B11" s="248">
        <v>300</v>
      </c>
      <c r="C11" s="248">
        <v>42000</v>
      </c>
      <c r="D11" s="248">
        <v>140</v>
      </c>
      <c r="E11" s="248">
        <v>0</v>
      </c>
      <c r="F11" s="248">
        <v>81600</v>
      </c>
      <c r="G11" s="248">
        <v>408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  <c r="O11" s="248">
        <v>0</v>
      </c>
      <c r="P11" s="248">
        <v>0</v>
      </c>
      <c r="Q11" s="248">
        <v>0</v>
      </c>
      <c r="R11" s="248">
        <v>0</v>
      </c>
      <c r="S11" s="248">
        <v>0</v>
      </c>
      <c r="T11" s="248">
        <v>0</v>
      </c>
      <c r="U11" s="248">
        <v>0</v>
      </c>
      <c r="V11" s="248">
        <v>0</v>
      </c>
      <c r="W11" s="248">
        <v>0</v>
      </c>
      <c r="X11" s="248">
        <v>0</v>
      </c>
      <c r="Y11" s="248">
        <v>123600</v>
      </c>
      <c r="Z11" s="248">
        <v>548</v>
      </c>
      <c r="AA11" s="248">
        <v>0</v>
      </c>
      <c r="AB11" s="248">
        <v>0</v>
      </c>
      <c r="AC11" s="248">
        <v>106242</v>
      </c>
      <c r="AD11" s="248">
        <v>0</v>
      </c>
      <c r="AE11" s="248">
        <v>20829.599999999999</v>
      </c>
      <c r="AF11" s="248">
        <v>-4362.96</v>
      </c>
      <c r="AG11" s="248">
        <v>0</v>
      </c>
      <c r="AH11" s="248">
        <v>5880</v>
      </c>
      <c r="AI11" s="248">
        <v>-1764</v>
      </c>
      <c r="AJ11" s="248">
        <v>0</v>
      </c>
      <c r="AK11" s="248">
        <v>14949.6</v>
      </c>
      <c r="AL11" s="248">
        <v>-2598.96</v>
      </c>
      <c r="AM11" s="248">
        <v>0</v>
      </c>
      <c r="AN11" s="248"/>
      <c r="AO11" s="248">
        <v>0</v>
      </c>
      <c r="AP11" s="248">
        <v>0</v>
      </c>
      <c r="AQ11" s="248">
        <v>85896.05</v>
      </c>
    </row>
    <row r="12" spans="1:43">
      <c r="A12" s="248" t="s">
        <v>200</v>
      </c>
      <c r="B12" s="248">
        <v>300</v>
      </c>
      <c r="C12" s="248">
        <v>36300</v>
      </c>
      <c r="D12" s="248">
        <v>121</v>
      </c>
      <c r="E12" s="248">
        <v>0</v>
      </c>
      <c r="F12" s="248">
        <v>65200</v>
      </c>
      <c r="G12" s="248">
        <v>326</v>
      </c>
      <c r="H12" s="248">
        <v>0</v>
      </c>
      <c r="I12" s="248">
        <v>0</v>
      </c>
      <c r="J12" s="248">
        <v>0</v>
      </c>
      <c r="K12" s="248">
        <v>0</v>
      </c>
      <c r="L12" s="248">
        <v>0</v>
      </c>
      <c r="M12" s="248">
        <v>0</v>
      </c>
      <c r="N12" s="248">
        <v>0</v>
      </c>
      <c r="O12" s="248">
        <v>0</v>
      </c>
      <c r="P12" s="248">
        <v>0</v>
      </c>
      <c r="Q12" s="248">
        <v>0</v>
      </c>
      <c r="R12" s="248">
        <v>0</v>
      </c>
      <c r="S12" s="248">
        <v>0</v>
      </c>
      <c r="T12" s="248">
        <v>0</v>
      </c>
      <c r="U12" s="248">
        <v>0</v>
      </c>
      <c r="V12" s="248">
        <v>0</v>
      </c>
      <c r="W12" s="248">
        <v>0</v>
      </c>
      <c r="X12" s="248">
        <v>0</v>
      </c>
      <c r="Y12" s="248">
        <v>101500</v>
      </c>
      <c r="Z12" s="248">
        <v>447</v>
      </c>
      <c r="AA12" s="248">
        <v>0</v>
      </c>
      <c r="AB12" s="248">
        <v>0</v>
      </c>
      <c r="AC12" s="248">
        <v>87242</v>
      </c>
      <c r="AD12" s="248">
        <v>0</v>
      </c>
      <c r="AE12" s="248">
        <v>17109.599999999999</v>
      </c>
      <c r="AF12" s="248">
        <v>-3414.96</v>
      </c>
      <c r="AG12" s="248">
        <v>0</v>
      </c>
      <c r="AH12" s="248">
        <v>4440</v>
      </c>
      <c r="AI12" s="248">
        <v>-1332</v>
      </c>
      <c r="AJ12" s="248">
        <v>0</v>
      </c>
      <c r="AK12" s="248">
        <v>12669.6</v>
      </c>
      <c r="AL12" s="248">
        <v>-2082.96</v>
      </c>
      <c r="AM12" s="248">
        <v>0</v>
      </c>
      <c r="AN12" s="248"/>
      <c r="AO12" s="248">
        <v>0</v>
      </c>
      <c r="AP12" s="248">
        <v>0</v>
      </c>
      <c r="AQ12" s="248">
        <v>70655.649999999994</v>
      </c>
    </row>
    <row r="13" spans="1:43">
      <c r="A13" s="248" t="s">
        <v>200</v>
      </c>
      <c r="B13" s="248">
        <v>300</v>
      </c>
      <c r="C13" s="248">
        <v>37500</v>
      </c>
      <c r="D13" s="248">
        <v>125</v>
      </c>
      <c r="E13" s="248">
        <v>0</v>
      </c>
      <c r="F13" s="248">
        <v>61800</v>
      </c>
      <c r="G13" s="248">
        <v>309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  <c r="O13" s="248">
        <v>0</v>
      </c>
      <c r="P13" s="248">
        <v>0</v>
      </c>
      <c r="Q13" s="248">
        <v>0</v>
      </c>
      <c r="R13" s="248">
        <v>0</v>
      </c>
      <c r="S13" s="248">
        <v>0</v>
      </c>
      <c r="T13" s="248">
        <v>0</v>
      </c>
      <c r="U13" s="248">
        <v>0</v>
      </c>
      <c r="V13" s="248">
        <v>0</v>
      </c>
      <c r="W13" s="248">
        <v>0</v>
      </c>
      <c r="X13" s="248">
        <v>0</v>
      </c>
      <c r="Y13" s="248">
        <v>99300</v>
      </c>
      <c r="Z13" s="248">
        <v>434</v>
      </c>
      <c r="AA13" s="248">
        <v>0</v>
      </c>
      <c r="AB13" s="248">
        <v>0</v>
      </c>
      <c r="AC13" s="248">
        <v>84532</v>
      </c>
      <c r="AD13" s="248">
        <v>0</v>
      </c>
      <c r="AE13" s="248">
        <v>17721.599999999999</v>
      </c>
      <c r="AF13" s="248">
        <v>-3596.16</v>
      </c>
      <c r="AG13" s="248">
        <v>0</v>
      </c>
      <c r="AH13" s="248">
        <v>4560</v>
      </c>
      <c r="AI13" s="248">
        <v>-1368</v>
      </c>
      <c r="AJ13" s="248">
        <v>0</v>
      </c>
      <c r="AK13" s="248">
        <v>13161.6</v>
      </c>
      <c r="AL13" s="248">
        <v>-2228.16</v>
      </c>
      <c r="AM13" s="248">
        <v>0</v>
      </c>
      <c r="AN13" s="248"/>
      <c r="AO13" s="248">
        <v>0</v>
      </c>
      <c r="AP13" s="248">
        <v>0</v>
      </c>
      <c r="AQ13" s="248">
        <v>69060.210000000006</v>
      </c>
    </row>
    <row r="14" spans="1:43">
      <c r="A14" s="248" t="s">
        <v>200</v>
      </c>
      <c r="B14" s="248">
        <v>300</v>
      </c>
      <c r="C14" s="248">
        <v>42900</v>
      </c>
      <c r="D14" s="248">
        <v>143</v>
      </c>
      <c r="E14" s="248">
        <v>0</v>
      </c>
      <c r="F14" s="248">
        <v>80000</v>
      </c>
      <c r="G14" s="248">
        <v>400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  <c r="O14" s="248">
        <v>0</v>
      </c>
      <c r="P14" s="248">
        <v>0</v>
      </c>
      <c r="Q14" s="248">
        <v>-200</v>
      </c>
      <c r="R14" s="248">
        <v>1</v>
      </c>
      <c r="S14" s="248">
        <v>0</v>
      </c>
      <c r="T14" s="248">
        <v>0</v>
      </c>
      <c r="U14" s="248">
        <v>0</v>
      </c>
      <c r="V14" s="248">
        <v>0</v>
      </c>
      <c r="W14" s="248">
        <v>0</v>
      </c>
      <c r="X14" s="248">
        <v>0</v>
      </c>
      <c r="Y14" s="248">
        <v>122900</v>
      </c>
      <c r="Z14" s="248">
        <v>543</v>
      </c>
      <c r="AA14" s="248">
        <v>-200</v>
      </c>
      <c r="AB14" s="248">
        <v>1</v>
      </c>
      <c r="AC14" s="248">
        <v>103733</v>
      </c>
      <c r="AD14" s="248">
        <v>-200</v>
      </c>
      <c r="AE14" s="248">
        <v>23000.400000000001</v>
      </c>
      <c r="AF14" s="248">
        <v>-4699.8</v>
      </c>
      <c r="AG14" s="248">
        <v>0</v>
      </c>
      <c r="AH14" s="248">
        <v>6598.8</v>
      </c>
      <c r="AI14" s="248">
        <v>-1979.64</v>
      </c>
      <c r="AJ14" s="248">
        <v>0</v>
      </c>
      <c r="AK14" s="248">
        <v>16401.599999999999</v>
      </c>
      <c r="AL14" s="248">
        <v>-2720.16</v>
      </c>
      <c r="AM14" s="248">
        <v>0</v>
      </c>
      <c r="AN14" s="248"/>
      <c r="AO14" s="248">
        <v>0</v>
      </c>
      <c r="AP14" s="248">
        <v>0</v>
      </c>
      <c r="AQ14" s="248">
        <v>85283.520000000004</v>
      </c>
    </row>
    <row r="15" spans="1:43">
      <c r="A15" s="248" t="s">
        <v>200</v>
      </c>
      <c r="B15" s="248">
        <v>300</v>
      </c>
      <c r="C15" s="248">
        <v>44400</v>
      </c>
      <c r="D15" s="248">
        <v>148</v>
      </c>
      <c r="E15" s="248">
        <v>0</v>
      </c>
      <c r="F15" s="248">
        <v>76600</v>
      </c>
      <c r="G15" s="248">
        <v>383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  <c r="O15" s="248">
        <v>0</v>
      </c>
      <c r="P15" s="248">
        <v>0</v>
      </c>
      <c r="Q15" s="248">
        <v>0</v>
      </c>
      <c r="R15" s="248">
        <v>0</v>
      </c>
      <c r="S15" s="248">
        <v>0</v>
      </c>
      <c r="T15" s="248">
        <v>0</v>
      </c>
      <c r="U15" s="248">
        <v>0</v>
      </c>
      <c r="V15" s="248">
        <v>0</v>
      </c>
      <c r="W15" s="248">
        <v>0</v>
      </c>
      <c r="X15" s="248">
        <v>0</v>
      </c>
      <c r="Y15" s="248">
        <v>121000</v>
      </c>
      <c r="Z15" s="248">
        <v>531</v>
      </c>
      <c r="AA15" s="248">
        <v>0</v>
      </c>
      <c r="AB15" s="248">
        <v>0</v>
      </c>
      <c r="AC15" s="248">
        <v>102421</v>
      </c>
      <c r="AD15" s="248">
        <v>0</v>
      </c>
      <c r="AE15" s="248">
        <v>22294.799999999999</v>
      </c>
      <c r="AF15" s="248">
        <v>-4506.84</v>
      </c>
      <c r="AG15" s="248">
        <v>0</v>
      </c>
      <c r="AH15" s="248">
        <v>6586.8</v>
      </c>
      <c r="AI15" s="248">
        <v>-1976.04</v>
      </c>
      <c r="AJ15" s="248">
        <v>0</v>
      </c>
      <c r="AK15" s="248">
        <v>15708</v>
      </c>
      <c r="AL15" s="248">
        <v>-2530.8000000000002</v>
      </c>
      <c r="AM15" s="248">
        <v>0</v>
      </c>
      <c r="AN15" s="248"/>
      <c r="AO15" s="248">
        <v>0</v>
      </c>
      <c r="AP15" s="248">
        <v>0</v>
      </c>
      <c r="AQ15" s="248">
        <v>84146.27</v>
      </c>
    </row>
    <row r="16" spans="1:43">
      <c r="A16" s="248" t="s">
        <v>200</v>
      </c>
      <c r="B16" s="248">
        <v>300</v>
      </c>
      <c r="C16" s="248">
        <v>31500</v>
      </c>
      <c r="D16" s="248">
        <v>105</v>
      </c>
      <c r="E16" s="248">
        <v>0</v>
      </c>
      <c r="F16" s="248">
        <v>49800</v>
      </c>
      <c r="G16" s="248">
        <v>249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  <c r="O16" s="248">
        <v>0</v>
      </c>
      <c r="P16" s="248">
        <v>0</v>
      </c>
      <c r="Q16" s="248">
        <v>0</v>
      </c>
      <c r="R16" s="248">
        <v>0</v>
      </c>
      <c r="S16" s="248">
        <v>0</v>
      </c>
      <c r="T16" s="248">
        <v>0</v>
      </c>
      <c r="U16" s="248">
        <v>0</v>
      </c>
      <c r="V16" s="248">
        <v>0</v>
      </c>
      <c r="W16" s="248">
        <v>0</v>
      </c>
      <c r="X16" s="248">
        <v>0</v>
      </c>
      <c r="Y16" s="248">
        <v>81300</v>
      </c>
      <c r="Z16" s="248">
        <v>354</v>
      </c>
      <c r="AA16" s="248">
        <v>0</v>
      </c>
      <c r="AB16" s="248">
        <v>0</v>
      </c>
      <c r="AC16" s="248">
        <v>68530</v>
      </c>
      <c r="AD16" s="248">
        <v>0</v>
      </c>
      <c r="AE16" s="248">
        <v>15324</v>
      </c>
      <c r="AF16" s="248">
        <v>-3116.4</v>
      </c>
      <c r="AG16" s="248">
        <v>0</v>
      </c>
      <c r="AH16" s="248">
        <v>4920</v>
      </c>
      <c r="AI16" s="248">
        <v>-1476</v>
      </c>
      <c r="AJ16" s="248">
        <v>0</v>
      </c>
      <c r="AK16" s="248">
        <v>10404</v>
      </c>
      <c r="AL16" s="248">
        <v>-1640.4</v>
      </c>
      <c r="AM16" s="248">
        <v>0</v>
      </c>
      <c r="AN16" s="248"/>
      <c r="AO16" s="248">
        <v>0</v>
      </c>
      <c r="AP16" s="248">
        <v>0</v>
      </c>
      <c r="AQ16" s="248">
        <v>56516.32</v>
      </c>
    </row>
    <row r="17" spans="1:43">
      <c r="A17" s="248" t="s">
        <v>200</v>
      </c>
      <c r="B17" s="248">
        <v>300</v>
      </c>
      <c r="C17" s="248">
        <v>31200</v>
      </c>
      <c r="D17" s="248">
        <v>104</v>
      </c>
      <c r="E17" s="248">
        <v>0</v>
      </c>
      <c r="F17" s="248">
        <v>48000</v>
      </c>
      <c r="G17" s="248">
        <v>240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  <c r="O17" s="248">
        <v>0</v>
      </c>
      <c r="P17" s="248">
        <v>0</v>
      </c>
      <c r="Q17" s="248">
        <v>0</v>
      </c>
      <c r="R17" s="248">
        <v>0</v>
      </c>
      <c r="S17" s="248">
        <v>0</v>
      </c>
      <c r="T17" s="248">
        <v>0</v>
      </c>
      <c r="U17" s="248">
        <v>0</v>
      </c>
      <c r="V17" s="248">
        <v>0</v>
      </c>
      <c r="W17" s="248">
        <v>0</v>
      </c>
      <c r="X17" s="248">
        <v>0</v>
      </c>
      <c r="Y17" s="248">
        <v>79200</v>
      </c>
      <c r="Z17" s="248">
        <v>344</v>
      </c>
      <c r="AA17" s="248">
        <v>0</v>
      </c>
      <c r="AB17" s="248">
        <v>0</v>
      </c>
      <c r="AC17" s="248">
        <v>66040</v>
      </c>
      <c r="AD17" s="248">
        <v>0</v>
      </c>
      <c r="AE17" s="248">
        <v>15792</v>
      </c>
      <c r="AF17" s="248">
        <v>-3211.2</v>
      </c>
      <c r="AG17" s="248">
        <v>0</v>
      </c>
      <c r="AH17" s="248">
        <v>4320</v>
      </c>
      <c r="AI17" s="248">
        <v>-1296</v>
      </c>
      <c r="AJ17" s="248">
        <v>0</v>
      </c>
      <c r="AK17" s="248">
        <v>11472</v>
      </c>
      <c r="AL17" s="248">
        <v>-1915.2</v>
      </c>
      <c r="AM17" s="248">
        <v>0</v>
      </c>
      <c r="AN17" s="248"/>
      <c r="AO17" s="248">
        <v>0</v>
      </c>
      <c r="AP17" s="248">
        <v>0</v>
      </c>
      <c r="AQ17" s="248">
        <v>55034.559999999998</v>
      </c>
    </row>
    <row r="18" spans="1:43">
      <c r="A18" s="248" t="s">
        <v>200</v>
      </c>
      <c r="B18" s="248">
        <v>300</v>
      </c>
      <c r="C18" s="248">
        <v>31500</v>
      </c>
      <c r="D18" s="248">
        <v>105</v>
      </c>
      <c r="E18" s="248">
        <v>0</v>
      </c>
      <c r="F18" s="248">
        <v>61200</v>
      </c>
      <c r="G18" s="248">
        <v>306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  <c r="O18" s="248">
        <v>0</v>
      </c>
      <c r="P18" s="248">
        <v>0</v>
      </c>
      <c r="Q18" s="248">
        <v>0</v>
      </c>
      <c r="R18" s="248">
        <v>0</v>
      </c>
      <c r="S18" s="248">
        <v>0</v>
      </c>
      <c r="T18" s="248">
        <v>0</v>
      </c>
      <c r="U18" s="248">
        <v>0</v>
      </c>
      <c r="V18" s="248">
        <v>0</v>
      </c>
      <c r="W18" s="248">
        <v>0</v>
      </c>
      <c r="X18" s="248">
        <v>0</v>
      </c>
      <c r="Y18" s="248">
        <v>92700</v>
      </c>
      <c r="Z18" s="248">
        <v>411</v>
      </c>
      <c r="AA18" s="248">
        <v>0</v>
      </c>
      <c r="AB18" s="248">
        <v>0</v>
      </c>
      <c r="AC18" s="248">
        <v>80241</v>
      </c>
      <c r="AD18" s="248">
        <v>0</v>
      </c>
      <c r="AE18" s="248">
        <v>14950.8</v>
      </c>
      <c r="AF18" s="248">
        <v>-3079.08</v>
      </c>
      <c r="AG18" s="248">
        <v>0</v>
      </c>
      <c r="AH18" s="248">
        <v>3840</v>
      </c>
      <c r="AI18" s="248">
        <v>-1152</v>
      </c>
      <c r="AJ18" s="248">
        <v>0</v>
      </c>
      <c r="AK18" s="248">
        <v>11110.8</v>
      </c>
      <c r="AL18" s="248">
        <v>-1927.08</v>
      </c>
      <c r="AM18" s="248">
        <v>0</v>
      </c>
      <c r="AN18" s="248"/>
      <c r="AO18" s="248">
        <v>0</v>
      </c>
      <c r="AP18" s="248">
        <v>0</v>
      </c>
      <c r="AQ18" s="248">
        <v>64478.9</v>
      </c>
    </row>
    <row r="19" spans="1:43">
      <c r="A19" s="248" t="s">
        <v>200</v>
      </c>
      <c r="B19" s="248">
        <v>300</v>
      </c>
      <c r="C19" s="248">
        <v>32400</v>
      </c>
      <c r="D19" s="248">
        <v>108</v>
      </c>
      <c r="E19" s="248">
        <v>0</v>
      </c>
      <c r="F19" s="248">
        <v>53800</v>
      </c>
      <c r="G19" s="248">
        <v>269</v>
      </c>
      <c r="H19" s="248">
        <v>0</v>
      </c>
      <c r="I19" s="248">
        <v>0</v>
      </c>
      <c r="J19" s="248">
        <v>0</v>
      </c>
      <c r="K19" s="248">
        <v>0</v>
      </c>
      <c r="L19" s="248">
        <v>0</v>
      </c>
      <c r="M19" s="248">
        <v>0</v>
      </c>
      <c r="N19" s="248">
        <v>0</v>
      </c>
      <c r="O19" s="248">
        <v>0</v>
      </c>
      <c r="P19" s="248">
        <v>0</v>
      </c>
      <c r="Q19" s="248">
        <v>0</v>
      </c>
      <c r="R19" s="248">
        <v>0</v>
      </c>
      <c r="S19" s="248">
        <v>0</v>
      </c>
      <c r="T19" s="248">
        <v>0</v>
      </c>
      <c r="U19" s="248">
        <v>0</v>
      </c>
      <c r="V19" s="248">
        <v>0</v>
      </c>
      <c r="W19" s="248">
        <v>0</v>
      </c>
      <c r="X19" s="248">
        <v>0</v>
      </c>
      <c r="Y19" s="248">
        <v>86200</v>
      </c>
      <c r="Z19" s="248">
        <v>377</v>
      </c>
      <c r="AA19" s="248">
        <v>0</v>
      </c>
      <c r="AB19" s="248">
        <v>0</v>
      </c>
      <c r="AC19" s="248">
        <v>74209</v>
      </c>
      <c r="AD19" s="248">
        <v>0</v>
      </c>
      <c r="AE19" s="248">
        <v>14389.2</v>
      </c>
      <c r="AF19" s="248">
        <v>-2917.8</v>
      </c>
      <c r="AG19" s="248">
        <v>0</v>
      </c>
      <c r="AH19" s="248">
        <v>4154.3999999999996</v>
      </c>
      <c r="AI19" s="248">
        <v>-1246.32</v>
      </c>
      <c r="AJ19" s="248">
        <v>0</v>
      </c>
      <c r="AK19" s="248">
        <v>10234.799999999999</v>
      </c>
      <c r="AL19" s="248">
        <v>-1671.48</v>
      </c>
      <c r="AM19" s="248">
        <v>0</v>
      </c>
      <c r="AN19" s="248"/>
      <c r="AO19" s="248">
        <v>0</v>
      </c>
      <c r="AP19" s="248">
        <v>0</v>
      </c>
      <c r="AQ19" s="248">
        <v>59976.28</v>
      </c>
    </row>
    <row r="20" spans="1:43">
      <c r="A20" s="248" t="s">
        <v>200</v>
      </c>
      <c r="B20" s="248">
        <v>300</v>
      </c>
      <c r="C20" s="248">
        <v>5400</v>
      </c>
      <c r="D20" s="248">
        <v>18</v>
      </c>
      <c r="E20" s="248">
        <v>0</v>
      </c>
      <c r="F20" s="248">
        <v>0</v>
      </c>
      <c r="G20" s="248">
        <v>0</v>
      </c>
      <c r="H20" s="248">
        <v>2877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  <c r="O20" s="248">
        <v>0</v>
      </c>
      <c r="P20" s="248">
        <v>0</v>
      </c>
      <c r="Q20" s="248">
        <v>0</v>
      </c>
      <c r="R20" s="248">
        <v>0</v>
      </c>
      <c r="S20" s="248">
        <v>0</v>
      </c>
      <c r="T20" s="248">
        <v>0</v>
      </c>
      <c r="U20" s="248">
        <v>0</v>
      </c>
      <c r="V20" s="248">
        <v>0</v>
      </c>
      <c r="W20" s="248">
        <v>0</v>
      </c>
      <c r="X20" s="248">
        <v>0</v>
      </c>
      <c r="Y20" s="248">
        <v>5400</v>
      </c>
      <c r="Z20" s="248">
        <v>2895</v>
      </c>
      <c r="AA20" s="248">
        <v>0</v>
      </c>
      <c r="AB20" s="248">
        <v>0</v>
      </c>
      <c r="AC20" s="248">
        <v>5100</v>
      </c>
      <c r="AD20" s="248">
        <v>0</v>
      </c>
      <c r="AE20" s="248">
        <v>360</v>
      </c>
      <c r="AF20" s="248">
        <v>-36</v>
      </c>
      <c r="AG20" s="248">
        <v>0</v>
      </c>
      <c r="AH20" s="248"/>
      <c r="AI20" s="248">
        <v>0</v>
      </c>
      <c r="AJ20" s="248">
        <v>0</v>
      </c>
      <c r="AK20" s="248">
        <v>360</v>
      </c>
      <c r="AL20" s="248">
        <v>-36</v>
      </c>
      <c r="AM20" s="248">
        <v>0</v>
      </c>
      <c r="AN20" s="248"/>
      <c r="AO20" s="248">
        <v>0</v>
      </c>
      <c r="AP20" s="248">
        <v>0</v>
      </c>
      <c r="AQ20" s="248">
        <v>3796.8</v>
      </c>
    </row>
    <row r="21" spans="1:43">
      <c r="A21" s="248" t="s">
        <v>200</v>
      </c>
      <c r="B21" s="248">
        <v>300</v>
      </c>
      <c r="C21" s="248">
        <v>31800</v>
      </c>
      <c r="D21" s="248">
        <v>106</v>
      </c>
      <c r="E21" s="248">
        <v>0</v>
      </c>
      <c r="F21" s="248">
        <v>52400</v>
      </c>
      <c r="G21" s="248">
        <v>262</v>
      </c>
      <c r="H21" s="248">
        <v>0</v>
      </c>
      <c r="I21" s="248">
        <v>0</v>
      </c>
      <c r="J21" s="248">
        <v>0</v>
      </c>
      <c r="K21" s="248">
        <v>0</v>
      </c>
      <c r="L21" s="248">
        <v>0</v>
      </c>
      <c r="M21" s="248">
        <v>0</v>
      </c>
      <c r="N21" s="248">
        <v>0</v>
      </c>
      <c r="O21" s="248">
        <v>0</v>
      </c>
      <c r="P21" s="248">
        <v>0</v>
      </c>
      <c r="Q21" s="248">
        <v>0</v>
      </c>
      <c r="R21" s="248">
        <v>0</v>
      </c>
      <c r="S21" s="248">
        <v>0</v>
      </c>
      <c r="T21" s="248">
        <v>0</v>
      </c>
      <c r="U21" s="248">
        <v>0</v>
      </c>
      <c r="V21" s="248">
        <v>0</v>
      </c>
      <c r="W21" s="248">
        <v>0</v>
      </c>
      <c r="X21" s="248">
        <v>0</v>
      </c>
      <c r="Y21" s="248">
        <v>84200</v>
      </c>
      <c r="Z21" s="248">
        <v>368</v>
      </c>
      <c r="AA21" s="248">
        <v>0</v>
      </c>
      <c r="AB21" s="248">
        <v>0</v>
      </c>
      <c r="AC21" s="248">
        <v>72129</v>
      </c>
      <c r="AD21" s="248">
        <v>0</v>
      </c>
      <c r="AE21" s="248">
        <v>14485.2</v>
      </c>
      <c r="AF21" s="248">
        <v>-2939.4</v>
      </c>
      <c r="AG21" s="248">
        <v>0</v>
      </c>
      <c r="AH21" s="248">
        <v>4080</v>
      </c>
      <c r="AI21" s="248">
        <v>-1224</v>
      </c>
      <c r="AJ21" s="248">
        <v>0</v>
      </c>
      <c r="AK21" s="248">
        <v>10405.200000000001</v>
      </c>
      <c r="AL21" s="248">
        <v>-1715.4</v>
      </c>
      <c r="AM21" s="248">
        <v>0</v>
      </c>
      <c r="AN21" s="248"/>
      <c r="AO21" s="248">
        <v>0</v>
      </c>
      <c r="AP21" s="248">
        <v>0</v>
      </c>
      <c r="AQ21" s="248">
        <v>58572.36</v>
      </c>
    </row>
    <row r="22" spans="1:43">
      <c r="A22" s="248" t="s">
        <v>200</v>
      </c>
      <c r="B22" s="248">
        <v>300</v>
      </c>
      <c r="C22" s="248">
        <v>29400</v>
      </c>
      <c r="D22" s="248">
        <v>98</v>
      </c>
      <c r="E22" s="248">
        <v>0</v>
      </c>
      <c r="F22" s="248">
        <v>47600</v>
      </c>
      <c r="G22" s="248">
        <v>238</v>
      </c>
      <c r="H22" s="248">
        <v>0</v>
      </c>
      <c r="I22" s="248">
        <v>0</v>
      </c>
      <c r="J22" s="248">
        <v>0</v>
      </c>
      <c r="K22" s="248">
        <v>0</v>
      </c>
      <c r="L22" s="248">
        <v>0</v>
      </c>
      <c r="M22" s="248">
        <v>0</v>
      </c>
      <c r="N22" s="248">
        <v>0</v>
      </c>
      <c r="O22" s="248">
        <v>0</v>
      </c>
      <c r="P22" s="248">
        <v>0</v>
      </c>
      <c r="Q22" s="248">
        <v>0</v>
      </c>
      <c r="R22" s="248">
        <v>0</v>
      </c>
      <c r="S22" s="248">
        <v>0</v>
      </c>
      <c r="T22" s="248">
        <v>0</v>
      </c>
      <c r="U22" s="248">
        <v>0</v>
      </c>
      <c r="V22" s="248">
        <v>0</v>
      </c>
      <c r="W22" s="248">
        <v>0</v>
      </c>
      <c r="X22" s="248">
        <v>0</v>
      </c>
      <c r="Y22" s="248">
        <v>77000</v>
      </c>
      <c r="Z22" s="248">
        <v>336</v>
      </c>
      <c r="AA22" s="248">
        <v>0</v>
      </c>
      <c r="AB22" s="248">
        <v>0</v>
      </c>
      <c r="AC22" s="248">
        <v>66529</v>
      </c>
      <c r="AD22" s="248">
        <v>0</v>
      </c>
      <c r="AE22" s="248">
        <v>12565.2</v>
      </c>
      <c r="AF22" s="248">
        <v>-2555.4</v>
      </c>
      <c r="AG22" s="248">
        <v>0</v>
      </c>
      <c r="AH22" s="248">
        <v>3600</v>
      </c>
      <c r="AI22" s="248">
        <v>-1080</v>
      </c>
      <c r="AJ22" s="248">
        <v>0</v>
      </c>
      <c r="AK22" s="248">
        <v>8965.2000000000007</v>
      </c>
      <c r="AL22" s="248">
        <v>-1475.4</v>
      </c>
      <c r="AM22" s="248">
        <v>0</v>
      </c>
      <c r="AN22" s="248"/>
      <c r="AO22" s="248">
        <v>0</v>
      </c>
      <c r="AP22" s="248">
        <v>0</v>
      </c>
      <c r="AQ22" s="248">
        <v>53577.16</v>
      </c>
    </row>
    <row r="23" spans="1:43">
      <c r="A23" s="248" t="s">
        <v>200</v>
      </c>
      <c r="B23" s="248">
        <v>300</v>
      </c>
      <c r="C23" s="248">
        <v>29700</v>
      </c>
      <c r="D23" s="248">
        <v>99</v>
      </c>
      <c r="E23" s="248">
        <v>0</v>
      </c>
      <c r="F23" s="248">
        <v>46800</v>
      </c>
      <c r="G23" s="248">
        <v>234</v>
      </c>
      <c r="H23" s="248">
        <v>0</v>
      </c>
      <c r="I23" s="248">
        <v>0</v>
      </c>
      <c r="J23" s="248">
        <v>0</v>
      </c>
      <c r="K23" s="248">
        <v>0</v>
      </c>
      <c r="L23" s="248">
        <v>0</v>
      </c>
      <c r="M23" s="248">
        <v>0</v>
      </c>
      <c r="N23" s="248">
        <v>0</v>
      </c>
      <c r="O23" s="248">
        <v>0</v>
      </c>
      <c r="P23" s="248">
        <v>0</v>
      </c>
      <c r="Q23" s="248">
        <v>0</v>
      </c>
      <c r="R23" s="248">
        <v>0</v>
      </c>
      <c r="S23" s="248">
        <v>0</v>
      </c>
      <c r="T23" s="248">
        <v>0</v>
      </c>
      <c r="U23" s="248">
        <v>0</v>
      </c>
      <c r="V23" s="248">
        <v>0</v>
      </c>
      <c r="W23" s="248">
        <v>0</v>
      </c>
      <c r="X23" s="248">
        <v>0</v>
      </c>
      <c r="Y23" s="248">
        <v>76500</v>
      </c>
      <c r="Z23" s="248">
        <v>333</v>
      </c>
      <c r="AA23" s="248">
        <v>0</v>
      </c>
      <c r="AB23" s="248">
        <v>0</v>
      </c>
      <c r="AC23" s="248">
        <v>66300</v>
      </c>
      <c r="AD23" s="248">
        <v>0</v>
      </c>
      <c r="AE23" s="248">
        <v>12240</v>
      </c>
      <c r="AF23" s="248">
        <v>-2457.84</v>
      </c>
      <c r="AG23" s="248">
        <v>0</v>
      </c>
      <c r="AH23" s="248">
        <v>3360</v>
      </c>
      <c r="AI23" s="248">
        <v>-1008</v>
      </c>
      <c r="AJ23" s="248">
        <v>0</v>
      </c>
      <c r="AK23" s="248">
        <v>8880</v>
      </c>
      <c r="AL23" s="248">
        <v>-1449.84</v>
      </c>
      <c r="AM23" s="248">
        <v>0</v>
      </c>
      <c r="AN23" s="248"/>
      <c r="AO23" s="248">
        <v>0</v>
      </c>
      <c r="AP23" s="248">
        <v>0</v>
      </c>
      <c r="AQ23" s="248">
        <v>53257.51</v>
      </c>
    </row>
    <row r="24" spans="1:43">
      <c r="A24" s="248" t="s">
        <v>200</v>
      </c>
      <c r="B24" s="248">
        <v>300</v>
      </c>
      <c r="C24" s="248">
        <v>28200</v>
      </c>
      <c r="D24" s="248">
        <v>94</v>
      </c>
      <c r="E24" s="248">
        <v>0</v>
      </c>
      <c r="F24" s="248">
        <v>43800</v>
      </c>
      <c r="G24" s="248">
        <v>219</v>
      </c>
      <c r="H24" s="248">
        <v>0</v>
      </c>
      <c r="I24" s="248">
        <v>0</v>
      </c>
      <c r="J24" s="248">
        <v>0</v>
      </c>
      <c r="K24" s="248">
        <v>0</v>
      </c>
      <c r="L24" s="248">
        <v>0</v>
      </c>
      <c r="M24" s="248">
        <v>0</v>
      </c>
      <c r="N24" s="248">
        <v>0</v>
      </c>
      <c r="O24" s="248">
        <v>0</v>
      </c>
      <c r="P24" s="248">
        <v>0</v>
      </c>
      <c r="Q24" s="248">
        <v>0</v>
      </c>
      <c r="R24" s="248">
        <v>0</v>
      </c>
      <c r="S24" s="248">
        <v>0</v>
      </c>
      <c r="T24" s="248">
        <v>0</v>
      </c>
      <c r="U24" s="248">
        <v>0</v>
      </c>
      <c r="V24" s="248">
        <v>0</v>
      </c>
      <c r="W24" s="248">
        <v>0</v>
      </c>
      <c r="X24" s="248">
        <v>0</v>
      </c>
      <c r="Y24" s="248">
        <v>72000</v>
      </c>
      <c r="Z24" s="248">
        <v>313</v>
      </c>
      <c r="AA24" s="248">
        <v>0</v>
      </c>
      <c r="AB24" s="248">
        <v>0</v>
      </c>
      <c r="AC24" s="248">
        <v>62030</v>
      </c>
      <c r="AD24" s="248">
        <v>0</v>
      </c>
      <c r="AE24" s="248">
        <v>11964</v>
      </c>
      <c r="AF24" s="248">
        <v>-2447.04</v>
      </c>
      <c r="AG24" s="248">
        <v>0</v>
      </c>
      <c r="AH24" s="248">
        <v>3360</v>
      </c>
      <c r="AI24" s="248">
        <v>-1008</v>
      </c>
      <c r="AJ24" s="248">
        <v>0</v>
      </c>
      <c r="AK24" s="248">
        <v>8604</v>
      </c>
      <c r="AL24" s="248">
        <v>-1439.04</v>
      </c>
      <c r="AM24" s="248">
        <v>0</v>
      </c>
      <c r="AN24" s="248"/>
      <c r="AO24" s="248">
        <v>0</v>
      </c>
      <c r="AP24" s="248">
        <v>0</v>
      </c>
      <c r="AQ24" s="248">
        <v>50082.87</v>
      </c>
    </row>
    <row r="25" spans="1:43">
      <c r="A25" s="248" t="s">
        <v>200</v>
      </c>
      <c r="B25" s="248">
        <v>300</v>
      </c>
      <c r="C25" s="248">
        <v>29400</v>
      </c>
      <c r="D25" s="248">
        <v>98</v>
      </c>
      <c r="E25" s="248">
        <v>0</v>
      </c>
      <c r="F25" s="248">
        <v>45600</v>
      </c>
      <c r="G25" s="248">
        <v>228</v>
      </c>
      <c r="H25" s="248">
        <v>0</v>
      </c>
      <c r="I25" s="248">
        <v>0</v>
      </c>
      <c r="J25" s="248">
        <v>0</v>
      </c>
      <c r="K25" s="248">
        <v>0</v>
      </c>
      <c r="L25" s="248">
        <v>0</v>
      </c>
      <c r="M25" s="248">
        <v>0</v>
      </c>
      <c r="N25" s="248">
        <v>0</v>
      </c>
      <c r="O25" s="248">
        <v>0</v>
      </c>
      <c r="P25" s="248">
        <v>0</v>
      </c>
      <c r="Q25" s="248">
        <v>0</v>
      </c>
      <c r="R25" s="248">
        <v>0</v>
      </c>
      <c r="S25" s="248">
        <v>0</v>
      </c>
      <c r="T25" s="248">
        <v>0</v>
      </c>
      <c r="U25" s="248">
        <v>0</v>
      </c>
      <c r="V25" s="248">
        <v>0</v>
      </c>
      <c r="W25" s="248">
        <v>0</v>
      </c>
      <c r="X25" s="248">
        <v>0</v>
      </c>
      <c r="Y25" s="248">
        <v>75000</v>
      </c>
      <c r="Z25" s="248">
        <v>326</v>
      </c>
      <c r="AA25" s="248">
        <v>0</v>
      </c>
      <c r="AB25" s="248">
        <v>0</v>
      </c>
      <c r="AC25" s="248">
        <v>64530</v>
      </c>
      <c r="AD25" s="248">
        <v>0</v>
      </c>
      <c r="AE25" s="248">
        <v>12564</v>
      </c>
      <c r="AF25" s="248">
        <v>-2555.04</v>
      </c>
      <c r="AG25" s="248">
        <v>0</v>
      </c>
      <c r="AH25" s="248">
        <v>3600</v>
      </c>
      <c r="AI25" s="248">
        <v>-1080</v>
      </c>
      <c r="AJ25" s="248">
        <v>0</v>
      </c>
      <c r="AK25" s="248">
        <v>8964</v>
      </c>
      <c r="AL25" s="248">
        <v>-1475.04</v>
      </c>
      <c r="AM25" s="248">
        <v>0</v>
      </c>
      <c r="AN25" s="248"/>
      <c r="AO25" s="248">
        <v>0</v>
      </c>
      <c r="AP25" s="248">
        <v>0</v>
      </c>
      <c r="AQ25" s="248">
        <v>52177.27</v>
      </c>
    </row>
    <row r="26" spans="1:43">
      <c r="A26" s="248" t="s">
        <v>200</v>
      </c>
      <c r="B26" s="248">
        <v>300</v>
      </c>
      <c r="C26" s="248">
        <v>33300</v>
      </c>
      <c r="D26" s="248">
        <v>111</v>
      </c>
      <c r="E26" s="248">
        <v>0</v>
      </c>
      <c r="F26" s="248">
        <v>52000</v>
      </c>
      <c r="G26" s="248">
        <v>260</v>
      </c>
      <c r="H26" s="248">
        <v>0</v>
      </c>
      <c r="I26" s="248">
        <v>0</v>
      </c>
      <c r="J26" s="248">
        <v>0</v>
      </c>
      <c r="K26" s="248">
        <v>0</v>
      </c>
      <c r="L26" s="248">
        <v>0</v>
      </c>
      <c r="M26" s="248">
        <v>0</v>
      </c>
      <c r="N26" s="248">
        <v>0</v>
      </c>
      <c r="O26" s="248">
        <v>0</v>
      </c>
      <c r="P26" s="248">
        <v>0</v>
      </c>
      <c r="Q26" s="248">
        <v>0</v>
      </c>
      <c r="R26" s="248">
        <v>0</v>
      </c>
      <c r="S26" s="248">
        <v>0</v>
      </c>
      <c r="T26" s="248">
        <v>0</v>
      </c>
      <c r="U26" s="248">
        <v>0</v>
      </c>
      <c r="V26" s="248">
        <v>0</v>
      </c>
      <c r="W26" s="248">
        <v>0</v>
      </c>
      <c r="X26" s="248">
        <v>0</v>
      </c>
      <c r="Y26" s="248">
        <v>85300</v>
      </c>
      <c r="Z26" s="248">
        <v>371</v>
      </c>
      <c r="AA26" s="248">
        <v>0</v>
      </c>
      <c r="AB26" s="248">
        <v>0</v>
      </c>
      <c r="AC26" s="248">
        <v>74030</v>
      </c>
      <c r="AD26" s="248">
        <v>0</v>
      </c>
      <c r="AE26" s="248">
        <v>13524</v>
      </c>
      <c r="AF26" s="248">
        <v>-2747.04</v>
      </c>
      <c r="AG26" s="248">
        <v>0</v>
      </c>
      <c r="AH26" s="248">
        <v>3840</v>
      </c>
      <c r="AI26" s="248">
        <v>-1152</v>
      </c>
      <c r="AJ26" s="248">
        <v>0</v>
      </c>
      <c r="AK26" s="248">
        <v>9684</v>
      </c>
      <c r="AL26" s="248">
        <v>-1595.04</v>
      </c>
      <c r="AM26" s="248">
        <v>0</v>
      </c>
      <c r="AN26" s="248"/>
      <c r="AO26" s="248">
        <v>0</v>
      </c>
      <c r="AP26" s="248">
        <v>0</v>
      </c>
      <c r="AQ26" s="248">
        <v>59364.87</v>
      </c>
    </row>
    <row r="27" spans="1:43">
      <c r="A27" s="248" t="s">
        <v>200</v>
      </c>
      <c r="B27" s="248">
        <v>300</v>
      </c>
      <c r="C27" s="248">
        <v>45000</v>
      </c>
      <c r="D27" s="248">
        <v>150</v>
      </c>
      <c r="E27" s="248">
        <v>0</v>
      </c>
      <c r="F27" s="248">
        <v>86600</v>
      </c>
      <c r="G27" s="248">
        <v>433</v>
      </c>
      <c r="H27" s="248">
        <v>0</v>
      </c>
      <c r="I27" s="248">
        <v>0</v>
      </c>
      <c r="J27" s="248">
        <v>0</v>
      </c>
      <c r="K27" s="248">
        <v>0</v>
      </c>
      <c r="L27" s="248">
        <v>0</v>
      </c>
      <c r="M27" s="248">
        <v>0</v>
      </c>
      <c r="N27" s="248">
        <v>0</v>
      </c>
      <c r="O27" s="248">
        <v>0</v>
      </c>
      <c r="P27" s="248">
        <v>0</v>
      </c>
      <c r="Q27" s="248">
        <v>0</v>
      </c>
      <c r="R27" s="248">
        <v>0</v>
      </c>
      <c r="S27" s="248">
        <v>0</v>
      </c>
      <c r="T27" s="248">
        <v>0</v>
      </c>
      <c r="U27" s="248">
        <v>0</v>
      </c>
      <c r="V27" s="248">
        <v>0</v>
      </c>
      <c r="W27" s="248">
        <v>0</v>
      </c>
      <c r="X27" s="248">
        <v>0</v>
      </c>
      <c r="Y27" s="248">
        <v>131600</v>
      </c>
      <c r="Z27" s="248">
        <v>583</v>
      </c>
      <c r="AA27" s="248">
        <v>0</v>
      </c>
      <c r="AB27" s="248">
        <v>0</v>
      </c>
      <c r="AC27" s="248">
        <v>116030</v>
      </c>
      <c r="AD27" s="248">
        <v>0</v>
      </c>
      <c r="AE27" s="248">
        <v>18684.599999999999</v>
      </c>
      <c r="AF27" s="248">
        <v>-3839.22</v>
      </c>
      <c r="AG27" s="248">
        <v>0</v>
      </c>
      <c r="AH27" s="248">
        <v>5880.6</v>
      </c>
      <c r="AI27" s="248">
        <v>-1764.18</v>
      </c>
      <c r="AJ27" s="248">
        <v>0</v>
      </c>
      <c r="AK27" s="248">
        <v>12804</v>
      </c>
      <c r="AL27" s="248">
        <v>-2075.04</v>
      </c>
      <c r="AM27" s="248">
        <v>0</v>
      </c>
      <c r="AN27" s="248"/>
      <c r="AO27" s="248">
        <v>0</v>
      </c>
      <c r="AP27" s="248">
        <v>0</v>
      </c>
      <c r="AQ27" s="248">
        <v>91612.76</v>
      </c>
    </row>
    <row r="28" spans="1:43">
      <c r="A28" s="248" t="s">
        <v>200</v>
      </c>
      <c r="B28" s="248">
        <v>300</v>
      </c>
      <c r="C28" s="248">
        <v>62700</v>
      </c>
      <c r="D28" s="248">
        <v>209</v>
      </c>
      <c r="E28" s="248">
        <v>0</v>
      </c>
      <c r="F28" s="248">
        <v>97000</v>
      </c>
      <c r="G28" s="248">
        <v>485</v>
      </c>
      <c r="H28" s="248">
        <v>0</v>
      </c>
      <c r="I28" s="248">
        <v>0</v>
      </c>
      <c r="J28" s="248">
        <v>0</v>
      </c>
      <c r="K28" s="248">
        <v>0</v>
      </c>
      <c r="L28" s="248">
        <v>0</v>
      </c>
      <c r="M28" s="248">
        <v>0</v>
      </c>
      <c r="N28" s="248">
        <v>0</v>
      </c>
      <c r="O28" s="248">
        <v>-300</v>
      </c>
      <c r="P28" s="248">
        <v>1</v>
      </c>
      <c r="Q28" s="248">
        <v>-200</v>
      </c>
      <c r="R28" s="248">
        <v>1</v>
      </c>
      <c r="S28" s="248">
        <v>0</v>
      </c>
      <c r="T28" s="248">
        <v>0</v>
      </c>
      <c r="U28" s="248">
        <v>0</v>
      </c>
      <c r="V28" s="248">
        <v>0</v>
      </c>
      <c r="W28" s="248">
        <v>0</v>
      </c>
      <c r="X28" s="248">
        <v>0</v>
      </c>
      <c r="Y28" s="248">
        <v>159700</v>
      </c>
      <c r="Z28" s="248">
        <v>694</v>
      </c>
      <c r="AA28" s="248">
        <v>-500</v>
      </c>
      <c r="AB28" s="248">
        <v>2</v>
      </c>
      <c r="AC28" s="248">
        <v>144170</v>
      </c>
      <c r="AD28" s="248">
        <v>-500</v>
      </c>
      <c r="AE28" s="248">
        <v>18636</v>
      </c>
      <c r="AF28" s="248">
        <v>-4280.6400000000003</v>
      </c>
      <c r="AG28" s="248">
        <v>0</v>
      </c>
      <c r="AH28" s="248">
        <v>4440</v>
      </c>
      <c r="AI28" s="248">
        <v>-1332</v>
      </c>
      <c r="AJ28" s="248">
        <v>0</v>
      </c>
      <c r="AK28" s="248">
        <v>14196</v>
      </c>
      <c r="AL28" s="248">
        <v>-2948.64</v>
      </c>
      <c r="AM28" s="248">
        <v>0</v>
      </c>
      <c r="AN28" s="248"/>
      <c r="AO28" s="248">
        <v>0</v>
      </c>
      <c r="AP28" s="248">
        <v>0</v>
      </c>
      <c r="AQ28" s="248">
        <v>110617.75</v>
      </c>
    </row>
    <row r="29" spans="1:43">
      <c r="A29" s="248" t="s">
        <v>200</v>
      </c>
      <c r="B29" s="248">
        <v>300</v>
      </c>
      <c r="C29" s="248">
        <v>51300</v>
      </c>
      <c r="D29" s="248">
        <v>171</v>
      </c>
      <c r="E29" s="248">
        <v>0</v>
      </c>
      <c r="F29" s="248">
        <v>70600</v>
      </c>
      <c r="G29" s="248">
        <v>353</v>
      </c>
      <c r="H29" s="248">
        <v>0</v>
      </c>
      <c r="I29" s="248">
        <v>0</v>
      </c>
      <c r="J29" s="248">
        <v>0</v>
      </c>
      <c r="K29" s="248">
        <v>0</v>
      </c>
      <c r="L29" s="248">
        <v>0</v>
      </c>
      <c r="M29" s="248">
        <v>0</v>
      </c>
      <c r="N29" s="248">
        <v>0</v>
      </c>
      <c r="O29" s="248">
        <v>0</v>
      </c>
      <c r="P29" s="248">
        <v>0</v>
      </c>
      <c r="Q29" s="248">
        <v>-200</v>
      </c>
      <c r="R29" s="248">
        <v>1</v>
      </c>
      <c r="S29" s="248">
        <v>0</v>
      </c>
      <c r="T29" s="248">
        <v>0</v>
      </c>
      <c r="U29" s="248">
        <v>0</v>
      </c>
      <c r="V29" s="248">
        <v>0</v>
      </c>
      <c r="W29" s="248">
        <v>0</v>
      </c>
      <c r="X29" s="248">
        <v>0</v>
      </c>
      <c r="Y29" s="248">
        <v>121900</v>
      </c>
      <c r="Z29" s="248">
        <v>524</v>
      </c>
      <c r="AA29" s="248">
        <v>-200</v>
      </c>
      <c r="AB29" s="248">
        <v>1</v>
      </c>
      <c r="AC29" s="248">
        <v>108500</v>
      </c>
      <c r="AD29" s="248">
        <v>-200</v>
      </c>
      <c r="AE29" s="248">
        <v>16080</v>
      </c>
      <c r="AF29" s="248">
        <v>-2760</v>
      </c>
      <c r="AG29" s="248">
        <v>0</v>
      </c>
      <c r="AH29" s="248">
        <v>4680</v>
      </c>
      <c r="AI29" s="248">
        <v>-1404</v>
      </c>
      <c r="AJ29" s="248">
        <v>0</v>
      </c>
      <c r="AK29" s="248">
        <v>11400</v>
      </c>
      <c r="AL29" s="248">
        <v>-1356</v>
      </c>
      <c r="AM29" s="248">
        <v>0</v>
      </c>
      <c r="AN29" s="248"/>
      <c r="AO29" s="248">
        <v>0</v>
      </c>
      <c r="AP29" s="248">
        <v>0</v>
      </c>
      <c r="AQ29" s="248">
        <v>85134</v>
      </c>
    </row>
    <row r="30" spans="1:43">
      <c r="A30" s="248" t="s">
        <v>200</v>
      </c>
      <c r="B30" s="248">
        <v>300</v>
      </c>
      <c r="C30" s="248">
        <v>46800</v>
      </c>
      <c r="D30" s="248">
        <v>156</v>
      </c>
      <c r="E30" s="248">
        <v>0</v>
      </c>
      <c r="F30" s="248">
        <v>71600</v>
      </c>
      <c r="G30" s="248">
        <v>358</v>
      </c>
      <c r="H30" s="248">
        <v>0</v>
      </c>
      <c r="I30" s="248">
        <v>0</v>
      </c>
      <c r="J30" s="248">
        <v>0</v>
      </c>
      <c r="K30" s="248">
        <v>0</v>
      </c>
      <c r="L30" s="248">
        <v>0</v>
      </c>
      <c r="M30" s="248">
        <v>0</v>
      </c>
      <c r="N30" s="248">
        <v>0</v>
      </c>
      <c r="O30" s="248">
        <v>0</v>
      </c>
      <c r="P30" s="248">
        <v>0</v>
      </c>
      <c r="Q30" s="248">
        <v>-200</v>
      </c>
      <c r="R30" s="248">
        <v>1</v>
      </c>
      <c r="S30" s="248">
        <v>0</v>
      </c>
      <c r="T30" s="248">
        <v>0</v>
      </c>
      <c r="U30" s="248">
        <v>0</v>
      </c>
      <c r="V30" s="248">
        <v>0</v>
      </c>
      <c r="W30" s="248">
        <v>0</v>
      </c>
      <c r="X30" s="248">
        <v>0</v>
      </c>
      <c r="Y30" s="248">
        <v>118400</v>
      </c>
      <c r="Z30" s="248">
        <v>514</v>
      </c>
      <c r="AA30" s="248">
        <v>-200</v>
      </c>
      <c r="AB30" s="248">
        <v>1</v>
      </c>
      <c r="AC30" s="248">
        <v>106370</v>
      </c>
      <c r="AD30" s="248">
        <v>-200</v>
      </c>
      <c r="AE30" s="248">
        <v>14436</v>
      </c>
      <c r="AF30" s="248">
        <v>-2595.6</v>
      </c>
      <c r="AG30" s="248">
        <v>0</v>
      </c>
      <c r="AH30" s="248">
        <v>4680</v>
      </c>
      <c r="AI30" s="248">
        <v>-1404</v>
      </c>
      <c r="AJ30" s="248">
        <v>0</v>
      </c>
      <c r="AK30" s="248">
        <v>9756</v>
      </c>
      <c r="AL30" s="248">
        <v>-1191.5999999999999</v>
      </c>
      <c r="AM30" s="248">
        <v>0</v>
      </c>
      <c r="AN30" s="248"/>
      <c r="AO30" s="248">
        <v>0</v>
      </c>
      <c r="AP30" s="248">
        <v>0</v>
      </c>
      <c r="AQ30" s="248">
        <v>82607.28</v>
      </c>
    </row>
    <row r="31" spans="1:43">
      <c r="A31" s="248" t="s">
        <v>200</v>
      </c>
      <c r="B31" s="248">
        <v>300</v>
      </c>
      <c r="C31" s="248">
        <v>5100</v>
      </c>
      <c r="D31" s="248">
        <v>17</v>
      </c>
      <c r="E31" s="248">
        <v>0</v>
      </c>
      <c r="F31" s="248">
        <v>0</v>
      </c>
      <c r="G31" s="248">
        <v>0</v>
      </c>
      <c r="H31" s="248">
        <v>2488</v>
      </c>
      <c r="I31" s="248">
        <v>0</v>
      </c>
      <c r="J31" s="248">
        <v>0</v>
      </c>
      <c r="K31" s="248">
        <v>0</v>
      </c>
      <c r="L31" s="248">
        <v>0</v>
      </c>
      <c r="M31" s="248">
        <v>0</v>
      </c>
      <c r="N31" s="248">
        <v>0</v>
      </c>
      <c r="O31" s="248">
        <v>0</v>
      </c>
      <c r="P31" s="248">
        <v>0</v>
      </c>
      <c r="Q31" s="248">
        <v>0</v>
      </c>
      <c r="R31" s="248">
        <v>0</v>
      </c>
      <c r="S31" s="248">
        <v>0</v>
      </c>
      <c r="T31" s="248">
        <v>0</v>
      </c>
      <c r="U31" s="248">
        <v>0</v>
      </c>
      <c r="V31" s="248">
        <v>0</v>
      </c>
      <c r="W31" s="248">
        <v>0</v>
      </c>
      <c r="X31" s="248">
        <v>0</v>
      </c>
      <c r="Y31" s="248">
        <v>5100</v>
      </c>
      <c r="Z31" s="248">
        <v>2505</v>
      </c>
      <c r="AA31" s="248">
        <v>0</v>
      </c>
      <c r="AB31" s="248">
        <v>0</v>
      </c>
      <c r="AC31" s="248">
        <v>5100</v>
      </c>
      <c r="AD31" s="248">
        <v>0</v>
      </c>
      <c r="AE31" s="248">
        <v>0</v>
      </c>
      <c r="AF31" s="248">
        <v>0</v>
      </c>
      <c r="AG31" s="248">
        <v>0</v>
      </c>
      <c r="AH31" s="248"/>
      <c r="AI31" s="248">
        <v>0</v>
      </c>
      <c r="AJ31" s="248">
        <v>0</v>
      </c>
      <c r="AK31" s="248"/>
      <c r="AL31" s="248">
        <v>0</v>
      </c>
      <c r="AM31" s="248">
        <v>0</v>
      </c>
      <c r="AN31" s="248"/>
      <c r="AO31" s="248">
        <v>0</v>
      </c>
      <c r="AP31" s="248">
        <v>0</v>
      </c>
      <c r="AQ31" s="248">
        <v>3570</v>
      </c>
    </row>
    <row r="32" spans="1:43">
      <c r="A32" s="248" t="s">
        <v>200</v>
      </c>
      <c r="B32" s="248">
        <v>300</v>
      </c>
      <c r="C32" s="248">
        <v>38100</v>
      </c>
      <c r="D32" s="248">
        <v>127</v>
      </c>
      <c r="E32" s="248">
        <v>0</v>
      </c>
      <c r="F32" s="248">
        <v>47400</v>
      </c>
      <c r="G32" s="248">
        <v>237</v>
      </c>
      <c r="H32" s="248">
        <v>0</v>
      </c>
      <c r="I32" s="248">
        <v>0</v>
      </c>
      <c r="J32" s="248">
        <v>0</v>
      </c>
      <c r="K32" s="248">
        <v>0</v>
      </c>
      <c r="L32" s="248">
        <v>0</v>
      </c>
      <c r="M32" s="248">
        <v>0</v>
      </c>
      <c r="N32" s="248">
        <v>0</v>
      </c>
      <c r="O32" s="248">
        <v>0</v>
      </c>
      <c r="P32" s="248">
        <v>0</v>
      </c>
      <c r="Q32" s="248">
        <v>0</v>
      </c>
      <c r="R32" s="248">
        <v>0</v>
      </c>
      <c r="S32" s="248">
        <v>0</v>
      </c>
      <c r="T32" s="248">
        <v>0</v>
      </c>
      <c r="U32" s="248">
        <v>0</v>
      </c>
      <c r="V32" s="248">
        <v>0</v>
      </c>
      <c r="W32" s="248">
        <v>0</v>
      </c>
      <c r="X32" s="248">
        <v>0</v>
      </c>
      <c r="Y32" s="248">
        <v>85500</v>
      </c>
      <c r="Z32" s="248">
        <v>364</v>
      </c>
      <c r="AA32" s="248">
        <v>0</v>
      </c>
      <c r="AB32" s="248">
        <v>0</v>
      </c>
      <c r="AC32" s="248">
        <v>74950</v>
      </c>
      <c r="AD32" s="248">
        <v>0</v>
      </c>
      <c r="AE32" s="248">
        <v>12660</v>
      </c>
      <c r="AF32" s="248">
        <v>-2166</v>
      </c>
      <c r="AG32" s="248">
        <v>0</v>
      </c>
      <c r="AH32" s="248">
        <v>3900</v>
      </c>
      <c r="AI32" s="248">
        <v>-1170</v>
      </c>
      <c r="AJ32" s="248">
        <v>0</v>
      </c>
      <c r="AK32" s="248">
        <v>8760</v>
      </c>
      <c r="AL32" s="248">
        <v>-996</v>
      </c>
      <c r="AM32" s="248">
        <v>0</v>
      </c>
      <c r="AN32" s="248"/>
      <c r="AO32" s="248">
        <v>0</v>
      </c>
      <c r="AP32" s="248">
        <v>0</v>
      </c>
      <c r="AQ32" s="248">
        <v>59810.8</v>
      </c>
    </row>
    <row r="33" spans="1:43">
      <c r="A33" s="248" t="s">
        <v>200</v>
      </c>
      <c r="B33" s="248">
        <v>300</v>
      </c>
      <c r="C33" s="248">
        <v>22200</v>
      </c>
      <c r="D33" s="248">
        <v>74</v>
      </c>
      <c r="E33" s="248">
        <v>0</v>
      </c>
      <c r="F33" s="248">
        <v>28400</v>
      </c>
      <c r="G33" s="248">
        <v>142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0</v>
      </c>
      <c r="N33" s="248">
        <v>0</v>
      </c>
      <c r="O33" s="248">
        <v>0</v>
      </c>
      <c r="P33" s="248">
        <v>0</v>
      </c>
      <c r="Q33" s="248">
        <v>0</v>
      </c>
      <c r="R33" s="248">
        <v>0</v>
      </c>
      <c r="S33" s="248">
        <v>0</v>
      </c>
      <c r="T33" s="248">
        <v>0</v>
      </c>
      <c r="U33" s="248">
        <v>0</v>
      </c>
      <c r="V33" s="248">
        <v>0</v>
      </c>
      <c r="W33" s="248">
        <v>0</v>
      </c>
      <c r="X33" s="248">
        <v>0</v>
      </c>
      <c r="Y33" s="248">
        <v>50600</v>
      </c>
      <c r="Z33" s="248">
        <v>216</v>
      </c>
      <c r="AA33" s="248">
        <v>0</v>
      </c>
      <c r="AB33" s="248">
        <v>0</v>
      </c>
      <c r="AC33" s="248">
        <v>44490</v>
      </c>
      <c r="AD33" s="248">
        <v>0</v>
      </c>
      <c r="AE33" s="248">
        <v>7332</v>
      </c>
      <c r="AF33" s="248">
        <v>-1237.2</v>
      </c>
      <c r="AG33" s="248">
        <v>0</v>
      </c>
      <c r="AH33" s="248">
        <v>2520</v>
      </c>
      <c r="AI33" s="248">
        <v>-756</v>
      </c>
      <c r="AJ33" s="248">
        <v>0</v>
      </c>
      <c r="AK33" s="248">
        <v>4812</v>
      </c>
      <c r="AL33" s="248">
        <v>-481.2</v>
      </c>
      <c r="AM33" s="248">
        <v>0</v>
      </c>
      <c r="AN33" s="248"/>
      <c r="AO33" s="248">
        <v>0</v>
      </c>
      <c r="AP33" s="248">
        <v>0</v>
      </c>
      <c r="AQ33" s="248">
        <v>35409.360000000001</v>
      </c>
    </row>
    <row r="34" spans="1:43">
      <c r="A34" s="248" t="s">
        <v>200</v>
      </c>
      <c r="B34" s="248">
        <v>300</v>
      </c>
      <c r="C34" s="248">
        <v>7800</v>
      </c>
      <c r="D34" s="248">
        <v>26</v>
      </c>
      <c r="E34" s="248">
        <v>0</v>
      </c>
      <c r="F34" s="248">
        <v>8200</v>
      </c>
      <c r="G34" s="248">
        <v>41</v>
      </c>
      <c r="H34" s="248">
        <v>2650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48">
        <v>0</v>
      </c>
      <c r="Q34" s="248">
        <v>0</v>
      </c>
      <c r="R34" s="248">
        <v>0</v>
      </c>
      <c r="S34" s="248">
        <v>0</v>
      </c>
      <c r="T34" s="248">
        <v>0</v>
      </c>
      <c r="U34" s="248">
        <v>0</v>
      </c>
      <c r="V34" s="248">
        <v>0</v>
      </c>
      <c r="W34" s="248">
        <v>0</v>
      </c>
      <c r="X34" s="248">
        <v>0</v>
      </c>
      <c r="Y34" s="248">
        <v>16000</v>
      </c>
      <c r="Z34" s="248">
        <v>2717</v>
      </c>
      <c r="AA34" s="248">
        <v>0</v>
      </c>
      <c r="AB34" s="248">
        <v>0</v>
      </c>
      <c r="AC34" s="248">
        <v>12400</v>
      </c>
      <c r="AD34" s="248">
        <v>0</v>
      </c>
      <c r="AE34" s="248">
        <v>4320</v>
      </c>
      <c r="AF34" s="248">
        <v>-720</v>
      </c>
      <c r="AG34" s="248">
        <v>0</v>
      </c>
      <c r="AH34" s="248">
        <v>840</v>
      </c>
      <c r="AI34" s="248">
        <v>-252</v>
      </c>
      <c r="AJ34" s="248">
        <v>0</v>
      </c>
      <c r="AK34" s="248">
        <v>3480</v>
      </c>
      <c r="AL34" s="248">
        <v>-468</v>
      </c>
      <c r="AM34" s="248">
        <v>0</v>
      </c>
      <c r="AN34" s="248"/>
      <c r="AO34" s="248">
        <v>0</v>
      </c>
      <c r="AP34" s="248">
        <v>0</v>
      </c>
      <c r="AQ34" s="248">
        <v>11200</v>
      </c>
    </row>
    <row r="35" spans="1:43">
      <c r="A35" s="248" t="s">
        <v>200</v>
      </c>
      <c r="B35" s="248">
        <v>300</v>
      </c>
      <c r="C35" s="248">
        <v>7500</v>
      </c>
      <c r="D35" s="248">
        <v>25</v>
      </c>
      <c r="E35" s="248">
        <v>0</v>
      </c>
      <c r="F35" s="248">
        <v>6600</v>
      </c>
      <c r="G35" s="248">
        <v>33</v>
      </c>
      <c r="H35" s="248">
        <v>2520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248">
        <v>0</v>
      </c>
      <c r="Q35" s="248">
        <v>0</v>
      </c>
      <c r="R35" s="248">
        <v>0</v>
      </c>
      <c r="S35" s="248">
        <v>0</v>
      </c>
      <c r="T35" s="248">
        <v>0</v>
      </c>
      <c r="U35" s="248">
        <v>0</v>
      </c>
      <c r="V35" s="248">
        <v>0</v>
      </c>
      <c r="W35" s="248">
        <v>0</v>
      </c>
      <c r="X35" s="248">
        <v>0</v>
      </c>
      <c r="Y35" s="248">
        <v>14100</v>
      </c>
      <c r="Z35" s="248">
        <v>2578</v>
      </c>
      <c r="AA35" s="248">
        <v>0</v>
      </c>
      <c r="AB35" s="248">
        <v>0</v>
      </c>
      <c r="AC35" s="248">
        <v>11500</v>
      </c>
      <c r="AD35" s="248">
        <v>0</v>
      </c>
      <c r="AE35" s="248">
        <v>3120</v>
      </c>
      <c r="AF35" s="248">
        <v>-504</v>
      </c>
      <c r="AG35" s="248">
        <v>0</v>
      </c>
      <c r="AH35" s="248">
        <v>360</v>
      </c>
      <c r="AI35" s="248">
        <v>-108</v>
      </c>
      <c r="AJ35" s="248">
        <v>0</v>
      </c>
      <c r="AK35" s="248">
        <v>2760</v>
      </c>
      <c r="AL35" s="248">
        <v>-396</v>
      </c>
      <c r="AM35" s="248">
        <v>0</v>
      </c>
      <c r="AN35" s="248"/>
      <c r="AO35" s="248">
        <v>0</v>
      </c>
      <c r="AP35" s="248">
        <v>0</v>
      </c>
      <c r="AQ35" s="248">
        <v>9881.2000000000007</v>
      </c>
    </row>
    <row r="36" spans="1:43">
      <c r="A36" s="248" t="s">
        <v>200</v>
      </c>
      <c r="B36" s="248">
        <v>300</v>
      </c>
      <c r="C36" s="248">
        <v>7500</v>
      </c>
      <c r="D36" s="248">
        <v>25</v>
      </c>
      <c r="E36" s="248">
        <v>0</v>
      </c>
      <c r="F36" s="248">
        <v>4800</v>
      </c>
      <c r="G36" s="248">
        <v>24</v>
      </c>
      <c r="H36" s="248">
        <v>2278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  <c r="O36" s="248">
        <v>0</v>
      </c>
      <c r="P36" s="248">
        <v>0</v>
      </c>
      <c r="Q36" s="248">
        <v>0</v>
      </c>
      <c r="R36" s="248">
        <v>0</v>
      </c>
      <c r="S36" s="248">
        <v>0</v>
      </c>
      <c r="T36" s="248">
        <v>0</v>
      </c>
      <c r="U36" s="248">
        <v>0</v>
      </c>
      <c r="V36" s="248">
        <v>0</v>
      </c>
      <c r="W36" s="248">
        <v>0</v>
      </c>
      <c r="X36" s="248">
        <v>0</v>
      </c>
      <c r="Y36" s="248">
        <v>12300</v>
      </c>
      <c r="Z36" s="248">
        <v>2327</v>
      </c>
      <c r="AA36" s="248">
        <v>0</v>
      </c>
      <c r="AB36" s="248">
        <v>0</v>
      </c>
      <c r="AC36" s="248">
        <v>10200</v>
      </c>
      <c r="AD36" s="248">
        <v>0</v>
      </c>
      <c r="AE36" s="248">
        <v>2520</v>
      </c>
      <c r="AF36" s="248">
        <v>-468</v>
      </c>
      <c r="AG36" s="248">
        <v>0</v>
      </c>
      <c r="AH36" s="248">
        <v>480</v>
      </c>
      <c r="AI36" s="248">
        <v>-144</v>
      </c>
      <c r="AJ36" s="248">
        <v>0</v>
      </c>
      <c r="AK36" s="248">
        <v>2040</v>
      </c>
      <c r="AL36" s="248">
        <v>-324</v>
      </c>
      <c r="AM36" s="248">
        <v>0</v>
      </c>
      <c r="AN36" s="248"/>
      <c r="AO36" s="248">
        <v>0</v>
      </c>
      <c r="AP36" s="248">
        <v>0</v>
      </c>
      <c r="AQ36" s="248">
        <v>8576.4</v>
      </c>
    </row>
    <row r="37" spans="1:43">
      <c r="A37" s="248" t="s">
        <v>200</v>
      </c>
      <c r="B37" s="248">
        <v>300</v>
      </c>
      <c r="C37" s="248">
        <v>6900</v>
      </c>
      <c r="D37" s="248">
        <v>23</v>
      </c>
      <c r="E37" s="248">
        <v>0</v>
      </c>
      <c r="F37" s="248">
        <v>4000</v>
      </c>
      <c r="G37" s="248">
        <v>20</v>
      </c>
      <c r="H37" s="248">
        <v>2172</v>
      </c>
      <c r="I37" s="248">
        <v>0</v>
      </c>
      <c r="J37" s="248">
        <v>0</v>
      </c>
      <c r="K37" s="248">
        <v>0</v>
      </c>
      <c r="L37" s="248">
        <v>0</v>
      </c>
      <c r="M37" s="248">
        <v>0</v>
      </c>
      <c r="N37" s="248">
        <v>0</v>
      </c>
      <c r="O37" s="248">
        <v>0</v>
      </c>
      <c r="P37" s="248">
        <v>0</v>
      </c>
      <c r="Q37" s="248">
        <v>0</v>
      </c>
      <c r="R37" s="248">
        <v>0</v>
      </c>
      <c r="S37" s="248">
        <v>0</v>
      </c>
      <c r="T37" s="248">
        <v>0</v>
      </c>
      <c r="U37" s="248">
        <v>0</v>
      </c>
      <c r="V37" s="248">
        <v>0</v>
      </c>
      <c r="W37" s="248">
        <v>0</v>
      </c>
      <c r="X37" s="248">
        <v>0</v>
      </c>
      <c r="Y37" s="248">
        <v>10900</v>
      </c>
      <c r="Z37" s="248">
        <v>2215</v>
      </c>
      <c r="AA37" s="248">
        <v>0</v>
      </c>
      <c r="AB37" s="248">
        <v>0</v>
      </c>
      <c r="AC37" s="248">
        <v>8900</v>
      </c>
      <c r="AD37" s="248">
        <v>0</v>
      </c>
      <c r="AE37" s="248">
        <v>2400</v>
      </c>
      <c r="AF37" s="248">
        <v>-432</v>
      </c>
      <c r="AG37" s="248">
        <v>0</v>
      </c>
      <c r="AH37" s="248">
        <v>600</v>
      </c>
      <c r="AI37" s="248">
        <v>-180</v>
      </c>
      <c r="AJ37" s="248">
        <v>0</v>
      </c>
      <c r="AK37" s="248">
        <v>1800</v>
      </c>
      <c r="AL37" s="248">
        <v>-252</v>
      </c>
      <c r="AM37" s="248">
        <v>0</v>
      </c>
      <c r="AN37" s="248"/>
      <c r="AO37" s="248">
        <v>0</v>
      </c>
      <c r="AP37" s="248">
        <v>0</v>
      </c>
      <c r="AQ37" s="248">
        <v>7607.6</v>
      </c>
    </row>
    <row r="38" spans="1:43">
      <c r="A38" s="248" t="s">
        <v>200</v>
      </c>
      <c r="B38" s="248">
        <v>300</v>
      </c>
      <c r="C38" s="248">
        <v>6900</v>
      </c>
      <c r="D38" s="248">
        <v>23</v>
      </c>
      <c r="E38" s="248">
        <v>0</v>
      </c>
      <c r="F38" s="248">
        <v>4000</v>
      </c>
      <c r="G38" s="248">
        <v>20</v>
      </c>
      <c r="H38" s="248">
        <v>2288</v>
      </c>
      <c r="I38" s="248">
        <v>0</v>
      </c>
      <c r="J38" s="248">
        <v>0</v>
      </c>
      <c r="K38" s="248">
        <v>0</v>
      </c>
      <c r="L38" s="248">
        <v>0</v>
      </c>
      <c r="M38" s="248">
        <v>0</v>
      </c>
      <c r="N38" s="248">
        <v>0</v>
      </c>
      <c r="O38" s="248">
        <v>0</v>
      </c>
      <c r="P38" s="248">
        <v>0</v>
      </c>
      <c r="Q38" s="248">
        <v>0</v>
      </c>
      <c r="R38" s="248">
        <v>0</v>
      </c>
      <c r="S38" s="248">
        <v>0</v>
      </c>
      <c r="T38" s="248">
        <v>0</v>
      </c>
      <c r="U38" s="248">
        <v>0</v>
      </c>
      <c r="V38" s="248">
        <v>0</v>
      </c>
      <c r="W38" s="248">
        <v>0</v>
      </c>
      <c r="X38" s="248">
        <v>0</v>
      </c>
      <c r="Y38" s="248">
        <v>10900</v>
      </c>
      <c r="Z38" s="248">
        <v>2331</v>
      </c>
      <c r="AA38" s="248">
        <v>0</v>
      </c>
      <c r="AB38" s="248">
        <v>0</v>
      </c>
      <c r="AC38" s="248">
        <v>8900</v>
      </c>
      <c r="AD38" s="248">
        <v>0</v>
      </c>
      <c r="AE38" s="248">
        <v>2400</v>
      </c>
      <c r="AF38" s="248">
        <v>-432</v>
      </c>
      <c r="AG38" s="248">
        <v>0</v>
      </c>
      <c r="AH38" s="248">
        <v>600</v>
      </c>
      <c r="AI38" s="248">
        <v>-180</v>
      </c>
      <c r="AJ38" s="248">
        <v>0</v>
      </c>
      <c r="AK38" s="248">
        <v>1800</v>
      </c>
      <c r="AL38" s="248">
        <v>-252</v>
      </c>
      <c r="AM38" s="248">
        <v>0</v>
      </c>
      <c r="AN38" s="248"/>
      <c r="AO38" s="248">
        <v>0</v>
      </c>
      <c r="AP38" s="248">
        <v>0</v>
      </c>
      <c r="AQ38" s="248">
        <v>7607.6</v>
      </c>
    </row>
    <row r="39" spans="1:43">
      <c r="A39" s="248" t="s">
        <v>200</v>
      </c>
      <c r="B39" s="248">
        <v>300</v>
      </c>
      <c r="C39" s="248">
        <v>26400</v>
      </c>
      <c r="D39" s="248">
        <v>88</v>
      </c>
      <c r="E39" s="248">
        <v>0</v>
      </c>
      <c r="F39" s="248">
        <v>42000</v>
      </c>
      <c r="G39" s="248">
        <v>210</v>
      </c>
      <c r="H39" s="248">
        <v>0</v>
      </c>
      <c r="I39" s="248">
        <v>0</v>
      </c>
      <c r="J39" s="248">
        <v>0</v>
      </c>
      <c r="K39" s="248">
        <v>0</v>
      </c>
      <c r="L39" s="248">
        <v>0</v>
      </c>
      <c r="M39" s="248">
        <v>0</v>
      </c>
      <c r="N39" s="248">
        <v>0</v>
      </c>
      <c r="O39" s="248">
        <v>0</v>
      </c>
      <c r="P39" s="248">
        <v>0</v>
      </c>
      <c r="Q39" s="248">
        <v>0</v>
      </c>
      <c r="R39" s="248">
        <v>0</v>
      </c>
      <c r="S39" s="248">
        <v>0</v>
      </c>
      <c r="T39" s="248">
        <v>0</v>
      </c>
      <c r="U39" s="248">
        <v>0</v>
      </c>
      <c r="V39" s="248">
        <v>0</v>
      </c>
      <c r="W39" s="248">
        <v>0</v>
      </c>
      <c r="X39" s="248">
        <v>0</v>
      </c>
      <c r="Y39" s="248">
        <v>68400</v>
      </c>
      <c r="Z39" s="248">
        <v>298</v>
      </c>
      <c r="AA39" s="248">
        <v>0</v>
      </c>
      <c r="AB39" s="248">
        <v>0</v>
      </c>
      <c r="AC39" s="248">
        <v>57400</v>
      </c>
      <c r="AD39" s="248">
        <v>0</v>
      </c>
      <c r="AE39" s="248">
        <v>13200</v>
      </c>
      <c r="AF39" s="248">
        <v>-2376</v>
      </c>
      <c r="AG39" s="248">
        <v>0</v>
      </c>
      <c r="AH39" s="248">
        <v>3000</v>
      </c>
      <c r="AI39" s="248">
        <v>-900</v>
      </c>
      <c r="AJ39" s="248">
        <v>0</v>
      </c>
      <c r="AK39" s="248">
        <v>10200</v>
      </c>
      <c r="AL39" s="248">
        <v>-1476</v>
      </c>
      <c r="AM39" s="248">
        <v>0</v>
      </c>
      <c r="AN39" s="248"/>
      <c r="AO39" s="248">
        <v>0</v>
      </c>
      <c r="AP39" s="248">
        <v>0</v>
      </c>
      <c r="AQ39" s="248">
        <v>47756.800000000003</v>
      </c>
    </row>
    <row r="40" spans="1:43">
      <c r="A40" s="248" t="s">
        <v>200</v>
      </c>
      <c r="B40" s="248">
        <v>300</v>
      </c>
      <c r="C40" s="248">
        <v>36000</v>
      </c>
      <c r="D40" s="248">
        <v>120</v>
      </c>
      <c r="E40" s="248">
        <v>0</v>
      </c>
      <c r="F40" s="248">
        <v>78400</v>
      </c>
      <c r="G40" s="248">
        <v>392</v>
      </c>
      <c r="H40" s="248">
        <v>0</v>
      </c>
      <c r="I40" s="248">
        <v>0</v>
      </c>
      <c r="J40" s="248">
        <v>0</v>
      </c>
      <c r="K40" s="248">
        <v>0</v>
      </c>
      <c r="L40" s="248">
        <v>0</v>
      </c>
      <c r="M40" s="248">
        <v>0</v>
      </c>
      <c r="N40" s="248">
        <v>0</v>
      </c>
      <c r="O40" s="248">
        <v>0</v>
      </c>
      <c r="P40" s="248">
        <v>0</v>
      </c>
      <c r="Q40" s="248">
        <v>0</v>
      </c>
      <c r="R40" s="248">
        <v>0</v>
      </c>
      <c r="S40" s="248">
        <v>0</v>
      </c>
      <c r="T40" s="248">
        <v>0</v>
      </c>
      <c r="U40" s="248">
        <v>0</v>
      </c>
      <c r="V40" s="248">
        <v>0</v>
      </c>
      <c r="W40" s="248">
        <v>0</v>
      </c>
      <c r="X40" s="248">
        <v>0</v>
      </c>
      <c r="Y40" s="248">
        <v>114400</v>
      </c>
      <c r="Z40" s="248">
        <v>512</v>
      </c>
      <c r="AA40" s="248">
        <v>0</v>
      </c>
      <c r="AB40" s="248">
        <v>0</v>
      </c>
      <c r="AC40" s="248">
        <v>98211</v>
      </c>
      <c r="AD40" s="248">
        <v>0</v>
      </c>
      <c r="AE40" s="248">
        <v>19426.8</v>
      </c>
      <c r="AF40" s="248">
        <v>-3913.08</v>
      </c>
      <c r="AG40" s="248">
        <v>0</v>
      </c>
      <c r="AH40" s="248">
        <v>5292</v>
      </c>
      <c r="AI40" s="248">
        <v>-1587.6</v>
      </c>
      <c r="AJ40" s="248">
        <v>0</v>
      </c>
      <c r="AK40" s="248">
        <v>14134.8</v>
      </c>
      <c r="AL40" s="248">
        <v>-2325.48</v>
      </c>
      <c r="AM40" s="248">
        <v>0</v>
      </c>
      <c r="AN40" s="248"/>
      <c r="AO40" s="248">
        <v>0</v>
      </c>
      <c r="AP40" s="248">
        <v>0</v>
      </c>
      <c r="AQ40" s="248">
        <v>79607.3</v>
      </c>
    </row>
    <row r="41" spans="1:43">
      <c r="A41" s="248" t="s">
        <v>329</v>
      </c>
      <c r="B41" s="248">
        <v>400</v>
      </c>
      <c r="C41" s="248">
        <v>400</v>
      </c>
      <c r="D41" s="248">
        <v>1</v>
      </c>
      <c r="E41" s="248">
        <v>0</v>
      </c>
      <c r="F41" s="248">
        <v>200</v>
      </c>
      <c r="G41" s="248">
        <v>1</v>
      </c>
      <c r="H41" s="248">
        <v>0</v>
      </c>
      <c r="I41" s="248">
        <v>0</v>
      </c>
      <c r="J41" s="248">
        <v>0</v>
      </c>
      <c r="K41" s="248">
        <v>0</v>
      </c>
      <c r="L41" s="248">
        <v>0</v>
      </c>
      <c r="M41" s="248">
        <v>0</v>
      </c>
      <c r="N41" s="248">
        <v>0</v>
      </c>
      <c r="O41" s="248">
        <v>0</v>
      </c>
      <c r="P41" s="248">
        <v>0</v>
      </c>
      <c r="Q41" s="248">
        <v>0</v>
      </c>
      <c r="R41" s="248">
        <v>0</v>
      </c>
      <c r="S41" s="248">
        <v>0</v>
      </c>
      <c r="T41" s="248">
        <v>0</v>
      </c>
      <c r="U41" s="248">
        <v>0</v>
      </c>
      <c r="V41" s="248">
        <v>0</v>
      </c>
      <c r="W41" s="248">
        <v>0</v>
      </c>
      <c r="X41" s="248">
        <v>0</v>
      </c>
      <c r="Y41" s="248">
        <v>600</v>
      </c>
      <c r="Z41" s="248">
        <v>2</v>
      </c>
      <c r="AA41" s="248">
        <v>0</v>
      </c>
      <c r="AB41" s="248">
        <v>0</v>
      </c>
      <c r="AC41" s="248">
        <v>600</v>
      </c>
      <c r="AD41" s="248">
        <v>0</v>
      </c>
      <c r="AE41" s="248">
        <v>0</v>
      </c>
      <c r="AF41" s="248">
        <v>0</v>
      </c>
      <c r="AG41" s="248">
        <v>0</v>
      </c>
      <c r="AH41" s="248"/>
      <c r="AI41" s="248">
        <v>0</v>
      </c>
      <c r="AJ41" s="248">
        <v>0</v>
      </c>
      <c r="AK41" s="248"/>
      <c r="AL41" s="248">
        <v>0</v>
      </c>
      <c r="AM41" s="248">
        <v>0</v>
      </c>
      <c r="AN41" s="248"/>
      <c r="AO41" s="248">
        <v>0</v>
      </c>
      <c r="AP41" s="248">
        <v>0</v>
      </c>
      <c r="AQ41" s="248">
        <v>420</v>
      </c>
    </row>
    <row r="42" spans="1:43">
      <c r="A42" s="248" t="s">
        <v>329</v>
      </c>
      <c r="B42" s="248">
        <v>400</v>
      </c>
      <c r="C42" s="248">
        <v>400</v>
      </c>
      <c r="D42" s="248">
        <v>1</v>
      </c>
      <c r="E42" s="248">
        <v>0</v>
      </c>
      <c r="F42" s="248">
        <v>200</v>
      </c>
      <c r="G42" s="248">
        <v>1</v>
      </c>
      <c r="H42" s="248">
        <v>0</v>
      </c>
      <c r="I42" s="248">
        <v>0</v>
      </c>
      <c r="J42" s="248">
        <v>0</v>
      </c>
      <c r="K42" s="248">
        <v>0</v>
      </c>
      <c r="L42" s="248">
        <v>0</v>
      </c>
      <c r="M42" s="248">
        <v>0</v>
      </c>
      <c r="N42" s="248">
        <v>0</v>
      </c>
      <c r="O42" s="248">
        <v>0</v>
      </c>
      <c r="P42" s="248">
        <v>0</v>
      </c>
      <c r="Q42" s="248">
        <v>0</v>
      </c>
      <c r="R42" s="248">
        <v>0</v>
      </c>
      <c r="S42" s="248">
        <v>0</v>
      </c>
      <c r="T42" s="248">
        <v>0</v>
      </c>
      <c r="U42" s="248">
        <v>0</v>
      </c>
      <c r="V42" s="248">
        <v>0</v>
      </c>
      <c r="W42" s="248">
        <v>0</v>
      </c>
      <c r="X42" s="248">
        <v>0</v>
      </c>
      <c r="Y42" s="248">
        <v>600</v>
      </c>
      <c r="Z42" s="248">
        <v>2</v>
      </c>
      <c r="AA42" s="248">
        <v>0</v>
      </c>
      <c r="AB42" s="248">
        <v>0</v>
      </c>
      <c r="AC42" s="248">
        <v>600</v>
      </c>
      <c r="AD42" s="248">
        <v>0</v>
      </c>
      <c r="AE42" s="248">
        <v>0</v>
      </c>
      <c r="AF42" s="248">
        <v>0</v>
      </c>
      <c r="AG42" s="248">
        <v>0</v>
      </c>
      <c r="AH42" s="248"/>
      <c r="AI42" s="248">
        <v>0</v>
      </c>
      <c r="AJ42" s="248">
        <v>0</v>
      </c>
      <c r="AK42" s="248"/>
      <c r="AL42" s="248">
        <v>0</v>
      </c>
      <c r="AM42" s="248">
        <v>0</v>
      </c>
      <c r="AN42" s="248"/>
      <c r="AO42" s="248">
        <v>0</v>
      </c>
      <c r="AP42" s="248">
        <v>0</v>
      </c>
      <c r="AQ42" s="248">
        <v>420</v>
      </c>
    </row>
    <row r="43" spans="1:43">
      <c r="A43" s="248" t="s">
        <v>329</v>
      </c>
      <c r="B43" s="248">
        <v>400</v>
      </c>
      <c r="C43" s="248">
        <v>400</v>
      </c>
      <c r="D43" s="248">
        <v>1</v>
      </c>
      <c r="E43" s="248">
        <v>0</v>
      </c>
      <c r="F43" s="248">
        <v>200</v>
      </c>
      <c r="G43" s="248">
        <v>1</v>
      </c>
      <c r="H43" s="248">
        <v>0</v>
      </c>
      <c r="I43" s="248">
        <v>0</v>
      </c>
      <c r="J43" s="248">
        <v>0</v>
      </c>
      <c r="K43" s="248">
        <v>0</v>
      </c>
      <c r="L43" s="248">
        <v>0</v>
      </c>
      <c r="M43" s="248">
        <v>0</v>
      </c>
      <c r="N43" s="248">
        <v>0</v>
      </c>
      <c r="O43" s="248">
        <v>0</v>
      </c>
      <c r="P43" s="248">
        <v>0</v>
      </c>
      <c r="Q43" s="248">
        <v>0</v>
      </c>
      <c r="R43" s="248">
        <v>0</v>
      </c>
      <c r="S43" s="248">
        <v>0</v>
      </c>
      <c r="T43" s="248">
        <v>0</v>
      </c>
      <c r="U43" s="248">
        <v>0</v>
      </c>
      <c r="V43" s="248">
        <v>0</v>
      </c>
      <c r="W43" s="248">
        <v>0</v>
      </c>
      <c r="X43" s="248">
        <v>0</v>
      </c>
      <c r="Y43" s="248">
        <v>600</v>
      </c>
      <c r="Z43" s="248">
        <v>2</v>
      </c>
      <c r="AA43" s="248">
        <v>0</v>
      </c>
      <c r="AB43" s="248">
        <v>0</v>
      </c>
      <c r="AC43" s="248">
        <v>600</v>
      </c>
      <c r="AD43" s="248">
        <v>0</v>
      </c>
      <c r="AE43" s="248">
        <v>0</v>
      </c>
      <c r="AF43" s="248">
        <v>0</v>
      </c>
      <c r="AG43" s="248">
        <v>0</v>
      </c>
      <c r="AH43" s="248"/>
      <c r="AI43" s="248">
        <v>0</v>
      </c>
      <c r="AJ43" s="248">
        <v>0</v>
      </c>
      <c r="AK43" s="248"/>
      <c r="AL43" s="248">
        <v>0</v>
      </c>
      <c r="AM43" s="248">
        <v>0</v>
      </c>
      <c r="AN43" s="248"/>
      <c r="AO43" s="248">
        <v>0</v>
      </c>
      <c r="AP43" s="248">
        <v>0</v>
      </c>
      <c r="AQ43" s="248">
        <v>420</v>
      </c>
    </row>
    <row r="44" spans="1:43">
      <c r="A44" s="248" t="s">
        <v>329</v>
      </c>
      <c r="B44" s="248">
        <v>400</v>
      </c>
      <c r="C44" s="248">
        <v>400</v>
      </c>
      <c r="D44" s="248">
        <v>1</v>
      </c>
      <c r="E44" s="248">
        <v>0</v>
      </c>
      <c r="F44" s="248">
        <v>200</v>
      </c>
      <c r="G44" s="248">
        <v>1</v>
      </c>
      <c r="H44" s="248">
        <v>0</v>
      </c>
      <c r="I44" s="248">
        <v>0</v>
      </c>
      <c r="J44" s="248">
        <v>0</v>
      </c>
      <c r="K44" s="248">
        <v>0</v>
      </c>
      <c r="L44" s="248">
        <v>0</v>
      </c>
      <c r="M44" s="248">
        <v>0</v>
      </c>
      <c r="N44" s="248">
        <v>0</v>
      </c>
      <c r="O44" s="248">
        <v>0</v>
      </c>
      <c r="P44" s="248">
        <v>0</v>
      </c>
      <c r="Q44" s="248">
        <v>0</v>
      </c>
      <c r="R44" s="248">
        <v>0</v>
      </c>
      <c r="S44" s="248">
        <v>0</v>
      </c>
      <c r="T44" s="248">
        <v>0</v>
      </c>
      <c r="U44" s="248">
        <v>0</v>
      </c>
      <c r="V44" s="248">
        <v>0</v>
      </c>
      <c r="W44" s="248">
        <v>0</v>
      </c>
      <c r="X44" s="248">
        <v>0</v>
      </c>
      <c r="Y44" s="248">
        <v>600</v>
      </c>
      <c r="Z44" s="248">
        <v>2</v>
      </c>
      <c r="AA44" s="248">
        <v>0</v>
      </c>
      <c r="AB44" s="248">
        <v>0</v>
      </c>
      <c r="AC44" s="248">
        <v>600</v>
      </c>
      <c r="AD44" s="248">
        <v>0</v>
      </c>
      <c r="AE44" s="248">
        <v>0</v>
      </c>
      <c r="AF44" s="248">
        <v>0</v>
      </c>
      <c r="AG44" s="248">
        <v>0</v>
      </c>
      <c r="AH44" s="248"/>
      <c r="AI44" s="248">
        <v>0</v>
      </c>
      <c r="AJ44" s="248">
        <v>0</v>
      </c>
      <c r="AK44" s="248"/>
      <c r="AL44" s="248">
        <v>0</v>
      </c>
      <c r="AM44" s="248">
        <v>0</v>
      </c>
      <c r="AN44" s="248"/>
      <c r="AO44" s="248">
        <v>0</v>
      </c>
      <c r="AP44" s="248">
        <v>0</v>
      </c>
      <c r="AQ44" s="248">
        <v>420</v>
      </c>
    </row>
    <row r="45" spans="1:43">
      <c r="A45" s="276" t="s">
        <v>329</v>
      </c>
      <c r="B45" s="276">
        <v>400</v>
      </c>
      <c r="C45" s="276">
        <v>400</v>
      </c>
      <c r="D45" s="276">
        <v>1</v>
      </c>
      <c r="E45" s="276">
        <v>0</v>
      </c>
      <c r="F45" s="276">
        <v>200</v>
      </c>
      <c r="G45" s="276">
        <v>1</v>
      </c>
      <c r="H45" s="276">
        <v>0</v>
      </c>
      <c r="I45" s="276">
        <v>0</v>
      </c>
      <c r="J45" s="276">
        <v>0</v>
      </c>
      <c r="K45" s="276">
        <v>0</v>
      </c>
      <c r="L45" s="276">
        <v>0</v>
      </c>
      <c r="M45" s="276">
        <v>0</v>
      </c>
      <c r="N45" s="276">
        <v>0</v>
      </c>
      <c r="O45" s="276">
        <v>0</v>
      </c>
      <c r="P45" s="276">
        <v>0</v>
      </c>
      <c r="Q45" s="276">
        <v>0</v>
      </c>
      <c r="R45" s="276">
        <v>0</v>
      </c>
      <c r="S45" s="276">
        <v>0</v>
      </c>
      <c r="T45" s="276">
        <v>0</v>
      </c>
      <c r="U45" s="276">
        <v>0</v>
      </c>
      <c r="V45" s="276">
        <v>0</v>
      </c>
      <c r="W45" s="276">
        <v>0</v>
      </c>
      <c r="X45" s="276">
        <v>0</v>
      </c>
      <c r="Y45" s="276">
        <v>600</v>
      </c>
      <c r="Z45" s="276">
        <v>2</v>
      </c>
      <c r="AA45" s="276">
        <v>0</v>
      </c>
      <c r="AB45" s="276">
        <v>0</v>
      </c>
      <c r="AC45" s="276">
        <v>600</v>
      </c>
      <c r="AD45" s="276">
        <v>0</v>
      </c>
      <c r="AE45" s="276">
        <v>0</v>
      </c>
      <c r="AF45" s="276">
        <v>0</v>
      </c>
      <c r="AG45" s="276">
        <v>0</v>
      </c>
      <c r="AH45" s="276"/>
      <c r="AI45" s="276">
        <v>0</v>
      </c>
      <c r="AJ45" s="276">
        <v>0</v>
      </c>
      <c r="AK45" s="276"/>
      <c r="AL45" s="276">
        <v>0</v>
      </c>
      <c r="AM45" s="276">
        <v>0</v>
      </c>
      <c r="AN45" s="276"/>
      <c r="AO45" s="276">
        <v>0</v>
      </c>
      <c r="AP45" s="276">
        <v>0</v>
      </c>
      <c r="AQ45" s="276">
        <v>420</v>
      </c>
    </row>
    <row r="46" spans="1:43">
      <c r="A46" s="276" t="s">
        <v>329</v>
      </c>
      <c r="B46" s="276">
        <v>400</v>
      </c>
      <c r="C46" s="276">
        <v>400</v>
      </c>
      <c r="D46" s="276">
        <v>1</v>
      </c>
      <c r="E46" s="276">
        <v>0</v>
      </c>
      <c r="F46" s="276">
        <v>200</v>
      </c>
      <c r="G46" s="276">
        <v>1</v>
      </c>
      <c r="H46" s="276">
        <v>0</v>
      </c>
      <c r="I46" s="276">
        <v>0</v>
      </c>
      <c r="J46" s="276">
        <v>0</v>
      </c>
      <c r="K46" s="276">
        <v>0</v>
      </c>
      <c r="L46" s="276">
        <v>0</v>
      </c>
      <c r="M46" s="276">
        <v>0</v>
      </c>
      <c r="N46" s="276">
        <v>0</v>
      </c>
      <c r="O46" s="276">
        <v>0</v>
      </c>
      <c r="P46" s="276">
        <v>0</v>
      </c>
      <c r="Q46" s="276">
        <v>0</v>
      </c>
      <c r="R46" s="276">
        <v>0</v>
      </c>
      <c r="S46" s="276">
        <v>0</v>
      </c>
      <c r="T46" s="276">
        <v>0</v>
      </c>
      <c r="U46" s="276">
        <v>0</v>
      </c>
      <c r="V46" s="276">
        <v>0</v>
      </c>
      <c r="W46" s="276">
        <v>0</v>
      </c>
      <c r="X46" s="276">
        <v>0</v>
      </c>
      <c r="Y46" s="276">
        <v>600</v>
      </c>
      <c r="Z46" s="276">
        <v>2</v>
      </c>
      <c r="AA46" s="276">
        <v>0</v>
      </c>
      <c r="AB46" s="276">
        <v>0</v>
      </c>
      <c r="AC46" s="276">
        <v>600</v>
      </c>
      <c r="AD46" s="276">
        <v>0</v>
      </c>
      <c r="AE46" s="276">
        <v>0</v>
      </c>
      <c r="AF46" s="276">
        <v>0</v>
      </c>
      <c r="AG46" s="276">
        <v>0</v>
      </c>
      <c r="AH46" s="276"/>
      <c r="AI46" s="276">
        <v>0</v>
      </c>
      <c r="AJ46" s="276">
        <v>0</v>
      </c>
      <c r="AK46" s="276"/>
      <c r="AL46" s="276">
        <v>0</v>
      </c>
      <c r="AM46" s="276">
        <v>0</v>
      </c>
      <c r="AN46" s="276"/>
      <c r="AO46" s="276">
        <v>0</v>
      </c>
      <c r="AP46" s="276">
        <v>0</v>
      </c>
      <c r="AQ46" s="276">
        <v>420</v>
      </c>
    </row>
    <row r="47" spans="1:43">
      <c r="A47" s="276" t="s">
        <v>329</v>
      </c>
      <c r="B47" s="276">
        <v>400</v>
      </c>
      <c r="C47" s="276">
        <v>400</v>
      </c>
      <c r="D47" s="276">
        <v>1</v>
      </c>
      <c r="E47" s="276">
        <v>0</v>
      </c>
      <c r="F47" s="276">
        <v>200</v>
      </c>
      <c r="G47" s="276">
        <v>1</v>
      </c>
      <c r="H47" s="276">
        <v>0</v>
      </c>
      <c r="I47" s="276">
        <v>0</v>
      </c>
      <c r="J47" s="276">
        <v>0</v>
      </c>
      <c r="K47" s="276">
        <v>0</v>
      </c>
      <c r="L47" s="276">
        <v>0</v>
      </c>
      <c r="M47" s="276">
        <v>0</v>
      </c>
      <c r="N47" s="276">
        <v>0</v>
      </c>
      <c r="O47" s="276">
        <v>0</v>
      </c>
      <c r="P47" s="276">
        <v>0</v>
      </c>
      <c r="Q47" s="276">
        <v>0</v>
      </c>
      <c r="R47" s="276">
        <v>0</v>
      </c>
      <c r="S47" s="276">
        <v>0</v>
      </c>
      <c r="T47" s="276">
        <v>0</v>
      </c>
      <c r="U47" s="276">
        <v>0</v>
      </c>
      <c r="V47" s="276">
        <v>0</v>
      </c>
      <c r="W47" s="276">
        <v>0</v>
      </c>
      <c r="X47" s="276">
        <v>0</v>
      </c>
      <c r="Y47" s="276">
        <v>600</v>
      </c>
      <c r="Z47" s="276">
        <v>2</v>
      </c>
      <c r="AA47" s="276">
        <v>0</v>
      </c>
      <c r="AB47" s="276">
        <v>0</v>
      </c>
      <c r="AC47" s="276">
        <v>600</v>
      </c>
      <c r="AD47" s="276">
        <v>0</v>
      </c>
      <c r="AE47" s="276">
        <v>0</v>
      </c>
      <c r="AF47" s="276">
        <v>0</v>
      </c>
      <c r="AG47" s="276">
        <v>0</v>
      </c>
      <c r="AH47" s="276"/>
      <c r="AI47" s="276">
        <v>0</v>
      </c>
      <c r="AJ47" s="276">
        <v>0</v>
      </c>
      <c r="AK47" s="276"/>
      <c r="AL47" s="276">
        <v>0</v>
      </c>
      <c r="AM47" s="276">
        <v>0</v>
      </c>
      <c r="AN47" s="276"/>
      <c r="AO47" s="276">
        <v>0</v>
      </c>
      <c r="AP47" s="276">
        <v>0</v>
      </c>
      <c r="AQ47" s="276">
        <v>420</v>
      </c>
    </row>
    <row r="48" spans="1:43">
      <c r="A48" s="276" t="s">
        <v>329</v>
      </c>
      <c r="B48" s="276">
        <v>400</v>
      </c>
      <c r="C48" s="276">
        <v>400</v>
      </c>
      <c r="D48" s="276">
        <v>1</v>
      </c>
      <c r="E48" s="276">
        <v>0</v>
      </c>
      <c r="F48" s="276">
        <v>200</v>
      </c>
      <c r="G48" s="276">
        <v>1</v>
      </c>
      <c r="H48" s="276">
        <v>0</v>
      </c>
      <c r="I48" s="276">
        <v>0</v>
      </c>
      <c r="J48" s="276">
        <v>0</v>
      </c>
      <c r="K48" s="276">
        <v>0</v>
      </c>
      <c r="L48" s="276">
        <v>0</v>
      </c>
      <c r="M48" s="276">
        <v>0</v>
      </c>
      <c r="N48" s="276">
        <v>0</v>
      </c>
      <c r="O48" s="276">
        <v>0</v>
      </c>
      <c r="P48" s="276">
        <v>0</v>
      </c>
      <c r="Q48" s="276">
        <v>0</v>
      </c>
      <c r="R48" s="276">
        <v>0</v>
      </c>
      <c r="S48" s="276">
        <v>0</v>
      </c>
      <c r="T48" s="276">
        <v>0</v>
      </c>
      <c r="U48" s="276">
        <v>0</v>
      </c>
      <c r="V48" s="276">
        <v>0</v>
      </c>
      <c r="W48" s="276">
        <v>0</v>
      </c>
      <c r="X48" s="276">
        <v>0</v>
      </c>
      <c r="Y48" s="276">
        <v>600</v>
      </c>
      <c r="Z48" s="276">
        <v>2</v>
      </c>
      <c r="AA48" s="276">
        <v>0</v>
      </c>
      <c r="AB48" s="276">
        <v>0</v>
      </c>
      <c r="AC48" s="276">
        <v>600</v>
      </c>
      <c r="AD48" s="276">
        <v>0</v>
      </c>
      <c r="AE48" s="276">
        <v>0</v>
      </c>
      <c r="AF48" s="276">
        <v>0</v>
      </c>
      <c r="AG48" s="276">
        <v>0</v>
      </c>
      <c r="AH48" s="276"/>
      <c r="AI48" s="276">
        <v>0</v>
      </c>
      <c r="AJ48" s="276">
        <v>0</v>
      </c>
      <c r="AK48" s="276"/>
      <c r="AL48" s="276">
        <v>0</v>
      </c>
      <c r="AM48" s="276">
        <v>0</v>
      </c>
      <c r="AN48" s="276"/>
      <c r="AO48" s="276">
        <v>0</v>
      </c>
      <c r="AP48" s="276">
        <v>0</v>
      </c>
      <c r="AQ48" s="276">
        <v>420</v>
      </c>
    </row>
    <row r="49" spans="1:43">
      <c r="A49" s="276" t="s">
        <v>329</v>
      </c>
      <c r="B49" s="276">
        <v>400</v>
      </c>
      <c r="C49" s="276">
        <v>400</v>
      </c>
      <c r="D49" s="276">
        <v>1</v>
      </c>
      <c r="E49" s="276">
        <v>0</v>
      </c>
      <c r="F49" s="276">
        <v>200</v>
      </c>
      <c r="G49" s="276">
        <v>1</v>
      </c>
      <c r="H49" s="276">
        <v>0</v>
      </c>
      <c r="I49" s="276">
        <v>0</v>
      </c>
      <c r="J49" s="276">
        <v>0</v>
      </c>
      <c r="K49" s="276">
        <v>0</v>
      </c>
      <c r="L49" s="276">
        <v>0</v>
      </c>
      <c r="M49" s="276">
        <v>0</v>
      </c>
      <c r="N49" s="276">
        <v>0</v>
      </c>
      <c r="O49" s="276">
        <v>0</v>
      </c>
      <c r="P49" s="276">
        <v>0</v>
      </c>
      <c r="Q49" s="276">
        <v>0</v>
      </c>
      <c r="R49" s="276">
        <v>0</v>
      </c>
      <c r="S49" s="276">
        <v>0</v>
      </c>
      <c r="T49" s="276">
        <v>0</v>
      </c>
      <c r="U49" s="276">
        <v>0</v>
      </c>
      <c r="V49" s="276">
        <v>0</v>
      </c>
      <c r="W49" s="276">
        <v>0</v>
      </c>
      <c r="X49" s="276">
        <v>0</v>
      </c>
      <c r="Y49" s="276">
        <v>600</v>
      </c>
      <c r="Z49" s="276">
        <v>2</v>
      </c>
      <c r="AA49" s="276">
        <v>0</v>
      </c>
      <c r="AB49" s="276">
        <v>0</v>
      </c>
      <c r="AC49" s="276">
        <v>600</v>
      </c>
      <c r="AD49" s="276">
        <v>0</v>
      </c>
      <c r="AE49" s="276">
        <v>0</v>
      </c>
      <c r="AF49" s="276">
        <v>0</v>
      </c>
      <c r="AG49" s="276">
        <v>0</v>
      </c>
      <c r="AH49" s="276"/>
      <c r="AI49" s="276">
        <v>0</v>
      </c>
      <c r="AJ49" s="276">
        <v>0</v>
      </c>
      <c r="AK49" s="276"/>
      <c r="AL49" s="276">
        <v>0</v>
      </c>
      <c r="AM49" s="276">
        <v>0</v>
      </c>
      <c r="AN49" s="276"/>
      <c r="AO49" s="276">
        <v>0</v>
      </c>
      <c r="AP49" s="276">
        <v>0</v>
      </c>
      <c r="AQ49" s="276">
        <v>420</v>
      </c>
    </row>
    <row r="50" spans="1:43">
      <c r="A50" s="276" t="s">
        <v>329</v>
      </c>
      <c r="B50" s="276">
        <v>400</v>
      </c>
      <c r="C50" s="276">
        <v>400</v>
      </c>
      <c r="D50" s="276">
        <v>1</v>
      </c>
      <c r="E50" s="276">
        <v>0</v>
      </c>
      <c r="F50" s="276">
        <v>200</v>
      </c>
      <c r="G50" s="276">
        <v>1</v>
      </c>
      <c r="H50" s="276">
        <v>0</v>
      </c>
      <c r="I50" s="276">
        <v>0</v>
      </c>
      <c r="J50" s="276">
        <v>0</v>
      </c>
      <c r="K50" s="276">
        <v>0</v>
      </c>
      <c r="L50" s="276">
        <v>0</v>
      </c>
      <c r="M50" s="276">
        <v>0</v>
      </c>
      <c r="N50" s="276">
        <v>0</v>
      </c>
      <c r="O50" s="276">
        <v>0</v>
      </c>
      <c r="P50" s="276">
        <v>0</v>
      </c>
      <c r="Q50" s="276">
        <v>0</v>
      </c>
      <c r="R50" s="276">
        <v>0</v>
      </c>
      <c r="S50" s="276">
        <v>0</v>
      </c>
      <c r="T50" s="276">
        <v>0</v>
      </c>
      <c r="U50" s="276">
        <v>0</v>
      </c>
      <c r="V50" s="276">
        <v>0</v>
      </c>
      <c r="W50" s="276">
        <v>0</v>
      </c>
      <c r="X50" s="276">
        <v>0</v>
      </c>
      <c r="Y50" s="276">
        <v>600</v>
      </c>
      <c r="Z50" s="276">
        <v>2</v>
      </c>
      <c r="AA50" s="276">
        <v>0</v>
      </c>
      <c r="AB50" s="276">
        <v>0</v>
      </c>
      <c r="AC50" s="276">
        <v>600</v>
      </c>
      <c r="AD50" s="276">
        <v>0</v>
      </c>
      <c r="AE50" s="276">
        <v>0</v>
      </c>
      <c r="AF50" s="276">
        <v>0</v>
      </c>
      <c r="AG50" s="276">
        <v>0</v>
      </c>
      <c r="AH50" s="276"/>
      <c r="AI50" s="276">
        <v>0</v>
      </c>
      <c r="AJ50" s="276">
        <v>0</v>
      </c>
      <c r="AK50" s="276"/>
      <c r="AL50" s="276">
        <v>0</v>
      </c>
      <c r="AM50" s="276">
        <v>0</v>
      </c>
      <c r="AN50" s="276"/>
      <c r="AO50" s="276">
        <v>0</v>
      </c>
      <c r="AP50" s="276">
        <v>0</v>
      </c>
      <c r="AQ50" s="276">
        <v>420</v>
      </c>
    </row>
    <row r="51" spans="1:43">
      <c r="A51" s="276" t="s">
        <v>329</v>
      </c>
      <c r="B51" s="276">
        <v>0</v>
      </c>
      <c r="C51" s="276">
        <v>0</v>
      </c>
      <c r="D51" s="276">
        <v>0</v>
      </c>
      <c r="E51" s="276">
        <v>11</v>
      </c>
      <c r="F51" s="276">
        <v>0</v>
      </c>
      <c r="G51" s="276">
        <v>0</v>
      </c>
      <c r="H51" s="276">
        <v>12</v>
      </c>
      <c r="I51" s="276">
        <v>0</v>
      </c>
      <c r="J51" s="276">
        <v>0</v>
      </c>
      <c r="K51" s="276">
        <v>0</v>
      </c>
      <c r="L51" s="276">
        <v>0</v>
      </c>
      <c r="M51" s="276">
        <v>0</v>
      </c>
      <c r="N51" s="276">
        <v>0</v>
      </c>
      <c r="O51" s="276">
        <v>0</v>
      </c>
      <c r="P51" s="276">
        <v>0</v>
      </c>
      <c r="Q51" s="276">
        <v>0</v>
      </c>
      <c r="R51" s="276">
        <v>0</v>
      </c>
      <c r="S51" s="276">
        <v>0</v>
      </c>
      <c r="T51" s="276">
        <v>0</v>
      </c>
      <c r="U51" s="276">
        <v>0</v>
      </c>
      <c r="V51" s="276">
        <v>0</v>
      </c>
      <c r="W51" s="276">
        <v>0</v>
      </c>
      <c r="X51" s="276">
        <v>0</v>
      </c>
      <c r="Y51" s="276">
        <v>0</v>
      </c>
      <c r="Z51" s="276">
        <v>23</v>
      </c>
      <c r="AA51" s="276">
        <v>0</v>
      </c>
      <c r="AB51" s="276">
        <v>0</v>
      </c>
      <c r="AC51" s="276">
        <v>0</v>
      </c>
      <c r="AD51" s="276">
        <v>0</v>
      </c>
      <c r="AE51" s="276">
        <v>0</v>
      </c>
      <c r="AF51" s="276">
        <v>0</v>
      </c>
      <c r="AG51" s="276">
        <v>0</v>
      </c>
      <c r="AH51" s="276"/>
      <c r="AI51" s="276">
        <v>0</v>
      </c>
      <c r="AJ51" s="276">
        <v>0</v>
      </c>
      <c r="AK51" s="276"/>
      <c r="AL51" s="276">
        <v>0</v>
      </c>
      <c r="AM51" s="276">
        <v>0</v>
      </c>
      <c r="AN51" s="276"/>
      <c r="AO51" s="276">
        <v>0</v>
      </c>
      <c r="AP51" s="276">
        <v>0</v>
      </c>
      <c r="AQ51" s="276">
        <v>0</v>
      </c>
    </row>
    <row r="52" spans="1:43">
      <c r="A52" s="276" t="s">
        <v>329</v>
      </c>
      <c r="B52" s="276">
        <v>400</v>
      </c>
      <c r="C52" s="276">
        <v>400</v>
      </c>
      <c r="D52" s="276">
        <v>1</v>
      </c>
      <c r="E52" s="276">
        <v>0</v>
      </c>
      <c r="F52" s="276">
        <v>200</v>
      </c>
      <c r="G52" s="276">
        <v>1</v>
      </c>
      <c r="H52" s="276">
        <v>0</v>
      </c>
      <c r="I52" s="276">
        <v>0</v>
      </c>
      <c r="J52" s="276">
        <v>0</v>
      </c>
      <c r="K52" s="276">
        <v>0</v>
      </c>
      <c r="L52" s="276">
        <v>0</v>
      </c>
      <c r="M52" s="276">
        <v>0</v>
      </c>
      <c r="N52" s="276">
        <v>0</v>
      </c>
      <c r="O52" s="276">
        <v>0</v>
      </c>
      <c r="P52" s="276">
        <v>0</v>
      </c>
      <c r="Q52" s="276">
        <v>0</v>
      </c>
      <c r="R52" s="276">
        <v>0</v>
      </c>
      <c r="S52" s="276">
        <v>0</v>
      </c>
      <c r="T52" s="276">
        <v>0</v>
      </c>
      <c r="U52" s="276">
        <v>0</v>
      </c>
      <c r="V52" s="276">
        <v>0</v>
      </c>
      <c r="W52" s="276">
        <v>0</v>
      </c>
      <c r="X52" s="276">
        <v>0</v>
      </c>
      <c r="Y52" s="276">
        <v>600</v>
      </c>
      <c r="Z52" s="276">
        <v>2</v>
      </c>
      <c r="AA52" s="276">
        <v>0</v>
      </c>
      <c r="AB52" s="276">
        <v>0</v>
      </c>
      <c r="AC52" s="276">
        <v>600</v>
      </c>
      <c r="AD52" s="276">
        <v>0</v>
      </c>
      <c r="AE52" s="276">
        <v>0</v>
      </c>
      <c r="AF52" s="276">
        <v>0</v>
      </c>
      <c r="AG52" s="276">
        <v>0</v>
      </c>
      <c r="AH52" s="276"/>
      <c r="AI52" s="276">
        <v>0</v>
      </c>
      <c r="AJ52" s="276">
        <v>0</v>
      </c>
      <c r="AK52" s="276"/>
      <c r="AL52" s="276">
        <v>0</v>
      </c>
      <c r="AM52" s="276">
        <v>0</v>
      </c>
      <c r="AN52" s="276"/>
      <c r="AO52" s="276">
        <v>0</v>
      </c>
      <c r="AP52" s="276">
        <v>0</v>
      </c>
      <c r="AQ52" s="276">
        <v>420</v>
      </c>
    </row>
    <row r="53" spans="1:43">
      <c r="A53" s="276" t="s">
        <v>329</v>
      </c>
      <c r="B53" s="276">
        <v>400</v>
      </c>
      <c r="C53" s="276">
        <v>400</v>
      </c>
      <c r="D53" s="276">
        <v>1</v>
      </c>
      <c r="E53" s="276">
        <v>0</v>
      </c>
      <c r="F53" s="276">
        <v>400</v>
      </c>
      <c r="G53" s="276">
        <v>2</v>
      </c>
      <c r="H53" s="276">
        <v>0</v>
      </c>
      <c r="I53" s="276">
        <v>0</v>
      </c>
      <c r="J53" s="276">
        <v>0</v>
      </c>
      <c r="K53" s="276">
        <v>0</v>
      </c>
      <c r="L53" s="276">
        <v>0</v>
      </c>
      <c r="M53" s="276">
        <v>0</v>
      </c>
      <c r="N53" s="276">
        <v>0</v>
      </c>
      <c r="O53" s="276">
        <v>0</v>
      </c>
      <c r="P53" s="276">
        <v>0</v>
      </c>
      <c r="Q53" s="276">
        <v>0</v>
      </c>
      <c r="R53" s="276">
        <v>0</v>
      </c>
      <c r="S53" s="276">
        <v>0</v>
      </c>
      <c r="T53" s="276">
        <v>0</v>
      </c>
      <c r="U53" s="276">
        <v>0</v>
      </c>
      <c r="V53" s="276">
        <v>0</v>
      </c>
      <c r="W53" s="276">
        <v>0</v>
      </c>
      <c r="X53" s="276">
        <v>0</v>
      </c>
      <c r="Y53" s="276">
        <v>800</v>
      </c>
      <c r="Z53" s="276">
        <v>3</v>
      </c>
      <c r="AA53" s="276">
        <v>0</v>
      </c>
      <c r="AB53" s="276">
        <v>0</v>
      </c>
      <c r="AC53" s="276">
        <v>800</v>
      </c>
      <c r="AD53" s="276">
        <v>0</v>
      </c>
      <c r="AE53" s="276">
        <v>0</v>
      </c>
      <c r="AF53" s="276">
        <v>0</v>
      </c>
      <c r="AG53" s="276">
        <v>0</v>
      </c>
      <c r="AH53" s="276"/>
      <c r="AI53" s="276">
        <v>0</v>
      </c>
      <c r="AJ53" s="276">
        <v>0</v>
      </c>
      <c r="AK53" s="276"/>
      <c r="AL53" s="276">
        <v>0</v>
      </c>
      <c r="AM53" s="276">
        <v>0</v>
      </c>
      <c r="AN53" s="276"/>
      <c r="AO53" s="276">
        <v>0</v>
      </c>
      <c r="AP53" s="276">
        <v>0</v>
      </c>
      <c r="AQ53" s="276">
        <v>560</v>
      </c>
    </row>
    <row r="54" spans="1:43">
      <c r="A54" s="276" t="s">
        <v>329</v>
      </c>
      <c r="B54" s="276">
        <v>400</v>
      </c>
      <c r="C54" s="276">
        <v>400</v>
      </c>
      <c r="D54" s="276">
        <v>1</v>
      </c>
      <c r="E54" s="276">
        <v>0</v>
      </c>
      <c r="F54" s="276">
        <v>200</v>
      </c>
      <c r="G54" s="276">
        <v>1</v>
      </c>
      <c r="H54" s="276">
        <v>0</v>
      </c>
      <c r="I54" s="276">
        <v>0</v>
      </c>
      <c r="J54" s="276">
        <v>0</v>
      </c>
      <c r="K54" s="276">
        <v>0</v>
      </c>
      <c r="L54" s="276">
        <v>0</v>
      </c>
      <c r="M54" s="276">
        <v>0</v>
      </c>
      <c r="N54" s="276">
        <v>0</v>
      </c>
      <c r="O54" s="276">
        <v>0</v>
      </c>
      <c r="P54" s="276">
        <v>0</v>
      </c>
      <c r="Q54" s="276">
        <v>0</v>
      </c>
      <c r="R54" s="276">
        <v>0</v>
      </c>
      <c r="S54" s="276">
        <v>0</v>
      </c>
      <c r="T54" s="276">
        <v>0</v>
      </c>
      <c r="U54" s="276">
        <v>0</v>
      </c>
      <c r="V54" s="276">
        <v>0</v>
      </c>
      <c r="W54" s="276">
        <v>0</v>
      </c>
      <c r="X54" s="276">
        <v>0</v>
      </c>
      <c r="Y54" s="276">
        <v>600</v>
      </c>
      <c r="Z54" s="276">
        <v>2</v>
      </c>
      <c r="AA54" s="276">
        <v>0</v>
      </c>
      <c r="AB54" s="276">
        <v>0</v>
      </c>
      <c r="AC54" s="276">
        <v>600</v>
      </c>
      <c r="AD54" s="276">
        <v>0</v>
      </c>
      <c r="AE54" s="276">
        <v>0</v>
      </c>
      <c r="AF54" s="276">
        <v>0</v>
      </c>
      <c r="AG54" s="276">
        <v>0</v>
      </c>
      <c r="AH54" s="276"/>
      <c r="AI54" s="276">
        <v>0</v>
      </c>
      <c r="AJ54" s="276">
        <v>0</v>
      </c>
      <c r="AK54" s="276"/>
      <c r="AL54" s="276">
        <v>0</v>
      </c>
      <c r="AM54" s="276">
        <v>0</v>
      </c>
      <c r="AN54" s="276"/>
      <c r="AO54" s="276">
        <v>0</v>
      </c>
      <c r="AP54" s="276">
        <v>0</v>
      </c>
      <c r="AQ54" s="276">
        <v>420</v>
      </c>
    </row>
    <row r="55" spans="1:43">
      <c r="A55" s="276" t="s">
        <v>329</v>
      </c>
      <c r="B55" s="276">
        <v>400</v>
      </c>
      <c r="C55" s="276">
        <v>400</v>
      </c>
      <c r="D55" s="276">
        <v>1</v>
      </c>
      <c r="E55" s="276">
        <v>0</v>
      </c>
      <c r="F55" s="276">
        <v>400</v>
      </c>
      <c r="G55" s="276">
        <v>2</v>
      </c>
      <c r="H55" s="276">
        <v>0</v>
      </c>
      <c r="I55" s="276">
        <v>0</v>
      </c>
      <c r="J55" s="276">
        <v>0</v>
      </c>
      <c r="K55" s="276">
        <v>0</v>
      </c>
      <c r="L55" s="276">
        <v>0</v>
      </c>
      <c r="M55" s="276">
        <v>0</v>
      </c>
      <c r="N55" s="276">
        <v>0</v>
      </c>
      <c r="O55" s="276">
        <v>0</v>
      </c>
      <c r="P55" s="276">
        <v>0</v>
      </c>
      <c r="Q55" s="276">
        <v>0</v>
      </c>
      <c r="R55" s="276">
        <v>0</v>
      </c>
      <c r="S55" s="276">
        <v>0</v>
      </c>
      <c r="T55" s="276">
        <v>0</v>
      </c>
      <c r="U55" s="276">
        <v>0</v>
      </c>
      <c r="V55" s="276">
        <v>0</v>
      </c>
      <c r="W55" s="276">
        <v>0</v>
      </c>
      <c r="X55" s="276">
        <v>0</v>
      </c>
      <c r="Y55" s="276">
        <v>800</v>
      </c>
      <c r="Z55" s="276">
        <v>3</v>
      </c>
      <c r="AA55" s="276">
        <v>0</v>
      </c>
      <c r="AB55" s="276">
        <v>0</v>
      </c>
      <c r="AC55" s="276">
        <v>600</v>
      </c>
      <c r="AD55" s="276">
        <v>0</v>
      </c>
      <c r="AE55" s="276">
        <v>240</v>
      </c>
      <c r="AF55" s="276">
        <v>-72</v>
      </c>
      <c r="AG55" s="276">
        <v>0</v>
      </c>
      <c r="AH55" s="276">
        <v>240</v>
      </c>
      <c r="AI55" s="276">
        <v>-72</v>
      </c>
      <c r="AJ55" s="276">
        <v>0</v>
      </c>
      <c r="AK55" s="276"/>
      <c r="AL55" s="276">
        <v>0</v>
      </c>
      <c r="AM55" s="276">
        <v>0</v>
      </c>
      <c r="AN55" s="276"/>
      <c r="AO55" s="276">
        <v>0</v>
      </c>
      <c r="AP55" s="276">
        <v>0</v>
      </c>
      <c r="AQ55" s="276">
        <v>537.6</v>
      </c>
    </row>
    <row r="56" spans="1:43">
      <c r="A56" s="276" t="s">
        <v>329</v>
      </c>
      <c r="B56" s="276">
        <v>400</v>
      </c>
      <c r="C56" s="276">
        <v>400</v>
      </c>
      <c r="D56" s="276">
        <v>1</v>
      </c>
      <c r="E56" s="276">
        <v>0</v>
      </c>
      <c r="F56" s="276">
        <v>400</v>
      </c>
      <c r="G56" s="276">
        <v>2</v>
      </c>
      <c r="H56" s="276">
        <v>0</v>
      </c>
      <c r="I56" s="276">
        <v>0</v>
      </c>
      <c r="J56" s="276">
        <v>0</v>
      </c>
      <c r="K56" s="276">
        <v>0</v>
      </c>
      <c r="L56" s="276">
        <v>0</v>
      </c>
      <c r="M56" s="276">
        <v>0</v>
      </c>
      <c r="N56" s="276">
        <v>0</v>
      </c>
      <c r="O56" s="276">
        <v>0</v>
      </c>
      <c r="P56" s="276">
        <v>0</v>
      </c>
      <c r="Q56" s="276">
        <v>0</v>
      </c>
      <c r="R56" s="276">
        <v>0</v>
      </c>
      <c r="S56" s="276">
        <v>0</v>
      </c>
      <c r="T56" s="276">
        <v>0</v>
      </c>
      <c r="U56" s="276">
        <v>0</v>
      </c>
      <c r="V56" s="276">
        <v>0</v>
      </c>
      <c r="W56" s="276">
        <v>0</v>
      </c>
      <c r="X56" s="276">
        <v>0</v>
      </c>
      <c r="Y56" s="276">
        <v>800</v>
      </c>
      <c r="Z56" s="276">
        <v>3</v>
      </c>
      <c r="AA56" s="276">
        <v>0</v>
      </c>
      <c r="AB56" s="276">
        <v>0</v>
      </c>
      <c r="AC56" s="276">
        <v>600</v>
      </c>
      <c r="AD56" s="276">
        <v>0</v>
      </c>
      <c r="AE56" s="276">
        <v>240</v>
      </c>
      <c r="AF56" s="276">
        <v>-72</v>
      </c>
      <c r="AG56" s="276">
        <v>0</v>
      </c>
      <c r="AH56" s="276">
        <v>240</v>
      </c>
      <c r="AI56" s="276">
        <v>-72</v>
      </c>
      <c r="AJ56" s="276">
        <v>0</v>
      </c>
      <c r="AK56" s="276"/>
      <c r="AL56" s="276">
        <v>0</v>
      </c>
      <c r="AM56" s="276">
        <v>0</v>
      </c>
      <c r="AN56" s="276"/>
      <c r="AO56" s="276">
        <v>0</v>
      </c>
      <c r="AP56" s="276">
        <v>0</v>
      </c>
      <c r="AQ56" s="276">
        <v>537.6</v>
      </c>
    </row>
    <row r="57" spans="1:43">
      <c r="A57" s="276" t="s">
        <v>329</v>
      </c>
      <c r="B57" s="276">
        <v>400</v>
      </c>
      <c r="C57" s="276">
        <v>400</v>
      </c>
      <c r="D57" s="276">
        <v>1</v>
      </c>
      <c r="E57" s="276">
        <v>0</v>
      </c>
      <c r="F57" s="276">
        <v>400</v>
      </c>
      <c r="G57" s="276">
        <v>2</v>
      </c>
      <c r="H57" s="276">
        <v>0</v>
      </c>
      <c r="I57" s="276">
        <v>0</v>
      </c>
      <c r="J57" s="276">
        <v>0</v>
      </c>
      <c r="K57" s="276">
        <v>0</v>
      </c>
      <c r="L57" s="276">
        <v>0</v>
      </c>
      <c r="M57" s="276">
        <v>0</v>
      </c>
      <c r="N57" s="276">
        <v>0</v>
      </c>
      <c r="O57" s="276">
        <v>0</v>
      </c>
      <c r="P57" s="276">
        <v>0</v>
      </c>
      <c r="Q57" s="276">
        <v>0</v>
      </c>
      <c r="R57" s="276">
        <v>0</v>
      </c>
      <c r="S57" s="276">
        <v>0</v>
      </c>
      <c r="T57" s="276">
        <v>0</v>
      </c>
      <c r="U57" s="276">
        <v>0</v>
      </c>
      <c r="V57" s="276">
        <v>0</v>
      </c>
      <c r="W57" s="276">
        <v>0</v>
      </c>
      <c r="X57" s="276">
        <v>0</v>
      </c>
      <c r="Y57" s="276">
        <v>800</v>
      </c>
      <c r="Z57" s="276">
        <v>3</v>
      </c>
      <c r="AA57" s="276">
        <v>0</v>
      </c>
      <c r="AB57" s="276">
        <v>0</v>
      </c>
      <c r="AC57" s="276">
        <v>600</v>
      </c>
      <c r="AD57" s="276">
        <v>0</v>
      </c>
      <c r="AE57" s="276">
        <v>240</v>
      </c>
      <c r="AF57" s="276">
        <v>-72</v>
      </c>
      <c r="AG57" s="276">
        <v>0</v>
      </c>
      <c r="AH57" s="276">
        <v>240</v>
      </c>
      <c r="AI57" s="276">
        <v>-72</v>
      </c>
      <c r="AJ57" s="276">
        <v>0</v>
      </c>
      <c r="AK57" s="276"/>
      <c r="AL57" s="276">
        <v>0</v>
      </c>
      <c r="AM57" s="276">
        <v>0</v>
      </c>
      <c r="AN57" s="276"/>
      <c r="AO57" s="276">
        <v>0</v>
      </c>
      <c r="AP57" s="276">
        <v>0</v>
      </c>
      <c r="AQ57" s="276">
        <v>537.6</v>
      </c>
    </row>
    <row r="58" spans="1:43">
      <c r="A58" s="276" t="s">
        <v>329</v>
      </c>
      <c r="B58" s="276">
        <v>400</v>
      </c>
      <c r="C58" s="276">
        <v>400</v>
      </c>
      <c r="D58" s="276">
        <v>1</v>
      </c>
      <c r="E58" s="276">
        <v>0</v>
      </c>
      <c r="F58" s="276">
        <v>400</v>
      </c>
      <c r="G58" s="276">
        <v>2</v>
      </c>
      <c r="H58" s="276">
        <v>0</v>
      </c>
      <c r="I58" s="276">
        <v>0</v>
      </c>
      <c r="J58" s="276">
        <v>0</v>
      </c>
      <c r="K58" s="276">
        <v>0</v>
      </c>
      <c r="L58" s="276">
        <v>0</v>
      </c>
      <c r="M58" s="276">
        <v>0</v>
      </c>
      <c r="N58" s="276">
        <v>0</v>
      </c>
      <c r="O58" s="276">
        <v>0</v>
      </c>
      <c r="P58" s="276">
        <v>0</v>
      </c>
      <c r="Q58" s="276">
        <v>0</v>
      </c>
      <c r="R58" s="276">
        <v>0</v>
      </c>
      <c r="S58" s="276">
        <v>0</v>
      </c>
      <c r="T58" s="276">
        <v>0</v>
      </c>
      <c r="U58" s="276">
        <v>0</v>
      </c>
      <c r="V58" s="276">
        <v>0</v>
      </c>
      <c r="W58" s="276">
        <v>0</v>
      </c>
      <c r="X58" s="276">
        <v>0</v>
      </c>
      <c r="Y58" s="276">
        <v>800</v>
      </c>
      <c r="Z58" s="276">
        <v>3</v>
      </c>
      <c r="AA58" s="276">
        <v>0</v>
      </c>
      <c r="AB58" s="276">
        <v>0</v>
      </c>
      <c r="AC58" s="276">
        <v>600</v>
      </c>
      <c r="AD58" s="276">
        <v>0</v>
      </c>
      <c r="AE58" s="276">
        <v>240</v>
      </c>
      <c r="AF58" s="276">
        <v>-72</v>
      </c>
      <c r="AG58" s="276">
        <v>0</v>
      </c>
      <c r="AH58" s="276">
        <v>240</v>
      </c>
      <c r="AI58" s="276">
        <v>-72</v>
      </c>
      <c r="AJ58" s="276">
        <v>0</v>
      </c>
      <c r="AK58" s="276"/>
      <c r="AL58" s="276">
        <v>0</v>
      </c>
      <c r="AM58" s="276">
        <v>0</v>
      </c>
      <c r="AN58" s="276"/>
      <c r="AO58" s="276">
        <v>0</v>
      </c>
      <c r="AP58" s="276">
        <v>0</v>
      </c>
      <c r="AQ58" s="276">
        <v>537.6</v>
      </c>
    </row>
    <row r="59" spans="1:43">
      <c r="A59" s="276" t="s">
        <v>329</v>
      </c>
      <c r="B59" s="276">
        <v>400</v>
      </c>
      <c r="C59" s="276">
        <v>400</v>
      </c>
      <c r="D59" s="276">
        <v>1</v>
      </c>
      <c r="E59" s="276">
        <v>0</v>
      </c>
      <c r="F59" s="276">
        <v>400</v>
      </c>
      <c r="G59" s="276">
        <v>2</v>
      </c>
      <c r="H59" s="276">
        <v>0</v>
      </c>
      <c r="I59" s="276">
        <v>0</v>
      </c>
      <c r="J59" s="276">
        <v>0</v>
      </c>
      <c r="K59" s="276">
        <v>0</v>
      </c>
      <c r="L59" s="276">
        <v>0</v>
      </c>
      <c r="M59" s="276">
        <v>0</v>
      </c>
      <c r="N59" s="276">
        <v>0</v>
      </c>
      <c r="O59" s="276">
        <v>0</v>
      </c>
      <c r="P59" s="276">
        <v>0</v>
      </c>
      <c r="Q59" s="276">
        <v>0</v>
      </c>
      <c r="R59" s="276">
        <v>0</v>
      </c>
      <c r="S59" s="276">
        <v>0</v>
      </c>
      <c r="T59" s="276">
        <v>0</v>
      </c>
      <c r="U59" s="276">
        <v>0</v>
      </c>
      <c r="V59" s="276">
        <v>0</v>
      </c>
      <c r="W59" s="276">
        <v>0</v>
      </c>
      <c r="X59" s="276">
        <v>0</v>
      </c>
      <c r="Y59" s="276">
        <v>800</v>
      </c>
      <c r="Z59" s="276">
        <v>3</v>
      </c>
      <c r="AA59" s="276">
        <v>0</v>
      </c>
      <c r="AB59" s="276">
        <v>0</v>
      </c>
      <c r="AC59" s="276">
        <v>600</v>
      </c>
      <c r="AD59" s="276">
        <v>0</v>
      </c>
      <c r="AE59" s="276">
        <v>240</v>
      </c>
      <c r="AF59" s="276">
        <v>-72</v>
      </c>
      <c r="AG59" s="276">
        <v>0</v>
      </c>
      <c r="AH59" s="276">
        <v>240</v>
      </c>
      <c r="AI59" s="276">
        <v>-72</v>
      </c>
      <c r="AJ59" s="276">
        <v>0</v>
      </c>
      <c r="AK59" s="276"/>
      <c r="AL59" s="276">
        <v>0</v>
      </c>
      <c r="AM59" s="276">
        <v>0</v>
      </c>
      <c r="AN59" s="276"/>
      <c r="AO59" s="276">
        <v>0</v>
      </c>
      <c r="AP59" s="276">
        <v>0</v>
      </c>
      <c r="AQ59" s="276">
        <v>537.6</v>
      </c>
    </row>
    <row r="60" spans="1:43">
      <c r="A60" s="276" t="s">
        <v>329</v>
      </c>
      <c r="B60" s="276">
        <v>400</v>
      </c>
      <c r="C60" s="276">
        <v>400</v>
      </c>
      <c r="D60" s="276">
        <v>1</v>
      </c>
      <c r="E60" s="276">
        <v>0</v>
      </c>
      <c r="F60" s="276">
        <v>400</v>
      </c>
      <c r="G60" s="276">
        <v>2</v>
      </c>
      <c r="H60" s="276">
        <v>0</v>
      </c>
      <c r="I60" s="276">
        <v>0</v>
      </c>
      <c r="J60" s="276">
        <v>0</v>
      </c>
      <c r="K60" s="276">
        <v>0</v>
      </c>
      <c r="L60" s="276">
        <v>0</v>
      </c>
      <c r="M60" s="276">
        <v>0</v>
      </c>
      <c r="N60" s="276">
        <v>0</v>
      </c>
      <c r="O60" s="276">
        <v>0</v>
      </c>
      <c r="P60" s="276">
        <v>0</v>
      </c>
      <c r="Q60" s="276">
        <v>0</v>
      </c>
      <c r="R60" s="276">
        <v>0</v>
      </c>
      <c r="S60" s="276">
        <v>0</v>
      </c>
      <c r="T60" s="276">
        <v>0</v>
      </c>
      <c r="U60" s="276">
        <v>0</v>
      </c>
      <c r="V60" s="276">
        <v>0</v>
      </c>
      <c r="W60" s="276">
        <v>0</v>
      </c>
      <c r="X60" s="276">
        <v>0</v>
      </c>
      <c r="Y60" s="276">
        <v>800</v>
      </c>
      <c r="Z60" s="276">
        <v>3</v>
      </c>
      <c r="AA60" s="276">
        <v>0</v>
      </c>
      <c r="AB60" s="276">
        <v>0</v>
      </c>
      <c r="AC60" s="276">
        <v>600</v>
      </c>
      <c r="AD60" s="276">
        <v>0</v>
      </c>
      <c r="AE60" s="276">
        <v>240</v>
      </c>
      <c r="AF60" s="276">
        <v>-72</v>
      </c>
      <c r="AG60" s="276">
        <v>0</v>
      </c>
      <c r="AH60" s="276">
        <v>240</v>
      </c>
      <c r="AI60" s="276">
        <v>-72</v>
      </c>
      <c r="AJ60" s="276">
        <v>0</v>
      </c>
      <c r="AK60" s="276"/>
      <c r="AL60" s="276">
        <v>0</v>
      </c>
      <c r="AM60" s="276">
        <v>0</v>
      </c>
      <c r="AN60" s="276"/>
      <c r="AO60" s="276">
        <v>0</v>
      </c>
      <c r="AP60" s="276">
        <v>0</v>
      </c>
      <c r="AQ60" s="276">
        <v>537.6</v>
      </c>
    </row>
    <row r="61" spans="1:43">
      <c r="A61" s="276" t="s">
        <v>329</v>
      </c>
      <c r="B61" s="276">
        <v>400</v>
      </c>
      <c r="C61" s="276">
        <v>400</v>
      </c>
      <c r="D61" s="276">
        <v>1</v>
      </c>
      <c r="E61" s="276">
        <v>0</v>
      </c>
      <c r="F61" s="276">
        <v>400</v>
      </c>
      <c r="G61" s="276">
        <v>2</v>
      </c>
      <c r="H61" s="276">
        <v>0</v>
      </c>
      <c r="I61" s="276">
        <v>0</v>
      </c>
      <c r="J61" s="276">
        <v>0</v>
      </c>
      <c r="K61" s="276">
        <v>0</v>
      </c>
      <c r="L61" s="276">
        <v>0</v>
      </c>
      <c r="M61" s="276">
        <v>0</v>
      </c>
      <c r="N61" s="276">
        <v>0</v>
      </c>
      <c r="O61" s="276">
        <v>0</v>
      </c>
      <c r="P61" s="276">
        <v>0</v>
      </c>
      <c r="Q61" s="276">
        <v>0</v>
      </c>
      <c r="R61" s="276">
        <v>0</v>
      </c>
      <c r="S61" s="276">
        <v>0</v>
      </c>
      <c r="T61" s="276">
        <v>0</v>
      </c>
      <c r="U61" s="276">
        <v>0</v>
      </c>
      <c r="V61" s="276">
        <v>0</v>
      </c>
      <c r="W61" s="276">
        <v>0</v>
      </c>
      <c r="X61" s="276">
        <v>0</v>
      </c>
      <c r="Y61" s="276">
        <v>800</v>
      </c>
      <c r="Z61" s="276">
        <v>3</v>
      </c>
      <c r="AA61" s="276">
        <v>0</v>
      </c>
      <c r="AB61" s="276">
        <v>0</v>
      </c>
      <c r="AC61" s="276">
        <v>600</v>
      </c>
      <c r="AD61" s="276">
        <v>0</v>
      </c>
      <c r="AE61" s="276">
        <v>240</v>
      </c>
      <c r="AF61" s="276">
        <v>-72</v>
      </c>
      <c r="AG61" s="276">
        <v>0</v>
      </c>
      <c r="AH61" s="276">
        <v>240</v>
      </c>
      <c r="AI61" s="276">
        <v>-72</v>
      </c>
      <c r="AJ61" s="276">
        <v>0</v>
      </c>
      <c r="AK61" s="276"/>
      <c r="AL61" s="276">
        <v>0</v>
      </c>
      <c r="AM61" s="276">
        <v>0</v>
      </c>
      <c r="AN61" s="276"/>
      <c r="AO61" s="276">
        <v>0</v>
      </c>
      <c r="AP61" s="276">
        <v>0</v>
      </c>
      <c r="AQ61" s="276">
        <v>537.6</v>
      </c>
    </row>
    <row r="62" spans="1:43">
      <c r="A62" s="276" t="s">
        <v>329</v>
      </c>
      <c r="B62" s="276">
        <v>400</v>
      </c>
      <c r="C62" s="276">
        <v>400</v>
      </c>
      <c r="D62" s="276">
        <v>1</v>
      </c>
      <c r="E62" s="276">
        <v>0</v>
      </c>
      <c r="F62" s="276">
        <v>0</v>
      </c>
      <c r="G62" s="276">
        <v>0</v>
      </c>
      <c r="H62" s="276">
        <v>0</v>
      </c>
      <c r="I62" s="276">
        <v>0</v>
      </c>
      <c r="J62" s="276">
        <v>0</v>
      </c>
      <c r="K62" s="276">
        <v>0</v>
      </c>
      <c r="L62" s="276">
        <v>0</v>
      </c>
      <c r="M62" s="276">
        <v>0</v>
      </c>
      <c r="N62" s="276">
        <v>0</v>
      </c>
      <c r="O62" s="276">
        <v>0</v>
      </c>
      <c r="P62" s="276">
        <v>0</v>
      </c>
      <c r="Q62" s="276">
        <v>0</v>
      </c>
      <c r="R62" s="276">
        <v>0</v>
      </c>
      <c r="S62" s="276">
        <v>0</v>
      </c>
      <c r="T62" s="276">
        <v>0</v>
      </c>
      <c r="U62" s="276">
        <v>0</v>
      </c>
      <c r="V62" s="276">
        <v>0</v>
      </c>
      <c r="W62" s="276">
        <v>0</v>
      </c>
      <c r="X62" s="276">
        <v>0</v>
      </c>
      <c r="Y62" s="276">
        <v>400</v>
      </c>
      <c r="Z62" s="276">
        <v>1</v>
      </c>
      <c r="AA62" s="276">
        <v>0</v>
      </c>
      <c r="AB62" s="276">
        <v>0</v>
      </c>
      <c r="AC62" s="276">
        <v>400</v>
      </c>
      <c r="AD62" s="276">
        <v>0</v>
      </c>
      <c r="AE62" s="276">
        <v>0</v>
      </c>
      <c r="AF62" s="276">
        <v>0</v>
      </c>
      <c r="AG62" s="276">
        <v>0</v>
      </c>
      <c r="AH62" s="276"/>
      <c r="AI62" s="276">
        <v>0</v>
      </c>
      <c r="AJ62" s="276">
        <v>0</v>
      </c>
      <c r="AK62" s="276"/>
      <c r="AL62" s="276">
        <v>0</v>
      </c>
      <c r="AM62" s="276">
        <v>0</v>
      </c>
      <c r="AN62" s="276"/>
      <c r="AO62" s="276">
        <v>0</v>
      </c>
      <c r="AP62" s="276">
        <v>0</v>
      </c>
      <c r="AQ62" s="276">
        <v>280</v>
      </c>
    </row>
    <row r="63" spans="1:43">
      <c r="A63" s="276" t="s">
        <v>329</v>
      </c>
      <c r="B63" s="276">
        <v>400</v>
      </c>
      <c r="C63" s="276">
        <v>400</v>
      </c>
      <c r="D63" s="276">
        <v>1</v>
      </c>
      <c r="E63" s="276">
        <v>0</v>
      </c>
      <c r="F63" s="276">
        <v>400</v>
      </c>
      <c r="G63" s="276">
        <v>2</v>
      </c>
      <c r="H63" s="276">
        <v>0</v>
      </c>
      <c r="I63" s="276">
        <v>0</v>
      </c>
      <c r="J63" s="276">
        <v>0</v>
      </c>
      <c r="K63" s="276">
        <v>0</v>
      </c>
      <c r="L63" s="276">
        <v>0</v>
      </c>
      <c r="M63" s="276">
        <v>0</v>
      </c>
      <c r="N63" s="276">
        <v>0</v>
      </c>
      <c r="O63" s="276">
        <v>0</v>
      </c>
      <c r="P63" s="276">
        <v>0</v>
      </c>
      <c r="Q63" s="276">
        <v>0</v>
      </c>
      <c r="R63" s="276">
        <v>0</v>
      </c>
      <c r="S63" s="276">
        <v>0</v>
      </c>
      <c r="T63" s="276">
        <v>0</v>
      </c>
      <c r="U63" s="276">
        <v>0</v>
      </c>
      <c r="V63" s="276">
        <v>0</v>
      </c>
      <c r="W63" s="276">
        <v>0</v>
      </c>
      <c r="X63" s="276">
        <v>0</v>
      </c>
      <c r="Y63" s="276">
        <v>800</v>
      </c>
      <c r="Z63" s="276">
        <v>3</v>
      </c>
      <c r="AA63" s="276">
        <v>0</v>
      </c>
      <c r="AB63" s="276">
        <v>0</v>
      </c>
      <c r="AC63" s="276">
        <v>600</v>
      </c>
      <c r="AD63" s="276">
        <v>0</v>
      </c>
      <c r="AE63" s="276">
        <v>240</v>
      </c>
      <c r="AF63" s="276">
        <v>-72</v>
      </c>
      <c r="AG63" s="276">
        <v>0</v>
      </c>
      <c r="AH63" s="276">
        <v>240</v>
      </c>
      <c r="AI63" s="276">
        <v>-72</v>
      </c>
      <c r="AJ63" s="276">
        <v>0</v>
      </c>
      <c r="AK63" s="276"/>
      <c r="AL63" s="276">
        <v>0</v>
      </c>
      <c r="AM63" s="276">
        <v>0</v>
      </c>
      <c r="AN63" s="276"/>
      <c r="AO63" s="276">
        <v>0</v>
      </c>
      <c r="AP63" s="276">
        <v>0</v>
      </c>
      <c r="AQ63" s="276">
        <v>537.6</v>
      </c>
    </row>
    <row r="64" spans="1:43">
      <c r="A64" s="276" t="s">
        <v>329</v>
      </c>
      <c r="B64" s="276">
        <v>400</v>
      </c>
      <c r="C64" s="276">
        <v>400</v>
      </c>
      <c r="D64" s="276">
        <v>1</v>
      </c>
      <c r="E64" s="276">
        <v>0</v>
      </c>
      <c r="F64" s="276">
        <v>200</v>
      </c>
      <c r="G64" s="276">
        <v>1</v>
      </c>
      <c r="H64" s="276">
        <v>0</v>
      </c>
      <c r="I64" s="276">
        <v>0</v>
      </c>
      <c r="J64" s="276">
        <v>0</v>
      </c>
      <c r="K64" s="276">
        <v>0</v>
      </c>
      <c r="L64" s="276">
        <v>0</v>
      </c>
      <c r="M64" s="276">
        <v>0</v>
      </c>
      <c r="N64" s="276">
        <v>0</v>
      </c>
      <c r="O64" s="276">
        <v>0</v>
      </c>
      <c r="P64" s="276">
        <v>0</v>
      </c>
      <c r="Q64" s="276">
        <v>0</v>
      </c>
      <c r="R64" s="276">
        <v>0</v>
      </c>
      <c r="S64" s="276">
        <v>0</v>
      </c>
      <c r="T64" s="276">
        <v>0</v>
      </c>
      <c r="U64" s="276">
        <v>0</v>
      </c>
      <c r="V64" s="276">
        <v>0</v>
      </c>
      <c r="W64" s="276">
        <v>0</v>
      </c>
      <c r="X64" s="276">
        <v>0</v>
      </c>
      <c r="Y64" s="276">
        <v>600</v>
      </c>
      <c r="Z64" s="276">
        <v>2</v>
      </c>
      <c r="AA64" s="276">
        <v>0</v>
      </c>
      <c r="AB64" s="276">
        <v>0</v>
      </c>
      <c r="AC64" s="276">
        <v>600</v>
      </c>
      <c r="AD64" s="276">
        <v>0</v>
      </c>
      <c r="AE64" s="276">
        <v>0</v>
      </c>
      <c r="AF64" s="276">
        <v>0</v>
      </c>
      <c r="AG64" s="276">
        <v>0</v>
      </c>
      <c r="AH64" s="276"/>
      <c r="AI64" s="276">
        <v>0</v>
      </c>
      <c r="AJ64" s="276">
        <v>0</v>
      </c>
      <c r="AK64" s="276"/>
      <c r="AL64" s="276">
        <v>0</v>
      </c>
      <c r="AM64" s="276">
        <v>0</v>
      </c>
      <c r="AN64" s="276"/>
      <c r="AO64" s="276">
        <v>0</v>
      </c>
      <c r="AP64" s="276">
        <v>0</v>
      </c>
      <c r="AQ64" s="276">
        <v>420</v>
      </c>
    </row>
    <row r="65" spans="1:43">
      <c r="A65" s="276" t="s">
        <v>329</v>
      </c>
      <c r="B65" s="276">
        <v>400</v>
      </c>
      <c r="C65" s="276">
        <v>400</v>
      </c>
      <c r="D65" s="276">
        <v>1</v>
      </c>
      <c r="E65" s="276">
        <v>0</v>
      </c>
      <c r="F65" s="276">
        <v>200</v>
      </c>
      <c r="G65" s="276">
        <v>1</v>
      </c>
      <c r="H65" s="276">
        <v>0</v>
      </c>
      <c r="I65" s="276">
        <v>0</v>
      </c>
      <c r="J65" s="276">
        <v>0</v>
      </c>
      <c r="K65" s="276">
        <v>0</v>
      </c>
      <c r="L65" s="276">
        <v>0</v>
      </c>
      <c r="M65" s="276">
        <v>0</v>
      </c>
      <c r="N65" s="276">
        <v>0</v>
      </c>
      <c r="O65" s="276">
        <v>0</v>
      </c>
      <c r="P65" s="276">
        <v>0</v>
      </c>
      <c r="Q65" s="276">
        <v>0</v>
      </c>
      <c r="R65" s="276">
        <v>0</v>
      </c>
      <c r="S65" s="276">
        <v>0</v>
      </c>
      <c r="T65" s="276">
        <v>0</v>
      </c>
      <c r="U65" s="276">
        <v>0</v>
      </c>
      <c r="V65" s="276">
        <v>0</v>
      </c>
      <c r="W65" s="276">
        <v>0</v>
      </c>
      <c r="X65" s="276">
        <v>0</v>
      </c>
      <c r="Y65" s="276">
        <v>600</v>
      </c>
      <c r="Z65" s="276">
        <v>2</v>
      </c>
      <c r="AA65" s="276">
        <v>0</v>
      </c>
      <c r="AB65" s="276">
        <v>0</v>
      </c>
      <c r="AC65" s="276">
        <v>600</v>
      </c>
      <c r="AD65" s="276">
        <v>0</v>
      </c>
      <c r="AE65" s="276">
        <v>0</v>
      </c>
      <c r="AF65" s="276">
        <v>0</v>
      </c>
      <c r="AG65" s="276">
        <v>0</v>
      </c>
      <c r="AH65" s="276"/>
      <c r="AI65" s="276">
        <v>0</v>
      </c>
      <c r="AJ65" s="276">
        <v>0</v>
      </c>
      <c r="AK65" s="276"/>
      <c r="AL65" s="276">
        <v>0</v>
      </c>
      <c r="AM65" s="276">
        <v>0</v>
      </c>
      <c r="AN65" s="276"/>
      <c r="AO65" s="276">
        <v>0</v>
      </c>
      <c r="AP65" s="276">
        <v>0</v>
      </c>
      <c r="AQ65" s="276">
        <v>420</v>
      </c>
    </row>
    <row r="66" spans="1:43">
      <c r="A66" s="276" t="s">
        <v>329</v>
      </c>
      <c r="B66" s="276">
        <v>400</v>
      </c>
      <c r="C66" s="276">
        <v>400</v>
      </c>
      <c r="D66" s="276">
        <v>1</v>
      </c>
      <c r="E66" s="276">
        <v>0</v>
      </c>
      <c r="F66" s="276">
        <v>200</v>
      </c>
      <c r="G66" s="276">
        <v>1</v>
      </c>
      <c r="H66" s="276">
        <v>0</v>
      </c>
      <c r="I66" s="276">
        <v>0</v>
      </c>
      <c r="J66" s="276">
        <v>0</v>
      </c>
      <c r="K66" s="276">
        <v>0</v>
      </c>
      <c r="L66" s="276">
        <v>0</v>
      </c>
      <c r="M66" s="276">
        <v>0</v>
      </c>
      <c r="N66" s="276">
        <v>0</v>
      </c>
      <c r="O66" s="276">
        <v>0</v>
      </c>
      <c r="P66" s="276">
        <v>0</v>
      </c>
      <c r="Q66" s="276">
        <v>0</v>
      </c>
      <c r="R66" s="276">
        <v>0</v>
      </c>
      <c r="S66" s="276">
        <v>0</v>
      </c>
      <c r="T66" s="276">
        <v>0</v>
      </c>
      <c r="U66" s="276">
        <v>0</v>
      </c>
      <c r="V66" s="276">
        <v>0</v>
      </c>
      <c r="W66" s="276">
        <v>0</v>
      </c>
      <c r="X66" s="276">
        <v>0</v>
      </c>
      <c r="Y66" s="276">
        <v>600</v>
      </c>
      <c r="Z66" s="276">
        <v>2</v>
      </c>
      <c r="AA66" s="276">
        <v>0</v>
      </c>
      <c r="AB66" s="276">
        <v>0</v>
      </c>
      <c r="AC66" s="276">
        <v>600</v>
      </c>
      <c r="AD66" s="276">
        <v>0</v>
      </c>
      <c r="AE66" s="276">
        <v>0</v>
      </c>
      <c r="AF66" s="276">
        <v>0</v>
      </c>
      <c r="AG66" s="276">
        <v>0</v>
      </c>
      <c r="AH66" s="276"/>
      <c r="AI66" s="276">
        <v>0</v>
      </c>
      <c r="AJ66" s="276">
        <v>0</v>
      </c>
      <c r="AK66" s="276"/>
      <c r="AL66" s="276">
        <v>0</v>
      </c>
      <c r="AM66" s="276">
        <v>0</v>
      </c>
      <c r="AN66" s="276"/>
      <c r="AO66" s="276">
        <v>0</v>
      </c>
      <c r="AP66" s="276">
        <v>0</v>
      </c>
      <c r="AQ66" s="276">
        <v>420</v>
      </c>
    </row>
    <row r="67" spans="1:43">
      <c r="A67" s="276" t="s">
        <v>329</v>
      </c>
      <c r="B67" s="276">
        <v>400</v>
      </c>
      <c r="C67" s="276">
        <v>400</v>
      </c>
      <c r="D67" s="276">
        <v>1</v>
      </c>
      <c r="E67" s="276">
        <v>0</v>
      </c>
      <c r="F67" s="276">
        <v>200</v>
      </c>
      <c r="G67" s="276">
        <v>1</v>
      </c>
      <c r="H67" s="276">
        <v>0</v>
      </c>
      <c r="I67" s="276">
        <v>0</v>
      </c>
      <c r="J67" s="276">
        <v>0</v>
      </c>
      <c r="K67" s="276">
        <v>0</v>
      </c>
      <c r="L67" s="276">
        <v>0</v>
      </c>
      <c r="M67" s="276">
        <v>0</v>
      </c>
      <c r="N67" s="276">
        <v>0</v>
      </c>
      <c r="O67" s="276">
        <v>0</v>
      </c>
      <c r="P67" s="276">
        <v>0</v>
      </c>
      <c r="Q67" s="276">
        <v>0</v>
      </c>
      <c r="R67" s="276">
        <v>0</v>
      </c>
      <c r="S67" s="276">
        <v>0</v>
      </c>
      <c r="T67" s="276">
        <v>0</v>
      </c>
      <c r="U67" s="276">
        <v>0</v>
      </c>
      <c r="V67" s="276">
        <v>0</v>
      </c>
      <c r="W67" s="276">
        <v>0</v>
      </c>
      <c r="X67" s="276">
        <v>0</v>
      </c>
      <c r="Y67" s="276">
        <v>600</v>
      </c>
      <c r="Z67" s="276">
        <v>2</v>
      </c>
      <c r="AA67" s="276">
        <v>0</v>
      </c>
      <c r="AB67" s="276">
        <v>0</v>
      </c>
      <c r="AC67" s="276">
        <v>600</v>
      </c>
      <c r="AD67" s="276">
        <v>0</v>
      </c>
      <c r="AE67" s="276">
        <v>0</v>
      </c>
      <c r="AF67" s="276">
        <v>0</v>
      </c>
      <c r="AG67" s="276">
        <v>0</v>
      </c>
      <c r="AH67" s="276"/>
      <c r="AI67" s="276">
        <v>0</v>
      </c>
      <c r="AJ67" s="276">
        <v>0</v>
      </c>
      <c r="AK67" s="276"/>
      <c r="AL67" s="276">
        <v>0</v>
      </c>
      <c r="AM67" s="276">
        <v>0</v>
      </c>
      <c r="AN67" s="276"/>
      <c r="AO67" s="276">
        <v>0</v>
      </c>
      <c r="AP67" s="276">
        <v>0</v>
      </c>
      <c r="AQ67" s="276">
        <v>420</v>
      </c>
    </row>
    <row r="68" spans="1:43">
      <c r="A68" s="276" t="s">
        <v>329</v>
      </c>
      <c r="B68" s="276">
        <v>400</v>
      </c>
      <c r="C68" s="276">
        <v>400</v>
      </c>
      <c r="D68" s="276">
        <v>1</v>
      </c>
      <c r="E68" s="276">
        <v>0</v>
      </c>
      <c r="F68" s="276">
        <v>200</v>
      </c>
      <c r="G68" s="276">
        <v>1</v>
      </c>
      <c r="H68" s="276">
        <v>0</v>
      </c>
      <c r="I68" s="276">
        <v>0</v>
      </c>
      <c r="J68" s="276">
        <v>0</v>
      </c>
      <c r="K68" s="276">
        <v>0</v>
      </c>
      <c r="L68" s="276">
        <v>0</v>
      </c>
      <c r="M68" s="276">
        <v>0</v>
      </c>
      <c r="N68" s="276">
        <v>0</v>
      </c>
      <c r="O68" s="276">
        <v>0</v>
      </c>
      <c r="P68" s="276">
        <v>0</v>
      </c>
      <c r="Q68" s="276">
        <v>0</v>
      </c>
      <c r="R68" s="276">
        <v>0</v>
      </c>
      <c r="S68" s="276">
        <v>0</v>
      </c>
      <c r="T68" s="276">
        <v>0</v>
      </c>
      <c r="U68" s="276">
        <v>0</v>
      </c>
      <c r="V68" s="276">
        <v>0</v>
      </c>
      <c r="W68" s="276">
        <v>0</v>
      </c>
      <c r="X68" s="276">
        <v>0</v>
      </c>
      <c r="Y68" s="276">
        <v>600</v>
      </c>
      <c r="Z68" s="276">
        <v>2</v>
      </c>
      <c r="AA68" s="276">
        <v>0</v>
      </c>
      <c r="AB68" s="276">
        <v>0</v>
      </c>
      <c r="AC68" s="276">
        <v>600</v>
      </c>
      <c r="AD68" s="276">
        <v>0</v>
      </c>
      <c r="AE68" s="276">
        <v>0</v>
      </c>
      <c r="AF68" s="276">
        <v>0</v>
      </c>
      <c r="AG68" s="276">
        <v>0</v>
      </c>
      <c r="AH68" s="276"/>
      <c r="AI68" s="276">
        <v>0</v>
      </c>
      <c r="AJ68" s="276">
        <v>0</v>
      </c>
      <c r="AK68" s="276"/>
      <c r="AL68" s="276">
        <v>0</v>
      </c>
      <c r="AM68" s="276">
        <v>0</v>
      </c>
      <c r="AN68" s="276"/>
      <c r="AO68" s="276">
        <v>0</v>
      </c>
      <c r="AP68" s="276">
        <v>0</v>
      </c>
      <c r="AQ68" s="276">
        <v>420</v>
      </c>
    </row>
    <row r="69" spans="1:43">
      <c r="A69" s="276" t="s">
        <v>329</v>
      </c>
      <c r="B69" s="276">
        <v>400</v>
      </c>
      <c r="C69" s="276">
        <v>400</v>
      </c>
      <c r="D69" s="276">
        <v>1</v>
      </c>
      <c r="E69" s="276">
        <v>0</v>
      </c>
      <c r="F69" s="276">
        <v>200</v>
      </c>
      <c r="G69" s="276">
        <v>1</v>
      </c>
      <c r="H69" s="276">
        <v>0</v>
      </c>
      <c r="I69" s="276">
        <v>0</v>
      </c>
      <c r="J69" s="276">
        <v>0</v>
      </c>
      <c r="K69" s="276">
        <v>0</v>
      </c>
      <c r="L69" s="276">
        <v>0</v>
      </c>
      <c r="M69" s="276">
        <v>0</v>
      </c>
      <c r="N69" s="276">
        <v>0</v>
      </c>
      <c r="O69" s="276">
        <v>0</v>
      </c>
      <c r="P69" s="276">
        <v>0</v>
      </c>
      <c r="Q69" s="276">
        <v>0</v>
      </c>
      <c r="R69" s="276">
        <v>0</v>
      </c>
      <c r="S69" s="276">
        <v>0</v>
      </c>
      <c r="T69" s="276">
        <v>0</v>
      </c>
      <c r="U69" s="276">
        <v>0</v>
      </c>
      <c r="V69" s="276">
        <v>0</v>
      </c>
      <c r="W69" s="276">
        <v>0</v>
      </c>
      <c r="X69" s="276">
        <v>0</v>
      </c>
      <c r="Y69" s="276">
        <v>600</v>
      </c>
      <c r="Z69" s="276">
        <v>2</v>
      </c>
      <c r="AA69" s="276">
        <v>0</v>
      </c>
      <c r="AB69" s="276">
        <v>0</v>
      </c>
      <c r="AC69" s="276">
        <v>600</v>
      </c>
      <c r="AD69" s="276">
        <v>0</v>
      </c>
      <c r="AE69" s="276">
        <v>0</v>
      </c>
      <c r="AF69" s="276">
        <v>0</v>
      </c>
      <c r="AG69" s="276">
        <v>0</v>
      </c>
      <c r="AH69" s="276"/>
      <c r="AI69" s="276">
        <v>0</v>
      </c>
      <c r="AJ69" s="276">
        <v>0</v>
      </c>
      <c r="AK69" s="276"/>
      <c r="AL69" s="276">
        <v>0</v>
      </c>
      <c r="AM69" s="276">
        <v>0</v>
      </c>
      <c r="AN69" s="276"/>
      <c r="AO69" s="276">
        <v>0</v>
      </c>
      <c r="AP69" s="276">
        <v>0</v>
      </c>
      <c r="AQ69" s="276">
        <v>420</v>
      </c>
    </row>
    <row r="70" spans="1:43">
      <c r="A70" s="276" t="s">
        <v>329</v>
      </c>
      <c r="B70" s="276">
        <v>400</v>
      </c>
      <c r="C70" s="276">
        <v>400</v>
      </c>
      <c r="D70" s="276">
        <v>1</v>
      </c>
      <c r="E70" s="276">
        <v>0</v>
      </c>
      <c r="F70" s="276">
        <v>200</v>
      </c>
      <c r="G70" s="276">
        <v>1</v>
      </c>
      <c r="H70" s="276">
        <v>0</v>
      </c>
      <c r="I70" s="276">
        <v>0</v>
      </c>
      <c r="J70" s="276">
        <v>0</v>
      </c>
      <c r="K70" s="276">
        <v>0</v>
      </c>
      <c r="L70" s="276">
        <v>0</v>
      </c>
      <c r="M70" s="276">
        <v>0</v>
      </c>
      <c r="N70" s="276">
        <v>0</v>
      </c>
      <c r="O70" s="276">
        <v>0</v>
      </c>
      <c r="P70" s="276">
        <v>0</v>
      </c>
      <c r="Q70" s="276">
        <v>0</v>
      </c>
      <c r="R70" s="276">
        <v>0</v>
      </c>
      <c r="S70" s="276">
        <v>0</v>
      </c>
      <c r="T70" s="276">
        <v>0</v>
      </c>
      <c r="U70" s="276">
        <v>0</v>
      </c>
      <c r="V70" s="276">
        <v>0</v>
      </c>
      <c r="W70" s="276">
        <v>0</v>
      </c>
      <c r="X70" s="276">
        <v>0</v>
      </c>
      <c r="Y70" s="276">
        <v>600</v>
      </c>
      <c r="Z70" s="276">
        <v>2</v>
      </c>
      <c r="AA70" s="276">
        <v>0</v>
      </c>
      <c r="AB70" s="276">
        <v>0</v>
      </c>
      <c r="AC70" s="276">
        <v>600</v>
      </c>
      <c r="AD70" s="276">
        <v>0</v>
      </c>
      <c r="AE70" s="276">
        <v>0</v>
      </c>
      <c r="AF70" s="276">
        <v>0</v>
      </c>
      <c r="AG70" s="276">
        <v>0</v>
      </c>
      <c r="AH70" s="276"/>
      <c r="AI70" s="276">
        <v>0</v>
      </c>
      <c r="AJ70" s="276">
        <v>0</v>
      </c>
      <c r="AK70" s="276"/>
      <c r="AL70" s="276">
        <v>0</v>
      </c>
      <c r="AM70" s="276">
        <v>0</v>
      </c>
      <c r="AN70" s="276"/>
      <c r="AO70" s="276">
        <v>0</v>
      </c>
      <c r="AP70" s="276">
        <v>0</v>
      </c>
      <c r="AQ70" s="276">
        <v>420</v>
      </c>
    </row>
    <row r="71" spans="1:43">
      <c r="A71" s="276" t="s">
        <v>329</v>
      </c>
      <c r="B71" s="276">
        <v>400</v>
      </c>
      <c r="C71" s="276">
        <v>400</v>
      </c>
      <c r="D71" s="276">
        <v>1</v>
      </c>
      <c r="E71" s="276">
        <v>0</v>
      </c>
      <c r="F71" s="276">
        <v>200</v>
      </c>
      <c r="G71" s="276">
        <v>1</v>
      </c>
      <c r="H71" s="276">
        <v>0</v>
      </c>
      <c r="I71" s="276">
        <v>0</v>
      </c>
      <c r="J71" s="276">
        <v>0</v>
      </c>
      <c r="K71" s="276">
        <v>0</v>
      </c>
      <c r="L71" s="276">
        <v>0</v>
      </c>
      <c r="M71" s="276">
        <v>0</v>
      </c>
      <c r="N71" s="276">
        <v>0</v>
      </c>
      <c r="O71" s="276">
        <v>0</v>
      </c>
      <c r="P71" s="276">
        <v>0</v>
      </c>
      <c r="Q71" s="276">
        <v>0</v>
      </c>
      <c r="R71" s="276">
        <v>0</v>
      </c>
      <c r="S71" s="276">
        <v>0</v>
      </c>
      <c r="T71" s="276">
        <v>0</v>
      </c>
      <c r="U71" s="276">
        <v>0</v>
      </c>
      <c r="V71" s="276">
        <v>0</v>
      </c>
      <c r="W71" s="276">
        <v>0</v>
      </c>
      <c r="X71" s="276">
        <v>0</v>
      </c>
      <c r="Y71" s="276">
        <v>600</v>
      </c>
      <c r="Z71" s="276">
        <v>2</v>
      </c>
      <c r="AA71" s="276">
        <v>0</v>
      </c>
      <c r="AB71" s="276">
        <v>0</v>
      </c>
      <c r="AC71" s="276">
        <v>600</v>
      </c>
      <c r="AD71" s="276">
        <v>0</v>
      </c>
      <c r="AE71" s="276">
        <v>0</v>
      </c>
      <c r="AF71" s="276">
        <v>0</v>
      </c>
      <c r="AG71" s="276">
        <v>0</v>
      </c>
      <c r="AH71" s="276"/>
      <c r="AI71" s="276">
        <v>0</v>
      </c>
      <c r="AJ71" s="276">
        <v>0</v>
      </c>
      <c r="AK71" s="276"/>
      <c r="AL71" s="276">
        <v>0</v>
      </c>
      <c r="AM71" s="276">
        <v>0</v>
      </c>
      <c r="AN71" s="276"/>
      <c r="AO71" s="276">
        <v>0</v>
      </c>
      <c r="AP71" s="276">
        <v>0</v>
      </c>
      <c r="AQ71" s="276">
        <v>420</v>
      </c>
    </row>
    <row r="72" spans="1:43">
      <c r="A72" s="276" t="s">
        <v>329</v>
      </c>
      <c r="B72" s="276">
        <v>400</v>
      </c>
      <c r="C72" s="276">
        <v>400</v>
      </c>
      <c r="D72" s="276">
        <v>1</v>
      </c>
      <c r="E72" s="276">
        <v>0</v>
      </c>
      <c r="F72" s="276">
        <v>200</v>
      </c>
      <c r="G72" s="276">
        <v>1</v>
      </c>
      <c r="H72" s="276">
        <v>0</v>
      </c>
      <c r="I72" s="276">
        <v>0</v>
      </c>
      <c r="J72" s="276">
        <v>0</v>
      </c>
      <c r="K72" s="276">
        <v>0</v>
      </c>
      <c r="L72" s="276">
        <v>0</v>
      </c>
      <c r="M72" s="276">
        <v>0</v>
      </c>
      <c r="N72" s="276">
        <v>0</v>
      </c>
      <c r="O72" s="276">
        <v>0</v>
      </c>
      <c r="P72" s="276">
        <v>0</v>
      </c>
      <c r="Q72" s="276">
        <v>0</v>
      </c>
      <c r="R72" s="276">
        <v>0</v>
      </c>
      <c r="S72" s="276">
        <v>0</v>
      </c>
      <c r="T72" s="276">
        <v>0</v>
      </c>
      <c r="U72" s="276">
        <v>0</v>
      </c>
      <c r="V72" s="276">
        <v>0</v>
      </c>
      <c r="W72" s="276">
        <v>0</v>
      </c>
      <c r="X72" s="276">
        <v>0</v>
      </c>
      <c r="Y72" s="276">
        <v>600</v>
      </c>
      <c r="Z72" s="276">
        <v>2</v>
      </c>
      <c r="AA72" s="276">
        <v>0</v>
      </c>
      <c r="AB72" s="276">
        <v>0</v>
      </c>
      <c r="AC72" s="276">
        <v>600</v>
      </c>
      <c r="AD72" s="276">
        <v>0</v>
      </c>
      <c r="AE72" s="276">
        <v>0</v>
      </c>
      <c r="AF72" s="276">
        <v>0</v>
      </c>
      <c r="AG72" s="276">
        <v>0</v>
      </c>
      <c r="AH72" s="276"/>
      <c r="AI72" s="276">
        <v>0</v>
      </c>
      <c r="AJ72" s="276">
        <v>0</v>
      </c>
      <c r="AK72" s="276"/>
      <c r="AL72" s="276">
        <v>0</v>
      </c>
      <c r="AM72" s="276">
        <v>0</v>
      </c>
      <c r="AN72" s="276"/>
      <c r="AO72" s="276">
        <v>0</v>
      </c>
      <c r="AP72" s="276">
        <v>0</v>
      </c>
      <c r="AQ72" s="276">
        <v>420</v>
      </c>
    </row>
    <row r="73" spans="1:43">
      <c r="A73" s="276" t="s">
        <v>329</v>
      </c>
      <c r="B73" s="276">
        <v>400</v>
      </c>
      <c r="C73" s="276">
        <v>400</v>
      </c>
      <c r="D73" s="276">
        <v>1</v>
      </c>
      <c r="E73" s="276">
        <v>0</v>
      </c>
      <c r="F73" s="276">
        <v>200</v>
      </c>
      <c r="G73" s="276">
        <v>1</v>
      </c>
      <c r="H73" s="276">
        <v>0</v>
      </c>
      <c r="I73" s="276">
        <v>0</v>
      </c>
      <c r="J73" s="276">
        <v>0</v>
      </c>
      <c r="K73" s="276">
        <v>0</v>
      </c>
      <c r="L73" s="276">
        <v>0</v>
      </c>
      <c r="M73" s="276">
        <v>0</v>
      </c>
      <c r="N73" s="276">
        <v>0</v>
      </c>
      <c r="O73" s="276">
        <v>0</v>
      </c>
      <c r="P73" s="276">
        <v>0</v>
      </c>
      <c r="Q73" s="276">
        <v>0</v>
      </c>
      <c r="R73" s="276">
        <v>0</v>
      </c>
      <c r="S73" s="276">
        <v>0</v>
      </c>
      <c r="T73" s="276">
        <v>0</v>
      </c>
      <c r="U73" s="276">
        <v>0</v>
      </c>
      <c r="V73" s="276">
        <v>0</v>
      </c>
      <c r="W73" s="276">
        <v>0</v>
      </c>
      <c r="X73" s="276">
        <v>0</v>
      </c>
      <c r="Y73" s="276">
        <v>600</v>
      </c>
      <c r="Z73" s="276">
        <v>2</v>
      </c>
      <c r="AA73" s="276">
        <v>0</v>
      </c>
      <c r="AB73" s="276">
        <v>0</v>
      </c>
      <c r="AC73" s="276">
        <v>600</v>
      </c>
      <c r="AD73" s="276">
        <v>0</v>
      </c>
      <c r="AE73" s="276">
        <v>0</v>
      </c>
      <c r="AF73" s="276">
        <v>0</v>
      </c>
      <c r="AG73" s="276">
        <v>0</v>
      </c>
      <c r="AH73" s="276"/>
      <c r="AI73" s="276">
        <v>0</v>
      </c>
      <c r="AJ73" s="276">
        <v>0</v>
      </c>
      <c r="AK73" s="276"/>
      <c r="AL73" s="276">
        <v>0</v>
      </c>
      <c r="AM73" s="276">
        <v>0</v>
      </c>
      <c r="AN73" s="276"/>
      <c r="AO73" s="276">
        <v>0</v>
      </c>
      <c r="AP73" s="276">
        <v>0</v>
      </c>
      <c r="AQ73" s="276">
        <v>420</v>
      </c>
    </row>
    <row r="74" spans="1:43">
      <c r="A74" s="276" t="s">
        <v>329</v>
      </c>
      <c r="B74" s="276">
        <v>400</v>
      </c>
      <c r="C74" s="276">
        <v>400</v>
      </c>
      <c r="D74" s="276">
        <v>1</v>
      </c>
      <c r="E74" s="276">
        <v>0</v>
      </c>
      <c r="F74" s="276">
        <v>200</v>
      </c>
      <c r="G74" s="276">
        <v>1</v>
      </c>
      <c r="H74" s="276">
        <v>0</v>
      </c>
      <c r="I74" s="276">
        <v>0</v>
      </c>
      <c r="J74" s="276">
        <v>0</v>
      </c>
      <c r="K74" s="276">
        <v>0</v>
      </c>
      <c r="L74" s="276">
        <v>0</v>
      </c>
      <c r="M74" s="276">
        <v>0</v>
      </c>
      <c r="N74" s="276">
        <v>0</v>
      </c>
      <c r="O74" s="276">
        <v>0</v>
      </c>
      <c r="P74" s="276">
        <v>0</v>
      </c>
      <c r="Q74" s="276">
        <v>0</v>
      </c>
      <c r="R74" s="276">
        <v>0</v>
      </c>
      <c r="S74" s="276">
        <v>0</v>
      </c>
      <c r="T74" s="276">
        <v>0</v>
      </c>
      <c r="U74" s="276">
        <v>0</v>
      </c>
      <c r="V74" s="276">
        <v>0</v>
      </c>
      <c r="W74" s="276">
        <v>0</v>
      </c>
      <c r="X74" s="276">
        <v>0</v>
      </c>
      <c r="Y74" s="276">
        <v>600</v>
      </c>
      <c r="Z74" s="276">
        <v>2</v>
      </c>
      <c r="AA74" s="276">
        <v>0</v>
      </c>
      <c r="AB74" s="276">
        <v>0</v>
      </c>
      <c r="AC74" s="276">
        <v>600</v>
      </c>
      <c r="AD74" s="276">
        <v>0</v>
      </c>
      <c r="AE74" s="276">
        <v>0</v>
      </c>
      <c r="AF74" s="276">
        <v>0</v>
      </c>
      <c r="AG74" s="276">
        <v>0</v>
      </c>
      <c r="AH74" s="276"/>
      <c r="AI74" s="276">
        <v>0</v>
      </c>
      <c r="AJ74" s="276">
        <v>0</v>
      </c>
      <c r="AK74" s="276"/>
      <c r="AL74" s="276">
        <v>0</v>
      </c>
      <c r="AM74" s="276">
        <v>0</v>
      </c>
      <c r="AN74" s="276"/>
      <c r="AO74" s="276">
        <v>0</v>
      </c>
      <c r="AP74" s="276">
        <v>0</v>
      </c>
      <c r="AQ74" s="276">
        <v>420</v>
      </c>
    </row>
    <row r="75" spans="1:43">
      <c r="A75" s="276" t="s">
        <v>329</v>
      </c>
      <c r="B75" s="276">
        <v>400</v>
      </c>
      <c r="C75" s="276">
        <v>400</v>
      </c>
      <c r="D75" s="276">
        <v>1</v>
      </c>
      <c r="E75" s="276">
        <v>0</v>
      </c>
      <c r="F75" s="276">
        <v>200</v>
      </c>
      <c r="G75" s="276">
        <v>1</v>
      </c>
      <c r="H75" s="276">
        <v>0</v>
      </c>
      <c r="I75" s="276">
        <v>0</v>
      </c>
      <c r="J75" s="276">
        <v>0</v>
      </c>
      <c r="K75" s="276">
        <v>0</v>
      </c>
      <c r="L75" s="276">
        <v>0</v>
      </c>
      <c r="M75" s="276">
        <v>0</v>
      </c>
      <c r="N75" s="276">
        <v>0</v>
      </c>
      <c r="O75" s="276">
        <v>0</v>
      </c>
      <c r="P75" s="276">
        <v>0</v>
      </c>
      <c r="Q75" s="276">
        <v>0</v>
      </c>
      <c r="R75" s="276">
        <v>0</v>
      </c>
      <c r="S75" s="276">
        <v>0</v>
      </c>
      <c r="T75" s="276">
        <v>0</v>
      </c>
      <c r="U75" s="276">
        <v>0</v>
      </c>
      <c r="V75" s="276">
        <v>0</v>
      </c>
      <c r="W75" s="276">
        <v>0</v>
      </c>
      <c r="X75" s="276">
        <v>0</v>
      </c>
      <c r="Y75" s="276">
        <v>600</v>
      </c>
      <c r="Z75" s="276">
        <v>2</v>
      </c>
      <c r="AA75" s="276">
        <v>0</v>
      </c>
      <c r="AB75" s="276">
        <v>0</v>
      </c>
      <c r="AC75" s="276">
        <v>600</v>
      </c>
      <c r="AD75" s="276">
        <v>0</v>
      </c>
      <c r="AE75" s="276">
        <v>0</v>
      </c>
      <c r="AF75" s="276">
        <v>0</v>
      </c>
      <c r="AG75" s="276">
        <v>0</v>
      </c>
      <c r="AH75" s="276"/>
      <c r="AI75" s="276">
        <v>0</v>
      </c>
      <c r="AJ75" s="276">
        <v>0</v>
      </c>
      <c r="AK75" s="276"/>
      <c r="AL75" s="276">
        <v>0</v>
      </c>
      <c r="AM75" s="276">
        <v>0</v>
      </c>
      <c r="AN75" s="276"/>
      <c r="AO75" s="276">
        <v>0</v>
      </c>
      <c r="AP75" s="276">
        <v>0</v>
      </c>
      <c r="AQ75" s="276">
        <v>420</v>
      </c>
    </row>
    <row r="76" spans="1:43">
      <c r="A76" s="276" t="s">
        <v>329</v>
      </c>
      <c r="B76" s="276">
        <v>400</v>
      </c>
      <c r="C76" s="276">
        <v>400</v>
      </c>
      <c r="D76" s="276">
        <v>1</v>
      </c>
      <c r="E76" s="276">
        <v>0</v>
      </c>
      <c r="F76" s="276">
        <v>200</v>
      </c>
      <c r="G76" s="276">
        <v>1</v>
      </c>
      <c r="H76" s="276">
        <v>0</v>
      </c>
      <c r="I76" s="276">
        <v>0</v>
      </c>
      <c r="J76" s="276">
        <v>0</v>
      </c>
      <c r="K76" s="276">
        <v>0</v>
      </c>
      <c r="L76" s="276">
        <v>0</v>
      </c>
      <c r="M76" s="276">
        <v>0</v>
      </c>
      <c r="N76" s="276">
        <v>0</v>
      </c>
      <c r="O76" s="276">
        <v>0</v>
      </c>
      <c r="P76" s="276">
        <v>0</v>
      </c>
      <c r="Q76" s="276">
        <v>0</v>
      </c>
      <c r="R76" s="276">
        <v>0</v>
      </c>
      <c r="S76" s="276">
        <v>0</v>
      </c>
      <c r="T76" s="276">
        <v>0</v>
      </c>
      <c r="U76" s="276">
        <v>0</v>
      </c>
      <c r="V76" s="276">
        <v>0</v>
      </c>
      <c r="W76" s="276">
        <v>0</v>
      </c>
      <c r="X76" s="276">
        <v>0</v>
      </c>
      <c r="Y76" s="276">
        <v>600</v>
      </c>
      <c r="Z76" s="276">
        <v>2</v>
      </c>
      <c r="AA76" s="276">
        <v>0</v>
      </c>
      <c r="AB76" s="276">
        <v>0</v>
      </c>
      <c r="AC76" s="276">
        <v>600</v>
      </c>
      <c r="AD76" s="276">
        <v>0</v>
      </c>
      <c r="AE76" s="276">
        <v>0</v>
      </c>
      <c r="AF76" s="276">
        <v>0</v>
      </c>
      <c r="AG76" s="276">
        <v>0</v>
      </c>
      <c r="AH76" s="276"/>
      <c r="AI76" s="276">
        <v>0</v>
      </c>
      <c r="AJ76" s="276">
        <v>0</v>
      </c>
      <c r="AK76" s="276"/>
      <c r="AL76" s="276">
        <v>0</v>
      </c>
      <c r="AM76" s="276">
        <v>0</v>
      </c>
      <c r="AN76" s="276"/>
      <c r="AO76" s="276">
        <v>0</v>
      </c>
      <c r="AP76" s="276">
        <v>0</v>
      </c>
      <c r="AQ76" s="276">
        <v>420</v>
      </c>
    </row>
    <row r="77" spans="1:43">
      <c r="A77" s="276" t="s">
        <v>329</v>
      </c>
      <c r="B77" s="276">
        <v>400</v>
      </c>
      <c r="C77" s="276">
        <v>400</v>
      </c>
      <c r="D77" s="276">
        <v>1</v>
      </c>
      <c r="E77" s="276">
        <v>0</v>
      </c>
      <c r="F77" s="276">
        <v>200</v>
      </c>
      <c r="G77" s="276">
        <v>1</v>
      </c>
      <c r="H77" s="276">
        <v>0</v>
      </c>
      <c r="I77" s="276">
        <v>0</v>
      </c>
      <c r="J77" s="276">
        <v>0</v>
      </c>
      <c r="K77" s="276">
        <v>0</v>
      </c>
      <c r="L77" s="276">
        <v>0</v>
      </c>
      <c r="M77" s="276">
        <v>0</v>
      </c>
      <c r="N77" s="276">
        <v>0</v>
      </c>
      <c r="O77" s="276">
        <v>0</v>
      </c>
      <c r="P77" s="276">
        <v>0</v>
      </c>
      <c r="Q77" s="276">
        <v>0</v>
      </c>
      <c r="R77" s="276">
        <v>0</v>
      </c>
      <c r="S77" s="276">
        <v>0</v>
      </c>
      <c r="T77" s="276">
        <v>0</v>
      </c>
      <c r="U77" s="276">
        <v>0</v>
      </c>
      <c r="V77" s="276">
        <v>0</v>
      </c>
      <c r="W77" s="276">
        <v>0</v>
      </c>
      <c r="X77" s="276">
        <v>0</v>
      </c>
      <c r="Y77" s="276">
        <v>600</v>
      </c>
      <c r="Z77" s="276">
        <v>2</v>
      </c>
      <c r="AA77" s="276">
        <v>0</v>
      </c>
      <c r="AB77" s="276">
        <v>0</v>
      </c>
      <c r="AC77" s="276">
        <v>600</v>
      </c>
      <c r="AD77" s="276">
        <v>0</v>
      </c>
      <c r="AE77" s="276">
        <v>0</v>
      </c>
      <c r="AF77" s="276">
        <v>0</v>
      </c>
      <c r="AG77" s="276">
        <v>0</v>
      </c>
      <c r="AH77" s="276"/>
      <c r="AI77" s="276">
        <v>0</v>
      </c>
      <c r="AJ77" s="276">
        <v>0</v>
      </c>
      <c r="AK77" s="276"/>
      <c r="AL77" s="276">
        <v>0</v>
      </c>
      <c r="AM77" s="276">
        <v>0</v>
      </c>
      <c r="AN77" s="276"/>
      <c r="AO77" s="276">
        <v>0</v>
      </c>
      <c r="AP77" s="276">
        <v>0</v>
      </c>
      <c r="AQ77" s="276">
        <v>420</v>
      </c>
    </row>
    <row r="78" spans="1:43">
      <c r="A78" s="276" t="s">
        <v>329</v>
      </c>
      <c r="B78" s="276">
        <v>400</v>
      </c>
      <c r="C78" s="276">
        <v>400</v>
      </c>
      <c r="D78" s="276">
        <v>1</v>
      </c>
      <c r="E78" s="276">
        <v>0</v>
      </c>
      <c r="F78" s="276">
        <v>0</v>
      </c>
      <c r="G78" s="276">
        <v>0</v>
      </c>
      <c r="H78" s="276">
        <v>0</v>
      </c>
      <c r="I78" s="276">
        <v>0</v>
      </c>
      <c r="J78" s="276">
        <v>0</v>
      </c>
      <c r="K78" s="276">
        <v>0</v>
      </c>
      <c r="L78" s="276">
        <v>0</v>
      </c>
      <c r="M78" s="276">
        <v>0</v>
      </c>
      <c r="N78" s="276">
        <v>0</v>
      </c>
      <c r="O78" s="276">
        <v>0</v>
      </c>
      <c r="P78" s="276">
        <v>0</v>
      </c>
      <c r="Q78" s="276">
        <v>0</v>
      </c>
      <c r="R78" s="276">
        <v>0</v>
      </c>
      <c r="S78" s="276">
        <v>0</v>
      </c>
      <c r="T78" s="276">
        <v>0</v>
      </c>
      <c r="U78" s="276">
        <v>0</v>
      </c>
      <c r="V78" s="276">
        <v>0</v>
      </c>
      <c r="W78" s="276">
        <v>0</v>
      </c>
      <c r="X78" s="276">
        <v>0</v>
      </c>
      <c r="Y78" s="276">
        <v>400</v>
      </c>
      <c r="Z78" s="276">
        <v>1</v>
      </c>
      <c r="AA78" s="276">
        <v>0</v>
      </c>
      <c r="AB78" s="276">
        <v>0</v>
      </c>
      <c r="AC78" s="276">
        <v>400</v>
      </c>
      <c r="AD78" s="276">
        <v>0</v>
      </c>
      <c r="AE78" s="276">
        <v>0</v>
      </c>
      <c r="AF78" s="276">
        <v>0</v>
      </c>
      <c r="AG78" s="276">
        <v>0</v>
      </c>
      <c r="AH78" s="276"/>
      <c r="AI78" s="276">
        <v>0</v>
      </c>
      <c r="AJ78" s="276">
        <v>0</v>
      </c>
      <c r="AK78" s="276"/>
      <c r="AL78" s="276">
        <v>0</v>
      </c>
      <c r="AM78" s="276">
        <v>0</v>
      </c>
      <c r="AN78" s="276"/>
      <c r="AO78" s="276">
        <v>0</v>
      </c>
      <c r="AP78" s="276">
        <v>0</v>
      </c>
      <c r="AQ78" s="276">
        <v>280</v>
      </c>
    </row>
    <row r="79" spans="1:43">
      <c r="A79" s="276" t="s">
        <v>329</v>
      </c>
      <c r="B79" s="276">
        <v>400</v>
      </c>
      <c r="C79" s="276">
        <v>400</v>
      </c>
      <c r="D79" s="276">
        <v>1</v>
      </c>
      <c r="E79" s="276">
        <v>0</v>
      </c>
      <c r="F79" s="276">
        <v>200</v>
      </c>
      <c r="G79" s="276">
        <v>1</v>
      </c>
      <c r="H79" s="276">
        <v>0</v>
      </c>
      <c r="I79" s="276">
        <v>0</v>
      </c>
      <c r="J79" s="276">
        <v>0</v>
      </c>
      <c r="K79" s="276">
        <v>0</v>
      </c>
      <c r="L79" s="276">
        <v>0</v>
      </c>
      <c r="M79" s="276">
        <v>0</v>
      </c>
      <c r="N79" s="276">
        <v>0</v>
      </c>
      <c r="O79" s="276">
        <v>0</v>
      </c>
      <c r="P79" s="276">
        <v>0</v>
      </c>
      <c r="Q79" s="276">
        <v>0</v>
      </c>
      <c r="R79" s="276">
        <v>0</v>
      </c>
      <c r="S79" s="276">
        <v>0</v>
      </c>
      <c r="T79" s="276">
        <v>0</v>
      </c>
      <c r="U79" s="276">
        <v>0</v>
      </c>
      <c r="V79" s="276">
        <v>0</v>
      </c>
      <c r="W79" s="276">
        <v>0</v>
      </c>
      <c r="X79" s="276">
        <v>0</v>
      </c>
      <c r="Y79" s="276">
        <v>600</v>
      </c>
      <c r="Z79" s="276">
        <v>2</v>
      </c>
      <c r="AA79" s="276">
        <v>0</v>
      </c>
      <c r="AB79" s="276">
        <v>0</v>
      </c>
      <c r="AC79" s="276">
        <v>600</v>
      </c>
      <c r="AD79" s="276">
        <v>0</v>
      </c>
      <c r="AE79" s="276">
        <v>0</v>
      </c>
      <c r="AF79" s="276">
        <v>0</v>
      </c>
      <c r="AG79" s="276">
        <v>0</v>
      </c>
      <c r="AH79" s="276"/>
      <c r="AI79" s="276">
        <v>0</v>
      </c>
      <c r="AJ79" s="276">
        <v>0</v>
      </c>
      <c r="AK79" s="276"/>
      <c r="AL79" s="276">
        <v>0</v>
      </c>
      <c r="AM79" s="276">
        <v>0</v>
      </c>
      <c r="AN79" s="276"/>
      <c r="AO79" s="276">
        <v>0</v>
      </c>
      <c r="AP79" s="276">
        <v>0</v>
      </c>
      <c r="AQ79" s="276">
        <v>420</v>
      </c>
    </row>
    <row r="80" spans="1:43">
      <c r="A80" s="276" t="s">
        <v>329</v>
      </c>
      <c r="B80" s="276">
        <v>400</v>
      </c>
      <c r="C80" s="276">
        <v>400</v>
      </c>
      <c r="D80" s="276">
        <v>1</v>
      </c>
      <c r="E80" s="276">
        <v>0</v>
      </c>
      <c r="F80" s="276">
        <v>200</v>
      </c>
      <c r="G80" s="276">
        <v>1</v>
      </c>
      <c r="H80" s="276">
        <v>0</v>
      </c>
      <c r="I80" s="276">
        <v>0</v>
      </c>
      <c r="J80" s="276">
        <v>0</v>
      </c>
      <c r="K80" s="276">
        <v>0</v>
      </c>
      <c r="L80" s="276">
        <v>0</v>
      </c>
      <c r="M80" s="276">
        <v>0</v>
      </c>
      <c r="N80" s="276">
        <v>0</v>
      </c>
      <c r="O80" s="276">
        <v>0</v>
      </c>
      <c r="P80" s="276">
        <v>0</v>
      </c>
      <c r="Q80" s="276">
        <v>0</v>
      </c>
      <c r="R80" s="276">
        <v>0</v>
      </c>
      <c r="S80" s="276">
        <v>0</v>
      </c>
      <c r="T80" s="276">
        <v>0</v>
      </c>
      <c r="U80" s="276">
        <v>0</v>
      </c>
      <c r="V80" s="276">
        <v>0</v>
      </c>
      <c r="W80" s="276">
        <v>0</v>
      </c>
      <c r="X80" s="276">
        <v>0</v>
      </c>
      <c r="Y80" s="276">
        <v>600</v>
      </c>
      <c r="Z80" s="276">
        <v>2</v>
      </c>
      <c r="AA80" s="276">
        <v>0</v>
      </c>
      <c r="AB80" s="276">
        <v>0</v>
      </c>
      <c r="AC80" s="276">
        <v>600</v>
      </c>
      <c r="AD80" s="276">
        <v>0</v>
      </c>
      <c r="AE80" s="276">
        <v>0</v>
      </c>
      <c r="AF80" s="276">
        <v>0</v>
      </c>
      <c r="AG80" s="276">
        <v>0</v>
      </c>
      <c r="AH80" s="276"/>
      <c r="AI80" s="276">
        <v>0</v>
      </c>
      <c r="AJ80" s="276">
        <v>0</v>
      </c>
      <c r="AK80" s="276"/>
      <c r="AL80" s="276">
        <v>0</v>
      </c>
      <c r="AM80" s="276">
        <v>0</v>
      </c>
      <c r="AN80" s="276"/>
      <c r="AO80" s="276">
        <v>0</v>
      </c>
      <c r="AP80" s="276">
        <v>0</v>
      </c>
      <c r="AQ80" s="276">
        <v>420</v>
      </c>
    </row>
    <row r="81" spans="1:43">
      <c r="A81" s="276" t="s">
        <v>329</v>
      </c>
      <c r="B81" s="276">
        <v>400</v>
      </c>
      <c r="C81" s="276">
        <v>400</v>
      </c>
      <c r="D81" s="276">
        <v>1</v>
      </c>
      <c r="E81" s="276">
        <v>0</v>
      </c>
      <c r="F81" s="276">
        <v>200</v>
      </c>
      <c r="G81" s="276">
        <v>1</v>
      </c>
      <c r="H81" s="276">
        <v>0</v>
      </c>
      <c r="I81" s="276">
        <v>0</v>
      </c>
      <c r="J81" s="276">
        <v>0</v>
      </c>
      <c r="K81" s="276">
        <v>0</v>
      </c>
      <c r="L81" s="276">
        <v>0</v>
      </c>
      <c r="M81" s="276">
        <v>0</v>
      </c>
      <c r="N81" s="276">
        <v>0</v>
      </c>
      <c r="O81" s="276">
        <v>0</v>
      </c>
      <c r="P81" s="276">
        <v>0</v>
      </c>
      <c r="Q81" s="276">
        <v>0</v>
      </c>
      <c r="R81" s="276">
        <v>0</v>
      </c>
      <c r="S81" s="276">
        <v>0</v>
      </c>
      <c r="T81" s="276">
        <v>0</v>
      </c>
      <c r="U81" s="276">
        <v>0</v>
      </c>
      <c r="V81" s="276">
        <v>0</v>
      </c>
      <c r="W81" s="276">
        <v>0</v>
      </c>
      <c r="X81" s="276">
        <v>0</v>
      </c>
      <c r="Y81" s="276">
        <v>600</v>
      </c>
      <c r="Z81" s="276">
        <v>2</v>
      </c>
      <c r="AA81" s="276">
        <v>0</v>
      </c>
      <c r="AB81" s="276">
        <v>0</v>
      </c>
      <c r="AC81" s="276">
        <v>600</v>
      </c>
      <c r="AD81" s="276">
        <v>0</v>
      </c>
      <c r="AE81" s="276">
        <v>0</v>
      </c>
      <c r="AF81" s="276">
        <v>0</v>
      </c>
      <c r="AG81" s="276">
        <v>0</v>
      </c>
      <c r="AH81" s="276"/>
      <c r="AI81" s="276">
        <v>0</v>
      </c>
      <c r="AJ81" s="276">
        <v>0</v>
      </c>
      <c r="AK81" s="276"/>
      <c r="AL81" s="276">
        <v>0</v>
      </c>
      <c r="AM81" s="276">
        <v>0</v>
      </c>
      <c r="AN81" s="276"/>
      <c r="AO81" s="276">
        <v>0</v>
      </c>
      <c r="AP81" s="276">
        <v>0</v>
      </c>
      <c r="AQ81" s="276">
        <v>420</v>
      </c>
    </row>
    <row r="82" spans="1:43">
      <c r="A82" s="276" t="s">
        <v>329</v>
      </c>
      <c r="B82" s="276">
        <v>400</v>
      </c>
      <c r="C82" s="276">
        <v>400</v>
      </c>
      <c r="D82" s="276">
        <v>1</v>
      </c>
      <c r="E82" s="276">
        <v>0</v>
      </c>
      <c r="F82" s="276">
        <v>200</v>
      </c>
      <c r="G82" s="276">
        <v>1</v>
      </c>
      <c r="H82" s="276">
        <v>0</v>
      </c>
      <c r="I82" s="276">
        <v>0</v>
      </c>
      <c r="J82" s="276">
        <v>0</v>
      </c>
      <c r="K82" s="276">
        <v>0</v>
      </c>
      <c r="L82" s="276">
        <v>0</v>
      </c>
      <c r="M82" s="276">
        <v>0</v>
      </c>
      <c r="N82" s="276">
        <v>0</v>
      </c>
      <c r="O82" s="276">
        <v>0</v>
      </c>
      <c r="P82" s="276">
        <v>0</v>
      </c>
      <c r="Q82" s="276">
        <v>0</v>
      </c>
      <c r="R82" s="276">
        <v>0</v>
      </c>
      <c r="S82" s="276">
        <v>0</v>
      </c>
      <c r="T82" s="276">
        <v>0</v>
      </c>
      <c r="U82" s="276">
        <v>0</v>
      </c>
      <c r="V82" s="276">
        <v>0</v>
      </c>
      <c r="W82" s="276">
        <v>0</v>
      </c>
      <c r="X82" s="276">
        <v>0</v>
      </c>
      <c r="Y82" s="276">
        <v>600</v>
      </c>
      <c r="Z82" s="276">
        <v>2</v>
      </c>
      <c r="AA82" s="276">
        <v>0</v>
      </c>
      <c r="AB82" s="276">
        <v>0</v>
      </c>
      <c r="AC82" s="276">
        <v>600</v>
      </c>
      <c r="AD82" s="276">
        <v>0</v>
      </c>
      <c r="AE82" s="276">
        <v>0</v>
      </c>
      <c r="AF82" s="276">
        <v>0</v>
      </c>
      <c r="AG82" s="276">
        <v>0</v>
      </c>
      <c r="AH82" s="276"/>
      <c r="AI82" s="276">
        <v>0</v>
      </c>
      <c r="AJ82" s="276">
        <v>0</v>
      </c>
      <c r="AK82" s="276"/>
      <c r="AL82" s="276">
        <v>0</v>
      </c>
      <c r="AM82" s="276">
        <v>0</v>
      </c>
      <c r="AN82" s="276"/>
      <c r="AO82" s="276">
        <v>0</v>
      </c>
      <c r="AP82" s="276">
        <v>0</v>
      </c>
      <c r="AQ82" s="276">
        <v>420</v>
      </c>
    </row>
    <row r="83" spans="1:43">
      <c r="A83" s="276" t="s">
        <v>329</v>
      </c>
      <c r="B83" s="276">
        <v>400</v>
      </c>
      <c r="C83" s="276">
        <v>400</v>
      </c>
      <c r="D83" s="276">
        <v>1</v>
      </c>
      <c r="E83" s="276">
        <v>0</v>
      </c>
      <c r="F83" s="276">
        <v>200</v>
      </c>
      <c r="G83" s="276">
        <v>1</v>
      </c>
      <c r="H83" s="276">
        <v>0</v>
      </c>
      <c r="I83" s="276">
        <v>0</v>
      </c>
      <c r="J83" s="276">
        <v>0</v>
      </c>
      <c r="K83" s="276">
        <v>0</v>
      </c>
      <c r="L83" s="276">
        <v>0</v>
      </c>
      <c r="M83" s="276">
        <v>0</v>
      </c>
      <c r="N83" s="276">
        <v>0</v>
      </c>
      <c r="O83" s="276">
        <v>0</v>
      </c>
      <c r="P83" s="276">
        <v>0</v>
      </c>
      <c r="Q83" s="276">
        <v>0</v>
      </c>
      <c r="R83" s="276">
        <v>0</v>
      </c>
      <c r="S83" s="276">
        <v>0</v>
      </c>
      <c r="T83" s="276">
        <v>0</v>
      </c>
      <c r="U83" s="276">
        <v>0</v>
      </c>
      <c r="V83" s="276">
        <v>0</v>
      </c>
      <c r="W83" s="276">
        <v>0</v>
      </c>
      <c r="X83" s="276">
        <v>0</v>
      </c>
      <c r="Y83" s="276">
        <v>600</v>
      </c>
      <c r="Z83" s="276">
        <v>2</v>
      </c>
      <c r="AA83" s="276">
        <v>0</v>
      </c>
      <c r="AB83" s="276">
        <v>0</v>
      </c>
      <c r="AC83" s="276">
        <v>600</v>
      </c>
      <c r="AD83" s="276">
        <v>0</v>
      </c>
      <c r="AE83" s="276">
        <v>0</v>
      </c>
      <c r="AF83" s="276">
        <v>0</v>
      </c>
      <c r="AG83" s="276">
        <v>0</v>
      </c>
      <c r="AH83" s="276"/>
      <c r="AI83" s="276">
        <v>0</v>
      </c>
      <c r="AJ83" s="276">
        <v>0</v>
      </c>
      <c r="AK83" s="276"/>
      <c r="AL83" s="276">
        <v>0</v>
      </c>
      <c r="AM83" s="276">
        <v>0</v>
      </c>
      <c r="AN83" s="276"/>
      <c r="AO83" s="276">
        <v>0</v>
      </c>
      <c r="AP83" s="276">
        <v>0</v>
      </c>
      <c r="AQ83" s="276">
        <v>420</v>
      </c>
    </row>
    <row r="84" spans="1:43">
      <c r="A84" s="276" t="s">
        <v>329</v>
      </c>
      <c r="B84" s="276">
        <v>400</v>
      </c>
      <c r="C84" s="276">
        <v>400</v>
      </c>
      <c r="D84" s="276">
        <v>1</v>
      </c>
      <c r="E84" s="276">
        <v>0</v>
      </c>
      <c r="F84" s="276">
        <v>0</v>
      </c>
      <c r="G84" s="276">
        <v>0</v>
      </c>
      <c r="H84" s="276">
        <v>0</v>
      </c>
      <c r="I84" s="276">
        <v>0</v>
      </c>
      <c r="J84" s="276">
        <v>0</v>
      </c>
      <c r="K84" s="276">
        <v>0</v>
      </c>
      <c r="L84" s="276">
        <v>0</v>
      </c>
      <c r="M84" s="276">
        <v>0</v>
      </c>
      <c r="N84" s="276">
        <v>0</v>
      </c>
      <c r="O84" s="276">
        <v>0</v>
      </c>
      <c r="P84" s="276">
        <v>0</v>
      </c>
      <c r="Q84" s="276">
        <v>0</v>
      </c>
      <c r="R84" s="276">
        <v>0</v>
      </c>
      <c r="S84" s="276">
        <v>0</v>
      </c>
      <c r="T84" s="276">
        <v>0</v>
      </c>
      <c r="U84" s="276">
        <v>0</v>
      </c>
      <c r="V84" s="276">
        <v>0</v>
      </c>
      <c r="W84" s="276">
        <v>0</v>
      </c>
      <c r="X84" s="276">
        <v>0</v>
      </c>
      <c r="Y84" s="276">
        <v>400</v>
      </c>
      <c r="Z84" s="276">
        <v>1</v>
      </c>
      <c r="AA84" s="276">
        <v>0</v>
      </c>
      <c r="AB84" s="276">
        <v>0</v>
      </c>
      <c r="AC84" s="276">
        <v>400</v>
      </c>
      <c r="AD84" s="276">
        <v>0</v>
      </c>
      <c r="AE84" s="276">
        <v>0</v>
      </c>
      <c r="AF84" s="276">
        <v>0</v>
      </c>
      <c r="AG84" s="276">
        <v>0</v>
      </c>
      <c r="AH84" s="276"/>
      <c r="AI84" s="276">
        <v>0</v>
      </c>
      <c r="AJ84" s="276">
        <v>0</v>
      </c>
      <c r="AK84" s="276"/>
      <c r="AL84" s="276">
        <v>0</v>
      </c>
      <c r="AM84" s="276">
        <v>0</v>
      </c>
      <c r="AN84" s="276"/>
      <c r="AO84" s="276">
        <v>0</v>
      </c>
      <c r="AP84" s="276">
        <v>0</v>
      </c>
      <c r="AQ84" s="276">
        <v>280</v>
      </c>
    </row>
    <row r="85" spans="1:43">
      <c r="A85" s="276" t="s">
        <v>329</v>
      </c>
      <c r="B85" s="276">
        <v>400</v>
      </c>
      <c r="C85" s="276">
        <v>400</v>
      </c>
      <c r="D85" s="276">
        <v>1</v>
      </c>
      <c r="E85" s="276">
        <v>0</v>
      </c>
      <c r="F85" s="276">
        <v>200</v>
      </c>
      <c r="G85" s="276">
        <v>1</v>
      </c>
      <c r="H85" s="276">
        <v>0</v>
      </c>
      <c r="I85" s="276">
        <v>0</v>
      </c>
      <c r="J85" s="276">
        <v>0</v>
      </c>
      <c r="K85" s="276">
        <v>0</v>
      </c>
      <c r="L85" s="276">
        <v>0</v>
      </c>
      <c r="M85" s="276">
        <v>0</v>
      </c>
      <c r="N85" s="276">
        <v>0</v>
      </c>
      <c r="O85" s="276">
        <v>0</v>
      </c>
      <c r="P85" s="276">
        <v>0</v>
      </c>
      <c r="Q85" s="276">
        <v>0</v>
      </c>
      <c r="R85" s="276">
        <v>0</v>
      </c>
      <c r="S85" s="276">
        <v>0</v>
      </c>
      <c r="T85" s="276">
        <v>0</v>
      </c>
      <c r="U85" s="276">
        <v>0</v>
      </c>
      <c r="V85" s="276">
        <v>0</v>
      </c>
      <c r="W85" s="276">
        <v>0</v>
      </c>
      <c r="X85" s="276">
        <v>0</v>
      </c>
      <c r="Y85" s="276">
        <v>600</v>
      </c>
      <c r="Z85" s="276">
        <v>2</v>
      </c>
      <c r="AA85" s="276">
        <v>0</v>
      </c>
      <c r="AB85" s="276">
        <v>0</v>
      </c>
      <c r="AC85" s="276">
        <v>600</v>
      </c>
      <c r="AD85" s="276">
        <v>0</v>
      </c>
      <c r="AE85" s="276">
        <v>0</v>
      </c>
      <c r="AF85" s="276">
        <v>0</v>
      </c>
      <c r="AG85" s="276">
        <v>0</v>
      </c>
      <c r="AH85" s="276"/>
      <c r="AI85" s="276">
        <v>0</v>
      </c>
      <c r="AJ85" s="276">
        <v>0</v>
      </c>
      <c r="AK85" s="276"/>
      <c r="AL85" s="276">
        <v>0</v>
      </c>
      <c r="AM85" s="276">
        <v>0</v>
      </c>
      <c r="AN85" s="276"/>
      <c r="AO85" s="276">
        <v>0</v>
      </c>
      <c r="AP85" s="276">
        <v>0</v>
      </c>
      <c r="AQ85" s="276">
        <v>420</v>
      </c>
    </row>
    <row r="86" spans="1:43">
      <c r="A86" s="276" t="s">
        <v>329</v>
      </c>
      <c r="B86" s="276">
        <v>400</v>
      </c>
      <c r="C86" s="276">
        <v>800</v>
      </c>
      <c r="D86" s="276">
        <v>2</v>
      </c>
      <c r="E86" s="276">
        <v>0</v>
      </c>
      <c r="F86" s="276">
        <v>200</v>
      </c>
      <c r="G86" s="276">
        <v>1</v>
      </c>
      <c r="H86" s="276">
        <v>0</v>
      </c>
      <c r="I86" s="276">
        <v>0</v>
      </c>
      <c r="J86" s="276">
        <v>0</v>
      </c>
      <c r="K86" s="276">
        <v>0</v>
      </c>
      <c r="L86" s="276">
        <v>0</v>
      </c>
      <c r="M86" s="276">
        <v>0</v>
      </c>
      <c r="N86" s="276">
        <v>0</v>
      </c>
      <c r="O86" s="276">
        <v>0</v>
      </c>
      <c r="P86" s="276">
        <v>0</v>
      </c>
      <c r="Q86" s="276">
        <v>0</v>
      </c>
      <c r="R86" s="276">
        <v>0</v>
      </c>
      <c r="S86" s="276">
        <v>0</v>
      </c>
      <c r="T86" s="276">
        <v>0</v>
      </c>
      <c r="U86" s="276">
        <v>0</v>
      </c>
      <c r="V86" s="276">
        <v>0</v>
      </c>
      <c r="W86" s="276">
        <v>0</v>
      </c>
      <c r="X86" s="276">
        <v>0</v>
      </c>
      <c r="Y86" s="276">
        <v>1000</v>
      </c>
      <c r="Z86" s="276">
        <v>3</v>
      </c>
      <c r="AA86" s="276">
        <v>0</v>
      </c>
      <c r="AB86" s="276">
        <v>0</v>
      </c>
      <c r="AC86" s="276">
        <v>1000</v>
      </c>
      <c r="AD86" s="276">
        <v>0</v>
      </c>
      <c r="AE86" s="276">
        <v>0</v>
      </c>
      <c r="AF86" s="276">
        <v>0</v>
      </c>
      <c r="AG86" s="276">
        <v>0</v>
      </c>
      <c r="AH86" s="276"/>
      <c r="AI86" s="276">
        <v>0</v>
      </c>
      <c r="AJ86" s="276">
        <v>0</v>
      </c>
      <c r="AK86" s="276"/>
      <c r="AL86" s="276">
        <v>0</v>
      </c>
      <c r="AM86" s="276">
        <v>0</v>
      </c>
      <c r="AN86" s="276"/>
      <c r="AO86" s="276">
        <v>0</v>
      </c>
      <c r="AP86" s="276">
        <v>0</v>
      </c>
      <c r="AQ86" s="276">
        <v>700</v>
      </c>
    </row>
    <row r="87" spans="1:43">
      <c r="A87" s="276" t="s">
        <v>329</v>
      </c>
      <c r="B87" s="276">
        <v>400</v>
      </c>
      <c r="C87" s="276">
        <v>800</v>
      </c>
      <c r="D87" s="276">
        <v>2</v>
      </c>
      <c r="E87" s="276">
        <v>0</v>
      </c>
      <c r="F87" s="276">
        <v>200</v>
      </c>
      <c r="G87" s="276">
        <v>1</v>
      </c>
      <c r="H87" s="276">
        <v>0</v>
      </c>
      <c r="I87" s="276">
        <v>0</v>
      </c>
      <c r="J87" s="276">
        <v>0</v>
      </c>
      <c r="K87" s="276">
        <v>0</v>
      </c>
      <c r="L87" s="276">
        <v>0</v>
      </c>
      <c r="M87" s="276">
        <v>0</v>
      </c>
      <c r="N87" s="276">
        <v>0</v>
      </c>
      <c r="O87" s="276">
        <v>0</v>
      </c>
      <c r="P87" s="276">
        <v>0</v>
      </c>
      <c r="Q87" s="276">
        <v>0</v>
      </c>
      <c r="R87" s="276">
        <v>0</v>
      </c>
      <c r="S87" s="276">
        <v>0</v>
      </c>
      <c r="T87" s="276">
        <v>0</v>
      </c>
      <c r="U87" s="276">
        <v>0</v>
      </c>
      <c r="V87" s="276">
        <v>0</v>
      </c>
      <c r="W87" s="276">
        <v>0</v>
      </c>
      <c r="X87" s="276">
        <v>0</v>
      </c>
      <c r="Y87" s="276">
        <v>1000</v>
      </c>
      <c r="Z87" s="276">
        <v>3</v>
      </c>
      <c r="AA87" s="276">
        <v>0</v>
      </c>
      <c r="AB87" s="276">
        <v>0</v>
      </c>
      <c r="AC87" s="276">
        <v>1000</v>
      </c>
      <c r="AD87" s="276">
        <v>0</v>
      </c>
      <c r="AE87" s="276">
        <v>0</v>
      </c>
      <c r="AF87" s="276">
        <v>0</v>
      </c>
      <c r="AG87" s="276">
        <v>0</v>
      </c>
      <c r="AH87" s="276"/>
      <c r="AI87" s="276">
        <v>0</v>
      </c>
      <c r="AJ87" s="276">
        <v>0</v>
      </c>
      <c r="AK87" s="276"/>
      <c r="AL87" s="276">
        <v>0</v>
      </c>
      <c r="AM87" s="276">
        <v>0</v>
      </c>
      <c r="AN87" s="276"/>
      <c r="AO87" s="276">
        <v>0</v>
      </c>
      <c r="AP87" s="276">
        <v>0</v>
      </c>
      <c r="AQ87" s="276">
        <v>700</v>
      </c>
    </row>
    <row r="88" spans="1:43">
      <c r="A88" s="276" t="s">
        <v>329</v>
      </c>
      <c r="B88" s="276">
        <v>400</v>
      </c>
      <c r="C88" s="276">
        <v>400</v>
      </c>
      <c r="D88" s="276">
        <v>1</v>
      </c>
      <c r="E88" s="276">
        <v>0</v>
      </c>
      <c r="F88" s="276">
        <v>200</v>
      </c>
      <c r="G88" s="276">
        <v>1</v>
      </c>
      <c r="H88" s="276">
        <v>0</v>
      </c>
      <c r="I88" s="276">
        <v>0</v>
      </c>
      <c r="J88" s="276">
        <v>0</v>
      </c>
      <c r="K88" s="276">
        <v>0</v>
      </c>
      <c r="L88" s="276">
        <v>0</v>
      </c>
      <c r="M88" s="276">
        <v>0</v>
      </c>
      <c r="N88" s="276">
        <v>0</v>
      </c>
      <c r="O88" s="276">
        <v>0</v>
      </c>
      <c r="P88" s="276">
        <v>0</v>
      </c>
      <c r="Q88" s="276">
        <v>0</v>
      </c>
      <c r="R88" s="276">
        <v>0</v>
      </c>
      <c r="S88" s="276">
        <v>0</v>
      </c>
      <c r="T88" s="276">
        <v>0</v>
      </c>
      <c r="U88" s="276">
        <v>0</v>
      </c>
      <c r="V88" s="276">
        <v>0</v>
      </c>
      <c r="W88" s="276">
        <v>0</v>
      </c>
      <c r="X88" s="276">
        <v>0</v>
      </c>
      <c r="Y88" s="276">
        <v>600</v>
      </c>
      <c r="Z88" s="276">
        <v>2</v>
      </c>
      <c r="AA88" s="276">
        <v>0</v>
      </c>
      <c r="AB88" s="276">
        <v>0</v>
      </c>
      <c r="AC88" s="276">
        <v>600</v>
      </c>
      <c r="AD88" s="276">
        <v>0</v>
      </c>
      <c r="AE88" s="276">
        <v>0</v>
      </c>
      <c r="AF88" s="276">
        <v>0</v>
      </c>
      <c r="AG88" s="276">
        <v>0</v>
      </c>
      <c r="AH88" s="276"/>
      <c r="AI88" s="276">
        <v>0</v>
      </c>
      <c r="AJ88" s="276">
        <v>0</v>
      </c>
      <c r="AK88" s="276"/>
      <c r="AL88" s="276">
        <v>0</v>
      </c>
      <c r="AM88" s="276">
        <v>0</v>
      </c>
      <c r="AN88" s="276"/>
      <c r="AO88" s="276">
        <v>0</v>
      </c>
      <c r="AP88" s="276">
        <v>0</v>
      </c>
      <c r="AQ88" s="276">
        <v>420</v>
      </c>
    </row>
    <row r="89" spans="1:43">
      <c r="A89" s="276" t="s">
        <v>329</v>
      </c>
      <c r="B89" s="276">
        <v>400</v>
      </c>
      <c r="C89" s="276">
        <v>400</v>
      </c>
      <c r="D89" s="276">
        <v>1</v>
      </c>
      <c r="E89" s="276">
        <v>0</v>
      </c>
      <c r="F89" s="276">
        <v>200</v>
      </c>
      <c r="G89" s="276">
        <v>1</v>
      </c>
      <c r="H89" s="276">
        <v>0</v>
      </c>
      <c r="I89" s="276">
        <v>0</v>
      </c>
      <c r="J89" s="276">
        <v>0</v>
      </c>
      <c r="K89" s="276">
        <v>0</v>
      </c>
      <c r="L89" s="276">
        <v>0</v>
      </c>
      <c r="M89" s="276">
        <v>0</v>
      </c>
      <c r="N89" s="276">
        <v>0</v>
      </c>
      <c r="O89" s="276">
        <v>0</v>
      </c>
      <c r="P89" s="276">
        <v>0</v>
      </c>
      <c r="Q89" s="276">
        <v>0</v>
      </c>
      <c r="R89" s="276">
        <v>0</v>
      </c>
      <c r="S89" s="276">
        <v>0</v>
      </c>
      <c r="T89" s="276">
        <v>0</v>
      </c>
      <c r="U89" s="276">
        <v>0</v>
      </c>
      <c r="V89" s="276">
        <v>0</v>
      </c>
      <c r="W89" s="276">
        <v>0</v>
      </c>
      <c r="X89" s="276">
        <v>0</v>
      </c>
      <c r="Y89" s="276">
        <v>600</v>
      </c>
      <c r="Z89" s="276">
        <v>2</v>
      </c>
      <c r="AA89" s="276">
        <v>0</v>
      </c>
      <c r="AB89" s="276">
        <v>0</v>
      </c>
      <c r="AC89" s="276">
        <v>600</v>
      </c>
      <c r="AD89" s="276">
        <v>0</v>
      </c>
      <c r="AE89" s="276">
        <v>0</v>
      </c>
      <c r="AF89" s="276">
        <v>0</v>
      </c>
      <c r="AG89" s="276">
        <v>0</v>
      </c>
      <c r="AH89" s="276"/>
      <c r="AI89" s="276">
        <v>0</v>
      </c>
      <c r="AJ89" s="276">
        <v>0</v>
      </c>
      <c r="AK89" s="276"/>
      <c r="AL89" s="276">
        <v>0</v>
      </c>
      <c r="AM89" s="276">
        <v>0</v>
      </c>
      <c r="AN89" s="276"/>
      <c r="AO89" s="276">
        <v>0</v>
      </c>
      <c r="AP89" s="276">
        <v>0</v>
      </c>
      <c r="AQ89" s="276">
        <v>420</v>
      </c>
    </row>
    <row r="90" spans="1:43" ht="17.399999999999999" customHeight="1">
      <c r="A90" s="276" t="s">
        <v>329</v>
      </c>
      <c r="B90" s="276">
        <v>400</v>
      </c>
      <c r="C90" s="276">
        <v>400</v>
      </c>
      <c r="D90" s="276">
        <v>1</v>
      </c>
      <c r="E90" s="276">
        <v>0</v>
      </c>
      <c r="F90" s="276">
        <v>200</v>
      </c>
      <c r="G90" s="276">
        <v>1</v>
      </c>
      <c r="H90" s="276">
        <v>0</v>
      </c>
      <c r="I90" s="276">
        <v>0</v>
      </c>
      <c r="J90" s="276">
        <v>0</v>
      </c>
      <c r="K90" s="276">
        <v>0</v>
      </c>
      <c r="L90" s="276">
        <v>0</v>
      </c>
      <c r="M90" s="276">
        <v>0</v>
      </c>
      <c r="N90" s="276">
        <v>0</v>
      </c>
      <c r="O90" s="276">
        <v>0</v>
      </c>
      <c r="P90" s="276">
        <v>0</v>
      </c>
      <c r="Q90" s="276">
        <v>0</v>
      </c>
      <c r="R90" s="276">
        <v>0</v>
      </c>
      <c r="S90" s="276">
        <v>0</v>
      </c>
      <c r="T90" s="276">
        <v>0</v>
      </c>
      <c r="U90" s="276">
        <v>0</v>
      </c>
      <c r="V90" s="276">
        <v>0</v>
      </c>
      <c r="W90" s="276">
        <v>0</v>
      </c>
      <c r="X90" s="276">
        <v>0</v>
      </c>
      <c r="Y90" s="276">
        <v>600</v>
      </c>
      <c r="Z90" s="276">
        <v>2</v>
      </c>
      <c r="AA90" s="276">
        <v>0</v>
      </c>
      <c r="AB90" s="276">
        <v>0</v>
      </c>
      <c r="AC90" s="276">
        <v>600</v>
      </c>
      <c r="AD90" s="276">
        <v>0</v>
      </c>
      <c r="AE90" s="276">
        <v>0</v>
      </c>
      <c r="AF90" s="276">
        <v>0</v>
      </c>
      <c r="AG90" s="276">
        <v>0</v>
      </c>
      <c r="AH90" s="276"/>
      <c r="AI90" s="276">
        <v>0</v>
      </c>
      <c r="AJ90" s="276">
        <v>0</v>
      </c>
      <c r="AK90" s="276"/>
      <c r="AL90" s="276">
        <v>0</v>
      </c>
      <c r="AM90" s="276">
        <v>0</v>
      </c>
      <c r="AN90" s="276"/>
      <c r="AO90" s="276">
        <v>0</v>
      </c>
      <c r="AP90" s="276">
        <v>0</v>
      </c>
      <c r="AQ90" s="276">
        <v>420</v>
      </c>
    </row>
    <row r="91" spans="1:43">
      <c r="A91" s="276" t="s">
        <v>329</v>
      </c>
      <c r="B91" s="276">
        <v>400</v>
      </c>
      <c r="C91" s="276">
        <v>400</v>
      </c>
      <c r="D91" s="276">
        <v>1</v>
      </c>
      <c r="E91" s="276">
        <v>0</v>
      </c>
      <c r="F91" s="276">
        <v>600</v>
      </c>
      <c r="G91" s="276">
        <v>3</v>
      </c>
      <c r="H91" s="276">
        <v>0</v>
      </c>
      <c r="I91" s="276">
        <v>0</v>
      </c>
      <c r="J91" s="276">
        <v>0</v>
      </c>
      <c r="K91" s="276">
        <v>0</v>
      </c>
      <c r="L91" s="276">
        <v>0</v>
      </c>
      <c r="M91" s="276">
        <v>0</v>
      </c>
      <c r="N91" s="276">
        <v>0</v>
      </c>
      <c r="O91" s="276">
        <v>0</v>
      </c>
      <c r="P91" s="276">
        <v>0</v>
      </c>
      <c r="Q91" s="276">
        <v>0</v>
      </c>
      <c r="R91" s="276">
        <v>0</v>
      </c>
      <c r="S91" s="276">
        <v>0</v>
      </c>
      <c r="T91" s="276">
        <v>0</v>
      </c>
      <c r="U91" s="276">
        <v>0</v>
      </c>
      <c r="V91" s="276">
        <v>0</v>
      </c>
      <c r="W91" s="276">
        <v>0</v>
      </c>
      <c r="X91" s="276">
        <v>0</v>
      </c>
      <c r="Y91" s="276">
        <v>1000</v>
      </c>
      <c r="Z91" s="276">
        <v>4</v>
      </c>
      <c r="AA91" s="276">
        <v>0</v>
      </c>
      <c r="AB91" s="276">
        <v>0</v>
      </c>
      <c r="AC91" s="276">
        <v>1000</v>
      </c>
      <c r="AD91" s="276">
        <v>0</v>
      </c>
      <c r="AE91" s="276">
        <v>0</v>
      </c>
      <c r="AF91" s="276">
        <v>0</v>
      </c>
      <c r="AG91" s="276">
        <v>0</v>
      </c>
      <c r="AH91" s="276"/>
      <c r="AI91" s="276">
        <v>0</v>
      </c>
      <c r="AJ91" s="276">
        <v>0</v>
      </c>
      <c r="AK91" s="276"/>
      <c r="AL91" s="276">
        <v>0</v>
      </c>
      <c r="AM91" s="276">
        <v>0</v>
      </c>
      <c r="AN91" s="276"/>
      <c r="AO91" s="276">
        <v>0</v>
      </c>
      <c r="AP91" s="276">
        <v>0</v>
      </c>
      <c r="AQ91" s="276">
        <v>700</v>
      </c>
    </row>
    <row r="92" spans="1:43">
      <c r="A92" s="276" t="s">
        <v>329</v>
      </c>
      <c r="B92" s="276">
        <v>400</v>
      </c>
      <c r="C92" s="276">
        <v>400</v>
      </c>
      <c r="D92" s="276">
        <v>1</v>
      </c>
      <c r="E92" s="276">
        <v>0</v>
      </c>
      <c r="F92" s="276">
        <v>400</v>
      </c>
      <c r="G92" s="276">
        <v>2</v>
      </c>
      <c r="H92" s="276">
        <v>0</v>
      </c>
      <c r="I92" s="276">
        <v>0</v>
      </c>
      <c r="J92" s="276">
        <v>0</v>
      </c>
      <c r="K92" s="276">
        <v>0</v>
      </c>
      <c r="L92" s="276">
        <v>0</v>
      </c>
      <c r="M92" s="276">
        <v>0</v>
      </c>
      <c r="N92" s="276">
        <v>0</v>
      </c>
      <c r="O92" s="276">
        <v>0</v>
      </c>
      <c r="P92" s="276">
        <v>0</v>
      </c>
      <c r="Q92" s="276">
        <v>0</v>
      </c>
      <c r="R92" s="276">
        <v>0</v>
      </c>
      <c r="S92" s="276">
        <v>0</v>
      </c>
      <c r="T92" s="276">
        <v>0</v>
      </c>
      <c r="U92" s="276">
        <v>0</v>
      </c>
      <c r="V92" s="276">
        <v>0</v>
      </c>
      <c r="W92" s="276">
        <v>0</v>
      </c>
      <c r="X92" s="276">
        <v>0</v>
      </c>
      <c r="Y92" s="276">
        <v>800</v>
      </c>
      <c r="Z92" s="276">
        <v>3</v>
      </c>
      <c r="AA92" s="276">
        <v>0</v>
      </c>
      <c r="AB92" s="276">
        <v>0</v>
      </c>
      <c r="AC92" s="276">
        <v>800</v>
      </c>
      <c r="AD92" s="276">
        <v>0</v>
      </c>
      <c r="AE92" s="276">
        <v>0</v>
      </c>
      <c r="AF92" s="276">
        <v>0</v>
      </c>
      <c r="AG92" s="276">
        <v>0</v>
      </c>
      <c r="AH92" s="276"/>
      <c r="AI92" s="276">
        <v>0</v>
      </c>
      <c r="AJ92" s="276">
        <v>0</v>
      </c>
      <c r="AK92" s="276"/>
      <c r="AL92" s="276">
        <v>0</v>
      </c>
      <c r="AM92" s="276">
        <v>0</v>
      </c>
      <c r="AN92" s="276"/>
      <c r="AO92" s="276">
        <v>0</v>
      </c>
      <c r="AP92" s="276">
        <v>0</v>
      </c>
      <c r="AQ92" s="276">
        <v>560</v>
      </c>
    </row>
    <row r="93" spans="1:43">
      <c r="A93" s="276" t="s">
        <v>329</v>
      </c>
      <c r="B93" s="276">
        <v>400</v>
      </c>
      <c r="C93" s="276">
        <v>400</v>
      </c>
      <c r="D93" s="276">
        <v>1</v>
      </c>
      <c r="E93" s="276">
        <v>0</v>
      </c>
      <c r="F93" s="276">
        <v>400</v>
      </c>
      <c r="G93" s="276">
        <v>2</v>
      </c>
      <c r="H93" s="276">
        <v>0</v>
      </c>
      <c r="I93" s="276">
        <v>0</v>
      </c>
      <c r="J93" s="276">
        <v>0</v>
      </c>
      <c r="K93" s="276">
        <v>0</v>
      </c>
      <c r="L93" s="276">
        <v>0</v>
      </c>
      <c r="M93" s="276">
        <v>0</v>
      </c>
      <c r="N93" s="276">
        <v>0</v>
      </c>
      <c r="O93" s="276">
        <v>0</v>
      </c>
      <c r="P93" s="276">
        <v>0</v>
      </c>
      <c r="Q93" s="276">
        <v>0</v>
      </c>
      <c r="R93" s="276">
        <v>0</v>
      </c>
      <c r="S93" s="276">
        <v>0</v>
      </c>
      <c r="T93" s="276">
        <v>0</v>
      </c>
      <c r="U93" s="276">
        <v>0</v>
      </c>
      <c r="V93" s="276">
        <v>0</v>
      </c>
      <c r="W93" s="276">
        <v>0</v>
      </c>
      <c r="X93" s="276">
        <v>0</v>
      </c>
      <c r="Y93" s="276">
        <v>800</v>
      </c>
      <c r="Z93" s="276">
        <v>3</v>
      </c>
      <c r="AA93" s="276">
        <v>0</v>
      </c>
      <c r="AB93" s="276">
        <v>0</v>
      </c>
      <c r="AC93" s="276">
        <v>800</v>
      </c>
      <c r="AD93" s="276">
        <v>0</v>
      </c>
      <c r="AE93" s="276">
        <v>0</v>
      </c>
      <c r="AF93" s="276">
        <v>0</v>
      </c>
      <c r="AG93" s="276">
        <v>0</v>
      </c>
      <c r="AH93" s="276"/>
      <c r="AI93" s="276">
        <v>0</v>
      </c>
      <c r="AJ93" s="276">
        <v>0</v>
      </c>
      <c r="AK93" s="276"/>
      <c r="AL93" s="276">
        <v>0</v>
      </c>
      <c r="AM93" s="276">
        <v>0</v>
      </c>
      <c r="AN93" s="276"/>
      <c r="AO93" s="276">
        <v>0</v>
      </c>
      <c r="AP93" s="276">
        <v>0</v>
      </c>
      <c r="AQ93" s="276">
        <v>560</v>
      </c>
    </row>
    <row r="94" spans="1:43">
      <c r="A94" s="276" t="s">
        <v>329</v>
      </c>
      <c r="B94" s="276">
        <v>400</v>
      </c>
      <c r="C94" s="276">
        <v>400</v>
      </c>
      <c r="D94" s="276">
        <v>1</v>
      </c>
      <c r="E94" s="276">
        <v>0</v>
      </c>
      <c r="F94" s="276">
        <v>200</v>
      </c>
      <c r="G94" s="276">
        <v>1</v>
      </c>
      <c r="H94" s="276">
        <v>0</v>
      </c>
      <c r="I94" s="276">
        <v>0</v>
      </c>
      <c r="J94" s="276">
        <v>0</v>
      </c>
      <c r="K94" s="276">
        <v>0</v>
      </c>
      <c r="L94" s="276">
        <v>0</v>
      </c>
      <c r="M94" s="276">
        <v>0</v>
      </c>
      <c r="N94" s="276">
        <v>0</v>
      </c>
      <c r="O94" s="276">
        <v>0</v>
      </c>
      <c r="P94" s="276">
        <v>0</v>
      </c>
      <c r="Q94" s="276">
        <v>0</v>
      </c>
      <c r="R94" s="276">
        <v>0</v>
      </c>
      <c r="S94" s="276">
        <v>0</v>
      </c>
      <c r="T94" s="276">
        <v>0</v>
      </c>
      <c r="U94" s="276">
        <v>0</v>
      </c>
      <c r="V94" s="276">
        <v>0</v>
      </c>
      <c r="W94" s="276">
        <v>0</v>
      </c>
      <c r="X94" s="276">
        <v>0</v>
      </c>
      <c r="Y94" s="276">
        <v>600</v>
      </c>
      <c r="Z94" s="276">
        <v>2</v>
      </c>
      <c r="AA94" s="276">
        <v>0</v>
      </c>
      <c r="AB94" s="276">
        <v>0</v>
      </c>
      <c r="AC94" s="276">
        <v>600</v>
      </c>
      <c r="AD94" s="276">
        <v>0</v>
      </c>
      <c r="AE94" s="276">
        <v>0</v>
      </c>
      <c r="AF94" s="276">
        <v>0</v>
      </c>
      <c r="AG94" s="276">
        <v>0</v>
      </c>
      <c r="AH94" s="276"/>
      <c r="AI94" s="276">
        <v>0</v>
      </c>
      <c r="AJ94" s="276">
        <v>0</v>
      </c>
      <c r="AK94" s="276"/>
      <c r="AL94" s="276">
        <v>0</v>
      </c>
      <c r="AM94" s="276">
        <v>0</v>
      </c>
      <c r="AN94" s="276"/>
      <c r="AO94" s="276">
        <v>0</v>
      </c>
      <c r="AP94" s="276">
        <v>0</v>
      </c>
      <c r="AQ94" s="276">
        <v>420</v>
      </c>
    </row>
    <row r="95" spans="1:43">
      <c r="A95" s="276" t="s">
        <v>329</v>
      </c>
      <c r="B95" s="276">
        <v>400</v>
      </c>
      <c r="C95" s="276">
        <v>400</v>
      </c>
      <c r="D95" s="276">
        <v>1</v>
      </c>
      <c r="E95" s="276">
        <v>0</v>
      </c>
      <c r="F95" s="276">
        <v>0</v>
      </c>
      <c r="G95" s="276">
        <v>0</v>
      </c>
      <c r="H95" s="276">
        <v>0</v>
      </c>
      <c r="I95" s="276">
        <v>0</v>
      </c>
      <c r="J95" s="276">
        <v>0</v>
      </c>
      <c r="K95" s="276">
        <v>0</v>
      </c>
      <c r="L95" s="276">
        <v>0</v>
      </c>
      <c r="M95" s="276">
        <v>0</v>
      </c>
      <c r="N95" s="276">
        <v>0</v>
      </c>
      <c r="O95" s="276">
        <v>0</v>
      </c>
      <c r="P95" s="276">
        <v>0</v>
      </c>
      <c r="Q95" s="276">
        <v>0</v>
      </c>
      <c r="R95" s="276">
        <v>0</v>
      </c>
      <c r="S95" s="276">
        <v>0</v>
      </c>
      <c r="T95" s="276">
        <v>0</v>
      </c>
      <c r="U95" s="276">
        <v>0</v>
      </c>
      <c r="V95" s="276">
        <v>0</v>
      </c>
      <c r="W95" s="276">
        <v>0</v>
      </c>
      <c r="X95" s="276">
        <v>0</v>
      </c>
      <c r="Y95" s="276">
        <v>400</v>
      </c>
      <c r="Z95" s="276">
        <v>1</v>
      </c>
      <c r="AA95" s="276">
        <v>0</v>
      </c>
      <c r="AB95" s="276">
        <v>0</v>
      </c>
      <c r="AC95" s="276">
        <v>400</v>
      </c>
      <c r="AD95" s="276">
        <v>0</v>
      </c>
      <c r="AE95" s="276">
        <v>0</v>
      </c>
      <c r="AF95" s="276">
        <v>0</v>
      </c>
      <c r="AG95" s="276">
        <v>0</v>
      </c>
      <c r="AH95" s="276"/>
      <c r="AI95" s="276">
        <v>0</v>
      </c>
      <c r="AJ95" s="276">
        <v>0</v>
      </c>
      <c r="AK95" s="276"/>
      <c r="AL95" s="276">
        <v>0</v>
      </c>
      <c r="AM95" s="276">
        <v>0</v>
      </c>
      <c r="AN95" s="276"/>
      <c r="AO95" s="276">
        <v>0</v>
      </c>
      <c r="AP95" s="276">
        <v>0</v>
      </c>
      <c r="AQ95" s="276">
        <v>280</v>
      </c>
    </row>
    <row r="96" spans="1:43">
      <c r="A96" s="276" t="s">
        <v>329</v>
      </c>
      <c r="B96" s="276">
        <v>400</v>
      </c>
      <c r="C96" s="276">
        <v>400</v>
      </c>
      <c r="D96" s="276">
        <v>1</v>
      </c>
      <c r="E96" s="276">
        <v>0</v>
      </c>
      <c r="F96" s="276">
        <v>200</v>
      </c>
      <c r="G96" s="276">
        <v>1</v>
      </c>
      <c r="H96" s="276">
        <v>0</v>
      </c>
      <c r="I96" s="276">
        <v>0</v>
      </c>
      <c r="J96" s="276">
        <v>0</v>
      </c>
      <c r="K96" s="276">
        <v>0</v>
      </c>
      <c r="L96" s="276">
        <v>0</v>
      </c>
      <c r="M96" s="276">
        <v>0</v>
      </c>
      <c r="N96" s="276">
        <v>0</v>
      </c>
      <c r="O96" s="276">
        <v>0</v>
      </c>
      <c r="P96" s="276">
        <v>0</v>
      </c>
      <c r="Q96" s="276">
        <v>0</v>
      </c>
      <c r="R96" s="276">
        <v>0</v>
      </c>
      <c r="S96" s="276">
        <v>0</v>
      </c>
      <c r="T96" s="276">
        <v>0</v>
      </c>
      <c r="U96" s="276">
        <v>0</v>
      </c>
      <c r="V96" s="276">
        <v>0</v>
      </c>
      <c r="W96" s="276">
        <v>0</v>
      </c>
      <c r="X96" s="276">
        <v>0</v>
      </c>
      <c r="Y96" s="276">
        <v>600</v>
      </c>
      <c r="Z96" s="276">
        <v>2</v>
      </c>
      <c r="AA96" s="276">
        <v>0</v>
      </c>
      <c r="AB96" s="276">
        <v>0</v>
      </c>
      <c r="AC96" s="276">
        <v>600</v>
      </c>
      <c r="AD96" s="276">
        <v>0</v>
      </c>
      <c r="AE96" s="276">
        <v>0</v>
      </c>
      <c r="AF96" s="276">
        <v>0</v>
      </c>
      <c r="AG96" s="276">
        <v>0</v>
      </c>
      <c r="AH96" s="276"/>
      <c r="AI96" s="276">
        <v>0</v>
      </c>
      <c r="AJ96" s="276">
        <v>0</v>
      </c>
      <c r="AK96" s="276"/>
      <c r="AL96" s="276">
        <v>0</v>
      </c>
      <c r="AM96" s="276">
        <v>0</v>
      </c>
      <c r="AN96" s="276"/>
      <c r="AO96" s="276">
        <v>0</v>
      </c>
      <c r="AP96" s="276">
        <v>0</v>
      </c>
      <c r="AQ96" s="276">
        <v>420</v>
      </c>
    </row>
    <row r="97" spans="1:43">
      <c r="A97" s="276" t="s">
        <v>329</v>
      </c>
      <c r="B97" s="276">
        <v>400</v>
      </c>
      <c r="C97" s="276">
        <v>400</v>
      </c>
      <c r="D97" s="276">
        <v>1</v>
      </c>
      <c r="E97" s="276">
        <v>0</v>
      </c>
      <c r="F97" s="276">
        <v>200</v>
      </c>
      <c r="G97" s="276">
        <v>1</v>
      </c>
      <c r="H97" s="276">
        <v>0</v>
      </c>
      <c r="I97" s="276">
        <v>0</v>
      </c>
      <c r="J97" s="276">
        <v>0</v>
      </c>
      <c r="K97" s="276">
        <v>0</v>
      </c>
      <c r="L97" s="276">
        <v>0</v>
      </c>
      <c r="M97" s="276">
        <v>0</v>
      </c>
      <c r="N97" s="276">
        <v>0</v>
      </c>
      <c r="O97" s="276">
        <v>0</v>
      </c>
      <c r="P97" s="276">
        <v>0</v>
      </c>
      <c r="Q97" s="276">
        <v>0</v>
      </c>
      <c r="R97" s="276">
        <v>0</v>
      </c>
      <c r="S97" s="276">
        <v>0</v>
      </c>
      <c r="T97" s="276">
        <v>0</v>
      </c>
      <c r="U97" s="276">
        <v>0</v>
      </c>
      <c r="V97" s="276">
        <v>0</v>
      </c>
      <c r="W97" s="276">
        <v>0</v>
      </c>
      <c r="X97" s="276">
        <v>0</v>
      </c>
      <c r="Y97" s="276">
        <v>600</v>
      </c>
      <c r="Z97" s="276">
        <v>2</v>
      </c>
      <c r="AA97" s="276">
        <v>0</v>
      </c>
      <c r="AB97" s="276">
        <v>0</v>
      </c>
      <c r="AC97" s="276">
        <v>600</v>
      </c>
      <c r="AD97" s="276">
        <v>0</v>
      </c>
      <c r="AE97" s="276">
        <v>0</v>
      </c>
      <c r="AF97" s="276">
        <v>0</v>
      </c>
      <c r="AG97" s="276">
        <v>0</v>
      </c>
      <c r="AH97" s="276"/>
      <c r="AI97" s="276">
        <v>0</v>
      </c>
      <c r="AJ97" s="276">
        <v>0</v>
      </c>
      <c r="AK97" s="276"/>
      <c r="AL97" s="276">
        <v>0</v>
      </c>
      <c r="AM97" s="276">
        <v>0</v>
      </c>
      <c r="AN97" s="276"/>
      <c r="AO97" s="276">
        <v>0</v>
      </c>
      <c r="AP97" s="276">
        <v>0</v>
      </c>
      <c r="AQ97" s="276">
        <v>420</v>
      </c>
    </row>
    <row r="98" spans="1:43">
      <c r="A98" s="276" t="s">
        <v>329</v>
      </c>
      <c r="B98" s="276">
        <v>400</v>
      </c>
      <c r="C98" s="276">
        <v>400</v>
      </c>
      <c r="D98" s="276">
        <v>1</v>
      </c>
      <c r="E98" s="276">
        <v>0</v>
      </c>
      <c r="F98" s="276">
        <v>200</v>
      </c>
      <c r="G98" s="276">
        <v>1</v>
      </c>
      <c r="H98" s="276">
        <v>0</v>
      </c>
      <c r="I98" s="276">
        <v>0</v>
      </c>
      <c r="J98" s="276">
        <v>0</v>
      </c>
      <c r="K98" s="276">
        <v>0</v>
      </c>
      <c r="L98" s="276">
        <v>0</v>
      </c>
      <c r="M98" s="276">
        <v>0</v>
      </c>
      <c r="N98" s="276">
        <v>0</v>
      </c>
      <c r="O98" s="276">
        <v>0</v>
      </c>
      <c r="P98" s="276">
        <v>0</v>
      </c>
      <c r="Q98" s="276">
        <v>0</v>
      </c>
      <c r="R98" s="276">
        <v>0</v>
      </c>
      <c r="S98" s="276">
        <v>0</v>
      </c>
      <c r="T98" s="276">
        <v>0</v>
      </c>
      <c r="U98" s="276">
        <v>0</v>
      </c>
      <c r="V98" s="276">
        <v>0</v>
      </c>
      <c r="W98" s="276">
        <v>0</v>
      </c>
      <c r="X98" s="276">
        <v>0</v>
      </c>
      <c r="Y98" s="276">
        <v>600</v>
      </c>
      <c r="Z98" s="276">
        <v>2</v>
      </c>
      <c r="AA98" s="276">
        <v>0</v>
      </c>
      <c r="AB98" s="276">
        <v>0</v>
      </c>
      <c r="AC98" s="276">
        <v>600</v>
      </c>
      <c r="AD98" s="276">
        <v>0</v>
      </c>
      <c r="AE98" s="276">
        <v>0</v>
      </c>
      <c r="AF98" s="276">
        <v>0</v>
      </c>
      <c r="AG98" s="276">
        <v>0</v>
      </c>
      <c r="AH98" s="276"/>
      <c r="AI98" s="276">
        <v>0</v>
      </c>
      <c r="AJ98" s="276">
        <v>0</v>
      </c>
      <c r="AK98" s="276"/>
      <c r="AL98" s="276">
        <v>0</v>
      </c>
      <c r="AM98" s="276">
        <v>0</v>
      </c>
      <c r="AN98" s="276"/>
      <c r="AO98" s="276">
        <v>0</v>
      </c>
      <c r="AP98" s="276">
        <v>0</v>
      </c>
      <c r="AQ98" s="276">
        <v>420</v>
      </c>
    </row>
    <row r="99" spans="1:43">
      <c r="A99" s="276" t="s">
        <v>329</v>
      </c>
      <c r="B99" s="276">
        <v>400</v>
      </c>
      <c r="C99" s="276">
        <v>400</v>
      </c>
      <c r="D99" s="276">
        <v>1</v>
      </c>
      <c r="E99" s="276">
        <v>0</v>
      </c>
      <c r="F99" s="276">
        <v>200</v>
      </c>
      <c r="G99" s="276">
        <v>1</v>
      </c>
      <c r="H99" s="276">
        <v>0</v>
      </c>
      <c r="I99" s="276">
        <v>0</v>
      </c>
      <c r="J99" s="276">
        <v>0</v>
      </c>
      <c r="K99" s="276">
        <v>0</v>
      </c>
      <c r="L99" s="276">
        <v>0</v>
      </c>
      <c r="M99" s="276">
        <v>0</v>
      </c>
      <c r="N99" s="276">
        <v>0</v>
      </c>
      <c r="O99" s="276">
        <v>0</v>
      </c>
      <c r="P99" s="276">
        <v>0</v>
      </c>
      <c r="Q99" s="276">
        <v>0</v>
      </c>
      <c r="R99" s="276">
        <v>0</v>
      </c>
      <c r="S99" s="276">
        <v>0</v>
      </c>
      <c r="T99" s="276">
        <v>0</v>
      </c>
      <c r="U99" s="276">
        <v>0</v>
      </c>
      <c r="V99" s="276">
        <v>0</v>
      </c>
      <c r="W99" s="276">
        <v>0</v>
      </c>
      <c r="X99" s="276">
        <v>0</v>
      </c>
      <c r="Y99" s="276">
        <v>600</v>
      </c>
      <c r="Z99" s="276">
        <v>2</v>
      </c>
      <c r="AA99" s="276">
        <v>0</v>
      </c>
      <c r="AB99" s="276">
        <v>0</v>
      </c>
      <c r="AC99" s="276">
        <v>600</v>
      </c>
      <c r="AD99" s="276">
        <v>0</v>
      </c>
      <c r="AE99" s="276">
        <v>0</v>
      </c>
      <c r="AF99" s="276">
        <v>0</v>
      </c>
      <c r="AG99" s="276">
        <v>0</v>
      </c>
      <c r="AH99" s="276"/>
      <c r="AI99" s="276">
        <v>0</v>
      </c>
      <c r="AJ99" s="276">
        <v>0</v>
      </c>
      <c r="AK99" s="276"/>
      <c r="AL99" s="276">
        <v>0</v>
      </c>
      <c r="AM99" s="276">
        <v>0</v>
      </c>
      <c r="AN99" s="276"/>
      <c r="AO99" s="276">
        <v>0</v>
      </c>
      <c r="AP99" s="276">
        <v>0</v>
      </c>
      <c r="AQ99" s="276">
        <v>420</v>
      </c>
    </row>
    <row r="100" spans="1:43">
      <c r="A100" s="276" t="s">
        <v>329</v>
      </c>
      <c r="B100" s="276">
        <v>400</v>
      </c>
      <c r="C100" s="276">
        <v>400</v>
      </c>
      <c r="D100" s="276">
        <v>1</v>
      </c>
      <c r="E100" s="276">
        <v>0</v>
      </c>
      <c r="F100" s="276">
        <v>200</v>
      </c>
      <c r="G100" s="276">
        <v>1</v>
      </c>
      <c r="H100" s="276">
        <v>0</v>
      </c>
      <c r="I100" s="276">
        <v>0</v>
      </c>
      <c r="J100" s="276">
        <v>0</v>
      </c>
      <c r="K100" s="276">
        <v>0</v>
      </c>
      <c r="L100" s="276">
        <v>0</v>
      </c>
      <c r="M100" s="276">
        <v>0</v>
      </c>
      <c r="N100" s="276">
        <v>0</v>
      </c>
      <c r="O100" s="276">
        <v>0</v>
      </c>
      <c r="P100" s="276">
        <v>0</v>
      </c>
      <c r="Q100" s="276">
        <v>0</v>
      </c>
      <c r="R100" s="276">
        <v>0</v>
      </c>
      <c r="S100" s="276">
        <v>0</v>
      </c>
      <c r="T100" s="276">
        <v>0</v>
      </c>
      <c r="U100" s="276">
        <v>0</v>
      </c>
      <c r="V100" s="276">
        <v>0</v>
      </c>
      <c r="W100" s="276">
        <v>0</v>
      </c>
      <c r="X100" s="276">
        <v>0</v>
      </c>
      <c r="Y100" s="276">
        <v>600</v>
      </c>
      <c r="Z100" s="276">
        <v>2</v>
      </c>
      <c r="AA100" s="276">
        <v>0</v>
      </c>
      <c r="AB100" s="276">
        <v>0</v>
      </c>
      <c r="AC100" s="276">
        <v>600</v>
      </c>
      <c r="AD100" s="276">
        <v>0</v>
      </c>
      <c r="AE100" s="276">
        <v>0</v>
      </c>
      <c r="AF100" s="276">
        <v>0</v>
      </c>
      <c r="AG100" s="276">
        <v>0</v>
      </c>
      <c r="AH100" s="276"/>
      <c r="AI100" s="276">
        <v>0</v>
      </c>
      <c r="AJ100" s="276">
        <v>0</v>
      </c>
      <c r="AK100" s="276"/>
      <c r="AL100" s="276">
        <v>0</v>
      </c>
      <c r="AM100" s="276">
        <v>0</v>
      </c>
      <c r="AN100" s="276"/>
      <c r="AO100" s="276">
        <v>0</v>
      </c>
      <c r="AP100" s="276">
        <v>0</v>
      </c>
      <c r="AQ100" s="276">
        <v>420</v>
      </c>
    </row>
    <row r="101" spans="1:43">
      <c r="A101" s="276" t="s">
        <v>382</v>
      </c>
      <c r="B101" s="276">
        <v>500</v>
      </c>
      <c r="C101" s="276">
        <v>0</v>
      </c>
      <c r="D101" s="276">
        <v>0</v>
      </c>
      <c r="E101" s="276">
        <v>0</v>
      </c>
      <c r="F101" s="276">
        <v>0</v>
      </c>
      <c r="G101" s="276">
        <v>0</v>
      </c>
      <c r="H101" s="276">
        <v>2</v>
      </c>
      <c r="I101" s="276">
        <v>0</v>
      </c>
      <c r="J101" s="276">
        <v>0</v>
      </c>
      <c r="K101" s="276">
        <v>0</v>
      </c>
      <c r="L101" s="276">
        <v>0</v>
      </c>
      <c r="M101" s="276">
        <v>0</v>
      </c>
      <c r="N101" s="276">
        <v>0</v>
      </c>
      <c r="O101" s="276">
        <v>0</v>
      </c>
      <c r="P101" s="276">
        <v>0</v>
      </c>
      <c r="Q101" s="276">
        <v>0</v>
      </c>
      <c r="R101" s="276">
        <v>0</v>
      </c>
      <c r="S101" s="276">
        <v>0</v>
      </c>
      <c r="T101" s="276">
        <v>0</v>
      </c>
      <c r="U101" s="276">
        <v>0</v>
      </c>
      <c r="V101" s="276">
        <v>0</v>
      </c>
      <c r="W101" s="276">
        <v>0</v>
      </c>
      <c r="X101" s="276">
        <v>0</v>
      </c>
      <c r="Y101" s="276">
        <v>0</v>
      </c>
      <c r="Z101" s="276">
        <v>2</v>
      </c>
      <c r="AA101" s="276">
        <v>0</v>
      </c>
      <c r="AB101" s="276">
        <v>0</v>
      </c>
      <c r="AC101" s="276">
        <v>0</v>
      </c>
      <c r="AD101" s="276">
        <v>0</v>
      </c>
      <c r="AE101" s="276">
        <v>0</v>
      </c>
      <c r="AF101" s="276">
        <v>0</v>
      </c>
      <c r="AG101" s="276">
        <v>0</v>
      </c>
      <c r="AH101" s="276"/>
      <c r="AI101" s="276">
        <v>0</v>
      </c>
      <c r="AJ101" s="276">
        <v>0</v>
      </c>
      <c r="AK101" s="276"/>
      <c r="AL101" s="276">
        <v>0</v>
      </c>
      <c r="AM101" s="276">
        <v>0</v>
      </c>
      <c r="AN101" s="276"/>
      <c r="AO101" s="276">
        <v>0</v>
      </c>
      <c r="AP101" s="276">
        <v>0</v>
      </c>
      <c r="AQ101" s="276">
        <v>0</v>
      </c>
    </row>
    <row r="102" spans="1:43">
      <c r="A102" s="276" t="s">
        <v>382</v>
      </c>
      <c r="B102" s="276">
        <v>500</v>
      </c>
      <c r="C102" s="276">
        <v>0</v>
      </c>
      <c r="D102" s="276">
        <v>0</v>
      </c>
      <c r="E102" s="276">
        <v>0</v>
      </c>
      <c r="F102" s="276">
        <v>200</v>
      </c>
      <c r="G102" s="276">
        <v>1</v>
      </c>
      <c r="H102" s="276">
        <v>0</v>
      </c>
      <c r="I102" s="276">
        <v>0</v>
      </c>
      <c r="J102" s="276">
        <v>0</v>
      </c>
      <c r="K102" s="276">
        <v>0</v>
      </c>
      <c r="L102" s="276">
        <v>0</v>
      </c>
      <c r="M102" s="276">
        <v>0</v>
      </c>
      <c r="N102" s="276">
        <v>0</v>
      </c>
      <c r="O102" s="276">
        <v>0</v>
      </c>
      <c r="P102" s="276">
        <v>0</v>
      </c>
      <c r="Q102" s="276">
        <v>0</v>
      </c>
      <c r="R102" s="276">
        <v>0</v>
      </c>
      <c r="S102" s="276">
        <v>0</v>
      </c>
      <c r="T102" s="276">
        <v>0</v>
      </c>
      <c r="U102" s="276">
        <v>0</v>
      </c>
      <c r="V102" s="276">
        <v>0</v>
      </c>
      <c r="W102" s="276">
        <v>0</v>
      </c>
      <c r="X102" s="276">
        <v>0</v>
      </c>
      <c r="Y102" s="276">
        <v>200</v>
      </c>
      <c r="Z102" s="276">
        <v>1</v>
      </c>
      <c r="AA102" s="276">
        <v>0</v>
      </c>
      <c r="AB102" s="276">
        <v>0</v>
      </c>
      <c r="AC102" s="276">
        <v>200</v>
      </c>
      <c r="AD102" s="276">
        <v>0</v>
      </c>
      <c r="AE102" s="276">
        <v>0</v>
      </c>
      <c r="AF102" s="276">
        <v>0</v>
      </c>
      <c r="AG102" s="276">
        <v>0</v>
      </c>
      <c r="AH102" s="276"/>
      <c r="AI102" s="276">
        <v>0</v>
      </c>
      <c r="AJ102" s="276">
        <v>0</v>
      </c>
      <c r="AK102" s="276"/>
      <c r="AL102" s="276">
        <v>0</v>
      </c>
      <c r="AM102" s="276">
        <v>0</v>
      </c>
      <c r="AN102" s="276"/>
      <c r="AO102" s="276">
        <v>0</v>
      </c>
      <c r="AP102" s="276">
        <v>0</v>
      </c>
      <c r="AQ102" s="276">
        <v>140</v>
      </c>
    </row>
    <row r="103" spans="1:43">
      <c r="A103" s="276" t="s">
        <v>382</v>
      </c>
      <c r="B103" s="276">
        <v>500</v>
      </c>
      <c r="C103" s="276">
        <v>0</v>
      </c>
      <c r="D103" s="276">
        <v>0</v>
      </c>
      <c r="E103" s="276">
        <v>0</v>
      </c>
      <c r="F103" s="276">
        <v>200</v>
      </c>
      <c r="G103" s="276">
        <v>1</v>
      </c>
      <c r="H103" s="276">
        <v>0</v>
      </c>
      <c r="I103" s="276">
        <v>0</v>
      </c>
      <c r="J103" s="276">
        <v>0</v>
      </c>
      <c r="K103" s="276">
        <v>0</v>
      </c>
      <c r="L103" s="276">
        <v>0</v>
      </c>
      <c r="M103" s="276">
        <v>0</v>
      </c>
      <c r="N103" s="276">
        <v>0</v>
      </c>
      <c r="O103" s="276">
        <v>0</v>
      </c>
      <c r="P103" s="276">
        <v>0</v>
      </c>
      <c r="Q103" s="276">
        <v>0</v>
      </c>
      <c r="R103" s="276">
        <v>0</v>
      </c>
      <c r="S103" s="276">
        <v>0</v>
      </c>
      <c r="T103" s="276">
        <v>0</v>
      </c>
      <c r="U103" s="276">
        <v>0</v>
      </c>
      <c r="V103" s="276">
        <v>0</v>
      </c>
      <c r="W103" s="276">
        <v>0</v>
      </c>
      <c r="X103" s="276">
        <v>0</v>
      </c>
      <c r="Y103" s="276">
        <v>200</v>
      </c>
      <c r="Z103" s="276">
        <v>1</v>
      </c>
      <c r="AA103" s="276">
        <v>0</v>
      </c>
      <c r="AB103" s="276">
        <v>0</v>
      </c>
      <c r="AC103" s="276">
        <v>200</v>
      </c>
      <c r="AD103" s="276">
        <v>0</v>
      </c>
      <c r="AE103" s="276">
        <v>0</v>
      </c>
      <c r="AF103" s="276">
        <v>0</v>
      </c>
      <c r="AG103" s="276">
        <v>0</v>
      </c>
      <c r="AH103" s="276"/>
      <c r="AI103" s="276">
        <v>0</v>
      </c>
      <c r="AJ103" s="276">
        <v>0</v>
      </c>
      <c r="AK103" s="276"/>
      <c r="AL103" s="276">
        <v>0</v>
      </c>
      <c r="AM103" s="276">
        <v>0</v>
      </c>
      <c r="AN103" s="276"/>
      <c r="AO103" s="276">
        <v>0</v>
      </c>
      <c r="AP103" s="276">
        <v>0</v>
      </c>
      <c r="AQ103" s="276">
        <v>140</v>
      </c>
    </row>
    <row r="104" spans="1:43">
      <c r="A104" s="276" t="s">
        <v>382</v>
      </c>
      <c r="B104" s="276">
        <v>500</v>
      </c>
      <c r="C104" s="276">
        <v>0</v>
      </c>
      <c r="D104" s="276">
        <v>0</v>
      </c>
      <c r="E104" s="276">
        <v>0</v>
      </c>
      <c r="F104" s="276">
        <v>200</v>
      </c>
      <c r="G104" s="276">
        <v>1</v>
      </c>
      <c r="H104" s="276">
        <v>0</v>
      </c>
      <c r="I104" s="276">
        <v>0</v>
      </c>
      <c r="J104" s="276">
        <v>0</v>
      </c>
      <c r="K104" s="276">
        <v>0</v>
      </c>
      <c r="L104" s="276">
        <v>0</v>
      </c>
      <c r="M104" s="276">
        <v>0</v>
      </c>
      <c r="N104" s="276">
        <v>0</v>
      </c>
      <c r="O104" s="276">
        <v>0</v>
      </c>
      <c r="P104" s="276">
        <v>0</v>
      </c>
      <c r="Q104" s="276">
        <v>0</v>
      </c>
      <c r="R104" s="276">
        <v>0</v>
      </c>
      <c r="S104" s="276">
        <v>0</v>
      </c>
      <c r="T104" s="276">
        <v>0</v>
      </c>
      <c r="U104" s="276">
        <v>0</v>
      </c>
      <c r="V104" s="276">
        <v>0</v>
      </c>
      <c r="W104" s="276">
        <v>0</v>
      </c>
      <c r="X104" s="276">
        <v>0</v>
      </c>
      <c r="Y104" s="276">
        <v>200</v>
      </c>
      <c r="Z104" s="276">
        <v>1</v>
      </c>
      <c r="AA104" s="276">
        <v>0</v>
      </c>
      <c r="AB104" s="276">
        <v>0</v>
      </c>
      <c r="AC104" s="276">
        <v>200</v>
      </c>
      <c r="AD104" s="276">
        <v>0</v>
      </c>
      <c r="AE104" s="276">
        <v>0</v>
      </c>
      <c r="AF104" s="276">
        <v>0</v>
      </c>
      <c r="AG104" s="276">
        <v>0</v>
      </c>
      <c r="AH104" s="276"/>
      <c r="AI104" s="276">
        <v>0</v>
      </c>
      <c r="AJ104" s="276">
        <v>0</v>
      </c>
      <c r="AK104" s="276"/>
      <c r="AL104" s="276">
        <v>0</v>
      </c>
      <c r="AM104" s="276">
        <v>0</v>
      </c>
      <c r="AN104" s="276"/>
      <c r="AO104" s="276">
        <v>0</v>
      </c>
      <c r="AP104" s="276">
        <v>0</v>
      </c>
      <c r="AQ104" s="276">
        <v>140</v>
      </c>
    </row>
    <row r="105" spans="1:43">
      <c r="A105" s="276" t="s">
        <v>382</v>
      </c>
      <c r="B105" s="276">
        <v>500</v>
      </c>
      <c r="C105" s="276">
        <v>0</v>
      </c>
      <c r="D105" s="276">
        <v>0</v>
      </c>
      <c r="E105" s="276">
        <v>0</v>
      </c>
      <c r="F105" s="276">
        <v>200</v>
      </c>
      <c r="G105" s="276">
        <v>1</v>
      </c>
      <c r="H105" s="276">
        <v>0</v>
      </c>
      <c r="I105" s="276">
        <v>0</v>
      </c>
      <c r="J105" s="276">
        <v>0</v>
      </c>
      <c r="K105" s="276">
        <v>0</v>
      </c>
      <c r="L105" s="276">
        <v>0</v>
      </c>
      <c r="M105" s="276">
        <v>0</v>
      </c>
      <c r="N105" s="276">
        <v>0</v>
      </c>
      <c r="O105" s="276">
        <v>0</v>
      </c>
      <c r="P105" s="276">
        <v>0</v>
      </c>
      <c r="Q105" s="276">
        <v>0</v>
      </c>
      <c r="R105" s="276">
        <v>0</v>
      </c>
      <c r="S105" s="276">
        <v>0</v>
      </c>
      <c r="T105" s="276">
        <v>0</v>
      </c>
      <c r="U105" s="276">
        <v>0</v>
      </c>
      <c r="V105" s="276">
        <v>0</v>
      </c>
      <c r="W105" s="276">
        <v>0</v>
      </c>
      <c r="X105" s="276">
        <v>0</v>
      </c>
      <c r="Y105" s="276">
        <v>200</v>
      </c>
      <c r="Z105" s="276">
        <v>1</v>
      </c>
      <c r="AA105" s="276">
        <v>0</v>
      </c>
      <c r="AB105" s="276">
        <v>0</v>
      </c>
      <c r="AC105" s="276">
        <v>200</v>
      </c>
      <c r="AD105" s="276">
        <v>0</v>
      </c>
      <c r="AE105" s="276">
        <v>0</v>
      </c>
      <c r="AF105" s="276">
        <v>0</v>
      </c>
      <c r="AG105" s="276">
        <v>0</v>
      </c>
      <c r="AH105" s="276"/>
      <c r="AI105" s="276">
        <v>0</v>
      </c>
      <c r="AJ105" s="276">
        <v>0</v>
      </c>
      <c r="AK105" s="276"/>
      <c r="AL105" s="276">
        <v>0</v>
      </c>
      <c r="AM105" s="276">
        <v>0</v>
      </c>
      <c r="AN105" s="276"/>
      <c r="AO105" s="276">
        <v>0</v>
      </c>
      <c r="AP105" s="276">
        <v>0</v>
      </c>
      <c r="AQ105" s="276">
        <v>140</v>
      </c>
    </row>
    <row r="106" spans="1:43">
      <c r="A106" s="276" t="s">
        <v>382</v>
      </c>
      <c r="B106" s="276">
        <v>500</v>
      </c>
      <c r="C106" s="276">
        <v>0</v>
      </c>
      <c r="D106" s="276">
        <v>0</v>
      </c>
      <c r="E106" s="276">
        <v>0</v>
      </c>
      <c r="F106" s="276">
        <v>200</v>
      </c>
      <c r="G106" s="276">
        <v>1</v>
      </c>
      <c r="H106" s="276">
        <v>0</v>
      </c>
      <c r="I106" s="276">
        <v>0</v>
      </c>
      <c r="J106" s="276">
        <v>0</v>
      </c>
      <c r="K106" s="276">
        <v>0</v>
      </c>
      <c r="L106" s="276">
        <v>0</v>
      </c>
      <c r="M106" s="276">
        <v>0</v>
      </c>
      <c r="N106" s="276">
        <v>0</v>
      </c>
      <c r="O106" s="276">
        <v>0</v>
      </c>
      <c r="P106" s="276">
        <v>0</v>
      </c>
      <c r="Q106" s="276">
        <v>0</v>
      </c>
      <c r="R106" s="276">
        <v>0</v>
      </c>
      <c r="S106" s="276">
        <v>0</v>
      </c>
      <c r="T106" s="276">
        <v>0</v>
      </c>
      <c r="U106" s="276">
        <v>0</v>
      </c>
      <c r="V106" s="276">
        <v>0</v>
      </c>
      <c r="W106" s="276">
        <v>0</v>
      </c>
      <c r="X106" s="276">
        <v>0</v>
      </c>
      <c r="Y106" s="276">
        <v>200</v>
      </c>
      <c r="Z106" s="276">
        <v>1</v>
      </c>
      <c r="AA106" s="276">
        <v>0</v>
      </c>
      <c r="AB106" s="276">
        <v>0</v>
      </c>
      <c r="AC106" s="276">
        <v>200</v>
      </c>
      <c r="AD106" s="276">
        <v>0</v>
      </c>
      <c r="AE106" s="276">
        <v>0</v>
      </c>
      <c r="AF106" s="276">
        <v>0</v>
      </c>
      <c r="AG106" s="276">
        <v>0</v>
      </c>
      <c r="AH106" s="276"/>
      <c r="AI106" s="276">
        <v>0</v>
      </c>
      <c r="AJ106" s="276">
        <v>0</v>
      </c>
      <c r="AK106" s="276"/>
      <c r="AL106" s="276">
        <v>0</v>
      </c>
      <c r="AM106" s="276">
        <v>0</v>
      </c>
      <c r="AN106" s="276"/>
      <c r="AO106" s="276">
        <v>0</v>
      </c>
      <c r="AP106" s="276">
        <v>0</v>
      </c>
      <c r="AQ106" s="276">
        <v>140</v>
      </c>
    </row>
    <row r="107" spans="1:43">
      <c r="A107" s="276" t="s">
        <v>382</v>
      </c>
      <c r="B107" s="276">
        <v>500</v>
      </c>
      <c r="C107" s="276">
        <v>0</v>
      </c>
      <c r="D107" s="276">
        <v>0</v>
      </c>
      <c r="E107" s="276">
        <v>0</v>
      </c>
      <c r="F107" s="276">
        <v>200</v>
      </c>
      <c r="G107" s="276">
        <v>1</v>
      </c>
      <c r="H107" s="276">
        <v>0</v>
      </c>
      <c r="I107" s="276">
        <v>0</v>
      </c>
      <c r="J107" s="276">
        <v>0</v>
      </c>
      <c r="K107" s="276">
        <v>0</v>
      </c>
      <c r="L107" s="276">
        <v>0</v>
      </c>
      <c r="M107" s="276">
        <v>0</v>
      </c>
      <c r="N107" s="276">
        <v>0</v>
      </c>
      <c r="O107" s="276">
        <v>0</v>
      </c>
      <c r="P107" s="276">
        <v>0</v>
      </c>
      <c r="Q107" s="276">
        <v>0</v>
      </c>
      <c r="R107" s="276">
        <v>0</v>
      </c>
      <c r="S107" s="276">
        <v>0</v>
      </c>
      <c r="T107" s="276">
        <v>0</v>
      </c>
      <c r="U107" s="276">
        <v>0</v>
      </c>
      <c r="V107" s="276">
        <v>0</v>
      </c>
      <c r="W107" s="276">
        <v>0</v>
      </c>
      <c r="X107" s="276">
        <v>0</v>
      </c>
      <c r="Y107" s="276">
        <v>200</v>
      </c>
      <c r="Z107" s="276">
        <v>1</v>
      </c>
      <c r="AA107" s="276">
        <v>0</v>
      </c>
      <c r="AB107" s="276">
        <v>0</v>
      </c>
      <c r="AC107" s="276">
        <v>200</v>
      </c>
      <c r="AD107" s="276">
        <v>0</v>
      </c>
      <c r="AE107" s="276">
        <v>0</v>
      </c>
      <c r="AF107" s="276">
        <v>0</v>
      </c>
      <c r="AG107" s="276">
        <v>0</v>
      </c>
      <c r="AH107" s="276"/>
      <c r="AI107" s="276">
        <v>0</v>
      </c>
      <c r="AJ107" s="276">
        <v>0</v>
      </c>
      <c r="AK107" s="276"/>
      <c r="AL107" s="276">
        <v>0</v>
      </c>
      <c r="AM107" s="276">
        <v>0</v>
      </c>
      <c r="AN107" s="276"/>
      <c r="AO107" s="276">
        <v>0</v>
      </c>
      <c r="AP107" s="276">
        <v>0</v>
      </c>
      <c r="AQ107" s="276">
        <v>140</v>
      </c>
    </row>
    <row r="108" spans="1:43">
      <c r="A108" s="276" t="s">
        <v>336</v>
      </c>
      <c r="B108" s="276">
        <v>200</v>
      </c>
      <c r="C108" s="276">
        <v>0</v>
      </c>
      <c r="D108" s="276">
        <v>0</v>
      </c>
      <c r="E108" s="276">
        <v>0</v>
      </c>
      <c r="F108" s="276">
        <v>100</v>
      </c>
      <c r="G108" s="276">
        <v>1</v>
      </c>
      <c r="H108" s="276">
        <v>0</v>
      </c>
      <c r="I108" s="276">
        <v>0</v>
      </c>
      <c r="J108" s="276">
        <v>0</v>
      </c>
      <c r="K108" s="276">
        <v>0</v>
      </c>
      <c r="L108" s="276">
        <v>0</v>
      </c>
      <c r="M108" s="276">
        <v>0</v>
      </c>
      <c r="N108" s="276">
        <v>0</v>
      </c>
      <c r="O108" s="276">
        <v>0</v>
      </c>
      <c r="P108" s="276">
        <v>0</v>
      </c>
      <c r="Q108" s="276">
        <v>0</v>
      </c>
      <c r="R108" s="276">
        <v>0</v>
      </c>
      <c r="S108" s="276">
        <v>0</v>
      </c>
      <c r="T108" s="276">
        <v>0</v>
      </c>
      <c r="U108" s="276">
        <v>0</v>
      </c>
      <c r="V108" s="276">
        <v>0</v>
      </c>
      <c r="W108" s="276">
        <v>0</v>
      </c>
      <c r="X108" s="276">
        <v>0</v>
      </c>
      <c r="Y108" s="276">
        <v>100</v>
      </c>
      <c r="Z108" s="276">
        <v>1</v>
      </c>
      <c r="AA108" s="276">
        <v>0</v>
      </c>
      <c r="AB108" s="276">
        <v>0</v>
      </c>
      <c r="AC108" s="276">
        <v>100</v>
      </c>
      <c r="AD108" s="276">
        <v>0</v>
      </c>
      <c r="AE108" s="276">
        <v>0</v>
      </c>
      <c r="AF108" s="276">
        <v>0</v>
      </c>
      <c r="AG108" s="276">
        <v>0</v>
      </c>
      <c r="AH108" s="276"/>
      <c r="AI108" s="276">
        <v>0</v>
      </c>
      <c r="AJ108" s="276">
        <v>0</v>
      </c>
      <c r="AK108" s="276"/>
      <c r="AL108" s="276">
        <v>0</v>
      </c>
      <c r="AM108" s="276">
        <v>0</v>
      </c>
      <c r="AN108" s="276"/>
      <c r="AO108" s="276">
        <v>0</v>
      </c>
      <c r="AP108" s="276">
        <v>0</v>
      </c>
      <c r="AQ108" s="276">
        <v>70</v>
      </c>
    </row>
    <row r="109" spans="1:43">
      <c r="A109" s="276" t="s">
        <v>336</v>
      </c>
      <c r="B109" s="276">
        <v>200</v>
      </c>
      <c r="C109" s="276">
        <v>0</v>
      </c>
      <c r="D109" s="276">
        <v>0</v>
      </c>
      <c r="E109" s="276">
        <v>0</v>
      </c>
      <c r="F109" s="276">
        <v>100</v>
      </c>
      <c r="G109" s="276">
        <v>1</v>
      </c>
      <c r="H109" s="276">
        <v>0</v>
      </c>
      <c r="I109" s="276">
        <v>0</v>
      </c>
      <c r="J109" s="276">
        <v>0</v>
      </c>
      <c r="K109" s="276">
        <v>0</v>
      </c>
      <c r="L109" s="276">
        <v>0</v>
      </c>
      <c r="M109" s="276">
        <v>0</v>
      </c>
      <c r="N109" s="276">
        <v>0</v>
      </c>
      <c r="O109" s="276">
        <v>0</v>
      </c>
      <c r="P109" s="276">
        <v>0</v>
      </c>
      <c r="Q109" s="276">
        <v>0</v>
      </c>
      <c r="R109" s="276">
        <v>0</v>
      </c>
      <c r="S109" s="276">
        <v>0</v>
      </c>
      <c r="T109" s="276">
        <v>0</v>
      </c>
      <c r="U109" s="276">
        <v>0</v>
      </c>
      <c r="V109" s="276">
        <v>0</v>
      </c>
      <c r="W109" s="276">
        <v>0</v>
      </c>
      <c r="X109" s="276">
        <v>0</v>
      </c>
      <c r="Y109" s="276">
        <v>100</v>
      </c>
      <c r="Z109" s="276">
        <v>1</v>
      </c>
      <c r="AA109" s="276">
        <v>0</v>
      </c>
      <c r="AB109" s="276">
        <v>0</v>
      </c>
      <c r="AC109" s="276">
        <v>100</v>
      </c>
      <c r="AD109" s="276">
        <v>0</v>
      </c>
      <c r="AE109" s="276">
        <v>0</v>
      </c>
      <c r="AF109" s="276">
        <v>0</v>
      </c>
      <c r="AG109" s="276">
        <v>0</v>
      </c>
      <c r="AH109" s="276"/>
      <c r="AI109" s="276">
        <v>0</v>
      </c>
      <c r="AJ109" s="276">
        <v>0</v>
      </c>
      <c r="AK109" s="276"/>
      <c r="AL109" s="276">
        <v>0</v>
      </c>
      <c r="AM109" s="276">
        <v>0</v>
      </c>
      <c r="AN109" s="276"/>
      <c r="AO109" s="276">
        <v>0</v>
      </c>
      <c r="AP109" s="276">
        <v>0</v>
      </c>
      <c r="AQ109" s="276">
        <v>70</v>
      </c>
    </row>
    <row r="110" spans="1:43">
      <c r="A110" s="276" t="s">
        <v>360</v>
      </c>
      <c r="B110" s="276">
        <v>500</v>
      </c>
      <c r="C110" s="276">
        <v>8500</v>
      </c>
      <c r="D110" s="276">
        <v>17</v>
      </c>
      <c r="E110" s="276">
        <v>0</v>
      </c>
      <c r="F110" s="276">
        <v>12300</v>
      </c>
      <c r="G110" s="276">
        <v>41</v>
      </c>
      <c r="H110" s="276">
        <v>0</v>
      </c>
      <c r="I110" s="276">
        <v>0</v>
      </c>
      <c r="J110" s="276">
        <v>0</v>
      </c>
      <c r="K110" s="276">
        <v>0</v>
      </c>
      <c r="L110" s="276">
        <v>0</v>
      </c>
      <c r="M110" s="276">
        <v>0</v>
      </c>
      <c r="N110" s="276">
        <v>0</v>
      </c>
      <c r="O110" s="276">
        <v>0</v>
      </c>
      <c r="P110" s="276">
        <v>0</v>
      </c>
      <c r="Q110" s="276">
        <v>0</v>
      </c>
      <c r="R110" s="276">
        <v>0</v>
      </c>
      <c r="S110" s="276">
        <v>0</v>
      </c>
      <c r="T110" s="276">
        <v>0</v>
      </c>
      <c r="U110" s="276">
        <v>0</v>
      </c>
      <c r="V110" s="276">
        <v>0</v>
      </c>
      <c r="W110" s="276">
        <v>0</v>
      </c>
      <c r="X110" s="276">
        <v>0</v>
      </c>
      <c r="Y110" s="276">
        <v>20800</v>
      </c>
      <c r="Z110" s="276">
        <v>58</v>
      </c>
      <c r="AA110" s="276">
        <v>0</v>
      </c>
      <c r="AB110" s="276">
        <v>0</v>
      </c>
      <c r="AC110" s="276">
        <v>15267</v>
      </c>
      <c r="AD110" s="276">
        <v>0</v>
      </c>
      <c r="AE110" s="276">
        <v>6639.6</v>
      </c>
      <c r="AF110" s="276">
        <v>-1559.88</v>
      </c>
      <c r="AG110" s="276">
        <v>0</v>
      </c>
      <c r="AH110" s="276">
        <v>3399.6</v>
      </c>
      <c r="AI110" s="276">
        <v>-1019.88</v>
      </c>
      <c r="AJ110" s="276">
        <v>0</v>
      </c>
      <c r="AK110" s="276">
        <v>3240</v>
      </c>
      <c r="AL110" s="276">
        <v>-540</v>
      </c>
      <c r="AM110" s="276">
        <v>0</v>
      </c>
      <c r="AN110" s="276"/>
      <c r="AO110" s="276">
        <v>0</v>
      </c>
      <c r="AP110" s="276">
        <v>0</v>
      </c>
      <c r="AQ110" s="276">
        <v>14242.7</v>
      </c>
    </row>
    <row r="111" spans="1:43">
      <c r="A111" s="276" t="s">
        <v>360</v>
      </c>
      <c r="B111" s="276">
        <v>500</v>
      </c>
      <c r="C111" s="276">
        <v>11500</v>
      </c>
      <c r="D111" s="276">
        <v>23</v>
      </c>
      <c r="E111" s="276">
        <v>0</v>
      </c>
      <c r="F111" s="276">
        <v>14100</v>
      </c>
      <c r="G111" s="276">
        <v>47</v>
      </c>
      <c r="H111" s="276">
        <v>0</v>
      </c>
      <c r="I111" s="276">
        <v>0</v>
      </c>
      <c r="J111" s="276">
        <v>0</v>
      </c>
      <c r="K111" s="276">
        <v>0</v>
      </c>
      <c r="L111" s="276">
        <v>0</v>
      </c>
      <c r="M111" s="276">
        <v>0</v>
      </c>
      <c r="N111" s="276">
        <v>0</v>
      </c>
      <c r="O111" s="276">
        <v>0</v>
      </c>
      <c r="P111" s="276">
        <v>0</v>
      </c>
      <c r="Q111" s="276">
        <v>0</v>
      </c>
      <c r="R111" s="276">
        <v>0</v>
      </c>
      <c r="S111" s="276">
        <v>0</v>
      </c>
      <c r="T111" s="276">
        <v>0</v>
      </c>
      <c r="U111" s="276">
        <v>0</v>
      </c>
      <c r="V111" s="276">
        <v>0</v>
      </c>
      <c r="W111" s="276">
        <v>0</v>
      </c>
      <c r="X111" s="276">
        <v>0</v>
      </c>
      <c r="Y111" s="276">
        <v>25600</v>
      </c>
      <c r="Z111" s="276">
        <v>70</v>
      </c>
      <c r="AA111" s="276">
        <v>0</v>
      </c>
      <c r="AB111" s="276">
        <v>0</v>
      </c>
      <c r="AC111" s="276">
        <v>19407</v>
      </c>
      <c r="AD111" s="276">
        <v>0</v>
      </c>
      <c r="AE111" s="276">
        <v>7431.6</v>
      </c>
      <c r="AF111" s="276">
        <v>-1797.48</v>
      </c>
      <c r="AG111" s="276">
        <v>0</v>
      </c>
      <c r="AH111" s="276">
        <v>4191.6000000000004</v>
      </c>
      <c r="AI111" s="276">
        <v>-1257.48</v>
      </c>
      <c r="AJ111" s="276">
        <v>0</v>
      </c>
      <c r="AK111" s="276">
        <v>3240</v>
      </c>
      <c r="AL111" s="276">
        <v>-540</v>
      </c>
      <c r="AM111" s="276">
        <v>0</v>
      </c>
      <c r="AN111" s="276"/>
      <c r="AO111" s="276">
        <v>0</v>
      </c>
      <c r="AP111" s="276">
        <v>0</v>
      </c>
      <c r="AQ111" s="276">
        <v>17528.78</v>
      </c>
    </row>
    <row r="112" spans="1:43">
      <c r="A112" s="276" t="s">
        <v>360</v>
      </c>
      <c r="B112" s="276">
        <v>500</v>
      </c>
      <c r="C112" s="276">
        <v>15000</v>
      </c>
      <c r="D112" s="276">
        <v>30</v>
      </c>
      <c r="E112" s="276">
        <v>0</v>
      </c>
      <c r="F112" s="276">
        <v>16800</v>
      </c>
      <c r="G112" s="276">
        <v>56</v>
      </c>
      <c r="H112" s="276">
        <v>0</v>
      </c>
      <c r="I112" s="276">
        <v>0</v>
      </c>
      <c r="J112" s="276">
        <v>0</v>
      </c>
      <c r="K112" s="276">
        <v>0</v>
      </c>
      <c r="L112" s="276">
        <v>0</v>
      </c>
      <c r="M112" s="276">
        <v>0</v>
      </c>
      <c r="N112" s="276">
        <v>0</v>
      </c>
      <c r="O112" s="276">
        <v>0</v>
      </c>
      <c r="P112" s="276">
        <v>0</v>
      </c>
      <c r="Q112" s="276">
        <v>0</v>
      </c>
      <c r="R112" s="276">
        <v>0</v>
      </c>
      <c r="S112" s="276">
        <v>0</v>
      </c>
      <c r="T112" s="276">
        <v>0</v>
      </c>
      <c r="U112" s="276">
        <v>0</v>
      </c>
      <c r="V112" s="276">
        <v>0</v>
      </c>
      <c r="W112" s="276">
        <v>0</v>
      </c>
      <c r="X112" s="276">
        <v>0</v>
      </c>
      <c r="Y112" s="276">
        <v>31800</v>
      </c>
      <c r="Z112" s="276">
        <v>86</v>
      </c>
      <c r="AA112" s="276">
        <v>0</v>
      </c>
      <c r="AB112" s="276">
        <v>0</v>
      </c>
      <c r="AC112" s="276">
        <v>24007</v>
      </c>
      <c r="AD112" s="276">
        <v>0</v>
      </c>
      <c r="AE112" s="276">
        <v>9351.6</v>
      </c>
      <c r="AF112" s="276">
        <v>-2229.48</v>
      </c>
      <c r="AG112" s="276">
        <v>0</v>
      </c>
      <c r="AH112" s="276">
        <v>4791.6000000000004</v>
      </c>
      <c r="AI112" s="276">
        <v>-1437.48</v>
      </c>
      <c r="AJ112" s="276">
        <v>0</v>
      </c>
      <c r="AK112" s="276">
        <v>4560</v>
      </c>
      <c r="AL112" s="276">
        <v>-792</v>
      </c>
      <c r="AM112" s="276">
        <v>0</v>
      </c>
      <c r="AN112" s="276"/>
      <c r="AO112" s="276">
        <v>0</v>
      </c>
      <c r="AP112" s="276">
        <v>0</v>
      </c>
      <c r="AQ112" s="276">
        <v>21790.38</v>
      </c>
    </row>
    <row r="113" spans="1:43">
      <c r="A113" s="276" t="s">
        <v>360</v>
      </c>
      <c r="B113" s="276">
        <v>500</v>
      </c>
      <c r="C113" s="276">
        <v>23500</v>
      </c>
      <c r="D113" s="276">
        <v>47</v>
      </c>
      <c r="E113" s="276">
        <v>0</v>
      </c>
      <c r="F113" s="276">
        <v>19500</v>
      </c>
      <c r="G113" s="276">
        <v>65</v>
      </c>
      <c r="H113" s="276">
        <v>0</v>
      </c>
      <c r="I113" s="276">
        <v>0</v>
      </c>
      <c r="J113" s="276">
        <v>0</v>
      </c>
      <c r="K113" s="276">
        <v>0</v>
      </c>
      <c r="L113" s="276">
        <v>0</v>
      </c>
      <c r="M113" s="276">
        <v>0</v>
      </c>
      <c r="N113" s="276">
        <v>0</v>
      </c>
      <c r="O113" s="276">
        <v>0</v>
      </c>
      <c r="P113" s="276">
        <v>0</v>
      </c>
      <c r="Q113" s="276">
        <v>0</v>
      </c>
      <c r="R113" s="276">
        <v>0</v>
      </c>
      <c r="S113" s="276">
        <v>0</v>
      </c>
      <c r="T113" s="276">
        <v>0</v>
      </c>
      <c r="U113" s="276">
        <v>0</v>
      </c>
      <c r="V113" s="276">
        <v>0</v>
      </c>
      <c r="W113" s="276">
        <v>0</v>
      </c>
      <c r="X113" s="276">
        <v>0</v>
      </c>
      <c r="Y113" s="276">
        <v>43000</v>
      </c>
      <c r="Z113" s="276">
        <v>112</v>
      </c>
      <c r="AA113" s="276">
        <v>0</v>
      </c>
      <c r="AB113" s="276">
        <v>0</v>
      </c>
      <c r="AC113" s="276">
        <v>34438</v>
      </c>
      <c r="AD113" s="276">
        <v>0</v>
      </c>
      <c r="AE113" s="276">
        <v>10274.4</v>
      </c>
      <c r="AF113" s="276">
        <v>-2602.3200000000002</v>
      </c>
      <c r="AG113" s="276">
        <v>0</v>
      </c>
      <c r="AH113" s="276">
        <v>4430.3999999999996</v>
      </c>
      <c r="AI113" s="276">
        <v>-1329.12</v>
      </c>
      <c r="AJ113" s="276">
        <v>0</v>
      </c>
      <c r="AK113" s="276">
        <v>5844</v>
      </c>
      <c r="AL113" s="276">
        <v>-1273.2</v>
      </c>
      <c r="AM113" s="276">
        <v>0</v>
      </c>
      <c r="AN113" s="276"/>
      <c r="AO113" s="276">
        <v>0</v>
      </c>
      <c r="AP113" s="276">
        <v>0</v>
      </c>
      <c r="AQ113" s="276">
        <v>29477.06</v>
      </c>
    </row>
    <row r="114" spans="1:43">
      <c r="A114" s="276" t="s">
        <v>360</v>
      </c>
      <c r="B114" s="276">
        <v>500</v>
      </c>
      <c r="C114" s="276">
        <v>39000</v>
      </c>
      <c r="D114" s="276">
        <v>78</v>
      </c>
      <c r="E114" s="276">
        <v>0</v>
      </c>
      <c r="F114" s="276">
        <v>27300</v>
      </c>
      <c r="G114" s="276">
        <v>91</v>
      </c>
      <c r="H114" s="276">
        <v>0</v>
      </c>
      <c r="I114" s="276">
        <v>0</v>
      </c>
      <c r="J114" s="276">
        <v>0</v>
      </c>
      <c r="K114" s="276">
        <v>0</v>
      </c>
      <c r="L114" s="276">
        <v>0</v>
      </c>
      <c r="M114" s="276">
        <v>0</v>
      </c>
      <c r="N114" s="276">
        <v>0</v>
      </c>
      <c r="O114" s="276">
        <v>0</v>
      </c>
      <c r="P114" s="276">
        <v>0</v>
      </c>
      <c r="Q114" s="276">
        <v>0</v>
      </c>
      <c r="R114" s="276">
        <v>0</v>
      </c>
      <c r="S114" s="276">
        <v>0</v>
      </c>
      <c r="T114" s="276">
        <v>0</v>
      </c>
      <c r="U114" s="276">
        <v>0</v>
      </c>
      <c r="V114" s="276">
        <v>0</v>
      </c>
      <c r="W114" s="276">
        <v>0</v>
      </c>
      <c r="X114" s="276">
        <v>0</v>
      </c>
      <c r="Y114" s="276">
        <v>66300</v>
      </c>
      <c r="Z114" s="276">
        <v>169</v>
      </c>
      <c r="AA114" s="276">
        <v>0</v>
      </c>
      <c r="AB114" s="276">
        <v>0</v>
      </c>
      <c r="AC114" s="276">
        <v>55938</v>
      </c>
      <c r="AD114" s="276">
        <v>0</v>
      </c>
      <c r="AE114" s="276">
        <v>12434.4</v>
      </c>
      <c r="AF114" s="276">
        <v>-3079.92</v>
      </c>
      <c r="AG114" s="276">
        <v>0</v>
      </c>
      <c r="AH114" s="276">
        <v>4178.3999999999996</v>
      </c>
      <c r="AI114" s="276">
        <v>-1253.52</v>
      </c>
      <c r="AJ114" s="276">
        <v>0</v>
      </c>
      <c r="AK114" s="276">
        <v>8256</v>
      </c>
      <c r="AL114" s="276">
        <v>-1826.4</v>
      </c>
      <c r="AM114" s="276">
        <v>0</v>
      </c>
      <c r="AN114" s="276"/>
      <c r="AO114" s="276">
        <v>0</v>
      </c>
      <c r="AP114" s="276">
        <v>0</v>
      </c>
      <c r="AQ114" s="276">
        <v>45704.74</v>
      </c>
    </row>
    <row r="115" spans="1:43">
      <c r="A115" s="276" t="s">
        <v>360</v>
      </c>
      <c r="B115" s="276">
        <v>500</v>
      </c>
      <c r="C115" s="276">
        <v>34000</v>
      </c>
      <c r="D115" s="276">
        <v>68</v>
      </c>
      <c r="E115" s="276">
        <v>0</v>
      </c>
      <c r="F115" s="276">
        <v>23700</v>
      </c>
      <c r="G115" s="276">
        <v>79</v>
      </c>
      <c r="H115" s="276">
        <v>0</v>
      </c>
      <c r="I115" s="276">
        <v>0</v>
      </c>
      <c r="J115" s="276">
        <v>0</v>
      </c>
      <c r="K115" s="276">
        <v>0</v>
      </c>
      <c r="L115" s="276">
        <v>0</v>
      </c>
      <c r="M115" s="276">
        <v>0</v>
      </c>
      <c r="N115" s="276">
        <v>0</v>
      </c>
      <c r="O115" s="276">
        <v>0</v>
      </c>
      <c r="P115" s="276">
        <v>0</v>
      </c>
      <c r="Q115" s="276">
        <v>0</v>
      </c>
      <c r="R115" s="276">
        <v>0</v>
      </c>
      <c r="S115" s="276">
        <v>0</v>
      </c>
      <c r="T115" s="276">
        <v>0</v>
      </c>
      <c r="U115" s="276">
        <v>0</v>
      </c>
      <c r="V115" s="276">
        <v>0</v>
      </c>
      <c r="W115" s="276">
        <v>0</v>
      </c>
      <c r="X115" s="276">
        <v>0</v>
      </c>
      <c r="Y115" s="276">
        <v>57700</v>
      </c>
      <c r="Z115" s="276">
        <v>147</v>
      </c>
      <c r="AA115" s="276">
        <v>0</v>
      </c>
      <c r="AB115" s="276">
        <v>0</v>
      </c>
      <c r="AC115" s="276">
        <v>48190</v>
      </c>
      <c r="AD115" s="276">
        <v>0</v>
      </c>
      <c r="AE115" s="276">
        <v>11412</v>
      </c>
      <c r="AF115" s="276">
        <v>-2430</v>
      </c>
      <c r="AG115" s="276">
        <v>0</v>
      </c>
      <c r="AH115" s="276">
        <v>3360</v>
      </c>
      <c r="AI115" s="276">
        <v>-1008</v>
      </c>
      <c r="AJ115" s="276">
        <v>0</v>
      </c>
      <c r="AK115" s="276">
        <v>8052</v>
      </c>
      <c r="AL115" s="276">
        <v>-1422</v>
      </c>
      <c r="AM115" s="276">
        <v>0</v>
      </c>
      <c r="AN115" s="276"/>
      <c r="AO115" s="276">
        <v>0</v>
      </c>
      <c r="AP115" s="276">
        <v>0</v>
      </c>
      <c r="AQ115" s="276">
        <v>40020.400000000001</v>
      </c>
    </row>
    <row r="116" spans="1:43">
      <c r="A116" s="276" t="s">
        <v>360</v>
      </c>
      <c r="B116" s="276">
        <v>500</v>
      </c>
      <c r="C116" s="276">
        <v>26000</v>
      </c>
      <c r="D116" s="276">
        <v>52</v>
      </c>
      <c r="E116" s="276">
        <v>0</v>
      </c>
      <c r="F116" s="276">
        <v>19800</v>
      </c>
      <c r="G116" s="276">
        <v>66</v>
      </c>
      <c r="H116" s="276">
        <v>0</v>
      </c>
      <c r="I116" s="276">
        <v>0</v>
      </c>
      <c r="J116" s="276">
        <v>0</v>
      </c>
      <c r="K116" s="276">
        <v>0</v>
      </c>
      <c r="L116" s="276">
        <v>0</v>
      </c>
      <c r="M116" s="276">
        <v>0</v>
      </c>
      <c r="N116" s="276">
        <v>0</v>
      </c>
      <c r="O116" s="276">
        <v>0</v>
      </c>
      <c r="P116" s="276">
        <v>0</v>
      </c>
      <c r="Q116" s="276">
        <v>0</v>
      </c>
      <c r="R116" s="276">
        <v>0</v>
      </c>
      <c r="S116" s="276">
        <v>0</v>
      </c>
      <c r="T116" s="276">
        <v>0</v>
      </c>
      <c r="U116" s="276">
        <v>0</v>
      </c>
      <c r="V116" s="276">
        <v>0</v>
      </c>
      <c r="W116" s="276">
        <v>0</v>
      </c>
      <c r="X116" s="276">
        <v>0</v>
      </c>
      <c r="Y116" s="276">
        <v>45800</v>
      </c>
      <c r="Z116" s="276">
        <v>118</v>
      </c>
      <c r="AA116" s="276">
        <v>0</v>
      </c>
      <c r="AB116" s="276">
        <v>0</v>
      </c>
      <c r="AC116" s="276">
        <v>39540</v>
      </c>
      <c r="AD116" s="276">
        <v>0</v>
      </c>
      <c r="AE116" s="276">
        <v>7512</v>
      </c>
      <c r="AF116" s="276">
        <v>-1317.6</v>
      </c>
      <c r="AG116" s="276">
        <v>0</v>
      </c>
      <c r="AH116" s="276">
        <v>1188</v>
      </c>
      <c r="AI116" s="276">
        <v>-356.4</v>
      </c>
      <c r="AJ116" s="276">
        <v>0</v>
      </c>
      <c r="AK116" s="276">
        <v>6324</v>
      </c>
      <c r="AL116" s="276">
        <v>-961.2</v>
      </c>
      <c r="AM116" s="276">
        <v>0</v>
      </c>
      <c r="AN116" s="276"/>
      <c r="AO116" s="276">
        <v>0</v>
      </c>
      <c r="AP116" s="276">
        <v>0</v>
      </c>
      <c r="AQ116" s="276">
        <v>32014.080000000002</v>
      </c>
    </row>
    <row r="117" spans="1:43">
      <c r="A117" s="276" t="s">
        <v>360</v>
      </c>
      <c r="B117" s="276">
        <v>500</v>
      </c>
      <c r="C117" s="276">
        <v>18500</v>
      </c>
      <c r="D117" s="276">
        <v>37</v>
      </c>
      <c r="E117" s="276">
        <v>0</v>
      </c>
      <c r="F117" s="276">
        <v>14400</v>
      </c>
      <c r="G117" s="276">
        <v>48</v>
      </c>
      <c r="H117" s="276">
        <v>0</v>
      </c>
      <c r="I117" s="276">
        <v>0</v>
      </c>
      <c r="J117" s="276">
        <v>0</v>
      </c>
      <c r="K117" s="276">
        <v>0</v>
      </c>
      <c r="L117" s="276">
        <v>0</v>
      </c>
      <c r="M117" s="276">
        <v>0</v>
      </c>
      <c r="N117" s="276">
        <v>0</v>
      </c>
      <c r="O117" s="276">
        <v>0</v>
      </c>
      <c r="P117" s="276">
        <v>0</v>
      </c>
      <c r="Q117" s="276">
        <v>0</v>
      </c>
      <c r="R117" s="276">
        <v>0</v>
      </c>
      <c r="S117" s="276">
        <v>0</v>
      </c>
      <c r="T117" s="276">
        <v>0</v>
      </c>
      <c r="U117" s="276">
        <v>0</v>
      </c>
      <c r="V117" s="276">
        <v>0</v>
      </c>
      <c r="W117" s="276">
        <v>0</v>
      </c>
      <c r="X117" s="276">
        <v>0</v>
      </c>
      <c r="Y117" s="276">
        <v>32900</v>
      </c>
      <c r="Z117" s="276">
        <v>85</v>
      </c>
      <c r="AA117" s="276">
        <v>0</v>
      </c>
      <c r="AB117" s="276">
        <v>0</v>
      </c>
      <c r="AC117" s="276">
        <v>28180</v>
      </c>
      <c r="AD117" s="276">
        <v>0</v>
      </c>
      <c r="AE117" s="276">
        <v>5664</v>
      </c>
      <c r="AF117" s="276">
        <v>-782.4</v>
      </c>
      <c r="AG117" s="276">
        <v>0</v>
      </c>
      <c r="AH117" s="276">
        <v>1080</v>
      </c>
      <c r="AI117" s="276">
        <v>-324</v>
      </c>
      <c r="AJ117" s="276">
        <v>0</v>
      </c>
      <c r="AK117" s="276">
        <v>4584</v>
      </c>
      <c r="AL117" s="276">
        <v>-458.4</v>
      </c>
      <c r="AM117" s="276">
        <v>0</v>
      </c>
      <c r="AN117" s="276"/>
      <c r="AO117" s="276">
        <v>0</v>
      </c>
      <c r="AP117" s="276">
        <v>0</v>
      </c>
      <c r="AQ117" s="276">
        <v>23143.119999999999</v>
      </c>
    </row>
    <row r="118" spans="1:43">
      <c r="A118" s="276" t="s">
        <v>360</v>
      </c>
      <c r="B118" s="276">
        <v>500</v>
      </c>
      <c r="C118" s="276">
        <v>2500</v>
      </c>
      <c r="D118" s="276">
        <v>5</v>
      </c>
      <c r="E118" s="276">
        <v>0</v>
      </c>
      <c r="F118" s="276">
        <v>0</v>
      </c>
      <c r="G118" s="276">
        <v>0</v>
      </c>
      <c r="H118" s="276">
        <v>866</v>
      </c>
      <c r="I118" s="276">
        <v>0</v>
      </c>
      <c r="J118" s="276">
        <v>0</v>
      </c>
      <c r="K118" s="276">
        <v>0</v>
      </c>
      <c r="L118" s="276">
        <v>0</v>
      </c>
      <c r="M118" s="276">
        <v>0</v>
      </c>
      <c r="N118" s="276">
        <v>0</v>
      </c>
      <c r="O118" s="276">
        <v>0</v>
      </c>
      <c r="P118" s="276">
        <v>0</v>
      </c>
      <c r="Q118" s="276">
        <v>0</v>
      </c>
      <c r="R118" s="276">
        <v>0</v>
      </c>
      <c r="S118" s="276">
        <v>0</v>
      </c>
      <c r="T118" s="276">
        <v>0</v>
      </c>
      <c r="U118" s="276">
        <v>0</v>
      </c>
      <c r="V118" s="276">
        <v>0</v>
      </c>
      <c r="W118" s="276">
        <v>0</v>
      </c>
      <c r="X118" s="276">
        <v>0</v>
      </c>
      <c r="Y118" s="276">
        <v>2500</v>
      </c>
      <c r="Z118" s="276">
        <v>871</v>
      </c>
      <c r="AA118" s="276">
        <v>0</v>
      </c>
      <c r="AB118" s="276">
        <v>0</v>
      </c>
      <c r="AC118" s="276">
        <v>2407</v>
      </c>
      <c r="AD118" s="276">
        <v>0</v>
      </c>
      <c r="AE118" s="276">
        <v>111.6</v>
      </c>
      <c r="AF118" s="276">
        <v>-33.479999999999997</v>
      </c>
      <c r="AG118" s="276">
        <v>0</v>
      </c>
      <c r="AH118" s="276">
        <v>111.6</v>
      </c>
      <c r="AI118" s="276">
        <v>-33.479999999999997</v>
      </c>
      <c r="AJ118" s="276">
        <v>0</v>
      </c>
      <c r="AK118" s="276"/>
      <c r="AL118" s="276">
        <v>0</v>
      </c>
      <c r="AM118" s="276">
        <v>0</v>
      </c>
      <c r="AN118" s="276"/>
      <c r="AO118" s="276">
        <v>0</v>
      </c>
      <c r="AP118" s="276">
        <v>0</v>
      </c>
      <c r="AQ118" s="276">
        <v>1739.58</v>
      </c>
    </row>
    <row r="119" spans="1:43">
      <c r="A119" s="276" t="s">
        <v>360</v>
      </c>
      <c r="B119" s="276">
        <v>500</v>
      </c>
      <c r="C119" s="276">
        <v>2500</v>
      </c>
      <c r="D119" s="276">
        <v>5</v>
      </c>
      <c r="E119" s="276">
        <v>0</v>
      </c>
      <c r="F119" s="276">
        <v>0</v>
      </c>
      <c r="G119" s="276">
        <v>0</v>
      </c>
      <c r="H119" s="276">
        <v>599</v>
      </c>
      <c r="I119" s="276">
        <v>0</v>
      </c>
      <c r="J119" s="276">
        <v>0</v>
      </c>
      <c r="K119" s="276">
        <v>0</v>
      </c>
      <c r="L119" s="276">
        <v>0</v>
      </c>
      <c r="M119" s="276">
        <v>0</v>
      </c>
      <c r="N119" s="276">
        <v>0</v>
      </c>
      <c r="O119" s="276">
        <v>0</v>
      </c>
      <c r="P119" s="276">
        <v>0</v>
      </c>
      <c r="Q119" s="276">
        <v>0</v>
      </c>
      <c r="R119" s="276">
        <v>0</v>
      </c>
      <c r="S119" s="276">
        <v>0</v>
      </c>
      <c r="T119" s="276">
        <v>0</v>
      </c>
      <c r="U119" s="276">
        <v>0</v>
      </c>
      <c r="V119" s="276">
        <v>0</v>
      </c>
      <c r="W119" s="276">
        <v>0</v>
      </c>
      <c r="X119" s="276">
        <v>0</v>
      </c>
      <c r="Y119" s="276">
        <v>2500</v>
      </c>
      <c r="Z119" s="276">
        <v>604</v>
      </c>
      <c r="AA119" s="276">
        <v>0</v>
      </c>
      <c r="AB119" s="276">
        <v>0</v>
      </c>
      <c r="AC119" s="276">
        <v>2407</v>
      </c>
      <c r="AD119" s="276">
        <v>0</v>
      </c>
      <c r="AE119" s="276">
        <v>111.6</v>
      </c>
      <c r="AF119" s="276">
        <v>-33.479999999999997</v>
      </c>
      <c r="AG119" s="276">
        <v>0</v>
      </c>
      <c r="AH119" s="276">
        <v>111.6</v>
      </c>
      <c r="AI119" s="276">
        <v>-33.479999999999997</v>
      </c>
      <c r="AJ119" s="276">
        <v>0</v>
      </c>
      <c r="AK119" s="276"/>
      <c r="AL119" s="276">
        <v>0</v>
      </c>
      <c r="AM119" s="276">
        <v>0</v>
      </c>
      <c r="AN119" s="276"/>
      <c r="AO119" s="276">
        <v>0</v>
      </c>
      <c r="AP119" s="276">
        <v>0</v>
      </c>
      <c r="AQ119" s="276">
        <v>1739.58</v>
      </c>
    </row>
    <row r="120" spans="1:43">
      <c r="A120" s="276" t="s">
        <v>360</v>
      </c>
      <c r="B120" s="276">
        <v>500</v>
      </c>
      <c r="C120" s="276">
        <v>2500</v>
      </c>
      <c r="D120" s="276">
        <v>5</v>
      </c>
      <c r="E120" s="276">
        <v>0</v>
      </c>
      <c r="F120" s="276">
        <v>0</v>
      </c>
      <c r="G120" s="276">
        <v>0</v>
      </c>
      <c r="H120" s="276">
        <v>530</v>
      </c>
      <c r="I120" s="276">
        <v>0</v>
      </c>
      <c r="J120" s="276">
        <v>0</v>
      </c>
      <c r="K120" s="276">
        <v>0</v>
      </c>
      <c r="L120" s="276">
        <v>0</v>
      </c>
      <c r="M120" s="276">
        <v>0</v>
      </c>
      <c r="N120" s="276">
        <v>0</v>
      </c>
      <c r="O120" s="276">
        <v>0</v>
      </c>
      <c r="P120" s="276">
        <v>0</v>
      </c>
      <c r="Q120" s="276">
        <v>0</v>
      </c>
      <c r="R120" s="276">
        <v>0</v>
      </c>
      <c r="S120" s="276">
        <v>0</v>
      </c>
      <c r="T120" s="276">
        <v>0</v>
      </c>
      <c r="U120" s="276">
        <v>0</v>
      </c>
      <c r="V120" s="276">
        <v>0</v>
      </c>
      <c r="W120" s="276">
        <v>0</v>
      </c>
      <c r="X120" s="276">
        <v>0</v>
      </c>
      <c r="Y120" s="276">
        <v>2500</v>
      </c>
      <c r="Z120" s="276">
        <v>535</v>
      </c>
      <c r="AA120" s="276">
        <v>0</v>
      </c>
      <c r="AB120" s="276">
        <v>0</v>
      </c>
      <c r="AC120" s="276">
        <v>2407</v>
      </c>
      <c r="AD120" s="276">
        <v>0</v>
      </c>
      <c r="AE120" s="276">
        <v>111.6</v>
      </c>
      <c r="AF120" s="276">
        <v>-33.479999999999997</v>
      </c>
      <c r="AG120" s="276">
        <v>0</v>
      </c>
      <c r="AH120" s="276">
        <v>111.6</v>
      </c>
      <c r="AI120" s="276">
        <v>-33.479999999999997</v>
      </c>
      <c r="AJ120" s="276">
        <v>0</v>
      </c>
      <c r="AK120" s="276"/>
      <c r="AL120" s="276">
        <v>0</v>
      </c>
      <c r="AM120" s="276">
        <v>0</v>
      </c>
      <c r="AN120" s="276"/>
      <c r="AO120" s="276">
        <v>0</v>
      </c>
      <c r="AP120" s="276">
        <v>0</v>
      </c>
      <c r="AQ120" s="276">
        <v>1739.58</v>
      </c>
    </row>
    <row r="121" spans="1:43">
      <c r="A121" s="276" t="s">
        <v>360</v>
      </c>
      <c r="B121" s="276">
        <v>500</v>
      </c>
      <c r="C121" s="276">
        <v>2500</v>
      </c>
      <c r="D121" s="276">
        <v>5</v>
      </c>
      <c r="E121" s="276">
        <v>0</v>
      </c>
      <c r="F121" s="276">
        <v>0</v>
      </c>
      <c r="G121" s="276">
        <v>0</v>
      </c>
      <c r="H121" s="276">
        <v>557</v>
      </c>
      <c r="I121" s="276">
        <v>0</v>
      </c>
      <c r="J121" s="276">
        <v>0</v>
      </c>
      <c r="K121" s="276">
        <v>0</v>
      </c>
      <c r="L121" s="276">
        <v>0</v>
      </c>
      <c r="M121" s="276">
        <v>0</v>
      </c>
      <c r="N121" s="276">
        <v>0</v>
      </c>
      <c r="O121" s="276">
        <v>0</v>
      </c>
      <c r="P121" s="276">
        <v>0</v>
      </c>
      <c r="Q121" s="276">
        <v>0</v>
      </c>
      <c r="R121" s="276">
        <v>0</v>
      </c>
      <c r="S121" s="276">
        <v>0</v>
      </c>
      <c r="T121" s="276">
        <v>0</v>
      </c>
      <c r="U121" s="276">
        <v>0</v>
      </c>
      <c r="V121" s="276">
        <v>0</v>
      </c>
      <c r="W121" s="276">
        <v>0</v>
      </c>
      <c r="X121" s="276">
        <v>0</v>
      </c>
      <c r="Y121" s="276">
        <v>2500</v>
      </c>
      <c r="Z121" s="276">
        <v>562</v>
      </c>
      <c r="AA121" s="276">
        <v>0</v>
      </c>
      <c r="AB121" s="276">
        <v>0</v>
      </c>
      <c r="AC121" s="276">
        <v>2407</v>
      </c>
      <c r="AD121" s="276">
        <v>0</v>
      </c>
      <c r="AE121" s="276">
        <v>111.6</v>
      </c>
      <c r="AF121" s="276">
        <v>-33.479999999999997</v>
      </c>
      <c r="AG121" s="276">
        <v>0</v>
      </c>
      <c r="AH121" s="276">
        <v>111.6</v>
      </c>
      <c r="AI121" s="276">
        <v>-33.479999999999997</v>
      </c>
      <c r="AJ121" s="276">
        <v>0</v>
      </c>
      <c r="AK121" s="276"/>
      <c r="AL121" s="276">
        <v>0</v>
      </c>
      <c r="AM121" s="276">
        <v>0</v>
      </c>
      <c r="AN121" s="276"/>
      <c r="AO121" s="276">
        <v>0</v>
      </c>
      <c r="AP121" s="276">
        <v>0</v>
      </c>
      <c r="AQ121" s="276">
        <v>1739.58</v>
      </c>
    </row>
    <row r="122" spans="1:43">
      <c r="A122" s="276" t="s">
        <v>360</v>
      </c>
      <c r="B122" s="276">
        <v>500</v>
      </c>
      <c r="C122" s="276">
        <v>14000</v>
      </c>
      <c r="D122" s="276">
        <v>28</v>
      </c>
      <c r="E122" s="276">
        <v>0</v>
      </c>
      <c r="F122" s="276">
        <v>21300</v>
      </c>
      <c r="G122" s="276">
        <v>71</v>
      </c>
      <c r="H122" s="276">
        <v>0</v>
      </c>
      <c r="I122" s="276">
        <v>0</v>
      </c>
      <c r="J122" s="276">
        <v>0</v>
      </c>
      <c r="K122" s="276">
        <v>0</v>
      </c>
      <c r="L122" s="276">
        <v>0</v>
      </c>
      <c r="M122" s="276">
        <v>0</v>
      </c>
      <c r="N122" s="276">
        <v>0</v>
      </c>
      <c r="O122" s="276">
        <v>0</v>
      </c>
      <c r="P122" s="276">
        <v>0</v>
      </c>
      <c r="Q122" s="276">
        <v>0</v>
      </c>
      <c r="R122" s="276">
        <v>0</v>
      </c>
      <c r="S122" s="276">
        <v>0</v>
      </c>
      <c r="T122" s="276">
        <v>0</v>
      </c>
      <c r="U122" s="276">
        <v>0</v>
      </c>
      <c r="V122" s="276">
        <v>0</v>
      </c>
      <c r="W122" s="276">
        <v>0</v>
      </c>
      <c r="X122" s="276">
        <v>0</v>
      </c>
      <c r="Y122" s="276">
        <v>35300</v>
      </c>
      <c r="Z122" s="276">
        <v>99</v>
      </c>
      <c r="AA122" s="276">
        <v>0</v>
      </c>
      <c r="AB122" s="276">
        <v>0</v>
      </c>
      <c r="AC122" s="276">
        <v>25777</v>
      </c>
      <c r="AD122" s="276">
        <v>0</v>
      </c>
      <c r="AE122" s="276">
        <v>11427.21</v>
      </c>
      <c r="AF122" s="276">
        <v>-3020.17</v>
      </c>
      <c r="AG122" s="276">
        <v>0</v>
      </c>
      <c r="AH122" s="276">
        <v>6867.21</v>
      </c>
      <c r="AI122" s="276">
        <v>-2060.17</v>
      </c>
      <c r="AJ122" s="276">
        <v>0</v>
      </c>
      <c r="AK122" s="276">
        <v>4560</v>
      </c>
      <c r="AL122" s="276">
        <v>-960</v>
      </c>
      <c r="AM122" s="276">
        <v>0</v>
      </c>
      <c r="AN122" s="276"/>
      <c r="AO122" s="276">
        <v>0</v>
      </c>
      <c r="AP122" s="276">
        <v>0</v>
      </c>
      <c r="AQ122" s="276">
        <v>23928.82</v>
      </c>
    </row>
    <row r="123" spans="1:43">
      <c r="A123" s="276" t="s">
        <v>360</v>
      </c>
      <c r="B123" s="276">
        <v>500</v>
      </c>
      <c r="C123" s="276">
        <v>13000</v>
      </c>
      <c r="D123" s="276">
        <v>26</v>
      </c>
      <c r="E123" s="276">
        <v>0</v>
      </c>
      <c r="F123" s="276">
        <v>18000</v>
      </c>
      <c r="G123" s="276">
        <v>60</v>
      </c>
      <c r="H123" s="276">
        <v>0</v>
      </c>
      <c r="I123" s="276">
        <v>0</v>
      </c>
      <c r="J123" s="276">
        <v>0</v>
      </c>
      <c r="K123" s="276">
        <v>0</v>
      </c>
      <c r="L123" s="276">
        <v>0</v>
      </c>
      <c r="M123" s="276">
        <v>0</v>
      </c>
      <c r="N123" s="276">
        <v>0</v>
      </c>
      <c r="O123" s="276">
        <v>0</v>
      </c>
      <c r="P123" s="276">
        <v>0</v>
      </c>
      <c r="Q123" s="276">
        <v>0</v>
      </c>
      <c r="R123" s="276">
        <v>0</v>
      </c>
      <c r="S123" s="276">
        <v>0</v>
      </c>
      <c r="T123" s="276">
        <v>0</v>
      </c>
      <c r="U123" s="276">
        <v>0</v>
      </c>
      <c r="V123" s="276">
        <v>0</v>
      </c>
      <c r="W123" s="276">
        <v>0</v>
      </c>
      <c r="X123" s="276">
        <v>0</v>
      </c>
      <c r="Y123" s="276">
        <v>31000</v>
      </c>
      <c r="Z123" s="276">
        <v>86</v>
      </c>
      <c r="AA123" s="276">
        <v>0</v>
      </c>
      <c r="AB123" s="276">
        <v>0</v>
      </c>
      <c r="AC123" s="276">
        <v>22607</v>
      </c>
      <c r="AD123" s="276">
        <v>0</v>
      </c>
      <c r="AE123" s="276">
        <v>10071.209999999999</v>
      </c>
      <c r="AF123" s="276">
        <v>-2733.37</v>
      </c>
      <c r="AG123" s="276">
        <v>0</v>
      </c>
      <c r="AH123" s="276">
        <v>6111.21</v>
      </c>
      <c r="AI123" s="276">
        <v>-1833.37</v>
      </c>
      <c r="AJ123" s="276">
        <v>0</v>
      </c>
      <c r="AK123" s="276">
        <v>3960</v>
      </c>
      <c r="AL123" s="276">
        <v>-900</v>
      </c>
      <c r="AM123" s="276">
        <v>0</v>
      </c>
      <c r="AN123" s="276"/>
      <c r="AO123" s="276">
        <v>0</v>
      </c>
      <c r="AP123" s="276">
        <v>0</v>
      </c>
      <c r="AQ123" s="276">
        <v>20961.38</v>
      </c>
    </row>
    <row r="124" spans="1:43">
      <c r="A124" s="276" t="s">
        <v>360</v>
      </c>
      <c r="B124" s="276">
        <v>500</v>
      </c>
      <c r="C124" s="276">
        <v>11500</v>
      </c>
      <c r="D124" s="276">
        <v>23</v>
      </c>
      <c r="E124" s="276">
        <v>0</v>
      </c>
      <c r="F124" s="276">
        <v>16200</v>
      </c>
      <c r="G124" s="276">
        <v>54</v>
      </c>
      <c r="H124" s="276">
        <v>0</v>
      </c>
      <c r="I124" s="276">
        <v>0</v>
      </c>
      <c r="J124" s="276">
        <v>0</v>
      </c>
      <c r="K124" s="276">
        <v>0</v>
      </c>
      <c r="L124" s="276">
        <v>0</v>
      </c>
      <c r="M124" s="276">
        <v>0</v>
      </c>
      <c r="N124" s="276">
        <v>0</v>
      </c>
      <c r="O124" s="276">
        <v>0</v>
      </c>
      <c r="P124" s="276">
        <v>0</v>
      </c>
      <c r="Q124" s="276">
        <v>0</v>
      </c>
      <c r="R124" s="276">
        <v>0</v>
      </c>
      <c r="S124" s="276">
        <v>0</v>
      </c>
      <c r="T124" s="276">
        <v>0</v>
      </c>
      <c r="U124" s="276">
        <v>0</v>
      </c>
      <c r="V124" s="276">
        <v>0</v>
      </c>
      <c r="W124" s="276">
        <v>0</v>
      </c>
      <c r="X124" s="276">
        <v>0</v>
      </c>
      <c r="Y124" s="276">
        <v>27700</v>
      </c>
      <c r="Z124" s="276">
        <v>77</v>
      </c>
      <c r="AA124" s="276">
        <v>0</v>
      </c>
      <c r="AB124" s="276">
        <v>0</v>
      </c>
      <c r="AC124" s="276">
        <v>20197</v>
      </c>
      <c r="AD124" s="276">
        <v>0</v>
      </c>
      <c r="AE124" s="276">
        <v>9006.06</v>
      </c>
      <c r="AF124" s="276">
        <v>-2399.42</v>
      </c>
      <c r="AG124" s="276">
        <v>0</v>
      </c>
      <c r="AH124" s="276">
        <v>5694.06</v>
      </c>
      <c r="AI124" s="276">
        <v>-1708.22</v>
      </c>
      <c r="AJ124" s="276">
        <v>0</v>
      </c>
      <c r="AK124" s="276">
        <v>3312</v>
      </c>
      <c r="AL124" s="276">
        <v>-691.2</v>
      </c>
      <c r="AM124" s="276">
        <v>0</v>
      </c>
      <c r="AN124" s="276"/>
      <c r="AO124" s="276">
        <v>0</v>
      </c>
      <c r="AP124" s="276">
        <v>0</v>
      </c>
      <c r="AQ124" s="276">
        <v>18762.54</v>
      </c>
    </row>
    <row r="125" spans="1:43">
      <c r="A125" s="276" t="s">
        <v>360</v>
      </c>
      <c r="B125" s="276">
        <v>500</v>
      </c>
      <c r="C125" s="276">
        <v>10500</v>
      </c>
      <c r="D125" s="276">
        <v>21</v>
      </c>
      <c r="E125" s="276">
        <v>0</v>
      </c>
      <c r="F125" s="276">
        <v>13800</v>
      </c>
      <c r="G125" s="276">
        <v>46</v>
      </c>
      <c r="H125" s="276">
        <v>0</v>
      </c>
      <c r="I125" s="276">
        <v>0</v>
      </c>
      <c r="J125" s="276">
        <v>0</v>
      </c>
      <c r="K125" s="276">
        <v>0</v>
      </c>
      <c r="L125" s="276">
        <v>0</v>
      </c>
      <c r="M125" s="276">
        <v>0</v>
      </c>
      <c r="N125" s="276">
        <v>0</v>
      </c>
      <c r="O125" s="276">
        <v>0</v>
      </c>
      <c r="P125" s="276">
        <v>0</v>
      </c>
      <c r="Q125" s="276">
        <v>0</v>
      </c>
      <c r="R125" s="276">
        <v>0</v>
      </c>
      <c r="S125" s="276">
        <v>0</v>
      </c>
      <c r="T125" s="276">
        <v>0</v>
      </c>
      <c r="U125" s="276">
        <v>0</v>
      </c>
      <c r="V125" s="276">
        <v>0</v>
      </c>
      <c r="W125" s="276">
        <v>0</v>
      </c>
      <c r="X125" s="276">
        <v>0</v>
      </c>
      <c r="Y125" s="276">
        <v>24300</v>
      </c>
      <c r="Z125" s="276">
        <v>67</v>
      </c>
      <c r="AA125" s="276">
        <v>0</v>
      </c>
      <c r="AB125" s="276">
        <v>0</v>
      </c>
      <c r="AC125" s="276">
        <v>17107</v>
      </c>
      <c r="AD125" s="276">
        <v>0</v>
      </c>
      <c r="AE125" s="276">
        <v>8634.06</v>
      </c>
      <c r="AF125" s="276">
        <v>-2110.2199999999998</v>
      </c>
      <c r="AG125" s="276">
        <v>0</v>
      </c>
      <c r="AH125" s="276">
        <v>4794.0600000000004</v>
      </c>
      <c r="AI125" s="276">
        <v>-1438.22</v>
      </c>
      <c r="AJ125" s="276">
        <v>0</v>
      </c>
      <c r="AK125" s="276">
        <v>3840</v>
      </c>
      <c r="AL125" s="276">
        <v>-672</v>
      </c>
      <c r="AM125" s="276">
        <v>0</v>
      </c>
      <c r="AN125" s="276"/>
      <c r="AO125" s="276">
        <v>0</v>
      </c>
      <c r="AP125" s="276">
        <v>0</v>
      </c>
      <c r="AQ125" s="276">
        <v>16541.580000000002</v>
      </c>
    </row>
    <row r="126" spans="1:43">
      <c r="A126" s="276" t="s">
        <v>360</v>
      </c>
      <c r="B126" s="276">
        <v>500</v>
      </c>
      <c r="C126" s="276">
        <v>10500</v>
      </c>
      <c r="D126" s="276">
        <v>21</v>
      </c>
      <c r="E126" s="276">
        <v>0</v>
      </c>
      <c r="F126" s="276">
        <v>12300</v>
      </c>
      <c r="G126" s="276">
        <v>41</v>
      </c>
      <c r="H126" s="276">
        <v>0</v>
      </c>
      <c r="I126" s="276">
        <v>0</v>
      </c>
      <c r="J126" s="276">
        <v>0</v>
      </c>
      <c r="K126" s="276">
        <v>0</v>
      </c>
      <c r="L126" s="276">
        <v>0</v>
      </c>
      <c r="M126" s="276">
        <v>0</v>
      </c>
      <c r="N126" s="276">
        <v>0</v>
      </c>
      <c r="O126" s="276">
        <v>0</v>
      </c>
      <c r="P126" s="276">
        <v>0</v>
      </c>
      <c r="Q126" s="276">
        <v>0</v>
      </c>
      <c r="R126" s="276">
        <v>0</v>
      </c>
      <c r="S126" s="276">
        <v>0</v>
      </c>
      <c r="T126" s="276">
        <v>0</v>
      </c>
      <c r="U126" s="276">
        <v>0</v>
      </c>
      <c r="V126" s="276">
        <v>0</v>
      </c>
      <c r="W126" s="276">
        <v>0</v>
      </c>
      <c r="X126" s="276">
        <v>0</v>
      </c>
      <c r="Y126" s="276">
        <v>22800</v>
      </c>
      <c r="Z126" s="276">
        <v>62</v>
      </c>
      <c r="AA126" s="276">
        <v>0</v>
      </c>
      <c r="AB126" s="276">
        <v>0</v>
      </c>
      <c r="AC126" s="276">
        <v>16107</v>
      </c>
      <c r="AD126" s="276">
        <v>0</v>
      </c>
      <c r="AE126" s="276">
        <v>8032.83</v>
      </c>
      <c r="AF126" s="276">
        <v>-2025.85</v>
      </c>
      <c r="AG126" s="276">
        <v>0</v>
      </c>
      <c r="AH126" s="276">
        <v>5032.83</v>
      </c>
      <c r="AI126" s="276">
        <v>-1509.85</v>
      </c>
      <c r="AJ126" s="276">
        <v>0</v>
      </c>
      <c r="AK126" s="276">
        <v>3000</v>
      </c>
      <c r="AL126" s="276">
        <v>-516</v>
      </c>
      <c r="AM126" s="276">
        <v>0</v>
      </c>
      <c r="AN126" s="276"/>
      <c r="AO126" s="276">
        <v>0</v>
      </c>
      <c r="AP126" s="276">
        <v>0</v>
      </c>
      <c r="AQ126" s="276">
        <v>15479.78</v>
      </c>
    </row>
    <row r="127" spans="1:43">
      <c r="A127" s="276" t="s">
        <v>383</v>
      </c>
      <c r="B127" s="276">
        <v>400</v>
      </c>
      <c r="C127" s="276">
        <v>400</v>
      </c>
      <c r="D127" s="276">
        <v>1</v>
      </c>
      <c r="E127" s="276">
        <v>0</v>
      </c>
      <c r="F127" s="276">
        <v>0</v>
      </c>
      <c r="G127" s="276">
        <v>0</v>
      </c>
      <c r="H127" s="276">
        <v>56</v>
      </c>
      <c r="I127" s="276">
        <v>0</v>
      </c>
      <c r="J127" s="276">
        <v>0</v>
      </c>
      <c r="K127" s="276">
        <v>0</v>
      </c>
      <c r="L127" s="276">
        <v>0</v>
      </c>
      <c r="M127" s="276">
        <v>0</v>
      </c>
      <c r="N127" s="276">
        <v>0</v>
      </c>
      <c r="O127" s="276">
        <v>0</v>
      </c>
      <c r="P127" s="276">
        <v>0</v>
      </c>
      <c r="Q127" s="276">
        <v>0</v>
      </c>
      <c r="R127" s="276">
        <v>0</v>
      </c>
      <c r="S127" s="276">
        <v>0</v>
      </c>
      <c r="T127" s="276">
        <v>0</v>
      </c>
      <c r="U127" s="276">
        <v>0</v>
      </c>
      <c r="V127" s="276">
        <v>0</v>
      </c>
      <c r="W127" s="276">
        <v>0</v>
      </c>
      <c r="X127" s="276">
        <v>0</v>
      </c>
      <c r="Y127" s="276">
        <v>400</v>
      </c>
      <c r="Z127" s="276">
        <v>57</v>
      </c>
      <c r="AA127" s="276">
        <v>0</v>
      </c>
      <c r="AB127" s="276">
        <v>0</v>
      </c>
      <c r="AC127" s="276">
        <v>400</v>
      </c>
      <c r="AD127" s="276">
        <v>0</v>
      </c>
      <c r="AE127" s="276">
        <v>0</v>
      </c>
      <c r="AF127" s="276">
        <v>0</v>
      </c>
      <c r="AG127" s="276">
        <v>0</v>
      </c>
      <c r="AH127" s="276"/>
      <c r="AI127" s="276">
        <v>0</v>
      </c>
      <c r="AJ127" s="276">
        <v>0</v>
      </c>
      <c r="AK127" s="276"/>
      <c r="AL127" s="276">
        <v>0</v>
      </c>
      <c r="AM127" s="276">
        <v>0</v>
      </c>
      <c r="AN127" s="276"/>
      <c r="AO127" s="276">
        <v>0</v>
      </c>
      <c r="AP127" s="276">
        <v>0</v>
      </c>
      <c r="AQ127" s="276">
        <v>280</v>
      </c>
    </row>
    <row r="128" spans="1:43">
      <c r="A128" s="276" t="s">
        <v>383</v>
      </c>
      <c r="B128" s="276">
        <v>400</v>
      </c>
      <c r="C128" s="276">
        <v>400</v>
      </c>
      <c r="D128" s="276">
        <v>1</v>
      </c>
      <c r="E128" s="276">
        <v>0</v>
      </c>
      <c r="F128" s="276">
        <v>0</v>
      </c>
      <c r="G128" s="276">
        <v>0</v>
      </c>
      <c r="H128" s="276">
        <v>37</v>
      </c>
      <c r="I128" s="276">
        <v>0</v>
      </c>
      <c r="J128" s="276">
        <v>0</v>
      </c>
      <c r="K128" s="276">
        <v>0</v>
      </c>
      <c r="L128" s="276">
        <v>0</v>
      </c>
      <c r="M128" s="276">
        <v>0</v>
      </c>
      <c r="N128" s="276">
        <v>0</v>
      </c>
      <c r="O128" s="276">
        <v>0</v>
      </c>
      <c r="P128" s="276">
        <v>0</v>
      </c>
      <c r="Q128" s="276">
        <v>0</v>
      </c>
      <c r="R128" s="276">
        <v>0</v>
      </c>
      <c r="S128" s="276">
        <v>0</v>
      </c>
      <c r="T128" s="276">
        <v>0</v>
      </c>
      <c r="U128" s="276">
        <v>0</v>
      </c>
      <c r="V128" s="276">
        <v>0</v>
      </c>
      <c r="W128" s="276">
        <v>0</v>
      </c>
      <c r="X128" s="276">
        <v>0</v>
      </c>
      <c r="Y128" s="276">
        <v>400</v>
      </c>
      <c r="Z128" s="276">
        <v>38</v>
      </c>
      <c r="AA128" s="276">
        <v>0</v>
      </c>
      <c r="AB128" s="276">
        <v>0</v>
      </c>
      <c r="AC128" s="276">
        <v>400</v>
      </c>
      <c r="AD128" s="276">
        <v>0</v>
      </c>
      <c r="AE128" s="276">
        <v>0</v>
      </c>
      <c r="AF128" s="276">
        <v>0</v>
      </c>
      <c r="AG128" s="276">
        <v>0</v>
      </c>
      <c r="AH128" s="276"/>
      <c r="AI128" s="276">
        <v>0</v>
      </c>
      <c r="AJ128" s="276">
        <v>0</v>
      </c>
      <c r="AK128" s="276"/>
      <c r="AL128" s="276">
        <v>0</v>
      </c>
      <c r="AM128" s="276">
        <v>0</v>
      </c>
      <c r="AN128" s="276"/>
      <c r="AO128" s="276">
        <v>0</v>
      </c>
      <c r="AP128" s="276">
        <v>0</v>
      </c>
      <c r="AQ128" s="276">
        <v>280</v>
      </c>
    </row>
    <row r="129" spans="1:43">
      <c r="A129" s="276" t="s">
        <v>383</v>
      </c>
      <c r="B129" s="276">
        <v>400</v>
      </c>
      <c r="C129" s="276">
        <v>400</v>
      </c>
      <c r="D129" s="276">
        <v>1</v>
      </c>
      <c r="E129" s="276">
        <v>0</v>
      </c>
      <c r="F129" s="276">
        <v>600</v>
      </c>
      <c r="G129" s="276">
        <v>3</v>
      </c>
      <c r="H129" s="276">
        <v>0</v>
      </c>
      <c r="I129" s="276">
        <v>0</v>
      </c>
      <c r="J129" s="276">
        <v>0</v>
      </c>
      <c r="K129" s="276">
        <v>0</v>
      </c>
      <c r="L129" s="276">
        <v>0</v>
      </c>
      <c r="M129" s="276">
        <v>0</v>
      </c>
      <c r="N129" s="276">
        <v>0</v>
      </c>
      <c r="O129" s="276">
        <v>0</v>
      </c>
      <c r="P129" s="276">
        <v>0</v>
      </c>
      <c r="Q129" s="276">
        <v>0</v>
      </c>
      <c r="R129" s="276">
        <v>0</v>
      </c>
      <c r="S129" s="276">
        <v>0</v>
      </c>
      <c r="T129" s="276">
        <v>0</v>
      </c>
      <c r="U129" s="276">
        <v>0</v>
      </c>
      <c r="V129" s="276">
        <v>0</v>
      </c>
      <c r="W129" s="276">
        <v>0</v>
      </c>
      <c r="X129" s="276">
        <v>0</v>
      </c>
      <c r="Y129" s="276">
        <v>1000</v>
      </c>
      <c r="Z129" s="276">
        <v>4</v>
      </c>
      <c r="AA129" s="276">
        <v>0</v>
      </c>
      <c r="AB129" s="276">
        <v>0</v>
      </c>
      <c r="AC129" s="276">
        <v>1000</v>
      </c>
      <c r="AD129" s="276">
        <v>0</v>
      </c>
      <c r="AE129" s="276">
        <v>0</v>
      </c>
      <c r="AF129" s="276">
        <v>0</v>
      </c>
      <c r="AG129" s="276">
        <v>0</v>
      </c>
      <c r="AH129" s="276"/>
      <c r="AI129" s="276">
        <v>0</v>
      </c>
      <c r="AJ129" s="276">
        <v>0</v>
      </c>
      <c r="AK129" s="276"/>
      <c r="AL129" s="276">
        <v>0</v>
      </c>
      <c r="AM129" s="276">
        <v>0</v>
      </c>
      <c r="AN129" s="276"/>
      <c r="AO129" s="276">
        <v>0</v>
      </c>
      <c r="AP129" s="276">
        <v>0</v>
      </c>
      <c r="AQ129" s="276">
        <v>700</v>
      </c>
    </row>
    <row r="130" spans="1:43">
      <c r="A130" s="276" t="s">
        <v>383</v>
      </c>
      <c r="B130" s="276">
        <v>400</v>
      </c>
      <c r="C130" s="276">
        <v>400</v>
      </c>
      <c r="D130" s="276">
        <v>1</v>
      </c>
      <c r="E130" s="276">
        <v>0</v>
      </c>
      <c r="F130" s="276">
        <v>600</v>
      </c>
      <c r="G130" s="276">
        <v>3</v>
      </c>
      <c r="H130" s="276">
        <v>0</v>
      </c>
      <c r="I130" s="276">
        <v>0</v>
      </c>
      <c r="J130" s="276">
        <v>0</v>
      </c>
      <c r="K130" s="276">
        <v>0</v>
      </c>
      <c r="L130" s="276">
        <v>0</v>
      </c>
      <c r="M130" s="276">
        <v>0</v>
      </c>
      <c r="N130" s="276">
        <v>0</v>
      </c>
      <c r="O130" s="276">
        <v>0</v>
      </c>
      <c r="P130" s="276">
        <v>0</v>
      </c>
      <c r="Q130" s="276">
        <v>0</v>
      </c>
      <c r="R130" s="276">
        <v>0</v>
      </c>
      <c r="S130" s="276">
        <v>0</v>
      </c>
      <c r="T130" s="276">
        <v>0</v>
      </c>
      <c r="U130" s="276">
        <v>0</v>
      </c>
      <c r="V130" s="276">
        <v>0</v>
      </c>
      <c r="W130" s="276">
        <v>0</v>
      </c>
      <c r="X130" s="276">
        <v>0</v>
      </c>
      <c r="Y130" s="276">
        <v>1000</v>
      </c>
      <c r="Z130" s="276">
        <v>4</v>
      </c>
      <c r="AA130" s="276">
        <v>0</v>
      </c>
      <c r="AB130" s="276">
        <v>0</v>
      </c>
      <c r="AC130" s="276">
        <v>1000</v>
      </c>
      <c r="AD130" s="276">
        <v>0</v>
      </c>
      <c r="AE130" s="276">
        <v>0</v>
      </c>
      <c r="AF130" s="276">
        <v>0</v>
      </c>
      <c r="AG130" s="276">
        <v>0</v>
      </c>
      <c r="AH130" s="276"/>
      <c r="AI130" s="276">
        <v>0</v>
      </c>
      <c r="AJ130" s="276">
        <v>0</v>
      </c>
      <c r="AK130" s="276"/>
      <c r="AL130" s="276">
        <v>0</v>
      </c>
      <c r="AM130" s="276">
        <v>0</v>
      </c>
      <c r="AN130" s="276"/>
      <c r="AO130" s="276">
        <v>0</v>
      </c>
      <c r="AP130" s="276">
        <v>0</v>
      </c>
      <c r="AQ130" s="276">
        <v>700</v>
      </c>
    </row>
    <row r="131" spans="1:43">
      <c r="A131" s="276" t="s">
        <v>383</v>
      </c>
      <c r="B131" s="276">
        <v>400</v>
      </c>
      <c r="C131" s="276">
        <v>400</v>
      </c>
      <c r="D131" s="276">
        <v>1</v>
      </c>
      <c r="E131" s="276">
        <v>0</v>
      </c>
      <c r="F131" s="276">
        <v>600</v>
      </c>
      <c r="G131" s="276">
        <v>3</v>
      </c>
      <c r="H131" s="276">
        <v>0</v>
      </c>
      <c r="I131" s="276">
        <v>0</v>
      </c>
      <c r="J131" s="276">
        <v>0</v>
      </c>
      <c r="K131" s="276">
        <v>0</v>
      </c>
      <c r="L131" s="276">
        <v>0</v>
      </c>
      <c r="M131" s="276">
        <v>0</v>
      </c>
      <c r="N131" s="276">
        <v>0</v>
      </c>
      <c r="O131" s="276">
        <v>0</v>
      </c>
      <c r="P131" s="276">
        <v>0</v>
      </c>
      <c r="Q131" s="276">
        <v>0</v>
      </c>
      <c r="R131" s="276">
        <v>0</v>
      </c>
      <c r="S131" s="276">
        <v>0</v>
      </c>
      <c r="T131" s="276">
        <v>0</v>
      </c>
      <c r="U131" s="276">
        <v>0</v>
      </c>
      <c r="V131" s="276">
        <v>0</v>
      </c>
      <c r="W131" s="276">
        <v>0</v>
      </c>
      <c r="X131" s="276">
        <v>0</v>
      </c>
      <c r="Y131" s="276">
        <v>1000</v>
      </c>
      <c r="Z131" s="276">
        <v>4</v>
      </c>
      <c r="AA131" s="276">
        <v>0</v>
      </c>
      <c r="AB131" s="276">
        <v>0</v>
      </c>
      <c r="AC131" s="276">
        <v>1000</v>
      </c>
      <c r="AD131" s="276">
        <v>0</v>
      </c>
      <c r="AE131" s="276">
        <v>0</v>
      </c>
      <c r="AF131" s="276">
        <v>0</v>
      </c>
      <c r="AG131" s="276">
        <v>0</v>
      </c>
      <c r="AH131" s="276"/>
      <c r="AI131" s="276">
        <v>0</v>
      </c>
      <c r="AJ131" s="276">
        <v>0</v>
      </c>
      <c r="AK131" s="276"/>
      <c r="AL131" s="276">
        <v>0</v>
      </c>
      <c r="AM131" s="276">
        <v>0</v>
      </c>
      <c r="AN131" s="276"/>
      <c r="AO131" s="276">
        <v>0</v>
      </c>
      <c r="AP131" s="276">
        <v>0</v>
      </c>
      <c r="AQ131" s="276">
        <v>700</v>
      </c>
    </row>
    <row r="132" spans="1:43">
      <c r="A132" s="276" t="s">
        <v>383</v>
      </c>
      <c r="B132" s="276">
        <v>400</v>
      </c>
      <c r="C132" s="276">
        <v>400</v>
      </c>
      <c r="D132" s="276">
        <v>1</v>
      </c>
      <c r="E132" s="276">
        <v>0</v>
      </c>
      <c r="F132" s="276">
        <v>600</v>
      </c>
      <c r="G132" s="276">
        <v>3</v>
      </c>
      <c r="H132" s="276">
        <v>0</v>
      </c>
      <c r="I132" s="276">
        <v>0</v>
      </c>
      <c r="J132" s="276">
        <v>0</v>
      </c>
      <c r="K132" s="276">
        <v>0</v>
      </c>
      <c r="L132" s="276">
        <v>0</v>
      </c>
      <c r="M132" s="276">
        <v>0</v>
      </c>
      <c r="N132" s="276">
        <v>0</v>
      </c>
      <c r="O132" s="276">
        <v>0</v>
      </c>
      <c r="P132" s="276">
        <v>0</v>
      </c>
      <c r="Q132" s="276">
        <v>0</v>
      </c>
      <c r="R132" s="276">
        <v>0</v>
      </c>
      <c r="S132" s="276">
        <v>0</v>
      </c>
      <c r="T132" s="276">
        <v>0</v>
      </c>
      <c r="U132" s="276">
        <v>0</v>
      </c>
      <c r="V132" s="276">
        <v>0</v>
      </c>
      <c r="W132" s="276">
        <v>0</v>
      </c>
      <c r="X132" s="276">
        <v>0</v>
      </c>
      <c r="Y132" s="276">
        <v>1000</v>
      </c>
      <c r="Z132" s="276">
        <v>4</v>
      </c>
      <c r="AA132" s="276">
        <v>0</v>
      </c>
      <c r="AB132" s="276">
        <v>0</v>
      </c>
      <c r="AC132" s="276">
        <v>1000</v>
      </c>
      <c r="AD132" s="276">
        <v>0</v>
      </c>
      <c r="AE132" s="276">
        <v>0</v>
      </c>
      <c r="AF132" s="276">
        <v>0</v>
      </c>
      <c r="AG132" s="276">
        <v>0</v>
      </c>
      <c r="AH132" s="276"/>
      <c r="AI132" s="276">
        <v>0</v>
      </c>
      <c r="AJ132" s="276">
        <v>0</v>
      </c>
      <c r="AK132" s="276"/>
      <c r="AL132" s="276">
        <v>0</v>
      </c>
      <c r="AM132" s="276">
        <v>0</v>
      </c>
      <c r="AN132" s="276"/>
      <c r="AO132" s="276">
        <v>0</v>
      </c>
      <c r="AP132" s="276">
        <v>0</v>
      </c>
      <c r="AQ132" s="276">
        <v>700</v>
      </c>
    </row>
    <row r="133" spans="1:43">
      <c r="A133" s="276" t="s">
        <v>383</v>
      </c>
      <c r="B133" s="276">
        <v>400</v>
      </c>
      <c r="C133" s="276">
        <v>400</v>
      </c>
      <c r="D133" s="276">
        <v>1</v>
      </c>
      <c r="E133" s="276">
        <v>0</v>
      </c>
      <c r="F133" s="276">
        <v>600</v>
      </c>
      <c r="G133" s="276">
        <v>3</v>
      </c>
      <c r="H133" s="276">
        <v>0</v>
      </c>
      <c r="I133" s="276">
        <v>0</v>
      </c>
      <c r="J133" s="276">
        <v>0</v>
      </c>
      <c r="K133" s="276">
        <v>0</v>
      </c>
      <c r="L133" s="276">
        <v>0</v>
      </c>
      <c r="M133" s="276">
        <v>0</v>
      </c>
      <c r="N133" s="276">
        <v>0</v>
      </c>
      <c r="O133" s="276">
        <v>0</v>
      </c>
      <c r="P133" s="276">
        <v>0</v>
      </c>
      <c r="Q133" s="276">
        <v>0</v>
      </c>
      <c r="R133" s="276">
        <v>0</v>
      </c>
      <c r="S133" s="276">
        <v>0</v>
      </c>
      <c r="T133" s="276">
        <v>0</v>
      </c>
      <c r="U133" s="276">
        <v>0</v>
      </c>
      <c r="V133" s="276">
        <v>0</v>
      </c>
      <c r="W133" s="276">
        <v>0</v>
      </c>
      <c r="X133" s="276">
        <v>0</v>
      </c>
      <c r="Y133" s="276">
        <v>1000</v>
      </c>
      <c r="Z133" s="276">
        <v>4</v>
      </c>
      <c r="AA133" s="276">
        <v>0</v>
      </c>
      <c r="AB133" s="276">
        <v>0</v>
      </c>
      <c r="AC133" s="276">
        <v>1000</v>
      </c>
      <c r="AD133" s="276">
        <v>0</v>
      </c>
      <c r="AE133" s="276">
        <v>0</v>
      </c>
      <c r="AF133" s="276">
        <v>0</v>
      </c>
      <c r="AG133" s="276">
        <v>0</v>
      </c>
      <c r="AH133" s="276"/>
      <c r="AI133" s="276">
        <v>0</v>
      </c>
      <c r="AJ133" s="276">
        <v>0</v>
      </c>
      <c r="AK133" s="276"/>
      <c r="AL133" s="276">
        <v>0</v>
      </c>
      <c r="AM133" s="276">
        <v>0</v>
      </c>
      <c r="AN133" s="276"/>
      <c r="AO133" s="276">
        <v>0</v>
      </c>
      <c r="AP133" s="276">
        <v>0</v>
      </c>
      <c r="AQ133" s="276">
        <v>700</v>
      </c>
    </row>
    <row r="134" spans="1:43">
      <c r="A134" s="276" t="s">
        <v>383</v>
      </c>
      <c r="B134" s="276">
        <v>400</v>
      </c>
      <c r="C134" s="276">
        <v>400</v>
      </c>
      <c r="D134" s="276">
        <v>1</v>
      </c>
      <c r="E134" s="276">
        <v>0</v>
      </c>
      <c r="F134" s="276">
        <v>600</v>
      </c>
      <c r="G134" s="276">
        <v>3</v>
      </c>
      <c r="H134" s="276">
        <v>0</v>
      </c>
      <c r="I134" s="276">
        <v>0</v>
      </c>
      <c r="J134" s="276">
        <v>0</v>
      </c>
      <c r="K134" s="276">
        <v>0</v>
      </c>
      <c r="L134" s="276">
        <v>0</v>
      </c>
      <c r="M134" s="276">
        <v>0</v>
      </c>
      <c r="N134" s="276">
        <v>0</v>
      </c>
      <c r="O134" s="276">
        <v>0</v>
      </c>
      <c r="P134" s="276">
        <v>0</v>
      </c>
      <c r="Q134" s="276">
        <v>0</v>
      </c>
      <c r="R134" s="276">
        <v>0</v>
      </c>
      <c r="S134" s="276">
        <v>0</v>
      </c>
      <c r="T134" s="276">
        <v>0</v>
      </c>
      <c r="U134" s="276">
        <v>0</v>
      </c>
      <c r="V134" s="276">
        <v>0</v>
      </c>
      <c r="W134" s="276">
        <v>0</v>
      </c>
      <c r="X134" s="276">
        <v>0</v>
      </c>
      <c r="Y134" s="276">
        <v>1000</v>
      </c>
      <c r="Z134" s="276">
        <v>4</v>
      </c>
      <c r="AA134" s="276">
        <v>0</v>
      </c>
      <c r="AB134" s="276">
        <v>0</v>
      </c>
      <c r="AC134" s="276">
        <v>1000</v>
      </c>
      <c r="AD134" s="276">
        <v>0</v>
      </c>
      <c r="AE134" s="276">
        <v>0</v>
      </c>
      <c r="AF134" s="276">
        <v>0</v>
      </c>
      <c r="AG134" s="276">
        <v>0</v>
      </c>
      <c r="AH134" s="276"/>
      <c r="AI134" s="276">
        <v>0</v>
      </c>
      <c r="AJ134" s="276">
        <v>0</v>
      </c>
      <c r="AK134" s="276"/>
      <c r="AL134" s="276">
        <v>0</v>
      </c>
      <c r="AM134" s="276">
        <v>0</v>
      </c>
      <c r="AN134" s="276"/>
      <c r="AO134" s="276">
        <v>0</v>
      </c>
      <c r="AP134" s="276">
        <v>0</v>
      </c>
      <c r="AQ134" s="276">
        <v>700</v>
      </c>
    </row>
    <row r="135" spans="1:43">
      <c r="A135" s="276" t="s">
        <v>383</v>
      </c>
      <c r="B135" s="276">
        <v>400</v>
      </c>
      <c r="C135" s="276">
        <v>400</v>
      </c>
      <c r="D135" s="276">
        <v>1</v>
      </c>
      <c r="E135" s="276">
        <v>0</v>
      </c>
      <c r="F135" s="276">
        <v>1000</v>
      </c>
      <c r="G135" s="276">
        <v>5</v>
      </c>
      <c r="H135" s="276">
        <v>0</v>
      </c>
      <c r="I135" s="276">
        <v>0</v>
      </c>
      <c r="J135" s="276">
        <v>0</v>
      </c>
      <c r="K135" s="276">
        <v>0</v>
      </c>
      <c r="L135" s="276">
        <v>0</v>
      </c>
      <c r="M135" s="276">
        <v>0</v>
      </c>
      <c r="N135" s="276">
        <v>0</v>
      </c>
      <c r="O135" s="276">
        <v>0</v>
      </c>
      <c r="P135" s="276">
        <v>0</v>
      </c>
      <c r="Q135" s="276">
        <v>0</v>
      </c>
      <c r="R135" s="276">
        <v>0</v>
      </c>
      <c r="S135" s="276">
        <v>0</v>
      </c>
      <c r="T135" s="276">
        <v>0</v>
      </c>
      <c r="U135" s="276">
        <v>0</v>
      </c>
      <c r="V135" s="276">
        <v>0</v>
      </c>
      <c r="W135" s="276">
        <v>0</v>
      </c>
      <c r="X135" s="276">
        <v>0</v>
      </c>
      <c r="Y135" s="276">
        <v>1400</v>
      </c>
      <c r="Z135" s="276">
        <v>6</v>
      </c>
      <c r="AA135" s="276">
        <v>0</v>
      </c>
      <c r="AB135" s="276">
        <v>0</v>
      </c>
      <c r="AC135" s="276">
        <v>1200</v>
      </c>
      <c r="AD135" s="276">
        <v>0</v>
      </c>
      <c r="AE135" s="276">
        <v>240</v>
      </c>
      <c r="AF135" s="276">
        <v>-72</v>
      </c>
      <c r="AG135" s="276">
        <v>0</v>
      </c>
      <c r="AH135" s="276">
        <v>240</v>
      </c>
      <c r="AI135" s="276">
        <v>-72</v>
      </c>
      <c r="AJ135" s="276">
        <v>0</v>
      </c>
      <c r="AK135" s="276"/>
      <c r="AL135" s="276">
        <v>0</v>
      </c>
      <c r="AM135" s="276">
        <v>0</v>
      </c>
      <c r="AN135" s="276"/>
      <c r="AO135" s="276">
        <v>0</v>
      </c>
      <c r="AP135" s="276">
        <v>0</v>
      </c>
      <c r="AQ135" s="276">
        <v>957.6</v>
      </c>
    </row>
    <row r="136" spans="1:43">
      <c r="A136" s="276" t="s">
        <v>330</v>
      </c>
      <c r="B136" s="276">
        <v>300</v>
      </c>
      <c r="C136" s="276">
        <v>300</v>
      </c>
      <c r="D136" s="276">
        <v>1</v>
      </c>
      <c r="E136" s="276">
        <v>0</v>
      </c>
      <c r="F136" s="276">
        <v>0</v>
      </c>
      <c r="G136" s="276">
        <v>0</v>
      </c>
      <c r="H136" s="276">
        <v>0</v>
      </c>
      <c r="I136" s="276">
        <v>0</v>
      </c>
      <c r="J136" s="276">
        <v>0</v>
      </c>
      <c r="K136" s="276">
        <v>0</v>
      </c>
      <c r="L136" s="276">
        <v>0</v>
      </c>
      <c r="M136" s="276">
        <v>0</v>
      </c>
      <c r="N136" s="276">
        <v>0</v>
      </c>
      <c r="O136" s="276">
        <v>0</v>
      </c>
      <c r="P136" s="276">
        <v>0</v>
      </c>
      <c r="Q136" s="276">
        <v>0</v>
      </c>
      <c r="R136" s="276">
        <v>0</v>
      </c>
      <c r="S136" s="276">
        <v>0</v>
      </c>
      <c r="T136" s="276">
        <v>0</v>
      </c>
      <c r="U136" s="276">
        <v>0</v>
      </c>
      <c r="V136" s="276">
        <v>0</v>
      </c>
      <c r="W136" s="276">
        <v>0</v>
      </c>
      <c r="X136" s="276">
        <v>0</v>
      </c>
      <c r="Y136" s="276">
        <v>300</v>
      </c>
      <c r="Z136" s="276">
        <v>1</v>
      </c>
      <c r="AA136" s="276">
        <v>0</v>
      </c>
      <c r="AB136" s="276">
        <v>0</v>
      </c>
      <c r="AC136" s="276">
        <v>300</v>
      </c>
      <c r="AD136" s="276">
        <v>0</v>
      </c>
      <c r="AE136" s="276">
        <v>0</v>
      </c>
      <c r="AF136" s="276">
        <v>0</v>
      </c>
      <c r="AG136" s="276">
        <v>0</v>
      </c>
      <c r="AH136" s="276"/>
      <c r="AI136" s="276">
        <v>0</v>
      </c>
      <c r="AJ136" s="276">
        <v>0</v>
      </c>
      <c r="AK136" s="276"/>
      <c r="AL136" s="276">
        <v>0</v>
      </c>
      <c r="AM136" s="276">
        <v>0</v>
      </c>
      <c r="AN136" s="276"/>
      <c r="AO136" s="276">
        <v>0</v>
      </c>
      <c r="AP136" s="276">
        <v>0</v>
      </c>
      <c r="AQ136" s="276">
        <v>210</v>
      </c>
    </row>
    <row r="137" spans="1:43">
      <c r="A137" s="276" t="s">
        <v>330</v>
      </c>
      <c r="B137" s="276">
        <v>300</v>
      </c>
      <c r="C137" s="276">
        <v>300</v>
      </c>
      <c r="D137" s="276">
        <v>1</v>
      </c>
      <c r="E137" s="276">
        <v>0</v>
      </c>
      <c r="F137" s="276">
        <v>0</v>
      </c>
      <c r="G137" s="276">
        <v>0</v>
      </c>
      <c r="H137" s="276">
        <v>1</v>
      </c>
      <c r="I137" s="276">
        <v>0</v>
      </c>
      <c r="J137" s="276">
        <v>0</v>
      </c>
      <c r="K137" s="276">
        <v>0</v>
      </c>
      <c r="L137" s="276">
        <v>0</v>
      </c>
      <c r="M137" s="276">
        <v>0</v>
      </c>
      <c r="N137" s="276">
        <v>0</v>
      </c>
      <c r="O137" s="276">
        <v>0</v>
      </c>
      <c r="P137" s="276">
        <v>0</v>
      </c>
      <c r="Q137" s="276">
        <v>0</v>
      </c>
      <c r="R137" s="276">
        <v>0</v>
      </c>
      <c r="S137" s="276">
        <v>0</v>
      </c>
      <c r="T137" s="276">
        <v>0</v>
      </c>
      <c r="U137" s="276">
        <v>0</v>
      </c>
      <c r="V137" s="276">
        <v>0</v>
      </c>
      <c r="W137" s="276">
        <v>0</v>
      </c>
      <c r="X137" s="276">
        <v>0</v>
      </c>
      <c r="Y137" s="276">
        <v>300</v>
      </c>
      <c r="Z137" s="276">
        <v>2</v>
      </c>
      <c r="AA137" s="276">
        <v>0</v>
      </c>
      <c r="AB137" s="276">
        <v>0</v>
      </c>
      <c r="AC137" s="276">
        <v>300</v>
      </c>
      <c r="AD137" s="276">
        <v>0</v>
      </c>
      <c r="AE137" s="276">
        <v>0</v>
      </c>
      <c r="AF137" s="276">
        <v>0</v>
      </c>
      <c r="AG137" s="276">
        <v>0</v>
      </c>
      <c r="AH137" s="276"/>
      <c r="AI137" s="276">
        <v>0</v>
      </c>
      <c r="AJ137" s="276">
        <v>0</v>
      </c>
      <c r="AK137" s="276"/>
      <c r="AL137" s="276">
        <v>0</v>
      </c>
      <c r="AM137" s="276">
        <v>0</v>
      </c>
      <c r="AN137" s="276"/>
      <c r="AO137" s="276">
        <v>0</v>
      </c>
      <c r="AP137" s="276">
        <v>0</v>
      </c>
      <c r="AQ137" s="276">
        <v>210</v>
      </c>
    </row>
    <row r="138" spans="1:43">
      <c r="A138" s="276" t="s">
        <v>330</v>
      </c>
      <c r="B138" s="276">
        <v>300</v>
      </c>
      <c r="C138" s="276">
        <v>300</v>
      </c>
      <c r="D138" s="276">
        <v>1</v>
      </c>
      <c r="E138" s="276">
        <v>0</v>
      </c>
      <c r="F138" s="276">
        <v>0</v>
      </c>
      <c r="G138" s="276">
        <v>0</v>
      </c>
      <c r="H138" s="276">
        <v>1</v>
      </c>
      <c r="I138" s="276">
        <v>0</v>
      </c>
      <c r="J138" s="276">
        <v>0</v>
      </c>
      <c r="K138" s="276">
        <v>0</v>
      </c>
      <c r="L138" s="276">
        <v>0</v>
      </c>
      <c r="M138" s="276">
        <v>0</v>
      </c>
      <c r="N138" s="276">
        <v>0</v>
      </c>
      <c r="O138" s="276">
        <v>0</v>
      </c>
      <c r="P138" s="276">
        <v>0</v>
      </c>
      <c r="Q138" s="276">
        <v>0</v>
      </c>
      <c r="R138" s="276">
        <v>0</v>
      </c>
      <c r="S138" s="276">
        <v>0</v>
      </c>
      <c r="T138" s="276">
        <v>0</v>
      </c>
      <c r="U138" s="276">
        <v>0</v>
      </c>
      <c r="V138" s="276">
        <v>0</v>
      </c>
      <c r="W138" s="276">
        <v>0</v>
      </c>
      <c r="X138" s="276">
        <v>0</v>
      </c>
      <c r="Y138" s="276">
        <v>300</v>
      </c>
      <c r="Z138" s="276">
        <v>2</v>
      </c>
      <c r="AA138" s="276">
        <v>0</v>
      </c>
      <c r="AB138" s="276">
        <v>0</v>
      </c>
      <c r="AC138" s="276">
        <v>300</v>
      </c>
      <c r="AD138" s="276">
        <v>0</v>
      </c>
      <c r="AE138" s="276">
        <v>0</v>
      </c>
      <c r="AF138" s="276">
        <v>0</v>
      </c>
      <c r="AG138" s="276">
        <v>0</v>
      </c>
      <c r="AH138" s="276"/>
      <c r="AI138" s="276">
        <v>0</v>
      </c>
      <c r="AJ138" s="276">
        <v>0</v>
      </c>
      <c r="AK138" s="276"/>
      <c r="AL138" s="276">
        <v>0</v>
      </c>
      <c r="AM138" s="276">
        <v>0</v>
      </c>
      <c r="AN138" s="276"/>
      <c r="AO138" s="276">
        <v>0</v>
      </c>
      <c r="AP138" s="276">
        <v>0</v>
      </c>
      <c r="AQ138" s="276">
        <v>210</v>
      </c>
    </row>
    <row r="139" spans="1:43">
      <c r="A139" s="276" t="s">
        <v>337</v>
      </c>
      <c r="B139" s="276">
        <v>400</v>
      </c>
      <c r="C139" s="276">
        <v>0</v>
      </c>
      <c r="D139" s="276">
        <v>0</v>
      </c>
      <c r="E139" s="276">
        <v>0</v>
      </c>
      <c r="F139" s="276">
        <v>0</v>
      </c>
      <c r="G139" s="276">
        <v>0</v>
      </c>
      <c r="H139" s="276">
        <v>1</v>
      </c>
      <c r="I139" s="276">
        <v>0</v>
      </c>
      <c r="J139" s="276">
        <v>0</v>
      </c>
      <c r="K139" s="276">
        <v>0</v>
      </c>
      <c r="L139" s="276">
        <v>0</v>
      </c>
      <c r="M139" s="276">
        <v>0</v>
      </c>
      <c r="N139" s="276">
        <v>0</v>
      </c>
      <c r="O139" s="276">
        <v>0</v>
      </c>
      <c r="P139" s="276">
        <v>0</v>
      </c>
      <c r="Q139" s="276">
        <v>0</v>
      </c>
      <c r="R139" s="276">
        <v>0</v>
      </c>
      <c r="S139" s="276">
        <v>0</v>
      </c>
      <c r="T139" s="276">
        <v>0</v>
      </c>
      <c r="U139" s="276">
        <v>0</v>
      </c>
      <c r="V139" s="276">
        <v>0</v>
      </c>
      <c r="W139" s="276">
        <v>0</v>
      </c>
      <c r="X139" s="276">
        <v>0</v>
      </c>
      <c r="Y139" s="276">
        <v>0</v>
      </c>
      <c r="Z139" s="276">
        <v>1</v>
      </c>
      <c r="AA139" s="276">
        <v>0</v>
      </c>
      <c r="AB139" s="276">
        <v>0</v>
      </c>
      <c r="AC139" s="276">
        <v>0</v>
      </c>
      <c r="AD139" s="276">
        <v>0</v>
      </c>
      <c r="AE139" s="276">
        <v>0</v>
      </c>
      <c r="AF139" s="276">
        <v>0</v>
      </c>
      <c r="AG139" s="276">
        <v>0</v>
      </c>
      <c r="AH139" s="276"/>
      <c r="AI139" s="276">
        <v>0</v>
      </c>
      <c r="AJ139" s="276">
        <v>0</v>
      </c>
      <c r="AK139" s="276"/>
      <c r="AL139" s="276">
        <v>0</v>
      </c>
      <c r="AM139" s="276">
        <v>0</v>
      </c>
      <c r="AN139" s="276"/>
      <c r="AO139" s="276">
        <v>0</v>
      </c>
      <c r="AP139" s="276">
        <v>0</v>
      </c>
      <c r="AQ139" s="276">
        <v>0</v>
      </c>
    </row>
    <row r="140" spans="1:43">
      <c r="A140" s="276" t="s">
        <v>337</v>
      </c>
      <c r="B140" s="276">
        <v>400</v>
      </c>
      <c r="C140" s="276">
        <v>0</v>
      </c>
      <c r="D140" s="276">
        <v>0</v>
      </c>
      <c r="E140" s="276">
        <v>0</v>
      </c>
      <c r="F140" s="276">
        <v>0</v>
      </c>
      <c r="G140" s="276">
        <v>0</v>
      </c>
      <c r="H140" s="276">
        <v>1</v>
      </c>
      <c r="I140" s="276">
        <v>0</v>
      </c>
      <c r="J140" s="276">
        <v>0</v>
      </c>
      <c r="K140" s="276">
        <v>0</v>
      </c>
      <c r="L140" s="276">
        <v>0</v>
      </c>
      <c r="M140" s="276">
        <v>0</v>
      </c>
      <c r="N140" s="276">
        <v>0</v>
      </c>
      <c r="O140" s="276">
        <v>0</v>
      </c>
      <c r="P140" s="276">
        <v>0</v>
      </c>
      <c r="Q140" s="276">
        <v>0</v>
      </c>
      <c r="R140" s="276">
        <v>0</v>
      </c>
      <c r="S140" s="276">
        <v>0</v>
      </c>
      <c r="T140" s="276">
        <v>0</v>
      </c>
      <c r="U140" s="276">
        <v>0</v>
      </c>
      <c r="V140" s="276">
        <v>0</v>
      </c>
      <c r="W140" s="276">
        <v>0</v>
      </c>
      <c r="X140" s="276">
        <v>0</v>
      </c>
      <c r="Y140" s="276">
        <v>0</v>
      </c>
      <c r="Z140" s="276">
        <v>1</v>
      </c>
      <c r="AA140" s="276">
        <v>0</v>
      </c>
      <c r="AB140" s="276">
        <v>0</v>
      </c>
      <c r="AC140" s="276">
        <v>0</v>
      </c>
      <c r="AD140" s="276">
        <v>0</v>
      </c>
      <c r="AE140" s="276">
        <v>0</v>
      </c>
      <c r="AF140" s="276">
        <v>0</v>
      </c>
      <c r="AG140" s="276">
        <v>0</v>
      </c>
      <c r="AH140" s="276"/>
      <c r="AI140" s="276">
        <v>0</v>
      </c>
      <c r="AJ140" s="276">
        <v>0</v>
      </c>
      <c r="AK140" s="276"/>
      <c r="AL140" s="276">
        <v>0</v>
      </c>
      <c r="AM140" s="276">
        <v>0</v>
      </c>
      <c r="AN140" s="276"/>
      <c r="AO140" s="276">
        <v>0</v>
      </c>
      <c r="AP140" s="276">
        <v>0</v>
      </c>
      <c r="AQ140" s="276">
        <v>0</v>
      </c>
    </row>
    <row r="141" spans="1:43">
      <c r="A141" s="276" t="s">
        <v>337</v>
      </c>
      <c r="B141" s="276">
        <v>400</v>
      </c>
      <c r="C141" s="276">
        <v>0</v>
      </c>
      <c r="D141" s="276">
        <v>0</v>
      </c>
      <c r="E141" s="276">
        <v>0</v>
      </c>
      <c r="F141" s="276">
        <v>200</v>
      </c>
      <c r="G141" s="276">
        <v>1</v>
      </c>
      <c r="H141" s="276">
        <v>0</v>
      </c>
      <c r="I141" s="276">
        <v>0</v>
      </c>
      <c r="J141" s="276">
        <v>0</v>
      </c>
      <c r="K141" s="276">
        <v>0</v>
      </c>
      <c r="L141" s="276">
        <v>0</v>
      </c>
      <c r="M141" s="276">
        <v>0</v>
      </c>
      <c r="N141" s="276">
        <v>0</v>
      </c>
      <c r="O141" s="276">
        <v>0</v>
      </c>
      <c r="P141" s="276">
        <v>0</v>
      </c>
      <c r="Q141" s="276">
        <v>0</v>
      </c>
      <c r="R141" s="276">
        <v>0</v>
      </c>
      <c r="S141" s="276">
        <v>0</v>
      </c>
      <c r="T141" s="276">
        <v>0</v>
      </c>
      <c r="U141" s="276">
        <v>0</v>
      </c>
      <c r="V141" s="276">
        <v>0</v>
      </c>
      <c r="W141" s="276">
        <v>0</v>
      </c>
      <c r="X141" s="276">
        <v>0</v>
      </c>
      <c r="Y141" s="276">
        <v>200</v>
      </c>
      <c r="Z141" s="276">
        <v>1</v>
      </c>
      <c r="AA141" s="276">
        <v>0</v>
      </c>
      <c r="AB141" s="276">
        <v>0</v>
      </c>
      <c r="AC141" s="276">
        <v>200</v>
      </c>
      <c r="AD141" s="276">
        <v>0</v>
      </c>
      <c r="AE141" s="276">
        <v>0</v>
      </c>
      <c r="AF141" s="276">
        <v>0</v>
      </c>
      <c r="AG141" s="276">
        <v>0</v>
      </c>
      <c r="AH141" s="276"/>
      <c r="AI141" s="276">
        <v>0</v>
      </c>
      <c r="AJ141" s="276">
        <v>0</v>
      </c>
      <c r="AK141" s="276"/>
      <c r="AL141" s="276">
        <v>0</v>
      </c>
      <c r="AM141" s="276">
        <v>0</v>
      </c>
      <c r="AN141" s="276"/>
      <c r="AO141" s="276">
        <v>0</v>
      </c>
      <c r="AP141" s="276">
        <v>0</v>
      </c>
      <c r="AQ141" s="276">
        <v>140</v>
      </c>
    </row>
    <row r="142" spans="1:43">
      <c r="A142" s="276" t="s">
        <v>337</v>
      </c>
      <c r="B142" s="276">
        <v>400</v>
      </c>
      <c r="C142" s="276">
        <v>0</v>
      </c>
      <c r="D142" s="276">
        <v>0</v>
      </c>
      <c r="E142" s="276">
        <v>0</v>
      </c>
      <c r="F142" s="276">
        <v>200</v>
      </c>
      <c r="G142" s="276">
        <v>1</v>
      </c>
      <c r="H142" s="276">
        <v>0</v>
      </c>
      <c r="I142" s="276">
        <v>0</v>
      </c>
      <c r="J142" s="276">
        <v>0</v>
      </c>
      <c r="K142" s="276">
        <v>0</v>
      </c>
      <c r="L142" s="276">
        <v>0</v>
      </c>
      <c r="M142" s="276">
        <v>0</v>
      </c>
      <c r="N142" s="276">
        <v>0</v>
      </c>
      <c r="O142" s="276">
        <v>0</v>
      </c>
      <c r="P142" s="276">
        <v>0</v>
      </c>
      <c r="Q142" s="276">
        <v>0</v>
      </c>
      <c r="R142" s="276">
        <v>0</v>
      </c>
      <c r="S142" s="276">
        <v>0</v>
      </c>
      <c r="T142" s="276">
        <v>0</v>
      </c>
      <c r="U142" s="276">
        <v>0</v>
      </c>
      <c r="V142" s="276">
        <v>0</v>
      </c>
      <c r="W142" s="276">
        <v>0</v>
      </c>
      <c r="X142" s="276">
        <v>0</v>
      </c>
      <c r="Y142" s="276">
        <v>200</v>
      </c>
      <c r="Z142" s="276">
        <v>1</v>
      </c>
      <c r="AA142" s="276">
        <v>0</v>
      </c>
      <c r="AB142" s="276">
        <v>0</v>
      </c>
      <c r="AC142" s="276">
        <v>200</v>
      </c>
      <c r="AD142" s="276">
        <v>0</v>
      </c>
      <c r="AE142" s="276">
        <v>0</v>
      </c>
      <c r="AF142" s="276">
        <v>0</v>
      </c>
      <c r="AG142" s="276">
        <v>0</v>
      </c>
      <c r="AH142" s="276"/>
      <c r="AI142" s="276">
        <v>0</v>
      </c>
      <c r="AJ142" s="276">
        <v>0</v>
      </c>
      <c r="AK142" s="276"/>
      <c r="AL142" s="276">
        <v>0</v>
      </c>
      <c r="AM142" s="276">
        <v>0</v>
      </c>
      <c r="AN142" s="276"/>
      <c r="AO142" s="276">
        <v>0</v>
      </c>
      <c r="AP142" s="276">
        <v>0</v>
      </c>
      <c r="AQ142" s="276">
        <v>140</v>
      </c>
    </row>
    <row r="143" spans="1:43">
      <c r="A143" s="276" t="s">
        <v>337</v>
      </c>
      <c r="B143" s="276">
        <v>400</v>
      </c>
      <c r="C143" s="276">
        <v>0</v>
      </c>
      <c r="D143" s="276">
        <v>0</v>
      </c>
      <c r="E143" s="276">
        <v>0</v>
      </c>
      <c r="F143" s="276">
        <v>0</v>
      </c>
      <c r="G143" s="276">
        <v>0</v>
      </c>
      <c r="H143" s="276">
        <v>1</v>
      </c>
      <c r="I143" s="276">
        <v>0</v>
      </c>
      <c r="J143" s="276">
        <v>0</v>
      </c>
      <c r="K143" s="276">
        <v>0</v>
      </c>
      <c r="L143" s="276">
        <v>0</v>
      </c>
      <c r="M143" s="276">
        <v>0</v>
      </c>
      <c r="N143" s="276">
        <v>0</v>
      </c>
      <c r="O143" s="276">
        <v>0</v>
      </c>
      <c r="P143" s="276">
        <v>0</v>
      </c>
      <c r="Q143" s="276">
        <v>0</v>
      </c>
      <c r="R143" s="276">
        <v>0</v>
      </c>
      <c r="S143" s="276">
        <v>0</v>
      </c>
      <c r="T143" s="276">
        <v>0</v>
      </c>
      <c r="U143" s="276">
        <v>0</v>
      </c>
      <c r="V143" s="276">
        <v>0</v>
      </c>
      <c r="W143" s="276">
        <v>0</v>
      </c>
      <c r="X143" s="276">
        <v>0</v>
      </c>
      <c r="Y143" s="276">
        <v>0</v>
      </c>
      <c r="Z143" s="276">
        <v>1</v>
      </c>
      <c r="AA143" s="276">
        <v>0</v>
      </c>
      <c r="AB143" s="276">
        <v>0</v>
      </c>
      <c r="AC143" s="276">
        <v>0</v>
      </c>
      <c r="AD143" s="276">
        <v>0</v>
      </c>
      <c r="AE143" s="276">
        <v>0</v>
      </c>
      <c r="AF143" s="276">
        <v>0</v>
      </c>
      <c r="AG143" s="276">
        <v>0</v>
      </c>
      <c r="AH143" s="276"/>
      <c r="AI143" s="276">
        <v>0</v>
      </c>
      <c r="AJ143" s="276">
        <v>0</v>
      </c>
      <c r="AK143" s="276"/>
      <c r="AL143" s="276">
        <v>0</v>
      </c>
      <c r="AM143" s="276">
        <v>0</v>
      </c>
      <c r="AN143" s="276"/>
      <c r="AO143" s="276">
        <v>0</v>
      </c>
      <c r="AP143" s="276">
        <v>0</v>
      </c>
      <c r="AQ143" s="276">
        <v>0</v>
      </c>
    </row>
    <row r="144" spans="1:43">
      <c r="A144" s="276" t="s">
        <v>337</v>
      </c>
      <c r="B144" s="276">
        <v>400</v>
      </c>
      <c r="C144" s="276">
        <v>0</v>
      </c>
      <c r="D144" s="276">
        <v>0</v>
      </c>
      <c r="E144" s="276">
        <v>0</v>
      </c>
      <c r="F144" s="276">
        <v>0</v>
      </c>
      <c r="G144" s="276">
        <v>0</v>
      </c>
      <c r="H144" s="276">
        <v>1</v>
      </c>
      <c r="I144" s="276">
        <v>0</v>
      </c>
      <c r="J144" s="276">
        <v>0</v>
      </c>
      <c r="K144" s="276">
        <v>0</v>
      </c>
      <c r="L144" s="276">
        <v>0</v>
      </c>
      <c r="M144" s="276">
        <v>0</v>
      </c>
      <c r="N144" s="276">
        <v>0</v>
      </c>
      <c r="O144" s="276">
        <v>0</v>
      </c>
      <c r="P144" s="276">
        <v>0</v>
      </c>
      <c r="Q144" s="276">
        <v>0</v>
      </c>
      <c r="R144" s="276">
        <v>0</v>
      </c>
      <c r="S144" s="276">
        <v>0</v>
      </c>
      <c r="T144" s="276">
        <v>0</v>
      </c>
      <c r="U144" s="276">
        <v>0</v>
      </c>
      <c r="V144" s="276">
        <v>0</v>
      </c>
      <c r="W144" s="276">
        <v>0</v>
      </c>
      <c r="X144" s="276">
        <v>0</v>
      </c>
      <c r="Y144" s="276">
        <v>0</v>
      </c>
      <c r="Z144" s="276">
        <v>1</v>
      </c>
      <c r="AA144" s="276">
        <v>0</v>
      </c>
      <c r="AB144" s="276">
        <v>0</v>
      </c>
      <c r="AC144" s="276">
        <v>0</v>
      </c>
      <c r="AD144" s="276">
        <v>0</v>
      </c>
      <c r="AE144" s="276">
        <v>0</v>
      </c>
      <c r="AF144" s="276">
        <v>0</v>
      </c>
      <c r="AG144" s="276">
        <v>0</v>
      </c>
      <c r="AH144" s="276"/>
      <c r="AI144" s="276">
        <v>0</v>
      </c>
      <c r="AJ144" s="276">
        <v>0</v>
      </c>
      <c r="AK144" s="276"/>
      <c r="AL144" s="276">
        <v>0</v>
      </c>
      <c r="AM144" s="276">
        <v>0</v>
      </c>
      <c r="AN144" s="276"/>
      <c r="AO144" s="276">
        <v>0</v>
      </c>
      <c r="AP144" s="276">
        <v>0</v>
      </c>
      <c r="AQ144" s="276">
        <v>0</v>
      </c>
    </row>
    <row r="145" spans="1:43">
      <c r="A145" s="276" t="s">
        <v>337</v>
      </c>
      <c r="B145" s="276">
        <v>400</v>
      </c>
      <c r="C145" s="276">
        <v>0</v>
      </c>
      <c r="D145" s="276">
        <v>0</v>
      </c>
      <c r="E145" s="276">
        <v>0</v>
      </c>
      <c r="F145" s="276">
        <v>0</v>
      </c>
      <c r="G145" s="276">
        <v>0</v>
      </c>
      <c r="H145" s="276">
        <v>1</v>
      </c>
      <c r="I145" s="276">
        <v>0</v>
      </c>
      <c r="J145" s="276">
        <v>0</v>
      </c>
      <c r="K145" s="276">
        <v>0</v>
      </c>
      <c r="L145" s="276">
        <v>0</v>
      </c>
      <c r="M145" s="276">
        <v>0</v>
      </c>
      <c r="N145" s="276">
        <v>0</v>
      </c>
      <c r="O145" s="276">
        <v>0</v>
      </c>
      <c r="P145" s="276">
        <v>0</v>
      </c>
      <c r="Q145" s="276">
        <v>0</v>
      </c>
      <c r="R145" s="276">
        <v>0</v>
      </c>
      <c r="S145" s="276">
        <v>0</v>
      </c>
      <c r="T145" s="276">
        <v>0</v>
      </c>
      <c r="U145" s="276">
        <v>0</v>
      </c>
      <c r="V145" s="276">
        <v>0</v>
      </c>
      <c r="W145" s="276">
        <v>0</v>
      </c>
      <c r="X145" s="276">
        <v>0</v>
      </c>
      <c r="Y145" s="276">
        <v>0</v>
      </c>
      <c r="Z145" s="276">
        <v>1</v>
      </c>
      <c r="AA145" s="276">
        <v>0</v>
      </c>
      <c r="AB145" s="276">
        <v>0</v>
      </c>
      <c r="AC145" s="276">
        <v>0</v>
      </c>
      <c r="AD145" s="276">
        <v>0</v>
      </c>
      <c r="AE145" s="276">
        <v>0</v>
      </c>
      <c r="AF145" s="276">
        <v>0</v>
      </c>
      <c r="AG145" s="276">
        <v>0</v>
      </c>
      <c r="AH145" s="276"/>
      <c r="AI145" s="276">
        <v>0</v>
      </c>
      <c r="AJ145" s="276">
        <v>0</v>
      </c>
      <c r="AK145" s="276"/>
      <c r="AL145" s="276">
        <v>0</v>
      </c>
      <c r="AM145" s="276">
        <v>0</v>
      </c>
      <c r="AN145" s="276"/>
      <c r="AO145" s="276">
        <v>0</v>
      </c>
      <c r="AP145" s="276">
        <v>0</v>
      </c>
      <c r="AQ145" s="276">
        <v>0</v>
      </c>
    </row>
    <row r="146" spans="1:43">
      <c r="A146" s="276" t="s">
        <v>337</v>
      </c>
      <c r="B146" s="276">
        <v>400</v>
      </c>
      <c r="C146" s="276">
        <v>0</v>
      </c>
      <c r="D146" s="276">
        <v>0</v>
      </c>
      <c r="E146" s="276">
        <v>0</v>
      </c>
      <c r="F146" s="276">
        <v>200</v>
      </c>
      <c r="G146" s="276">
        <v>1</v>
      </c>
      <c r="H146" s="276">
        <v>0</v>
      </c>
      <c r="I146" s="276">
        <v>0</v>
      </c>
      <c r="J146" s="276">
        <v>0</v>
      </c>
      <c r="K146" s="276">
        <v>0</v>
      </c>
      <c r="L146" s="276">
        <v>0</v>
      </c>
      <c r="M146" s="276">
        <v>0</v>
      </c>
      <c r="N146" s="276">
        <v>0</v>
      </c>
      <c r="O146" s="276">
        <v>0</v>
      </c>
      <c r="P146" s="276">
        <v>0</v>
      </c>
      <c r="Q146" s="276">
        <v>0</v>
      </c>
      <c r="R146" s="276">
        <v>0</v>
      </c>
      <c r="S146" s="276">
        <v>0</v>
      </c>
      <c r="T146" s="276">
        <v>0</v>
      </c>
      <c r="U146" s="276">
        <v>0</v>
      </c>
      <c r="V146" s="276">
        <v>0</v>
      </c>
      <c r="W146" s="276">
        <v>0</v>
      </c>
      <c r="X146" s="276">
        <v>0</v>
      </c>
      <c r="Y146" s="276">
        <v>200</v>
      </c>
      <c r="Z146" s="276">
        <v>1</v>
      </c>
      <c r="AA146" s="276">
        <v>0</v>
      </c>
      <c r="AB146" s="276">
        <v>0</v>
      </c>
      <c r="AC146" s="276">
        <v>200</v>
      </c>
      <c r="AD146" s="276">
        <v>0</v>
      </c>
      <c r="AE146" s="276">
        <v>0</v>
      </c>
      <c r="AF146" s="276">
        <v>0</v>
      </c>
      <c r="AG146" s="276">
        <v>0</v>
      </c>
      <c r="AH146" s="276"/>
      <c r="AI146" s="276">
        <v>0</v>
      </c>
      <c r="AJ146" s="276">
        <v>0</v>
      </c>
      <c r="AK146" s="276"/>
      <c r="AL146" s="276">
        <v>0</v>
      </c>
      <c r="AM146" s="276">
        <v>0</v>
      </c>
      <c r="AN146" s="276"/>
      <c r="AO146" s="276">
        <v>0</v>
      </c>
      <c r="AP146" s="276">
        <v>0</v>
      </c>
      <c r="AQ146" s="276">
        <v>140</v>
      </c>
    </row>
    <row r="147" spans="1:43">
      <c r="A147" s="276" t="s">
        <v>337</v>
      </c>
      <c r="B147" s="276">
        <v>400</v>
      </c>
      <c r="C147" s="276">
        <v>0</v>
      </c>
      <c r="D147" s="276">
        <v>0</v>
      </c>
      <c r="E147" s="276">
        <v>0</v>
      </c>
      <c r="F147" s="276">
        <v>200</v>
      </c>
      <c r="G147" s="276">
        <v>1</v>
      </c>
      <c r="H147" s="276">
        <v>0</v>
      </c>
      <c r="I147" s="276">
        <v>0</v>
      </c>
      <c r="J147" s="276">
        <v>0</v>
      </c>
      <c r="K147" s="276">
        <v>0</v>
      </c>
      <c r="L147" s="276">
        <v>0</v>
      </c>
      <c r="M147" s="276">
        <v>0</v>
      </c>
      <c r="N147" s="276">
        <v>0</v>
      </c>
      <c r="O147" s="276">
        <v>0</v>
      </c>
      <c r="P147" s="276">
        <v>0</v>
      </c>
      <c r="Q147" s="276">
        <v>0</v>
      </c>
      <c r="R147" s="276">
        <v>0</v>
      </c>
      <c r="S147" s="276">
        <v>0</v>
      </c>
      <c r="T147" s="276">
        <v>0</v>
      </c>
      <c r="U147" s="276">
        <v>0</v>
      </c>
      <c r="V147" s="276">
        <v>0</v>
      </c>
      <c r="W147" s="276">
        <v>0</v>
      </c>
      <c r="X147" s="276">
        <v>0</v>
      </c>
      <c r="Y147" s="276">
        <v>200</v>
      </c>
      <c r="Z147" s="276">
        <v>1</v>
      </c>
      <c r="AA147" s="276">
        <v>0</v>
      </c>
      <c r="AB147" s="276">
        <v>0</v>
      </c>
      <c r="AC147" s="276">
        <v>200</v>
      </c>
      <c r="AD147" s="276">
        <v>0</v>
      </c>
      <c r="AE147" s="276">
        <v>0</v>
      </c>
      <c r="AF147" s="276">
        <v>0</v>
      </c>
      <c r="AG147" s="276">
        <v>0</v>
      </c>
      <c r="AH147" s="276"/>
      <c r="AI147" s="276">
        <v>0</v>
      </c>
      <c r="AJ147" s="276">
        <v>0</v>
      </c>
      <c r="AK147" s="276"/>
      <c r="AL147" s="276">
        <v>0</v>
      </c>
      <c r="AM147" s="276">
        <v>0</v>
      </c>
      <c r="AN147" s="276"/>
      <c r="AO147" s="276">
        <v>0</v>
      </c>
      <c r="AP147" s="276">
        <v>0</v>
      </c>
      <c r="AQ147" s="276">
        <v>140</v>
      </c>
    </row>
    <row r="148" spans="1:43">
      <c r="A148" s="276" t="s">
        <v>293</v>
      </c>
      <c r="B148" s="276">
        <v>500</v>
      </c>
      <c r="C148" s="276">
        <v>96000</v>
      </c>
      <c r="D148" s="276">
        <v>192</v>
      </c>
      <c r="E148" s="276">
        <v>0</v>
      </c>
      <c r="F148" s="276">
        <v>104400</v>
      </c>
      <c r="G148" s="276">
        <v>348</v>
      </c>
      <c r="H148" s="276">
        <v>0</v>
      </c>
      <c r="I148" s="276">
        <v>0</v>
      </c>
      <c r="J148" s="276">
        <v>0</v>
      </c>
      <c r="K148" s="276">
        <v>0</v>
      </c>
      <c r="L148" s="276">
        <v>0</v>
      </c>
      <c r="M148" s="276">
        <v>0</v>
      </c>
      <c r="N148" s="276">
        <v>0</v>
      </c>
      <c r="O148" s="276">
        <v>-500</v>
      </c>
      <c r="P148" s="276">
        <v>1</v>
      </c>
      <c r="Q148" s="276">
        <v>0</v>
      </c>
      <c r="R148" s="276">
        <v>0</v>
      </c>
      <c r="S148" s="276">
        <v>0</v>
      </c>
      <c r="T148" s="276">
        <v>0</v>
      </c>
      <c r="U148" s="276">
        <v>0</v>
      </c>
      <c r="V148" s="276">
        <v>0</v>
      </c>
      <c r="W148" s="276">
        <v>0</v>
      </c>
      <c r="X148" s="276">
        <v>0</v>
      </c>
      <c r="Y148" s="276">
        <v>200400</v>
      </c>
      <c r="Z148" s="276">
        <v>540</v>
      </c>
      <c r="AA148" s="276">
        <v>-500</v>
      </c>
      <c r="AB148" s="276">
        <v>1</v>
      </c>
      <c r="AC148" s="276">
        <v>177072</v>
      </c>
      <c r="AD148" s="276">
        <v>-500</v>
      </c>
      <c r="AE148" s="276">
        <v>27994.2</v>
      </c>
      <c r="AF148" s="276">
        <v>-5036.34</v>
      </c>
      <c r="AG148" s="276">
        <v>0</v>
      </c>
      <c r="AH148" s="276">
        <v>9606.6</v>
      </c>
      <c r="AI148" s="276">
        <v>-2881.98</v>
      </c>
      <c r="AJ148" s="276">
        <v>0</v>
      </c>
      <c r="AK148" s="276">
        <v>18387.599999999999</v>
      </c>
      <c r="AL148" s="276">
        <v>-2154.36</v>
      </c>
      <c r="AM148" s="276">
        <v>0</v>
      </c>
      <c r="AN148" s="276"/>
      <c r="AO148" s="276">
        <v>0</v>
      </c>
      <c r="AP148" s="276">
        <v>0</v>
      </c>
      <c r="AQ148" s="276">
        <v>139670.9</v>
      </c>
    </row>
    <row r="149" spans="1:43">
      <c r="A149" s="276" t="s">
        <v>293</v>
      </c>
      <c r="B149" s="276">
        <v>500</v>
      </c>
      <c r="C149" s="276">
        <v>82000</v>
      </c>
      <c r="D149" s="276">
        <v>164</v>
      </c>
      <c r="E149" s="276">
        <v>0</v>
      </c>
      <c r="F149" s="276">
        <v>76800</v>
      </c>
      <c r="G149" s="276">
        <v>256</v>
      </c>
      <c r="H149" s="276">
        <v>0</v>
      </c>
      <c r="I149" s="276">
        <v>0</v>
      </c>
      <c r="J149" s="276">
        <v>0</v>
      </c>
      <c r="K149" s="276">
        <v>0</v>
      </c>
      <c r="L149" s="276">
        <v>0</v>
      </c>
      <c r="M149" s="276">
        <v>0</v>
      </c>
      <c r="N149" s="276">
        <v>0</v>
      </c>
      <c r="O149" s="276">
        <v>-500</v>
      </c>
      <c r="P149" s="276">
        <v>1</v>
      </c>
      <c r="Q149" s="276">
        <v>0</v>
      </c>
      <c r="R149" s="276">
        <v>0</v>
      </c>
      <c r="S149" s="276">
        <v>0</v>
      </c>
      <c r="T149" s="276">
        <v>0</v>
      </c>
      <c r="U149" s="276">
        <v>0</v>
      </c>
      <c r="V149" s="276">
        <v>0</v>
      </c>
      <c r="W149" s="276">
        <v>0</v>
      </c>
      <c r="X149" s="276">
        <v>0</v>
      </c>
      <c r="Y149" s="276">
        <v>158800</v>
      </c>
      <c r="Z149" s="276">
        <v>420</v>
      </c>
      <c r="AA149" s="276">
        <v>-500</v>
      </c>
      <c r="AB149" s="276">
        <v>1</v>
      </c>
      <c r="AC149" s="276">
        <v>141312</v>
      </c>
      <c r="AD149" s="276">
        <v>-500</v>
      </c>
      <c r="AE149" s="276">
        <v>20986.2</v>
      </c>
      <c r="AF149" s="276">
        <v>-3797.94</v>
      </c>
      <c r="AG149" s="276">
        <v>0</v>
      </c>
      <c r="AH149" s="276">
        <v>6918.6</v>
      </c>
      <c r="AI149" s="276">
        <v>-2075.58</v>
      </c>
      <c r="AJ149" s="276">
        <v>0</v>
      </c>
      <c r="AK149" s="276">
        <v>14067.6</v>
      </c>
      <c r="AL149" s="276">
        <v>-1722.36</v>
      </c>
      <c r="AM149" s="276">
        <v>0</v>
      </c>
      <c r="AN149" s="276"/>
      <c r="AO149" s="276">
        <v>0</v>
      </c>
      <c r="AP149" s="276">
        <v>0</v>
      </c>
      <c r="AQ149" s="276">
        <v>110600.18</v>
      </c>
    </row>
    <row r="150" spans="1:43">
      <c r="A150" s="276" t="s">
        <v>293</v>
      </c>
      <c r="B150" s="276">
        <v>500</v>
      </c>
      <c r="C150" s="276">
        <v>78500</v>
      </c>
      <c r="D150" s="276">
        <v>157</v>
      </c>
      <c r="E150" s="276">
        <v>0</v>
      </c>
      <c r="F150" s="276">
        <v>75900</v>
      </c>
      <c r="G150" s="276">
        <v>253</v>
      </c>
      <c r="H150" s="276">
        <v>0</v>
      </c>
      <c r="I150" s="276">
        <v>0</v>
      </c>
      <c r="J150" s="276">
        <v>0</v>
      </c>
      <c r="K150" s="276">
        <v>0</v>
      </c>
      <c r="L150" s="276">
        <v>0</v>
      </c>
      <c r="M150" s="276">
        <v>0</v>
      </c>
      <c r="N150" s="276">
        <v>0</v>
      </c>
      <c r="O150" s="276">
        <v>-500</v>
      </c>
      <c r="P150" s="276">
        <v>1</v>
      </c>
      <c r="Q150" s="276">
        <v>0</v>
      </c>
      <c r="R150" s="276">
        <v>0</v>
      </c>
      <c r="S150" s="276">
        <v>0</v>
      </c>
      <c r="T150" s="276">
        <v>0</v>
      </c>
      <c r="U150" s="276">
        <v>0</v>
      </c>
      <c r="V150" s="276">
        <v>0</v>
      </c>
      <c r="W150" s="276">
        <v>0</v>
      </c>
      <c r="X150" s="276">
        <v>0</v>
      </c>
      <c r="Y150" s="276">
        <v>154400</v>
      </c>
      <c r="Z150" s="276">
        <v>410</v>
      </c>
      <c r="AA150" s="276">
        <v>-500</v>
      </c>
      <c r="AB150" s="276">
        <v>1</v>
      </c>
      <c r="AC150" s="276">
        <v>137152</v>
      </c>
      <c r="AD150" s="276">
        <v>-500</v>
      </c>
      <c r="AE150" s="276">
        <v>20698.2</v>
      </c>
      <c r="AF150" s="276">
        <v>-3661.14</v>
      </c>
      <c r="AG150" s="276">
        <v>0</v>
      </c>
      <c r="AH150" s="276">
        <v>6378.6</v>
      </c>
      <c r="AI150" s="276">
        <v>-1913.58</v>
      </c>
      <c r="AJ150" s="276">
        <v>0</v>
      </c>
      <c r="AK150" s="276">
        <v>14319.6</v>
      </c>
      <c r="AL150" s="276">
        <v>-1747.56</v>
      </c>
      <c r="AM150" s="276">
        <v>0</v>
      </c>
      <c r="AN150" s="276"/>
      <c r="AO150" s="276">
        <v>0</v>
      </c>
      <c r="AP150" s="276">
        <v>0</v>
      </c>
      <c r="AQ150" s="276">
        <v>107582.34</v>
      </c>
    </row>
    <row r="151" spans="1:43">
      <c r="A151" s="276" t="s">
        <v>293</v>
      </c>
      <c r="B151" s="276">
        <v>500</v>
      </c>
      <c r="C151" s="276">
        <v>82500</v>
      </c>
      <c r="D151" s="276">
        <v>165</v>
      </c>
      <c r="E151" s="276">
        <v>0</v>
      </c>
      <c r="F151" s="276">
        <v>84300</v>
      </c>
      <c r="G151" s="276">
        <v>281</v>
      </c>
      <c r="H151" s="276">
        <v>0</v>
      </c>
      <c r="I151" s="276">
        <v>0</v>
      </c>
      <c r="J151" s="276">
        <v>0</v>
      </c>
      <c r="K151" s="276">
        <v>0</v>
      </c>
      <c r="L151" s="276">
        <v>0</v>
      </c>
      <c r="M151" s="276">
        <v>0</v>
      </c>
      <c r="N151" s="276">
        <v>0</v>
      </c>
      <c r="O151" s="276">
        <v>-500</v>
      </c>
      <c r="P151" s="276">
        <v>1</v>
      </c>
      <c r="Q151" s="276">
        <v>0</v>
      </c>
      <c r="R151" s="276">
        <v>0</v>
      </c>
      <c r="S151" s="276">
        <v>0</v>
      </c>
      <c r="T151" s="276">
        <v>0</v>
      </c>
      <c r="U151" s="276">
        <v>0</v>
      </c>
      <c r="V151" s="276">
        <v>0</v>
      </c>
      <c r="W151" s="276">
        <v>0</v>
      </c>
      <c r="X151" s="276">
        <v>0</v>
      </c>
      <c r="Y151" s="276">
        <v>166800</v>
      </c>
      <c r="Z151" s="276">
        <v>446</v>
      </c>
      <c r="AA151" s="276">
        <v>-500</v>
      </c>
      <c r="AB151" s="276">
        <v>1</v>
      </c>
      <c r="AC151" s="276">
        <v>148842</v>
      </c>
      <c r="AD151" s="276">
        <v>-500</v>
      </c>
      <c r="AE151" s="276">
        <v>21550.2</v>
      </c>
      <c r="AF151" s="276">
        <v>-3506.34</v>
      </c>
      <c r="AG151" s="276">
        <v>0</v>
      </c>
      <c r="AH151" s="276">
        <v>6138.6</v>
      </c>
      <c r="AI151" s="276">
        <v>-1841.58</v>
      </c>
      <c r="AJ151" s="276">
        <v>0</v>
      </c>
      <c r="AK151" s="276">
        <v>15411.6</v>
      </c>
      <c r="AL151" s="276">
        <v>-1664.76</v>
      </c>
      <c r="AM151" s="276">
        <v>0</v>
      </c>
      <c r="AN151" s="276"/>
      <c r="AO151" s="276">
        <v>0</v>
      </c>
      <c r="AP151" s="276">
        <v>0</v>
      </c>
      <c r="AQ151" s="276">
        <v>116470.1</v>
      </c>
    </row>
    <row r="152" spans="1:43">
      <c r="A152" s="276" t="s">
        <v>293</v>
      </c>
      <c r="B152" s="276">
        <v>500</v>
      </c>
      <c r="C152" s="276">
        <v>93000</v>
      </c>
      <c r="D152" s="276">
        <v>186</v>
      </c>
      <c r="E152" s="276">
        <v>0</v>
      </c>
      <c r="F152" s="276">
        <v>89100</v>
      </c>
      <c r="G152" s="276">
        <v>297</v>
      </c>
      <c r="H152" s="276">
        <v>0</v>
      </c>
      <c r="I152" s="276">
        <v>0</v>
      </c>
      <c r="J152" s="276">
        <v>0</v>
      </c>
      <c r="K152" s="276">
        <v>0</v>
      </c>
      <c r="L152" s="276">
        <v>0</v>
      </c>
      <c r="M152" s="276">
        <v>0</v>
      </c>
      <c r="N152" s="276">
        <v>0</v>
      </c>
      <c r="O152" s="276">
        <v>-500</v>
      </c>
      <c r="P152" s="276">
        <v>1</v>
      </c>
      <c r="Q152" s="276">
        <v>0</v>
      </c>
      <c r="R152" s="276">
        <v>0</v>
      </c>
      <c r="S152" s="276">
        <v>0</v>
      </c>
      <c r="T152" s="276">
        <v>0</v>
      </c>
      <c r="U152" s="276">
        <v>0</v>
      </c>
      <c r="V152" s="276">
        <v>0</v>
      </c>
      <c r="W152" s="276">
        <v>0</v>
      </c>
      <c r="X152" s="276">
        <v>0</v>
      </c>
      <c r="Y152" s="276">
        <v>182100</v>
      </c>
      <c r="Z152" s="276">
        <v>483</v>
      </c>
      <c r="AA152" s="276">
        <v>-500</v>
      </c>
      <c r="AB152" s="276">
        <v>1</v>
      </c>
      <c r="AC152" s="276">
        <v>162502</v>
      </c>
      <c r="AD152" s="276">
        <v>-500</v>
      </c>
      <c r="AE152" s="276">
        <v>23518.2</v>
      </c>
      <c r="AF152" s="276">
        <v>-3967.14</v>
      </c>
      <c r="AG152" s="276">
        <v>0</v>
      </c>
      <c r="AH152" s="276">
        <v>6738.6</v>
      </c>
      <c r="AI152" s="276">
        <v>-2021.58</v>
      </c>
      <c r="AJ152" s="276">
        <v>0</v>
      </c>
      <c r="AK152" s="276">
        <v>16779.599999999999</v>
      </c>
      <c r="AL152" s="276">
        <v>-1945.56</v>
      </c>
      <c r="AM152" s="276">
        <v>0</v>
      </c>
      <c r="AN152" s="276"/>
      <c r="AO152" s="276">
        <v>0</v>
      </c>
      <c r="AP152" s="276">
        <v>0</v>
      </c>
      <c r="AQ152" s="276">
        <v>127087.14</v>
      </c>
    </row>
    <row r="153" spans="1:43">
      <c r="A153" s="276" t="s">
        <v>293</v>
      </c>
      <c r="B153" s="276">
        <v>500</v>
      </c>
      <c r="C153" s="276">
        <v>88500</v>
      </c>
      <c r="D153" s="276">
        <v>177</v>
      </c>
      <c r="E153" s="276">
        <v>0</v>
      </c>
      <c r="F153" s="276">
        <v>80100</v>
      </c>
      <c r="G153" s="276">
        <v>267</v>
      </c>
      <c r="H153" s="276">
        <v>0</v>
      </c>
      <c r="I153" s="276">
        <v>0</v>
      </c>
      <c r="J153" s="276">
        <v>0</v>
      </c>
      <c r="K153" s="276">
        <v>0</v>
      </c>
      <c r="L153" s="276">
        <v>0</v>
      </c>
      <c r="M153" s="276">
        <v>0</v>
      </c>
      <c r="N153" s="276">
        <v>0</v>
      </c>
      <c r="O153" s="276">
        <v>-500</v>
      </c>
      <c r="P153" s="276">
        <v>1</v>
      </c>
      <c r="Q153" s="276">
        <v>0</v>
      </c>
      <c r="R153" s="276">
        <v>0</v>
      </c>
      <c r="S153" s="276">
        <v>0</v>
      </c>
      <c r="T153" s="276">
        <v>0</v>
      </c>
      <c r="U153" s="276">
        <v>0</v>
      </c>
      <c r="V153" s="276">
        <v>0</v>
      </c>
      <c r="W153" s="276">
        <v>0</v>
      </c>
      <c r="X153" s="276">
        <v>0</v>
      </c>
      <c r="Y153" s="276">
        <v>168600</v>
      </c>
      <c r="Z153" s="276">
        <v>444</v>
      </c>
      <c r="AA153" s="276">
        <v>-500</v>
      </c>
      <c r="AB153" s="276">
        <v>1</v>
      </c>
      <c r="AC153" s="276">
        <v>150147</v>
      </c>
      <c r="AD153" s="276">
        <v>-500</v>
      </c>
      <c r="AE153" s="276">
        <v>22144.2</v>
      </c>
      <c r="AF153" s="276">
        <v>-3773.34</v>
      </c>
      <c r="AG153" s="276">
        <v>0</v>
      </c>
      <c r="AH153" s="276">
        <v>6474.6</v>
      </c>
      <c r="AI153" s="276">
        <v>-1942.38</v>
      </c>
      <c r="AJ153" s="276">
        <v>0</v>
      </c>
      <c r="AK153" s="276">
        <v>15669.6</v>
      </c>
      <c r="AL153" s="276">
        <v>-1830.96</v>
      </c>
      <c r="AM153" s="276">
        <v>0</v>
      </c>
      <c r="AN153" s="276"/>
      <c r="AO153" s="276">
        <v>0</v>
      </c>
      <c r="AP153" s="276">
        <v>0</v>
      </c>
      <c r="AQ153" s="276">
        <v>117612.5</v>
      </c>
    </row>
    <row r="154" spans="1:43">
      <c r="A154" s="276" t="s">
        <v>293</v>
      </c>
      <c r="B154" s="276">
        <v>500</v>
      </c>
      <c r="C154" s="276">
        <v>74000</v>
      </c>
      <c r="D154" s="276">
        <v>148</v>
      </c>
      <c r="E154" s="276">
        <v>0</v>
      </c>
      <c r="F154" s="276">
        <v>68100</v>
      </c>
      <c r="G154" s="276">
        <v>227</v>
      </c>
      <c r="H154" s="276">
        <v>0</v>
      </c>
      <c r="I154" s="276">
        <v>0</v>
      </c>
      <c r="J154" s="276">
        <v>0</v>
      </c>
      <c r="K154" s="276">
        <v>0</v>
      </c>
      <c r="L154" s="276">
        <v>0</v>
      </c>
      <c r="M154" s="276">
        <v>0</v>
      </c>
      <c r="N154" s="276">
        <v>0</v>
      </c>
      <c r="O154" s="276">
        <v>-500</v>
      </c>
      <c r="P154" s="276">
        <v>1</v>
      </c>
      <c r="Q154" s="276">
        <v>0</v>
      </c>
      <c r="R154" s="276">
        <v>0</v>
      </c>
      <c r="S154" s="276">
        <v>0</v>
      </c>
      <c r="T154" s="276">
        <v>0</v>
      </c>
      <c r="U154" s="276">
        <v>0</v>
      </c>
      <c r="V154" s="276">
        <v>0</v>
      </c>
      <c r="W154" s="276">
        <v>0</v>
      </c>
      <c r="X154" s="276">
        <v>0</v>
      </c>
      <c r="Y154" s="276">
        <v>142100</v>
      </c>
      <c r="Z154" s="276">
        <v>375</v>
      </c>
      <c r="AA154" s="276">
        <v>-500</v>
      </c>
      <c r="AB154" s="276">
        <v>1</v>
      </c>
      <c r="AC154" s="276">
        <v>126247</v>
      </c>
      <c r="AD154" s="276">
        <v>-500</v>
      </c>
      <c r="AE154" s="276">
        <v>19024.2</v>
      </c>
      <c r="AF154" s="276">
        <v>-3377.34</v>
      </c>
      <c r="AG154" s="276">
        <v>0</v>
      </c>
      <c r="AH154" s="276">
        <v>5814.6</v>
      </c>
      <c r="AI154" s="276">
        <v>-1744.38</v>
      </c>
      <c r="AJ154" s="276">
        <v>0</v>
      </c>
      <c r="AK154" s="276">
        <v>13209.6</v>
      </c>
      <c r="AL154" s="276">
        <v>-1632.96</v>
      </c>
      <c r="AM154" s="276">
        <v>0</v>
      </c>
      <c r="AN154" s="276"/>
      <c r="AO154" s="276">
        <v>0</v>
      </c>
      <c r="AP154" s="276">
        <v>0</v>
      </c>
      <c r="AQ154" s="276">
        <v>98975.7</v>
      </c>
    </row>
    <row r="155" spans="1:43">
      <c r="A155" s="276" t="s">
        <v>293</v>
      </c>
      <c r="B155" s="276">
        <v>500</v>
      </c>
      <c r="C155" s="276">
        <v>78000</v>
      </c>
      <c r="D155" s="276">
        <v>156</v>
      </c>
      <c r="E155" s="276">
        <v>0</v>
      </c>
      <c r="F155" s="276">
        <v>67200</v>
      </c>
      <c r="G155" s="276">
        <v>224</v>
      </c>
      <c r="H155" s="276">
        <v>0</v>
      </c>
      <c r="I155" s="276">
        <v>0</v>
      </c>
      <c r="J155" s="276">
        <v>0</v>
      </c>
      <c r="K155" s="276">
        <v>0</v>
      </c>
      <c r="L155" s="276">
        <v>0</v>
      </c>
      <c r="M155" s="276">
        <v>0</v>
      </c>
      <c r="N155" s="276">
        <v>0</v>
      </c>
      <c r="O155" s="276">
        <v>-500</v>
      </c>
      <c r="P155" s="276">
        <v>1</v>
      </c>
      <c r="Q155" s="276">
        <v>0</v>
      </c>
      <c r="R155" s="276">
        <v>0</v>
      </c>
      <c r="S155" s="276">
        <v>0</v>
      </c>
      <c r="T155" s="276">
        <v>0</v>
      </c>
      <c r="U155" s="276">
        <v>0</v>
      </c>
      <c r="V155" s="276">
        <v>0</v>
      </c>
      <c r="W155" s="276">
        <v>0</v>
      </c>
      <c r="X155" s="276">
        <v>0</v>
      </c>
      <c r="Y155" s="276">
        <v>145200</v>
      </c>
      <c r="Z155" s="276">
        <v>380</v>
      </c>
      <c r="AA155" s="276">
        <v>-500</v>
      </c>
      <c r="AB155" s="276">
        <v>1</v>
      </c>
      <c r="AC155" s="276">
        <v>129097</v>
      </c>
      <c r="AD155" s="276">
        <v>-500</v>
      </c>
      <c r="AE155" s="276">
        <v>19324.2</v>
      </c>
      <c r="AF155" s="276">
        <v>-3395.34</v>
      </c>
      <c r="AG155" s="276">
        <v>0</v>
      </c>
      <c r="AH155" s="276">
        <v>5754.6</v>
      </c>
      <c r="AI155" s="276">
        <v>-1726.38</v>
      </c>
      <c r="AJ155" s="276">
        <v>0</v>
      </c>
      <c r="AK155" s="276">
        <v>13569.6</v>
      </c>
      <c r="AL155" s="276">
        <v>-1668.96</v>
      </c>
      <c r="AM155" s="276">
        <v>0</v>
      </c>
      <c r="AN155" s="276"/>
      <c r="AO155" s="276">
        <v>0</v>
      </c>
      <c r="AP155" s="276">
        <v>0</v>
      </c>
      <c r="AQ155" s="276">
        <v>101168.1</v>
      </c>
    </row>
    <row r="156" spans="1:43">
      <c r="A156" s="276" t="s">
        <v>293</v>
      </c>
      <c r="B156" s="276">
        <v>500</v>
      </c>
      <c r="C156" s="276">
        <v>72000</v>
      </c>
      <c r="D156" s="276">
        <v>144</v>
      </c>
      <c r="E156" s="276">
        <v>0</v>
      </c>
      <c r="F156" s="276">
        <v>62700</v>
      </c>
      <c r="G156" s="276">
        <v>209</v>
      </c>
      <c r="H156" s="276">
        <v>0</v>
      </c>
      <c r="I156" s="276">
        <v>0</v>
      </c>
      <c r="J156" s="276">
        <v>0</v>
      </c>
      <c r="K156" s="276">
        <v>0</v>
      </c>
      <c r="L156" s="276">
        <v>0</v>
      </c>
      <c r="M156" s="276">
        <v>0</v>
      </c>
      <c r="N156" s="276">
        <v>0</v>
      </c>
      <c r="O156" s="276">
        <v>0</v>
      </c>
      <c r="P156" s="276">
        <v>0</v>
      </c>
      <c r="Q156" s="276">
        <v>0</v>
      </c>
      <c r="R156" s="276">
        <v>0</v>
      </c>
      <c r="S156" s="276">
        <v>0</v>
      </c>
      <c r="T156" s="276">
        <v>0</v>
      </c>
      <c r="U156" s="276">
        <v>0</v>
      </c>
      <c r="V156" s="276">
        <v>0</v>
      </c>
      <c r="W156" s="276">
        <v>0</v>
      </c>
      <c r="X156" s="276">
        <v>0</v>
      </c>
      <c r="Y156" s="276">
        <v>134700</v>
      </c>
      <c r="Z156" s="276">
        <v>353</v>
      </c>
      <c r="AA156" s="276">
        <v>0</v>
      </c>
      <c r="AB156" s="276">
        <v>0</v>
      </c>
      <c r="AC156" s="276">
        <v>120797</v>
      </c>
      <c r="AD156" s="276">
        <v>0</v>
      </c>
      <c r="AE156" s="276">
        <v>16684.2</v>
      </c>
      <c r="AF156" s="276">
        <v>-3107.34</v>
      </c>
      <c r="AG156" s="276">
        <v>0</v>
      </c>
      <c r="AH156" s="276">
        <v>5994.6</v>
      </c>
      <c r="AI156" s="276">
        <v>-1798.38</v>
      </c>
      <c r="AJ156" s="276">
        <v>0</v>
      </c>
      <c r="AK156" s="276">
        <v>10689.6</v>
      </c>
      <c r="AL156" s="276">
        <v>-1308.96</v>
      </c>
      <c r="AM156" s="276">
        <v>0</v>
      </c>
      <c r="AN156" s="276"/>
      <c r="AO156" s="276">
        <v>0</v>
      </c>
      <c r="AP156" s="276">
        <v>0</v>
      </c>
      <c r="AQ156" s="276">
        <v>94061.7</v>
      </c>
    </row>
    <row r="157" spans="1:43">
      <c r="A157" s="276" t="s">
        <v>293</v>
      </c>
      <c r="B157" s="276">
        <v>500</v>
      </c>
      <c r="C157" s="276">
        <v>68000</v>
      </c>
      <c r="D157" s="276">
        <v>136</v>
      </c>
      <c r="E157" s="276">
        <v>0</v>
      </c>
      <c r="F157" s="276">
        <v>61800</v>
      </c>
      <c r="G157" s="276">
        <v>206</v>
      </c>
      <c r="H157" s="276">
        <v>0</v>
      </c>
      <c r="I157" s="276">
        <v>0</v>
      </c>
      <c r="J157" s="276">
        <v>0</v>
      </c>
      <c r="K157" s="276">
        <v>0</v>
      </c>
      <c r="L157" s="276">
        <v>0</v>
      </c>
      <c r="M157" s="276">
        <v>0</v>
      </c>
      <c r="N157" s="276">
        <v>0</v>
      </c>
      <c r="O157" s="276">
        <v>0</v>
      </c>
      <c r="P157" s="276">
        <v>0</v>
      </c>
      <c r="Q157" s="276">
        <v>0</v>
      </c>
      <c r="R157" s="276">
        <v>0</v>
      </c>
      <c r="S157" s="276">
        <v>0</v>
      </c>
      <c r="T157" s="276">
        <v>0</v>
      </c>
      <c r="U157" s="276">
        <v>0</v>
      </c>
      <c r="V157" s="276">
        <v>0</v>
      </c>
      <c r="W157" s="276">
        <v>0</v>
      </c>
      <c r="X157" s="276">
        <v>0</v>
      </c>
      <c r="Y157" s="276">
        <v>129800</v>
      </c>
      <c r="Z157" s="276">
        <v>342</v>
      </c>
      <c r="AA157" s="276">
        <v>0</v>
      </c>
      <c r="AB157" s="276">
        <v>0</v>
      </c>
      <c r="AC157" s="276">
        <v>116047</v>
      </c>
      <c r="AD157" s="276">
        <v>0</v>
      </c>
      <c r="AE157" s="276">
        <v>16504.2</v>
      </c>
      <c r="AF157" s="276">
        <v>-3053.34</v>
      </c>
      <c r="AG157" s="276">
        <v>0</v>
      </c>
      <c r="AH157" s="276">
        <v>5814.6</v>
      </c>
      <c r="AI157" s="276">
        <v>-1744.38</v>
      </c>
      <c r="AJ157" s="276">
        <v>0</v>
      </c>
      <c r="AK157" s="276">
        <v>10689.6</v>
      </c>
      <c r="AL157" s="276">
        <v>-1308.96</v>
      </c>
      <c r="AM157" s="276">
        <v>0</v>
      </c>
      <c r="AN157" s="276"/>
      <c r="AO157" s="276">
        <v>0</v>
      </c>
      <c r="AP157" s="276">
        <v>0</v>
      </c>
      <c r="AQ157" s="276">
        <v>90648.5</v>
      </c>
    </row>
    <row r="158" spans="1:43">
      <c r="A158" s="276" t="s">
        <v>293</v>
      </c>
      <c r="B158" s="276">
        <v>500</v>
      </c>
      <c r="C158" s="276">
        <v>12000</v>
      </c>
      <c r="D158" s="276">
        <v>24</v>
      </c>
      <c r="E158" s="276">
        <v>0</v>
      </c>
      <c r="F158" s="276">
        <v>0</v>
      </c>
      <c r="G158" s="276">
        <v>0</v>
      </c>
      <c r="H158" s="276">
        <v>2037</v>
      </c>
      <c r="I158" s="276">
        <v>0</v>
      </c>
      <c r="J158" s="276">
        <v>0</v>
      </c>
      <c r="K158" s="276">
        <v>0</v>
      </c>
      <c r="L158" s="276">
        <v>0</v>
      </c>
      <c r="M158" s="276">
        <v>0</v>
      </c>
      <c r="N158" s="276">
        <v>0</v>
      </c>
      <c r="O158" s="276">
        <v>0</v>
      </c>
      <c r="P158" s="276">
        <v>0</v>
      </c>
      <c r="Q158" s="276">
        <v>0</v>
      </c>
      <c r="R158" s="276">
        <v>0</v>
      </c>
      <c r="S158" s="276">
        <v>0</v>
      </c>
      <c r="T158" s="276">
        <v>0</v>
      </c>
      <c r="U158" s="276">
        <v>0</v>
      </c>
      <c r="V158" s="276">
        <v>0</v>
      </c>
      <c r="W158" s="276">
        <v>0</v>
      </c>
      <c r="X158" s="276">
        <v>0</v>
      </c>
      <c r="Y158" s="276">
        <v>12000</v>
      </c>
      <c r="Z158" s="276">
        <v>2061</v>
      </c>
      <c r="AA158" s="276">
        <v>0</v>
      </c>
      <c r="AB158" s="276">
        <v>0</v>
      </c>
      <c r="AC158" s="276">
        <v>10724</v>
      </c>
      <c r="AD158" s="276">
        <v>0</v>
      </c>
      <c r="AE158" s="276">
        <v>1531.2</v>
      </c>
      <c r="AF158" s="276">
        <v>-459.36</v>
      </c>
      <c r="AG158" s="276">
        <v>0</v>
      </c>
      <c r="AH158" s="276">
        <v>331.2</v>
      </c>
      <c r="AI158" s="276">
        <v>-99.36</v>
      </c>
      <c r="AJ158" s="276">
        <v>0</v>
      </c>
      <c r="AK158" s="276">
        <v>1200</v>
      </c>
      <c r="AL158" s="276">
        <v>-360</v>
      </c>
      <c r="AM158" s="276">
        <v>0</v>
      </c>
      <c r="AN158" s="276"/>
      <c r="AO158" s="276">
        <v>0</v>
      </c>
      <c r="AP158" s="276">
        <v>0</v>
      </c>
      <c r="AQ158" s="276">
        <v>8257.09</v>
      </c>
    </row>
    <row r="159" spans="1:43">
      <c r="A159" s="276" t="s">
        <v>293</v>
      </c>
      <c r="B159" s="276">
        <v>500</v>
      </c>
      <c r="C159" s="276">
        <v>69500</v>
      </c>
      <c r="D159" s="276">
        <v>139</v>
      </c>
      <c r="E159" s="276">
        <v>0</v>
      </c>
      <c r="F159" s="276">
        <v>60600</v>
      </c>
      <c r="G159" s="276">
        <v>202</v>
      </c>
      <c r="H159" s="276">
        <v>0</v>
      </c>
      <c r="I159" s="276">
        <v>0</v>
      </c>
      <c r="J159" s="276">
        <v>0</v>
      </c>
      <c r="K159" s="276">
        <v>0</v>
      </c>
      <c r="L159" s="276">
        <v>0</v>
      </c>
      <c r="M159" s="276">
        <v>0</v>
      </c>
      <c r="N159" s="276">
        <v>0</v>
      </c>
      <c r="O159" s="276">
        <v>0</v>
      </c>
      <c r="P159" s="276">
        <v>0</v>
      </c>
      <c r="Q159" s="276">
        <v>0</v>
      </c>
      <c r="R159" s="276">
        <v>0</v>
      </c>
      <c r="S159" s="276">
        <v>0</v>
      </c>
      <c r="T159" s="276">
        <v>0</v>
      </c>
      <c r="U159" s="276">
        <v>0</v>
      </c>
      <c r="V159" s="276">
        <v>0</v>
      </c>
      <c r="W159" s="276">
        <v>0</v>
      </c>
      <c r="X159" s="276">
        <v>0</v>
      </c>
      <c r="Y159" s="276">
        <v>130100</v>
      </c>
      <c r="Z159" s="276">
        <v>341</v>
      </c>
      <c r="AA159" s="276">
        <v>0</v>
      </c>
      <c r="AB159" s="276">
        <v>0</v>
      </c>
      <c r="AC159" s="276">
        <v>114847</v>
      </c>
      <c r="AD159" s="276">
        <v>0</v>
      </c>
      <c r="AE159" s="276">
        <v>18304.2</v>
      </c>
      <c r="AF159" s="276">
        <v>-3281.34</v>
      </c>
      <c r="AG159" s="276">
        <v>0</v>
      </c>
      <c r="AH159" s="276">
        <v>6054.6</v>
      </c>
      <c r="AI159" s="276">
        <v>-1816.38</v>
      </c>
      <c r="AJ159" s="276">
        <v>0</v>
      </c>
      <c r="AK159" s="276">
        <v>12249.6</v>
      </c>
      <c r="AL159" s="276">
        <v>-1464.96</v>
      </c>
      <c r="AM159" s="276">
        <v>0</v>
      </c>
      <c r="AN159" s="276"/>
      <c r="AO159" s="276">
        <v>0</v>
      </c>
      <c r="AP159" s="276">
        <v>0</v>
      </c>
      <c r="AQ159" s="276">
        <v>90908.9</v>
      </c>
    </row>
    <row r="160" spans="1:43">
      <c r="A160" s="276" t="s">
        <v>293</v>
      </c>
      <c r="B160" s="276">
        <v>500</v>
      </c>
      <c r="C160" s="276">
        <v>69500</v>
      </c>
      <c r="D160" s="276">
        <v>139</v>
      </c>
      <c r="E160" s="276">
        <v>0</v>
      </c>
      <c r="F160" s="276">
        <v>61200</v>
      </c>
      <c r="G160" s="276">
        <v>204</v>
      </c>
      <c r="H160" s="276">
        <v>0</v>
      </c>
      <c r="I160" s="276">
        <v>0</v>
      </c>
      <c r="J160" s="276">
        <v>0</v>
      </c>
      <c r="K160" s="276">
        <v>0</v>
      </c>
      <c r="L160" s="276">
        <v>0</v>
      </c>
      <c r="M160" s="276">
        <v>0</v>
      </c>
      <c r="N160" s="276">
        <v>0</v>
      </c>
      <c r="O160" s="276">
        <v>0</v>
      </c>
      <c r="P160" s="276">
        <v>0</v>
      </c>
      <c r="Q160" s="276">
        <v>0</v>
      </c>
      <c r="R160" s="276">
        <v>0</v>
      </c>
      <c r="S160" s="276">
        <v>0</v>
      </c>
      <c r="T160" s="276">
        <v>0</v>
      </c>
      <c r="U160" s="276">
        <v>0</v>
      </c>
      <c r="V160" s="276">
        <v>0</v>
      </c>
      <c r="W160" s="276">
        <v>0</v>
      </c>
      <c r="X160" s="276">
        <v>0</v>
      </c>
      <c r="Y160" s="276">
        <v>130700</v>
      </c>
      <c r="Z160" s="276">
        <v>343</v>
      </c>
      <c r="AA160" s="276">
        <v>0</v>
      </c>
      <c r="AB160" s="276">
        <v>0</v>
      </c>
      <c r="AC160" s="276">
        <v>115882</v>
      </c>
      <c r="AD160" s="276">
        <v>0</v>
      </c>
      <c r="AE160" s="276">
        <v>17782.2</v>
      </c>
      <c r="AF160" s="276">
        <v>-3229.14</v>
      </c>
      <c r="AG160" s="276">
        <v>0</v>
      </c>
      <c r="AH160" s="276">
        <v>6054.6</v>
      </c>
      <c r="AI160" s="276">
        <v>-1816.38</v>
      </c>
      <c r="AJ160" s="276">
        <v>0</v>
      </c>
      <c r="AK160" s="276">
        <v>11727.6</v>
      </c>
      <c r="AL160" s="276">
        <v>-1412.76</v>
      </c>
      <c r="AM160" s="276">
        <v>0</v>
      </c>
      <c r="AN160" s="276"/>
      <c r="AO160" s="276">
        <v>0</v>
      </c>
      <c r="AP160" s="276">
        <v>0</v>
      </c>
      <c r="AQ160" s="276">
        <v>91304.54</v>
      </c>
    </row>
    <row r="161" spans="1:43">
      <c r="A161" s="276" t="s">
        <v>293</v>
      </c>
      <c r="B161" s="276">
        <v>500</v>
      </c>
      <c r="C161" s="276">
        <v>79500</v>
      </c>
      <c r="D161" s="276">
        <v>159</v>
      </c>
      <c r="E161" s="276">
        <v>0</v>
      </c>
      <c r="F161" s="276">
        <v>72300</v>
      </c>
      <c r="G161" s="276">
        <v>241</v>
      </c>
      <c r="H161" s="276">
        <v>0</v>
      </c>
      <c r="I161" s="276">
        <v>0</v>
      </c>
      <c r="J161" s="276">
        <v>0</v>
      </c>
      <c r="K161" s="276">
        <v>0</v>
      </c>
      <c r="L161" s="276">
        <v>0</v>
      </c>
      <c r="M161" s="276">
        <v>0</v>
      </c>
      <c r="N161" s="276">
        <v>0</v>
      </c>
      <c r="O161" s="276">
        <v>-500</v>
      </c>
      <c r="P161" s="276">
        <v>1</v>
      </c>
      <c r="Q161" s="276">
        <v>0</v>
      </c>
      <c r="R161" s="276">
        <v>0</v>
      </c>
      <c r="S161" s="276">
        <v>0</v>
      </c>
      <c r="T161" s="276">
        <v>0</v>
      </c>
      <c r="U161" s="276">
        <v>0</v>
      </c>
      <c r="V161" s="276">
        <v>0</v>
      </c>
      <c r="W161" s="276">
        <v>0</v>
      </c>
      <c r="X161" s="276">
        <v>0</v>
      </c>
      <c r="Y161" s="276">
        <v>151800</v>
      </c>
      <c r="Z161" s="276">
        <v>400</v>
      </c>
      <c r="AA161" s="276">
        <v>-500</v>
      </c>
      <c r="AB161" s="276">
        <v>1</v>
      </c>
      <c r="AC161" s="276">
        <v>134547</v>
      </c>
      <c r="AD161" s="276">
        <v>-500</v>
      </c>
      <c r="AE161" s="276">
        <v>20704.2</v>
      </c>
      <c r="AF161" s="276">
        <v>-3641.34</v>
      </c>
      <c r="AG161" s="276">
        <v>0</v>
      </c>
      <c r="AH161" s="276">
        <v>6654.6</v>
      </c>
      <c r="AI161" s="276">
        <v>-1996.38</v>
      </c>
      <c r="AJ161" s="276">
        <v>0</v>
      </c>
      <c r="AK161" s="276">
        <v>14049.6</v>
      </c>
      <c r="AL161" s="276">
        <v>-1644.96</v>
      </c>
      <c r="AM161" s="276">
        <v>0</v>
      </c>
      <c r="AN161" s="276"/>
      <c r="AO161" s="276">
        <v>0</v>
      </c>
      <c r="AP161" s="276">
        <v>0</v>
      </c>
      <c r="AQ161" s="276">
        <v>105776.9</v>
      </c>
    </row>
    <row r="162" spans="1:43">
      <c r="A162" s="276" t="s">
        <v>293</v>
      </c>
      <c r="B162" s="276">
        <v>500</v>
      </c>
      <c r="C162" s="276">
        <v>79000</v>
      </c>
      <c r="D162" s="276">
        <v>158</v>
      </c>
      <c r="E162" s="276">
        <v>0</v>
      </c>
      <c r="F162" s="276">
        <v>68700</v>
      </c>
      <c r="G162" s="276">
        <v>229</v>
      </c>
      <c r="H162" s="276">
        <v>0</v>
      </c>
      <c r="I162" s="276">
        <v>0</v>
      </c>
      <c r="J162" s="276">
        <v>0</v>
      </c>
      <c r="K162" s="276">
        <v>0</v>
      </c>
      <c r="L162" s="276">
        <v>0</v>
      </c>
      <c r="M162" s="276">
        <v>0</v>
      </c>
      <c r="N162" s="276">
        <v>0</v>
      </c>
      <c r="O162" s="276">
        <v>-500</v>
      </c>
      <c r="P162" s="276">
        <v>1</v>
      </c>
      <c r="Q162" s="276">
        <v>0</v>
      </c>
      <c r="R162" s="276">
        <v>0</v>
      </c>
      <c r="S162" s="276">
        <v>0</v>
      </c>
      <c r="T162" s="276">
        <v>0</v>
      </c>
      <c r="U162" s="276">
        <v>0</v>
      </c>
      <c r="V162" s="276">
        <v>0</v>
      </c>
      <c r="W162" s="276">
        <v>0</v>
      </c>
      <c r="X162" s="276">
        <v>0</v>
      </c>
      <c r="Y162" s="276">
        <v>147700</v>
      </c>
      <c r="Z162" s="276">
        <v>387</v>
      </c>
      <c r="AA162" s="276">
        <v>-500</v>
      </c>
      <c r="AB162" s="276">
        <v>1</v>
      </c>
      <c r="AC162" s="276">
        <v>129647</v>
      </c>
      <c r="AD162" s="276">
        <v>-500</v>
      </c>
      <c r="AE162" s="276">
        <v>21664.2</v>
      </c>
      <c r="AF162" s="276">
        <v>-3809.34</v>
      </c>
      <c r="AG162" s="276">
        <v>0</v>
      </c>
      <c r="AH162" s="276">
        <v>7014.6</v>
      </c>
      <c r="AI162" s="276">
        <v>-2104.38</v>
      </c>
      <c r="AJ162" s="276">
        <v>0</v>
      </c>
      <c r="AK162" s="276">
        <v>14649.6</v>
      </c>
      <c r="AL162" s="276">
        <v>-1704.96</v>
      </c>
      <c r="AM162" s="276">
        <v>0</v>
      </c>
      <c r="AN162" s="276"/>
      <c r="AO162" s="276">
        <v>0</v>
      </c>
      <c r="AP162" s="276">
        <v>0</v>
      </c>
      <c r="AQ162" s="276">
        <v>102901.3</v>
      </c>
    </row>
    <row r="163" spans="1:43">
      <c r="A163" s="276" t="s">
        <v>293</v>
      </c>
      <c r="B163" s="276">
        <v>500</v>
      </c>
      <c r="C163" s="276">
        <v>78500</v>
      </c>
      <c r="D163" s="276">
        <v>157</v>
      </c>
      <c r="E163" s="276">
        <v>0</v>
      </c>
      <c r="F163" s="276">
        <v>66000</v>
      </c>
      <c r="G163" s="276">
        <v>220</v>
      </c>
      <c r="H163" s="276">
        <v>0</v>
      </c>
      <c r="I163" s="276">
        <v>0</v>
      </c>
      <c r="J163" s="276">
        <v>0</v>
      </c>
      <c r="K163" s="276">
        <v>0</v>
      </c>
      <c r="L163" s="276">
        <v>0</v>
      </c>
      <c r="M163" s="276">
        <v>0</v>
      </c>
      <c r="N163" s="276">
        <v>0</v>
      </c>
      <c r="O163" s="276">
        <v>0</v>
      </c>
      <c r="P163" s="276">
        <v>0</v>
      </c>
      <c r="Q163" s="276">
        <v>0</v>
      </c>
      <c r="R163" s="276">
        <v>0</v>
      </c>
      <c r="S163" s="276">
        <v>0</v>
      </c>
      <c r="T163" s="276">
        <v>0</v>
      </c>
      <c r="U163" s="276">
        <v>0</v>
      </c>
      <c r="V163" s="276">
        <v>0</v>
      </c>
      <c r="W163" s="276">
        <v>0</v>
      </c>
      <c r="X163" s="276">
        <v>0</v>
      </c>
      <c r="Y163" s="276">
        <v>144500</v>
      </c>
      <c r="Z163" s="276">
        <v>377</v>
      </c>
      <c r="AA163" s="276">
        <v>0</v>
      </c>
      <c r="AB163" s="276">
        <v>0</v>
      </c>
      <c r="AC163" s="276">
        <v>126947</v>
      </c>
      <c r="AD163" s="276">
        <v>0</v>
      </c>
      <c r="AE163" s="276">
        <v>21064.2</v>
      </c>
      <c r="AF163" s="276">
        <v>-3917.34</v>
      </c>
      <c r="AG163" s="276">
        <v>0</v>
      </c>
      <c r="AH163" s="276">
        <v>7854.6</v>
      </c>
      <c r="AI163" s="276">
        <v>-2356.38</v>
      </c>
      <c r="AJ163" s="276">
        <v>0</v>
      </c>
      <c r="AK163" s="276">
        <v>13209.6</v>
      </c>
      <c r="AL163" s="276">
        <v>-1560.96</v>
      </c>
      <c r="AM163" s="276">
        <v>0</v>
      </c>
      <c r="AN163" s="276"/>
      <c r="AO163" s="276">
        <v>0</v>
      </c>
      <c r="AP163" s="276">
        <v>0</v>
      </c>
      <c r="AQ163" s="276">
        <v>100865.7</v>
      </c>
    </row>
    <row r="164" spans="1:43">
      <c r="A164" s="276" t="s">
        <v>293</v>
      </c>
      <c r="B164" s="276">
        <v>500</v>
      </c>
      <c r="C164" s="276">
        <v>81500</v>
      </c>
      <c r="D164" s="276">
        <v>163</v>
      </c>
      <c r="E164" s="276">
        <v>0</v>
      </c>
      <c r="F164" s="276">
        <v>66600</v>
      </c>
      <c r="G164" s="276">
        <v>222</v>
      </c>
      <c r="H164" s="276">
        <v>0</v>
      </c>
      <c r="I164" s="276">
        <v>0</v>
      </c>
      <c r="J164" s="276">
        <v>0</v>
      </c>
      <c r="K164" s="276">
        <v>0</v>
      </c>
      <c r="L164" s="276">
        <v>0</v>
      </c>
      <c r="M164" s="276">
        <v>0</v>
      </c>
      <c r="N164" s="276">
        <v>0</v>
      </c>
      <c r="O164" s="276">
        <v>0</v>
      </c>
      <c r="P164" s="276">
        <v>0</v>
      </c>
      <c r="Q164" s="276">
        <v>0</v>
      </c>
      <c r="R164" s="276">
        <v>0</v>
      </c>
      <c r="S164" s="276">
        <v>0</v>
      </c>
      <c r="T164" s="276">
        <v>0</v>
      </c>
      <c r="U164" s="276">
        <v>0</v>
      </c>
      <c r="V164" s="276">
        <v>0</v>
      </c>
      <c r="W164" s="276">
        <v>0</v>
      </c>
      <c r="X164" s="276">
        <v>0</v>
      </c>
      <c r="Y164" s="276">
        <v>148100</v>
      </c>
      <c r="Z164" s="276">
        <v>385</v>
      </c>
      <c r="AA164" s="276">
        <v>0</v>
      </c>
      <c r="AB164" s="276">
        <v>0</v>
      </c>
      <c r="AC164" s="276">
        <v>130897</v>
      </c>
      <c r="AD164" s="276">
        <v>0</v>
      </c>
      <c r="AE164" s="276">
        <v>20643.599999999999</v>
      </c>
      <c r="AF164" s="276">
        <v>-3719.16</v>
      </c>
      <c r="AG164" s="276">
        <v>0</v>
      </c>
      <c r="AH164" s="276">
        <v>7074</v>
      </c>
      <c r="AI164" s="276">
        <v>-2122.1999999999998</v>
      </c>
      <c r="AJ164" s="276">
        <v>0</v>
      </c>
      <c r="AK164" s="276">
        <v>13569.6</v>
      </c>
      <c r="AL164" s="276">
        <v>-1596.96</v>
      </c>
      <c r="AM164" s="276">
        <v>0</v>
      </c>
      <c r="AN164" s="276"/>
      <c r="AO164" s="276">
        <v>0</v>
      </c>
      <c r="AP164" s="276">
        <v>0</v>
      </c>
      <c r="AQ164" s="276">
        <v>103475.01</v>
      </c>
    </row>
    <row r="165" spans="1:43">
      <c r="A165" s="276" t="s">
        <v>293</v>
      </c>
      <c r="B165" s="276">
        <v>500</v>
      </c>
      <c r="C165" s="276">
        <v>74500</v>
      </c>
      <c r="D165" s="276">
        <v>149</v>
      </c>
      <c r="E165" s="276">
        <v>0</v>
      </c>
      <c r="F165" s="276">
        <v>59700</v>
      </c>
      <c r="G165" s="276">
        <v>199</v>
      </c>
      <c r="H165" s="276">
        <v>0</v>
      </c>
      <c r="I165" s="276">
        <v>0</v>
      </c>
      <c r="J165" s="276">
        <v>0</v>
      </c>
      <c r="K165" s="276">
        <v>0</v>
      </c>
      <c r="L165" s="276">
        <v>0</v>
      </c>
      <c r="M165" s="276">
        <v>0</v>
      </c>
      <c r="N165" s="276">
        <v>0</v>
      </c>
      <c r="O165" s="276">
        <v>0</v>
      </c>
      <c r="P165" s="276">
        <v>0</v>
      </c>
      <c r="Q165" s="276">
        <v>0</v>
      </c>
      <c r="R165" s="276">
        <v>0</v>
      </c>
      <c r="S165" s="276">
        <v>0</v>
      </c>
      <c r="T165" s="276">
        <v>0</v>
      </c>
      <c r="U165" s="276">
        <v>0</v>
      </c>
      <c r="V165" s="276">
        <v>0</v>
      </c>
      <c r="W165" s="276">
        <v>0</v>
      </c>
      <c r="X165" s="276">
        <v>0</v>
      </c>
      <c r="Y165" s="276">
        <v>134200</v>
      </c>
      <c r="Z165" s="276">
        <v>348</v>
      </c>
      <c r="AA165" s="276">
        <v>0</v>
      </c>
      <c r="AB165" s="276">
        <v>0</v>
      </c>
      <c r="AC165" s="276">
        <v>117667</v>
      </c>
      <c r="AD165" s="276">
        <v>0</v>
      </c>
      <c r="AE165" s="276">
        <v>19840.2</v>
      </c>
      <c r="AF165" s="276">
        <v>-3814.14</v>
      </c>
      <c r="AG165" s="276">
        <v>0</v>
      </c>
      <c r="AH165" s="276">
        <v>7950.6</v>
      </c>
      <c r="AI165" s="276">
        <v>-2385.1799999999998</v>
      </c>
      <c r="AJ165" s="276">
        <v>0</v>
      </c>
      <c r="AK165" s="276">
        <v>11889.6</v>
      </c>
      <c r="AL165" s="276">
        <v>-1428.96</v>
      </c>
      <c r="AM165" s="276">
        <v>0</v>
      </c>
      <c r="AN165" s="276"/>
      <c r="AO165" s="276">
        <v>0</v>
      </c>
      <c r="AP165" s="276">
        <v>0</v>
      </c>
      <c r="AQ165" s="276">
        <v>93585.14</v>
      </c>
    </row>
    <row r="166" spans="1:43">
      <c r="A166" s="276" t="s">
        <v>293</v>
      </c>
      <c r="B166" s="276">
        <v>500</v>
      </c>
      <c r="C166" s="276">
        <v>77000</v>
      </c>
      <c r="D166" s="276">
        <v>154</v>
      </c>
      <c r="E166" s="276">
        <v>0</v>
      </c>
      <c r="F166" s="276">
        <v>60900</v>
      </c>
      <c r="G166" s="276">
        <v>203</v>
      </c>
      <c r="H166" s="276">
        <v>0</v>
      </c>
      <c r="I166" s="276">
        <v>0</v>
      </c>
      <c r="J166" s="276">
        <v>0</v>
      </c>
      <c r="K166" s="276">
        <v>0</v>
      </c>
      <c r="L166" s="276">
        <v>0</v>
      </c>
      <c r="M166" s="276">
        <v>0</v>
      </c>
      <c r="N166" s="276">
        <v>0</v>
      </c>
      <c r="O166" s="276">
        <v>-500</v>
      </c>
      <c r="P166" s="276">
        <v>1</v>
      </c>
      <c r="Q166" s="276">
        <v>0</v>
      </c>
      <c r="R166" s="276">
        <v>0</v>
      </c>
      <c r="S166" s="276">
        <v>0</v>
      </c>
      <c r="T166" s="276">
        <v>0</v>
      </c>
      <c r="U166" s="276">
        <v>0</v>
      </c>
      <c r="V166" s="276">
        <v>0</v>
      </c>
      <c r="W166" s="276">
        <v>0</v>
      </c>
      <c r="X166" s="276">
        <v>0</v>
      </c>
      <c r="Y166" s="276">
        <v>137900</v>
      </c>
      <c r="Z166" s="276">
        <v>357</v>
      </c>
      <c r="AA166" s="276">
        <v>-500</v>
      </c>
      <c r="AB166" s="276">
        <v>1</v>
      </c>
      <c r="AC166" s="276">
        <v>121197</v>
      </c>
      <c r="AD166" s="276">
        <v>-500</v>
      </c>
      <c r="AE166" s="276">
        <v>20044.2</v>
      </c>
      <c r="AF166" s="276">
        <v>-3839.34</v>
      </c>
      <c r="AG166" s="276">
        <v>0</v>
      </c>
      <c r="AH166" s="276">
        <v>7614.6</v>
      </c>
      <c r="AI166" s="276">
        <v>-2284.38</v>
      </c>
      <c r="AJ166" s="276">
        <v>0</v>
      </c>
      <c r="AK166" s="276">
        <v>12429.6</v>
      </c>
      <c r="AL166" s="276">
        <v>-1554.96</v>
      </c>
      <c r="AM166" s="276">
        <v>0</v>
      </c>
      <c r="AN166" s="276"/>
      <c r="AO166" s="276">
        <v>0</v>
      </c>
      <c r="AP166" s="276">
        <v>0</v>
      </c>
      <c r="AQ166" s="276">
        <v>95831.3</v>
      </c>
    </row>
    <row r="167" spans="1:43">
      <c r="A167" s="276" t="s">
        <v>293</v>
      </c>
      <c r="B167" s="276">
        <v>500</v>
      </c>
      <c r="C167" s="276">
        <v>93000</v>
      </c>
      <c r="D167" s="276">
        <v>186</v>
      </c>
      <c r="E167" s="276">
        <v>0</v>
      </c>
      <c r="F167" s="276">
        <v>78600</v>
      </c>
      <c r="G167" s="276">
        <v>262</v>
      </c>
      <c r="H167" s="276">
        <v>0</v>
      </c>
      <c r="I167" s="276">
        <v>0</v>
      </c>
      <c r="J167" s="276">
        <v>0</v>
      </c>
      <c r="K167" s="276">
        <v>0</v>
      </c>
      <c r="L167" s="276">
        <v>0</v>
      </c>
      <c r="M167" s="276">
        <v>0</v>
      </c>
      <c r="N167" s="276">
        <v>0</v>
      </c>
      <c r="O167" s="276">
        <v>-500</v>
      </c>
      <c r="P167" s="276">
        <v>1</v>
      </c>
      <c r="Q167" s="276">
        <v>0</v>
      </c>
      <c r="R167" s="276">
        <v>0</v>
      </c>
      <c r="S167" s="276">
        <v>0</v>
      </c>
      <c r="T167" s="276">
        <v>0</v>
      </c>
      <c r="U167" s="276">
        <v>0</v>
      </c>
      <c r="V167" s="276">
        <v>0</v>
      </c>
      <c r="W167" s="276">
        <v>0</v>
      </c>
      <c r="X167" s="276">
        <v>0</v>
      </c>
      <c r="Y167" s="276">
        <v>171600</v>
      </c>
      <c r="Z167" s="276">
        <v>448</v>
      </c>
      <c r="AA167" s="276">
        <v>-500</v>
      </c>
      <c r="AB167" s="276">
        <v>1</v>
      </c>
      <c r="AC167" s="276">
        <v>151327</v>
      </c>
      <c r="AD167" s="276">
        <v>-500</v>
      </c>
      <c r="AE167" s="276">
        <v>24328.2</v>
      </c>
      <c r="AF167" s="276">
        <v>-4800.54</v>
      </c>
      <c r="AG167" s="276">
        <v>0</v>
      </c>
      <c r="AH167" s="276">
        <v>9678.6</v>
      </c>
      <c r="AI167" s="276">
        <v>-2903.58</v>
      </c>
      <c r="AJ167" s="276">
        <v>0</v>
      </c>
      <c r="AK167" s="276">
        <v>14649.6</v>
      </c>
      <c r="AL167" s="276">
        <v>-1896.96</v>
      </c>
      <c r="AM167" s="276">
        <v>0</v>
      </c>
      <c r="AN167" s="276"/>
      <c r="AO167" s="276">
        <v>0</v>
      </c>
      <c r="AP167" s="276">
        <v>0</v>
      </c>
      <c r="AQ167" s="276">
        <v>119248.26</v>
      </c>
    </row>
    <row r="168" spans="1:43">
      <c r="A168" s="276" t="s">
        <v>293</v>
      </c>
      <c r="B168" s="276">
        <v>500</v>
      </c>
      <c r="C168" s="276">
        <v>88500</v>
      </c>
      <c r="D168" s="276">
        <v>177</v>
      </c>
      <c r="E168" s="276">
        <v>0</v>
      </c>
      <c r="F168" s="276">
        <v>73800</v>
      </c>
      <c r="G168" s="276">
        <v>246</v>
      </c>
      <c r="H168" s="276">
        <v>0</v>
      </c>
      <c r="I168" s="276">
        <v>0</v>
      </c>
      <c r="J168" s="276">
        <v>0</v>
      </c>
      <c r="K168" s="276">
        <v>0</v>
      </c>
      <c r="L168" s="276">
        <v>0</v>
      </c>
      <c r="M168" s="276">
        <v>0</v>
      </c>
      <c r="N168" s="276">
        <v>0</v>
      </c>
      <c r="O168" s="276">
        <v>-500</v>
      </c>
      <c r="P168" s="276">
        <v>1</v>
      </c>
      <c r="Q168" s="276">
        <v>0</v>
      </c>
      <c r="R168" s="276">
        <v>0</v>
      </c>
      <c r="S168" s="276">
        <v>0</v>
      </c>
      <c r="T168" s="276">
        <v>0</v>
      </c>
      <c r="U168" s="276">
        <v>0</v>
      </c>
      <c r="V168" s="276">
        <v>0</v>
      </c>
      <c r="W168" s="276">
        <v>0</v>
      </c>
      <c r="X168" s="276">
        <v>0</v>
      </c>
      <c r="Y168" s="276">
        <v>162300</v>
      </c>
      <c r="Z168" s="276">
        <v>423</v>
      </c>
      <c r="AA168" s="276">
        <v>-500</v>
      </c>
      <c r="AB168" s="276">
        <v>1</v>
      </c>
      <c r="AC168" s="276">
        <v>142507</v>
      </c>
      <c r="AD168" s="276">
        <v>-500</v>
      </c>
      <c r="AE168" s="276">
        <v>23752.2</v>
      </c>
      <c r="AF168" s="276">
        <v>-4546.1400000000003</v>
      </c>
      <c r="AG168" s="276">
        <v>0</v>
      </c>
      <c r="AH168" s="276">
        <v>8934.6</v>
      </c>
      <c r="AI168" s="276">
        <v>-2680.38</v>
      </c>
      <c r="AJ168" s="276">
        <v>0</v>
      </c>
      <c r="AK168" s="276">
        <v>14817.6</v>
      </c>
      <c r="AL168" s="276">
        <v>-1865.76</v>
      </c>
      <c r="AM168" s="276">
        <v>0</v>
      </c>
      <c r="AN168" s="276"/>
      <c r="AO168" s="276">
        <v>0</v>
      </c>
      <c r="AP168" s="276">
        <v>0</v>
      </c>
      <c r="AQ168" s="276">
        <v>112849.14</v>
      </c>
    </row>
    <row r="169" spans="1:43">
      <c r="A169" s="276" t="s">
        <v>293</v>
      </c>
      <c r="B169" s="276">
        <v>500</v>
      </c>
      <c r="C169" s="276">
        <v>13000</v>
      </c>
      <c r="D169" s="276">
        <v>26</v>
      </c>
      <c r="E169" s="276">
        <v>0</v>
      </c>
      <c r="F169" s="276">
        <v>0</v>
      </c>
      <c r="G169" s="276">
        <v>0</v>
      </c>
      <c r="H169" s="276">
        <v>1541</v>
      </c>
      <c r="I169" s="276">
        <v>0</v>
      </c>
      <c r="J169" s="276">
        <v>0</v>
      </c>
      <c r="K169" s="276">
        <v>0</v>
      </c>
      <c r="L169" s="276">
        <v>0</v>
      </c>
      <c r="M169" s="276">
        <v>0</v>
      </c>
      <c r="N169" s="276">
        <v>0</v>
      </c>
      <c r="O169" s="276">
        <v>0</v>
      </c>
      <c r="P169" s="276">
        <v>0</v>
      </c>
      <c r="Q169" s="276">
        <v>0</v>
      </c>
      <c r="R169" s="276">
        <v>0</v>
      </c>
      <c r="S169" s="276">
        <v>0</v>
      </c>
      <c r="T169" s="276">
        <v>0</v>
      </c>
      <c r="U169" s="276">
        <v>0</v>
      </c>
      <c r="V169" s="276">
        <v>0</v>
      </c>
      <c r="W169" s="276">
        <v>0</v>
      </c>
      <c r="X169" s="276">
        <v>0</v>
      </c>
      <c r="Y169" s="276">
        <v>13000</v>
      </c>
      <c r="Z169" s="276">
        <v>1567</v>
      </c>
      <c r="AA169" s="276">
        <v>0</v>
      </c>
      <c r="AB169" s="276">
        <v>0</v>
      </c>
      <c r="AC169" s="276">
        <v>11724</v>
      </c>
      <c r="AD169" s="276">
        <v>0</v>
      </c>
      <c r="AE169" s="276">
        <v>1531.2</v>
      </c>
      <c r="AF169" s="276">
        <v>-459.36</v>
      </c>
      <c r="AG169" s="276">
        <v>0</v>
      </c>
      <c r="AH169" s="276">
        <v>331.2</v>
      </c>
      <c r="AI169" s="276">
        <v>-99.36</v>
      </c>
      <c r="AJ169" s="276">
        <v>0</v>
      </c>
      <c r="AK169" s="276">
        <v>1200</v>
      </c>
      <c r="AL169" s="276">
        <v>-360</v>
      </c>
      <c r="AM169" s="276">
        <v>0</v>
      </c>
      <c r="AN169" s="276"/>
      <c r="AO169" s="276">
        <v>0</v>
      </c>
      <c r="AP169" s="276">
        <v>0</v>
      </c>
      <c r="AQ169" s="276">
        <v>8957.09</v>
      </c>
    </row>
    <row r="170" spans="1:43">
      <c r="A170" s="276" t="s">
        <v>293</v>
      </c>
      <c r="B170" s="276">
        <v>500</v>
      </c>
      <c r="C170" s="276">
        <v>72500</v>
      </c>
      <c r="D170" s="276">
        <v>145</v>
      </c>
      <c r="E170" s="276">
        <v>0</v>
      </c>
      <c r="F170" s="276">
        <v>62100</v>
      </c>
      <c r="G170" s="276">
        <v>207</v>
      </c>
      <c r="H170" s="276">
        <v>0</v>
      </c>
      <c r="I170" s="276">
        <v>0</v>
      </c>
      <c r="J170" s="276">
        <v>0</v>
      </c>
      <c r="K170" s="276">
        <v>0</v>
      </c>
      <c r="L170" s="276">
        <v>0</v>
      </c>
      <c r="M170" s="276">
        <v>0</v>
      </c>
      <c r="N170" s="276">
        <v>0</v>
      </c>
      <c r="O170" s="276">
        <v>0</v>
      </c>
      <c r="P170" s="276">
        <v>0</v>
      </c>
      <c r="Q170" s="276">
        <v>0</v>
      </c>
      <c r="R170" s="276">
        <v>0</v>
      </c>
      <c r="S170" s="276">
        <v>0</v>
      </c>
      <c r="T170" s="276">
        <v>0</v>
      </c>
      <c r="U170" s="276">
        <v>0</v>
      </c>
      <c r="V170" s="276">
        <v>0</v>
      </c>
      <c r="W170" s="276">
        <v>0</v>
      </c>
      <c r="X170" s="276">
        <v>0</v>
      </c>
      <c r="Y170" s="276">
        <v>134600</v>
      </c>
      <c r="Z170" s="276">
        <v>352</v>
      </c>
      <c r="AA170" s="276">
        <v>0</v>
      </c>
      <c r="AB170" s="276">
        <v>0</v>
      </c>
      <c r="AC170" s="276">
        <v>116947</v>
      </c>
      <c r="AD170" s="276">
        <v>0</v>
      </c>
      <c r="AE170" s="276">
        <v>21184.2</v>
      </c>
      <c r="AF170" s="276">
        <v>-3833.34</v>
      </c>
      <c r="AG170" s="276">
        <v>0</v>
      </c>
      <c r="AH170" s="276">
        <v>6654.6</v>
      </c>
      <c r="AI170" s="276">
        <v>-1996.38</v>
      </c>
      <c r="AJ170" s="276">
        <v>0</v>
      </c>
      <c r="AK170" s="276">
        <v>14529.6</v>
      </c>
      <c r="AL170" s="276">
        <v>-1836.96</v>
      </c>
      <c r="AM170" s="276">
        <v>0</v>
      </c>
      <c r="AN170" s="276"/>
      <c r="AO170" s="276">
        <v>0</v>
      </c>
      <c r="AP170" s="276">
        <v>0</v>
      </c>
      <c r="AQ170" s="276">
        <v>94008.5</v>
      </c>
    </row>
    <row r="171" spans="1:43">
      <c r="A171" s="276" t="s">
        <v>293</v>
      </c>
      <c r="B171" s="276">
        <v>500</v>
      </c>
      <c r="C171" s="276">
        <v>74000</v>
      </c>
      <c r="D171" s="276">
        <v>148</v>
      </c>
      <c r="E171" s="276">
        <v>0</v>
      </c>
      <c r="F171" s="276">
        <v>58800</v>
      </c>
      <c r="G171" s="276">
        <v>196</v>
      </c>
      <c r="H171" s="276">
        <v>0</v>
      </c>
      <c r="I171" s="276">
        <v>0</v>
      </c>
      <c r="J171" s="276">
        <v>0</v>
      </c>
      <c r="K171" s="276">
        <v>0</v>
      </c>
      <c r="L171" s="276">
        <v>0</v>
      </c>
      <c r="M171" s="276">
        <v>0</v>
      </c>
      <c r="N171" s="276">
        <v>0</v>
      </c>
      <c r="O171" s="276">
        <v>0</v>
      </c>
      <c r="P171" s="276">
        <v>0</v>
      </c>
      <c r="Q171" s="276">
        <v>0</v>
      </c>
      <c r="R171" s="276">
        <v>0</v>
      </c>
      <c r="S171" s="276">
        <v>0</v>
      </c>
      <c r="T171" s="276">
        <v>0</v>
      </c>
      <c r="U171" s="276">
        <v>0</v>
      </c>
      <c r="V171" s="276">
        <v>0</v>
      </c>
      <c r="W171" s="276">
        <v>0</v>
      </c>
      <c r="X171" s="276">
        <v>0</v>
      </c>
      <c r="Y171" s="276">
        <v>132800</v>
      </c>
      <c r="Z171" s="276">
        <v>344</v>
      </c>
      <c r="AA171" s="276">
        <v>0</v>
      </c>
      <c r="AB171" s="276">
        <v>0</v>
      </c>
      <c r="AC171" s="276">
        <v>115797</v>
      </c>
      <c r="AD171" s="276">
        <v>0</v>
      </c>
      <c r="AE171" s="276">
        <v>20404.2</v>
      </c>
      <c r="AF171" s="276">
        <v>-3688.14</v>
      </c>
      <c r="AG171" s="276">
        <v>0</v>
      </c>
      <c r="AH171" s="276">
        <v>6318.6</v>
      </c>
      <c r="AI171" s="276">
        <v>-1895.58</v>
      </c>
      <c r="AJ171" s="276">
        <v>0</v>
      </c>
      <c r="AK171" s="276">
        <v>14085.6</v>
      </c>
      <c r="AL171" s="276">
        <v>-1792.56</v>
      </c>
      <c r="AM171" s="276">
        <v>0</v>
      </c>
      <c r="AN171" s="276"/>
      <c r="AO171" s="276">
        <v>0</v>
      </c>
      <c r="AP171" s="276">
        <v>0</v>
      </c>
      <c r="AQ171" s="276">
        <v>92759.14</v>
      </c>
    </row>
    <row r="172" spans="1:43">
      <c r="A172" s="276" t="s">
        <v>293</v>
      </c>
      <c r="B172" s="276">
        <v>500</v>
      </c>
      <c r="C172" s="276">
        <v>75500</v>
      </c>
      <c r="D172" s="276">
        <v>151</v>
      </c>
      <c r="E172" s="276">
        <v>0</v>
      </c>
      <c r="F172" s="276">
        <v>57000</v>
      </c>
      <c r="G172" s="276">
        <v>190</v>
      </c>
      <c r="H172" s="276">
        <v>0</v>
      </c>
      <c r="I172" s="276">
        <v>0</v>
      </c>
      <c r="J172" s="276">
        <v>0</v>
      </c>
      <c r="K172" s="276">
        <v>0</v>
      </c>
      <c r="L172" s="276">
        <v>0</v>
      </c>
      <c r="M172" s="276">
        <v>0</v>
      </c>
      <c r="N172" s="276">
        <v>0</v>
      </c>
      <c r="O172" s="276">
        <v>0</v>
      </c>
      <c r="P172" s="276">
        <v>0</v>
      </c>
      <c r="Q172" s="276">
        <v>0</v>
      </c>
      <c r="R172" s="276">
        <v>0</v>
      </c>
      <c r="S172" s="276">
        <v>0</v>
      </c>
      <c r="T172" s="276">
        <v>0</v>
      </c>
      <c r="U172" s="276">
        <v>0</v>
      </c>
      <c r="V172" s="276">
        <v>0</v>
      </c>
      <c r="W172" s="276">
        <v>0</v>
      </c>
      <c r="X172" s="276">
        <v>0</v>
      </c>
      <c r="Y172" s="276">
        <v>132500</v>
      </c>
      <c r="Z172" s="276">
        <v>341</v>
      </c>
      <c r="AA172" s="276">
        <v>0</v>
      </c>
      <c r="AB172" s="276">
        <v>0</v>
      </c>
      <c r="AC172" s="276">
        <v>116347</v>
      </c>
      <c r="AD172" s="276">
        <v>0</v>
      </c>
      <c r="AE172" s="276">
        <v>19384.2</v>
      </c>
      <c r="AF172" s="276">
        <v>-3461.34</v>
      </c>
      <c r="AG172" s="276">
        <v>0</v>
      </c>
      <c r="AH172" s="276">
        <v>5694.6</v>
      </c>
      <c r="AI172" s="276">
        <v>-1708.38</v>
      </c>
      <c r="AJ172" s="276">
        <v>0</v>
      </c>
      <c r="AK172" s="276">
        <v>13689.6</v>
      </c>
      <c r="AL172" s="276">
        <v>-1752.96</v>
      </c>
      <c r="AM172" s="276">
        <v>0</v>
      </c>
      <c r="AN172" s="276"/>
      <c r="AO172" s="276">
        <v>0</v>
      </c>
      <c r="AP172" s="276">
        <v>0</v>
      </c>
      <c r="AQ172" s="276">
        <v>92588.9</v>
      </c>
    </row>
    <row r="173" spans="1:43">
      <c r="A173" s="276" t="s">
        <v>293</v>
      </c>
      <c r="B173" s="276">
        <v>500</v>
      </c>
      <c r="C173" s="276">
        <v>83500</v>
      </c>
      <c r="D173" s="276">
        <v>167</v>
      </c>
      <c r="E173" s="276">
        <v>0</v>
      </c>
      <c r="F173" s="276">
        <v>57900</v>
      </c>
      <c r="G173" s="276">
        <v>193</v>
      </c>
      <c r="H173" s="276">
        <v>0</v>
      </c>
      <c r="I173" s="276">
        <v>0</v>
      </c>
      <c r="J173" s="276">
        <v>0</v>
      </c>
      <c r="K173" s="276">
        <v>0</v>
      </c>
      <c r="L173" s="276">
        <v>0</v>
      </c>
      <c r="M173" s="276">
        <v>0</v>
      </c>
      <c r="N173" s="276">
        <v>0</v>
      </c>
      <c r="O173" s="276">
        <v>0</v>
      </c>
      <c r="P173" s="276">
        <v>0</v>
      </c>
      <c r="Q173" s="276">
        <v>0</v>
      </c>
      <c r="R173" s="276">
        <v>0</v>
      </c>
      <c r="S173" s="276">
        <v>0</v>
      </c>
      <c r="T173" s="276">
        <v>0</v>
      </c>
      <c r="U173" s="276">
        <v>0</v>
      </c>
      <c r="V173" s="276">
        <v>0</v>
      </c>
      <c r="W173" s="276">
        <v>0</v>
      </c>
      <c r="X173" s="276">
        <v>0</v>
      </c>
      <c r="Y173" s="276">
        <v>141400</v>
      </c>
      <c r="Z173" s="276">
        <v>360</v>
      </c>
      <c r="AA173" s="276">
        <v>0</v>
      </c>
      <c r="AB173" s="276">
        <v>0</v>
      </c>
      <c r="AC173" s="276">
        <v>125247</v>
      </c>
      <c r="AD173" s="276">
        <v>0</v>
      </c>
      <c r="AE173" s="276">
        <v>19384.2</v>
      </c>
      <c r="AF173" s="276">
        <v>-3533.34</v>
      </c>
      <c r="AG173" s="276">
        <v>0</v>
      </c>
      <c r="AH173" s="276">
        <v>6054.6</v>
      </c>
      <c r="AI173" s="276">
        <v>-1816.38</v>
      </c>
      <c r="AJ173" s="276">
        <v>0</v>
      </c>
      <c r="AK173" s="276">
        <v>13329.6</v>
      </c>
      <c r="AL173" s="276">
        <v>-1716.96</v>
      </c>
      <c r="AM173" s="276">
        <v>0</v>
      </c>
      <c r="AN173" s="276"/>
      <c r="AO173" s="276">
        <v>0</v>
      </c>
      <c r="AP173" s="276">
        <v>0</v>
      </c>
      <c r="AQ173" s="276">
        <v>98768.5</v>
      </c>
    </row>
    <row r="174" spans="1:43">
      <c r="A174" s="276" t="s">
        <v>293</v>
      </c>
      <c r="B174" s="276">
        <v>500</v>
      </c>
      <c r="C174" s="276">
        <v>88000</v>
      </c>
      <c r="D174" s="276">
        <v>176</v>
      </c>
      <c r="E174" s="276">
        <v>0</v>
      </c>
      <c r="F174" s="276">
        <v>61500</v>
      </c>
      <c r="G174" s="276">
        <v>205</v>
      </c>
      <c r="H174" s="276">
        <v>0</v>
      </c>
      <c r="I174" s="276">
        <v>0</v>
      </c>
      <c r="J174" s="276">
        <v>0</v>
      </c>
      <c r="K174" s="276">
        <v>0</v>
      </c>
      <c r="L174" s="276">
        <v>0</v>
      </c>
      <c r="M174" s="276">
        <v>0</v>
      </c>
      <c r="N174" s="276">
        <v>0</v>
      </c>
      <c r="O174" s="276">
        <v>0</v>
      </c>
      <c r="P174" s="276">
        <v>0</v>
      </c>
      <c r="Q174" s="276">
        <v>0</v>
      </c>
      <c r="R174" s="276">
        <v>0</v>
      </c>
      <c r="S174" s="276">
        <v>0</v>
      </c>
      <c r="T174" s="276">
        <v>0</v>
      </c>
      <c r="U174" s="276">
        <v>0</v>
      </c>
      <c r="V174" s="276">
        <v>0</v>
      </c>
      <c r="W174" s="276">
        <v>0</v>
      </c>
      <c r="X174" s="276">
        <v>0</v>
      </c>
      <c r="Y174" s="276">
        <v>149500</v>
      </c>
      <c r="Z174" s="276">
        <v>381</v>
      </c>
      <c r="AA174" s="276">
        <v>0</v>
      </c>
      <c r="AB174" s="276">
        <v>0</v>
      </c>
      <c r="AC174" s="276">
        <v>133597</v>
      </c>
      <c r="AD174" s="276">
        <v>0</v>
      </c>
      <c r="AE174" s="276">
        <v>19084.2</v>
      </c>
      <c r="AF174" s="276">
        <v>-3479.34</v>
      </c>
      <c r="AG174" s="276">
        <v>0</v>
      </c>
      <c r="AH174" s="276">
        <v>5934.6</v>
      </c>
      <c r="AI174" s="276">
        <v>-1780.38</v>
      </c>
      <c r="AJ174" s="276">
        <v>0</v>
      </c>
      <c r="AK174" s="276">
        <v>13149.6</v>
      </c>
      <c r="AL174" s="276">
        <v>-1698.96</v>
      </c>
      <c r="AM174" s="276">
        <v>0</v>
      </c>
      <c r="AN174" s="276"/>
      <c r="AO174" s="276">
        <v>0</v>
      </c>
      <c r="AP174" s="276">
        <v>0</v>
      </c>
      <c r="AQ174" s="276">
        <v>104441.3</v>
      </c>
    </row>
    <row r="175" spans="1:43">
      <c r="A175" s="276" t="s">
        <v>293</v>
      </c>
      <c r="B175" s="276">
        <v>500</v>
      </c>
      <c r="C175" s="276">
        <v>98500</v>
      </c>
      <c r="D175" s="276">
        <v>197</v>
      </c>
      <c r="E175" s="276">
        <v>0</v>
      </c>
      <c r="F175" s="276">
        <v>64200</v>
      </c>
      <c r="G175" s="276">
        <v>214</v>
      </c>
      <c r="H175" s="276">
        <v>0</v>
      </c>
      <c r="I175" s="276">
        <v>0</v>
      </c>
      <c r="J175" s="276">
        <v>0</v>
      </c>
      <c r="K175" s="276">
        <v>0</v>
      </c>
      <c r="L175" s="276">
        <v>0</v>
      </c>
      <c r="M175" s="276">
        <v>0</v>
      </c>
      <c r="N175" s="276">
        <v>0</v>
      </c>
      <c r="O175" s="276">
        <v>0</v>
      </c>
      <c r="P175" s="276">
        <v>0</v>
      </c>
      <c r="Q175" s="276">
        <v>0</v>
      </c>
      <c r="R175" s="276">
        <v>0</v>
      </c>
      <c r="S175" s="276">
        <v>0</v>
      </c>
      <c r="T175" s="276">
        <v>0</v>
      </c>
      <c r="U175" s="276">
        <v>0</v>
      </c>
      <c r="V175" s="276">
        <v>0</v>
      </c>
      <c r="W175" s="276">
        <v>0</v>
      </c>
      <c r="X175" s="276">
        <v>0</v>
      </c>
      <c r="Y175" s="276">
        <v>162700</v>
      </c>
      <c r="Z175" s="276">
        <v>411</v>
      </c>
      <c r="AA175" s="276">
        <v>0</v>
      </c>
      <c r="AB175" s="276">
        <v>0</v>
      </c>
      <c r="AC175" s="276">
        <v>145297</v>
      </c>
      <c r="AD175" s="276">
        <v>0</v>
      </c>
      <c r="AE175" s="276">
        <v>20884.2</v>
      </c>
      <c r="AF175" s="276">
        <v>-3863.34</v>
      </c>
      <c r="AG175" s="276">
        <v>0</v>
      </c>
      <c r="AH175" s="276">
        <v>6354.6</v>
      </c>
      <c r="AI175" s="276">
        <v>-1906.38</v>
      </c>
      <c r="AJ175" s="276">
        <v>0</v>
      </c>
      <c r="AK175" s="276">
        <v>14529.6</v>
      </c>
      <c r="AL175" s="276">
        <v>-1956.96</v>
      </c>
      <c r="AM175" s="276">
        <v>0</v>
      </c>
      <c r="AN175" s="276"/>
      <c r="AO175" s="276">
        <v>0</v>
      </c>
      <c r="AP175" s="276">
        <v>0</v>
      </c>
      <c r="AQ175" s="276">
        <v>113622.5</v>
      </c>
    </row>
    <row r="176" spans="1:43">
      <c r="A176" s="276" t="s">
        <v>293</v>
      </c>
      <c r="B176" s="276">
        <v>500</v>
      </c>
      <c r="C176" s="276">
        <v>100000</v>
      </c>
      <c r="D176" s="276">
        <v>200</v>
      </c>
      <c r="E176" s="276">
        <v>0</v>
      </c>
      <c r="F176" s="276">
        <v>67800</v>
      </c>
      <c r="G176" s="276">
        <v>226</v>
      </c>
      <c r="H176" s="276">
        <v>0</v>
      </c>
      <c r="I176" s="276">
        <v>0</v>
      </c>
      <c r="J176" s="276">
        <v>0</v>
      </c>
      <c r="K176" s="276">
        <v>0</v>
      </c>
      <c r="L176" s="276">
        <v>0</v>
      </c>
      <c r="M176" s="276">
        <v>0</v>
      </c>
      <c r="N176" s="276">
        <v>0</v>
      </c>
      <c r="O176" s="276">
        <v>-500</v>
      </c>
      <c r="P176" s="276">
        <v>1</v>
      </c>
      <c r="Q176" s="276">
        <v>0</v>
      </c>
      <c r="R176" s="276">
        <v>0</v>
      </c>
      <c r="S176" s="276">
        <v>0</v>
      </c>
      <c r="T176" s="276">
        <v>0</v>
      </c>
      <c r="U176" s="276">
        <v>0</v>
      </c>
      <c r="V176" s="276">
        <v>0</v>
      </c>
      <c r="W176" s="276">
        <v>0</v>
      </c>
      <c r="X176" s="276">
        <v>0</v>
      </c>
      <c r="Y176" s="276">
        <v>167800</v>
      </c>
      <c r="Z176" s="276">
        <v>426</v>
      </c>
      <c r="AA176" s="276">
        <v>-500</v>
      </c>
      <c r="AB176" s="276">
        <v>1</v>
      </c>
      <c r="AC176" s="276">
        <v>151767</v>
      </c>
      <c r="AD176" s="276">
        <v>-500</v>
      </c>
      <c r="AE176" s="276">
        <v>19240.2</v>
      </c>
      <c r="AF176" s="276">
        <v>-3715.74</v>
      </c>
      <c r="AG176" s="276">
        <v>0</v>
      </c>
      <c r="AH176" s="276">
        <v>6438.6</v>
      </c>
      <c r="AI176" s="276">
        <v>-1931.58</v>
      </c>
      <c r="AJ176" s="276">
        <v>0</v>
      </c>
      <c r="AK176" s="276">
        <v>12801.6</v>
      </c>
      <c r="AL176" s="276">
        <v>-1784.16</v>
      </c>
      <c r="AM176" s="276">
        <v>0</v>
      </c>
      <c r="AN176" s="276"/>
      <c r="AO176" s="276">
        <v>0</v>
      </c>
      <c r="AP176" s="276">
        <v>0</v>
      </c>
      <c r="AQ176" s="276">
        <v>116754.02</v>
      </c>
    </row>
    <row r="177" spans="1:43">
      <c r="A177" s="276" t="s">
        <v>293</v>
      </c>
      <c r="B177" s="276">
        <v>500</v>
      </c>
      <c r="C177" s="276">
        <v>116500</v>
      </c>
      <c r="D177" s="276">
        <v>233</v>
      </c>
      <c r="E177" s="276">
        <v>0</v>
      </c>
      <c r="F177" s="276">
        <v>71100</v>
      </c>
      <c r="G177" s="276">
        <v>237</v>
      </c>
      <c r="H177" s="276">
        <v>0</v>
      </c>
      <c r="I177" s="276">
        <v>0</v>
      </c>
      <c r="J177" s="276">
        <v>0</v>
      </c>
      <c r="K177" s="276">
        <v>0</v>
      </c>
      <c r="L177" s="276">
        <v>0</v>
      </c>
      <c r="M177" s="276">
        <v>0</v>
      </c>
      <c r="N177" s="276">
        <v>0</v>
      </c>
      <c r="O177" s="276">
        <v>0</v>
      </c>
      <c r="P177" s="276">
        <v>0</v>
      </c>
      <c r="Q177" s="276">
        <v>0</v>
      </c>
      <c r="R177" s="276">
        <v>0</v>
      </c>
      <c r="S177" s="276">
        <v>0</v>
      </c>
      <c r="T177" s="276">
        <v>0</v>
      </c>
      <c r="U177" s="276">
        <v>0</v>
      </c>
      <c r="V177" s="276">
        <v>0</v>
      </c>
      <c r="W177" s="276">
        <v>0</v>
      </c>
      <c r="X177" s="276">
        <v>0</v>
      </c>
      <c r="Y177" s="276">
        <v>187600</v>
      </c>
      <c r="Z177" s="276">
        <v>470</v>
      </c>
      <c r="AA177" s="276">
        <v>0</v>
      </c>
      <c r="AB177" s="276">
        <v>0</v>
      </c>
      <c r="AC177" s="276">
        <v>169647</v>
      </c>
      <c r="AD177" s="276">
        <v>0</v>
      </c>
      <c r="AE177" s="276">
        <v>21544.2</v>
      </c>
      <c r="AF177" s="276">
        <v>-4277.34</v>
      </c>
      <c r="AG177" s="276">
        <v>0</v>
      </c>
      <c r="AH177" s="276">
        <v>7734.6</v>
      </c>
      <c r="AI177" s="276">
        <v>-2320.38</v>
      </c>
      <c r="AJ177" s="276">
        <v>0</v>
      </c>
      <c r="AK177" s="276">
        <v>13809.6</v>
      </c>
      <c r="AL177" s="276">
        <v>-1956.96</v>
      </c>
      <c r="AM177" s="276">
        <v>0</v>
      </c>
      <c r="AN177" s="276"/>
      <c r="AO177" s="276">
        <v>0</v>
      </c>
      <c r="AP177" s="276">
        <v>0</v>
      </c>
      <c r="AQ177" s="276">
        <v>130839.7</v>
      </c>
    </row>
    <row r="178" spans="1:43">
      <c r="A178" s="276" t="s">
        <v>293</v>
      </c>
      <c r="B178" s="276">
        <v>500</v>
      </c>
      <c r="C178" s="276">
        <v>144500</v>
      </c>
      <c r="D178" s="276">
        <v>289</v>
      </c>
      <c r="E178" s="276">
        <v>0</v>
      </c>
      <c r="F178" s="276">
        <v>78900</v>
      </c>
      <c r="G178" s="276">
        <v>263</v>
      </c>
      <c r="H178" s="276">
        <v>0</v>
      </c>
      <c r="I178" s="276">
        <v>0</v>
      </c>
      <c r="J178" s="276">
        <v>0</v>
      </c>
      <c r="K178" s="276">
        <v>0</v>
      </c>
      <c r="L178" s="276">
        <v>0</v>
      </c>
      <c r="M178" s="276">
        <v>0</v>
      </c>
      <c r="N178" s="276">
        <v>0</v>
      </c>
      <c r="O178" s="276">
        <v>-500</v>
      </c>
      <c r="P178" s="276">
        <v>1</v>
      </c>
      <c r="Q178" s="276">
        <v>0</v>
      </c>
      <c r="R178" s="276">
        <v>0</v>
      </c>
      <c r="S178" s="276">
        <v>0</v>
      </c>
      <c r="T178" s="276">
        <v>0</v>
      </c>
      <c r="U178" s="276">
        <v>0</v>
      </c>
      <c r="V178" s="276">
        <v>0</v>
      </c>
      <c r="W178" s="276">
        <v>0</v>
      </c>
      <c r="X178" s="276">
        <v>0</v>
      </c>
      <c r="Y178" s="276">
        <v>223400</v>
      </c>
      <c r="Z178" s="276">
        <v>552</v>
      </c>
      <c r="AA178" s="276">
        <v>-500</v>
      </c>
      <c r="AB178" s="276">
        <v>1</v>
      </c>
      <c r="AC178" s="276">
        <v>204177</v>
      </c>
      <c r="AD178" s="276">
        <v>-500</v>
      </c>
      <c r="AE178" s="276">
        <v>23068.2</v>
      </c>
      <c r="AF178" s="276">
        <v>-4525.74</v>
      </c>
      <c r="AG178" s="276">
        <v>0</v>
      </c>
      <c r="AH178" s="276">
        <v>8814.6</v>
      </c>
      <c r="AI178" s="276">
        <v>-2644.38</v>
      </c>
      <c r="AJ178" s="276">
        <v>0</v>
      </c>
      <c r="AK178" s="276">
        <v>14253.6</v>
      </c>
      <c r="AL178" s="276">
        <v>-1881.36</v>
      </c>
      <c r="AM178" s="276">
        <v>0</v>
      </c>
      <c r="AN178" s="276"/>
      <c r="AO178" s="276">
        <v>0</v>
      </c>
      <c r="AP178" s="276">
        <v>0</v>
      </c>
      <c r="AQ178" s="276">
        <v>155553.62</v>
      </c>
    </row>
    <row r="179" spans="1:43">
      <c r="A179" s="276" t="s">
        <v>293</v>
      </c>
      <c r="B179" s="276">
        <v>500</v>
      </c>
      <c r="C179" s="276">
        <v>163000</v>
      </c>
      <c r="D179" s="276">
        <v>326</v>
      </c>
      <c r="E179" s="276">
        <v>0</v>
      </c>
      <c r="F179" s="276">
        <v>88200</v>
      </c>
      <c r="G179" s="276">
        <v>294</v>
      </c>
      <c r="H179" s="276">
        <v>0</v>
      </c>
      <c r="I179" s="276">
        <v>0</v>
      </c>
      <c r="J179" s="276">
        <v>0</v>
      </c>
      <c r="K179" s="276">
        <v>0</v>
      </c>
      <c r="L179" s="276">
        <v>0</v>
      </c>
      <c r="M179" s="276">
        <v>0</v>
      </c>
      <c r="N179" s="276">
        <v>0</v>
      </c>
      <c r="O179" s="276">
        <v>0</v>
      </c>
      <c r="P179" s="276">
        <v>0</v>
      </c>
      <c r="Q179" s="276">
        <v>-300</v>
      </c>
      <c r="R179" s="276">
        <v>1</v>
      </c>
      <c r="S179" s="276">
        <v>0</v>
      </c>
      <c r="T179" s="276">
        <v>0</v>
      </c>
      <c r="U179" s="276">
        <v>0</v>
      </c>
      <c r="V179" s="276">
        <v>0</v>
      </c>
      <c r="W179" s="276">
        <v>0</v>
      </c>
      <c r="X179" s="276">
        <v>0</v>
      </c>
      <c r="Y179" s="276">
        <v>251200</v>
      </c>
      <c r="Z179" s="276">
        <v>620</v>
      </c>
      <c r="AA179" s="276">
        <v>-300</v>
      </c>
      <c r="AB179" s="276">
        <v>1</v>
      </c>
      <c r="AC179" s="276">
        <v>229793</v>
      </c>
      <c r="AD179" s="276">
        <v>-300</v>
      </c>
      <c r="AE179" s="276">
        <v>25689</v>
      </c>
      <c r="AF179" s="276">
        <v>-5277.42</v>
      </c>
      <c r="AG179" s="276">
        <v>0</v>
      </c>
      <c r="AH179" s="276">
        <v>9702.6</v>
      </c>
      <c r="AI179" s="276">
        <v>-2910.78</v>
      </c>
      <c r="AJ179" s="276">
        <v>0</v>
      </c>
      <c r="AK179" s="276">
        <v>15986.4</v>
      </c>
      <c r="AL179" s="276">
        <v>-2366.64</v>
      </c>
      <c r="AM179" s="276">
        <v>0</v>
      </c>
      <c r="AN179" s="276"/>
      <c r="AO179" s="276">
        <v>0</v>
      </c>
      <c r="AP179" s="276">
        <v>0</v>
      </c>
      <c r="AQ179" s="276">
        <v>174933.2</v>
      </c>
    </row>
    <row r="180" spans="1:43">
      <c r="A180" s="276" t="s">
        <v>293</v>
      </c>
      <c r="B180" s="276">
        <v>500</v>
      </c>
      <c r="C180" s="276">
        <v>18500</v>
      </c>
      <c r="D180" s="276">
        <v>37</v>
      </c>
      <c r="E180" s="276">
        <v>0</v>
      </c>
      <c r="F180" s="276">
        <v>10200</v>
      </c>
      <c r="G180" s="276">
        <v>34</v>
      </c>
      <c r="H180" s="276">
        <v>1378</v>
      </c>
      <c r="I180" s="276">
        <v>0</v>
      </c>
      <c r="J180" s="276">
        <v>0</v>
      </c>
      <c r="K180" s="276">
        <v>0</v>
      </c>
      <c r="L180" s="276">
        <v>0</v>
      </c>
      <c r="M180" s="276">
        <v>0</v>
      </c>
      <c r="N180" s="276">
        <v>0</v>
      </c>
      <c r="O180" s="276">
        <v>0</v>
      </c>
      <c r="P180" s="276">
        <v>0</v>
      </c>
      <c r="Q180" s="276">
        <v>0</v>
      </c>
      <c r="R180" s="276">
        <v>0</v>
      </c>
      <c r="S180" s="276">
        <v>0</v>
      </c>
      <c r="T180" s="276">
        <v>0</v>
      </c>
      <c r="U180" s="276">
        <v>0</v>
      </c>
      <c r="V180" s="276">
        <v>0</v>
      </c>
      <c r="W180" s="276">
        <v>0</v>
      </c>
      <c r="X180" s="276">
        <v>0</v>
      </c>
      <c r="Y180" s="276">
        <v>28700</v>
      </c>
      <c r="Z180" s="276">
        <v>1449</v>
      </c>
      <c r="AA180" s="276">
        <v>0</v>
      </c>
      <c r="AB180" s="276">
        <v>0</v>
      </c>
      <c r="AC180" s="276">
        <v>26024</v>
      </c>
      <c r="AD180" s="276">
        <v>0</v>
      </c>
      <c r="AE180" s="276">
        <v>3211.2</v>
      </c>
      <c r="AF180" s="276">
        <v>-891.36</v>
      </c>
      <c r="AG180" s="276">
        <v>0</v>
      </c>
      <c r="AH180" s="276">
        <v>1051.2</v>
      </c>
      <c r="AI180" s="276">
        <v>-315.36</v>
      </c>
      <c r="AJ180" s="276">
        <v>0</v>
      </c>
      <c r="AK180" s="276">
        <v>2160</v>
      </c>
      <c r="AL180" s="276">
        <v>-576</v>
      </c>
      <c r="AM180" s="276">
        <v>0</v>
      </c>
      <c r="AN180" s="276"/>
      <c r="AO180" s="276">
        <v>0</v>
      </c>
      <c r="AP180" s="276">
        <v>0</v>
      </c>
      <c r="AQ180" s="276">
        <v>19840.689999999999</v>
      </c>
    </row>
    <row r="181" spans="1:43">
      <c r="A181" s="276" t="s">
        <v>293</v>
      </c>
      <c r="B181" s="276">
        <v>500</v>
      </c>
      <c r="C181" s="276">
        <v>300500</v>
      </c>
      <c r="D181" s="276">
        <v>601</v>
      </c>
      <c r="E181" s="276">
        <v>0</v>
      </c>
      <c r="F181" s="276">
        <v>139800</v>
      </c>
      <c r="G181" s="276">
        <v>466</v>
      </c>
      <c r="H181" s="276">
        <v>0</v>
      </c>
      <c r="I181" s="276">
        <v>0</v>
      </c>
      <c r="J181" s="276">
        <v>0</v>
      </c>
      <c r="K181" s="276">
        <v>0</v>
      </c>
      <c r="L181" s="276">
        <v>0</v>
      </c>
      <c r="M181" s="276">
        <v>0</v>
      </c>
      <c r="N181" s="276">
        <v>0</v>
      </c>
      <c r="O181" s="276">
        <v>-1500</v>
      </c>
      <c r="P181" s="276">
        <v>3</v>
      </c>
      <c r="Q181" s="276">
        <v>-600</v>
      </c>
      <c r="R181" s="276">
        <v>2</v>
      </c>
      <c r="S181" s="276">
        <v>0</v>
      </c>
      <c r="T181" s="276">
        <v>0</v>
      </c>
      <c r="U181" s="276">
        <v>0</v>
      </c>
      <c r="V181" s="276">
        <v>0</v>
      </c>
      <c r="W181" s="276">
        <v>0</v>
      </c>
      <c r="X181" s="276">
        <v>0</v>
      </c>
      <c r="Y181" s="276">
        <v>440300</v>
      </c>
      <c r="Z181" s="276">
        <v>1067</v>
      </c>
      <c r="AA181" s="276">
        <v>-2100</v>
      </c>
      <c r="AB181" s="276">
        <v>5</v>
      </c>
      <c r="AC181" s="276">
        <v>411325</v>
      </c>
      <c r="AD181" s="276">
        <v>-2100</v>
      </c>
      <c r="AE181" s="276">
        <v>34771.599999999999</v>
      </c>
      <c r="AF181" s="276">
        <v>-7505.64</v>
      </c>
      <c r="AG181" s="276">
        <v>0</v>
      </c>
      <c r="AH181" s="276">
        <v>14802.4</v>
      </c>
      <c r="AI181" s="276">
        <v>-4440.72</v>
      </c>
      <c r="AJ181" s="276">
        <v>0</v>
      </c>
      <c r="AK181" s="276">
        <v>19969.2</v>
      </c>
      <c r="AL181" s="276">
        <v>-3064.92</v>
      </c>
      <c r="AM181" s="276">
        <v>0</v>
      </c>
      <c r="AN181" s="276"/>
      <c r="AO181" s="276">
        <v>0</v>
      </c>
      <c r="AP181" s="276">
        <v>0</v>
      </c>
      <c r="AQ181" s="276">
        <v>305543.67</v>
      </c>
    </row>
    <row r="182" spans="1:43">
      <c r="A182" s="276" t="s">
        <v>293</v>
      </c>
      <c r="B182" s="276">
        <v>500</v>
      </c>
      <c r="C182" s="276">
        <v>1137000</v>
      </c>
      <c r="D182" s="276">
        <v>2274</v>
      </c>
      <c r="E182" s="276">
        <v>0</v>
      </c>
      <c r="F182" s="276">
        <v>498600</v>
      </c>
      <c r="G182" s="276">
        <v>1662</v>
      </c>
      <c r="H182" s="276">
        <v>0</v>
      </c>
      <c r="I182" s="276">
        <v>0</v>
      </c>
      <c r="J182" s="276">
        <v>0</v>
      </c>
      <c r="K182" s="276">
        <v>0</v>
      </c>
      <c r="L182" s="276">
        <v>0</v>
      </c>
      <c r="M182" s="276">
        <v>0</v>
      </c>
      <c r="N182" s="276">
        <v>0</v>
      </c>
      <c r="O182" s="276">
        <v>-1500</v>
      </c>
      <c r="P182" s="276">
        <v>3</v>
      </c>
      <c r="Q182" s="276">
        <v>-300</v>
      </c>
      <c r="R182" s="276">
        <v>1</v>
      </c>
      <c r="S182" s="276">
        <v>0</v>
      </c>
      <c r="T182" s="276">
        <v>0</v>
      </c>
      <c r="U182" s="276">
        <v>0</v>
      </c>
      <c r="V182" s="276">
        <v>0</v>
      </c>
      <c r="W182" s="276">
        <v>0</v>
      </c>
      <c r="X182" s="276">
        <v>0</v>
      </c>
      <c r="Y182" s="276">
        <v>1635600</v>
      </c>
      <c r="Z182" s="276">
        <v>3936</v>
      </c>
      <c r="AA182" s="276">
        <v>-1800</v>
      </c>
      <c r="AB182" s="276">
        <v>4</v>
      </c>
      <c r="AC182" s="276">
        <v>1539834</v>
      </c>
      <c r="AD182" s="276">
        <v>-1800</v>
      </c>
      <c r="AE182" s="276">
        <v>114924.63</v>
      </c>
      <c r="AF182" s="276">
        <v>-26787.55</v>
      </c>
      <c r="AG182" s="276">
        <v>0</v>
      </c>
      <c r="AH182" s="276">
        <v>41255.43</v>
      </c>
      <c r="AI182" s="276">
        <v>-12376.63</v>
      </c>
      <c r="AJ182" s="276">
        <v>0</v>
      </c>
      <c r="AK182" s="276">
        <v>73669.2</v>
      </c>
      <c r="AL182" s="276">
        <v>-14410.92</v>
      </c>
      <c r="AM182" s="276">
        <v>0</v>
      </c>
      <c r="AN182" s="276"/>
      <c r="AO182" s="276">
        <v>0</v>
      </c>
      <c r="AP182" s="276">
        <v>0</v>
      </c>
      <c r="AQ182" s="276">
        <v>1138319.75</v>
      </c>
    </row>
    <row r="183" spans="1:43">
      <c r="A183" s="276" t="s">
        <v>293</v>
      </c>
      <c r="B183" s="276">
        <v>500</v>
      </c>
      <c r="C183" s="276">
        <v>1073000</v>
      </c>
      <c r="D183" s="276">
        <v>2146</v>
      </c>
      <c r="E183" s="276">
        <v>0</v>
      </c>
      <c r="F183" s="276">
        <v>528600</v>
      </c>
      <c r="G183" s="276">
        <v>1762</v>
      </c>
      <c r="H183" s="276">
        <v>0</v>
      </c>
      <c r="I183" s="276">
        <v>0</v>
      </c>
      <c r="J183" s="276">
        <v>0</v>
      </c>
      <c r="K183" s="276">
        <v>0</v>
      </c>
      <c r="L183" s="276">
        <v>0</v>
      </c>
      <c r="M183" s="276">
        <v>0</v>
      </c>
      <c r="N183" s="276">
        <v>0</v>
      </c>
      <c r="O183" s="276">
        <v>0</v>
      </c>
      <c r="P183" s="276">
        <v>0</v>
      </c>
      <c r="Q183" s="276">
        <v>-300</v>
      </c>
      <c r="R183" s="276">
        <v>1</v>
      </c>
      <c r="S183" s="276">
        <v>0</v>
      </c>
      <c r="T183" s="276">
        <v>0</v>
      </c>
      <c r="U183" s="276">
        <v>0</v>
      </c>
      <c r="V183" s="276">
        <v>0</v>
      </c>
      <c r="W183" s="276">
        <v>0</v>
      </c>
      <c r="X183" s="276">
        <v>0</v>
      </c>
      <c r="Y183" s="276">
        <v>1601600</v>
      </c>
      <c r="Z183" s="276">
        <v>3908</v>
      </c>
      <c r="AA183" s="276">
        <v>-300</v>
      </c>
      <c r="AB183" s="276">
        <v>1</v>
      </c>
      <c r="AC183" s="276">
        <v>1510867</v>
      </c>
      <c r="AD183" s="276">
        <v>-300</v>
      </c>
      <c r="AE183" s="276">
        <v>108881.03</v>
      </c>
      <c r="AF183" s="276">
        <v>-21175.51</v>
      </c>
      <c r="AG183" s="276">
        <v>0</v>
      </c>
      <c r="AH183" s="276">
        <v>40217.03</v>
      </c>
      <c r="AI183" s="276">
        <v>-12065.11</v>
      </c>
      <c r="AJ183" s="276">
        <v>0</v>
      </c>
      <c r="AK183" s="276">
        <v>68664</v>
      </c>
      <c r="AL183" s="276">
        <v>-9110.4</v>
      </c>
      <c r="AM183" s="276">
        <v>0</v>
      </c>
      <c r="AN183" s="276"/>
      <c r="AO183" s="276">
        <v>0</v>
      </c>
      <c r="AP183" s="276">
        <v>0</v>
      </c>
      <c r="AQ183" s="276">
        <v>1118790.75</v>
      </c>
    </row>
    <row r="184" spans="1:43">
      <c r="A184" s="276" t="s">
        <v>293</v>
      </c>
      <c r="B184" s="276">
        <v>500</v>
      </c>
      <c r="C184" s="276">
        <v>892000</v>
      </c>
      <c r="D184" s="276">
        <v>1784</v>
      </c>
      <c r="E184" s="276">
        <v>0</v>
      </c>
      <c r="F184" s="276">
        <v>441900</v>
      </c>
      <c r="G184" s="276">
        <v>1473</v>
      </c>
      <c r="H184" s="276">
        <v>0</v>
      </c>
      <c r="I184" s="276">
        <v>0</v>
      </c>
      <c r="J184" s="276">
        <v>0</v>
      </c>
      <c r="K184" s="276">
        <v>0</v>
      </c>
      <c r="L184" s="276">
        <v>0</v>
      </c>
      <c r="M184" s="276">
        <v>0</v>
      </c>
      <c r="N184" s="276">
        <v>0</v>
      </c>
      <c r="O184" s="276">
        <v>0</v>
      </c>
      <c r="P184" s="276">
        <v>0</v>
      </c>
      <c r="Q184" s="276">
        <v>-300</v>
      </c>
      <c r="R184" s="276">
        <v>1</v>
      </c>
      <c r="S184" s="276">
        <v>0</v>
      </c>
      <c r="T184" s="276">
        <v>0</v>
      </c>
      <c r="U184" s="276">
        <v>0</v>
      </c>
      <c r="V184" s="276">
        <v>0</v>
      </c>
      <c r="W184" s="276">
        <v>0</v>
      </c>
      <c r="X184" s="276">
        <v>0</v>
      </c>
      <c r="Y184" s="276">
        <v>1333900</v>
      </c>
      <c r="Z184" s="276">
        <v>3257</v>
      </c>
      <c r="AA184" s="276">
        <v>-300</v>
      </c>
      <c r="AB184" s="276">
        <v>1</v>
      </c>
      <c r="AC184" s="276">
        <v>1251985</v>
      </c>
      <c r="AD184" s="276">
        <v>-300</v>
      </c>
      <c r="AE184" s="276">
        <v>98298.43</v>
      </c>
      <c r="AF184" s="276">
        <v>-18921.13</v>
      </c>
      <c r="AG184" s="276">
        <v>0</v>
      </c>
      <c r="AH184" s="276">
        <v>39216.43</v>
      </c>
      <c r="AI184" s="276">
        <v>-11764.93</v>
      </c>
      <c r="AJ184" s="276">
        <v>0</v>
      </c>
      <c r="AK184" s="276">
        <v>59082</v>
      </c>
      <c r="AL184" s="276">
        <v>-7156.2</v>
      </c>
      <c r="AM184" s="276">
        <v>0</v>
      </c>
      <c r="AN184" s="276"/>
      <c r="AO184" s="276">
        <v>0</v>
      </c>
      <c r="AP184" s="276">
        <v>0</v>
      </c>
      <c r="AQ184" s="276">
        <v>931743.6</v>
      </c>
    </row>
    <row r="185" spans="1:43">
      <c r="A185" s="276" t="s">
        <v>293</v>
      </c>
      <c r="B185" s="276">
        <v>500</v>
      </c>
      <c r="C185" s="276">
        <v>17000</v>
      </c>
      <c r="D185" s="276">
        <v>34</v>
      </c>
      <c r="E185" s="276">
        <v>0</v>
      </c>
      <c r="F185" s="276">
        <v>9300</v>
      </c>
      <c r="G185" s="276">
        <v>31</v>
      </c>
      <c r="H185" s="276">
        <v>1536</v>
      </c>
      <c r="I185" s="276">
        <v>0</v>
      </c>
      <c r="J185" s="276">
        <v>0</v>
      </c>
      <c r="K185" s="276">
        <v>0</v>
      </c>
      <c r="L185" s="276">
        <v>0</v>
      </c>
      <c r="M185" s="276">
        <v>0</v>
      </c>
      <c r="N185" s="276">
        <v>0</v>
      </c>
      <c r="O185" s="276">
        <v>0</v>
      </c>
      <c r="P185" s="276">
        <v>0</v>
      </c>
      <c r="Q185" s="276">
        <v>0</v>
      </c>
      <c r="R185" s="276">
        <v>0</v>
      </c>
      <c r="S185" s="276">
        <v>0</v>
      </c>
      <c r="T185" s="276">
        <v>0</v>
      </c>
      <c r="U185" s="276">
        <v>0</v>
      </c>
      <c r="V185" s="276">
        <v>0</v>
      </c>
      <c r="W185" s="276">
        <v>0</v>
      </c>
      <c r="X185" s="276">
        <v>0</v>
      </c>
      <c r="Y185" s="276">
        <v>26300</v>
      </c>
      <c r="Z185" s="276">
        <v>1601</v>
      </c>
      <c r="AA185" s="276">
        <v>0</v>
      </c>
      <c r="AB185" s="276">
        <v>0</v>
      </c>
      <c r="AC185" s="276">
        <v>24624</v>
      </c>
      <c r="AD185" s="276">
        <v>0</v>
      </c>
      <c r="AE185" s="276">
        <v>2011.2</v>
      </c>
      <c r="AF185" s="276">
        <v>-531.36</v>
      </c>
      <c r="AG185" s="276">
        <v>0</v>
      </c>
      <c r="AH185" s="276">
        <v>1051.2</v>
      </c>
      <c r="AI185" s="276">
        <v>-315.36</v>
      </c>
      <c r="AJ185" s="276">
        <v>0</v>
      </c>
      <c r="AK185" s="276">
        <v>960</v>
      </c>
      <c r="AL185" s="276">
        <v>-216</v>
      </c>
      <c r="AM185" s="276">
        <v>0</v>
      </c>
      <c r="AN185" s="276"/>
      <c r="AO185" s="276">
        <v>0</v>
      </c>
      <c r="AP185" s="276">
        <v>0</v>
      </c>
      <c r="AQ185" s="276">
        <v>18272.689999999999</v>
      </c>
    </row>
    <row r="186" spans="1:43">
      <c r="A186" s="276" t="s">
        <v>293</v>
      </c>
      <c r="B186" s="276">
        <v>500</v>
      </c>
      <c r="C186" s="276">
        <v>83500</v>
      </c>
      <c r="D186" s="276">
        <v>167</v>
      </c>
      <c r="E186" s="276">
        <v>0</v>
      </c>
      <c r="F186" s="276">
        <v>118800</v>
      </c>
      <c r="G186" s="276">
        <v>396</v>
      </c>
      <c r="H186" s="276">
        <v>47</v>
      </c>
      <c r="I186" s="276">
        <v>0</v>
      </c>
      <c r="J186" s="276">
        <v>0</v>
      </c>
      <c r="K186" s="276">
        <v>0</v>
      </c>
      <c r="L186" s="276">
        <v>0</v>
      </c>
      <c r="M186" s="276">
        <v>0</v>
      </c>
      <c r="N186" s="276">
        <v>0</v>
      </c>
      <c r="O186" s="276">
        <v>0</v>
      </c>
      <c r="P186" s="276">
        <v>0</v>
      </c>
      <c r="Q186" s="276">
        <v>0</v>
      </c>
      <c r="R186" s="276">
        <v>0</v>
      </c>
      <c r="S186" s="276">
        <v>0</v>
      </c>
      <c r="T186" s="276">
        <v>0</v>
      </c>
      <c r="U186" s="276">
        <v>0</v>
      </c>
      <c r="V186" s="276">
        <v>0</v>
      </c>
      <c r="W186" s="276">
        <v>0</v>
      </c>
      <c r="X186" s="276">
        <v>0</v>
      </c>
      <c r="Y186" s="276">
        <v>202300</v>
      </c>
      <c r="Z186" s="276">
        <v>610</v>
      </c>
      <c r="AA186" s="276">
        <v>0</v>
      </c>
      <c r="AB186" s="276">
        <v>0</v>
      </c>
      <c r="AC186" s="276">
        <v>176630</v>
      </c>
      <c r="AD186" s="276">
        <v>0</v>
      </c>
      <c r="AE186" s="276">
        <v>30804.6</v>
      </c>
      <c r="AF186" s="276">
        <v>-5341.62</v>
      </c>
      <c r="AG186" s="276">
        <v>0</v>
      </c>
      <c r="AH186" s="276">
        <v>8767.7999999999993</v>
      </c>
      <c r="AI186" s="276">
        <v>-2630.34</v>
      </c>
      <c r="AJ186" s="276">
        <v>0</v>
      </c>
      <c r="AK186" s="276">
        <v>22036.799999999999</v>
      </c>
      <c r="AL186" s="276">
        <v>-2711.28</v>
      </c>
      <c r="AM186" s="276">
        <v>0</v>
      </c>
      <c r="AN186" s="276"/>
      <c r="AO186" s="276">
        <v>0</v>
      </c>
      <c r="AP186" s="276">
        <v>0</v>
      </c>
      <c r="AQ186" s="276">
        <v>141465.07999999999</v>
      </c>
    </row>
    <row r="187" spans="1:43">
      <c r="A187" s="276" t="s">
        <v>293</v>
      </c>
      <c r="B187" s="276">
        <v>500</v>
      </c>
      <c r="C187" s="276">
        <v>88000</v>
      </c>
      <c r="D187" s="276">
        <v>176</v>
      </c>
      <c r="E187" s="276">
        <v>0</v>
      </c>
      <c r="F187" s="276">
        <v>106500</v>
      </c>
      <c r="G187" s="276">
        <v>355</v>
      </c>
      <c r="H187" s="276">
        <v>0</v>
      </c>
      <c r="I187" s="276">
        <v>0</v>
      </c>
      <c r="J187" s="276">
        <v>0</v>
      </c>
      <c r="K187" s="276">
        <v>0</v>
      </c>
      <c r="L187" s="276">
        <v>0</v>
      </c>
      <c r="M187" s="276">
        <v>0</v>
      </c>
      <c r="N187" s="276">
        <v>0</v>
      </c>
      <c r="O187" s="276">
        <v>0</v>
      </c>
      <c r="P187" s="276">
        <v>0</v>
      </c>
      <c r="Q187" s="276">
        <v>0</v>
      </c>
      <c r="R187" s="276">
        <v>0</v>
      </c>
      <c r="S187" s="276">
        <v>0</v>
      </c>
      <c r="T187" s="276">
        <v>0</v>
      </c>
      <c r="U187" s="276">
        <v>0</v>
      </c>
      <c r="V187" s="276">
        <v>0</v>
      </c>
      <c r="W187" s="276">
        <v>0</v>
      </c>
      <c r="X187" s="276">
        <v>0</v>
      </c>
      <c r="Y187" s="276">
        <v>194500</v>
      </c>
      <c r="Z187" s="276">
        <v>531</v>
      </c>
      <c r="AA187" s="276">
        <v>0</v>
      </c>
      <c r="AB187" s="276">
        <v>0</v>
      </c>
      <c r="AC187" s="276">
        <v>170491</v>
      </c>
      <c r="AD187" s="276">
        <v>0</v>
      </c>
      <c r="AE187" s="276">
        <v>28811.4</v>
      </c>
      <c r="AF187" s="276">
        <v>-5017.26</v>
      </c>
      <c r="AG187" s="276">
        <v>0</v>
      </c>
      <c r="AH187" s="276">
        <v>8382.6</v>
      </c>
      <c r="AI187" s="276">
        <v>-2514.7800000000002</v>
      </c>
      <c r="AJ187" s="276">
        <v>0</v>
      </c>
      <c r="AK187" s="276">
        <v>20428.8</v>
      </c>
      <c r="AL187" s="276">
        <v>-2502.48</v>
      </c>
      <c r="AM187" s="276">
        <v>0</v>
      </c>
      <c r="AN187" s="276"/>
      <c r="AO187" s="276">
        <v>0</v>
      </c>
      <c r="AP187" s="276">
        <v>0</v>
      </c>
      <c r="AQ187" s="276">
        <v>135999.59</v>
      </c>
    </row>
    <row r="188" spans="1:43">
      <c r="A188" s="276" t="s">
        <v>293</v>
      </c>
      <c r="B188" s="276">
        <v>500</v>
      </c>
      <c r="C188" s="276">
        <v>83000</v>
      </c>
      <c r="D188" s="276">
        <v>166</v>
      </c>
      <c r="E188" s="276">
        <v>0</v>
      </c>
      <c r="F188" s="276">
        <v>92400</v>
      </c>
      <c r="G188" s="276">
        <v>308</v>
      </c>
      <c r="H188" s="276">
        <v>0</v>
      </c>
      <c r="I188" s="276">
        <v>0</v>
      </c>
      <c r="J188" s="276">
        <v>0</v>
      </c>
      <c r="K188" s="276">
        <v>0</v>
      </c>
      <c r="L188" s="276">
        <v>0</v>
      </c>
      <c r="M188" s="276">
        <v>0</v>
      </c>
      <c r="N188" s="276">
        <v>0</v>
      </c>
      <c r="O188" s="276">
        <v>0</v>
      </c>
      <c r="P188" s="276">
        <v>0</v>
      </c>
      <c r="Q188" s="276">
        <v>0</v>
      </c>
      <c r="R188" s="276">
        <v>0</v>
      </c>
      <c r="S188" s="276">
        <v>0</v>
      </c>
      <c r="T188" s="276">
        <v>0</v>
      </c>
      <c r="U188" s="276">
        <v>0</v>
      </c>
      <c r="V188" s="276">
        <v>0</v>
      </c>
      <c r="W188" s="276">
        <v>0</v>
      </c>
      <c r="X188" s="276">
        <v>0</v>
      </c>
      <c r="Y188" s="276">
        <v>175400</v>
      </c>
      <c r="Z188" s="276">
        <v>474</v>
      </c>
      <c r="AA188" s="276">
        <v>0</v>
      </c>
      <c r="AB188" s="276">
        <v>0</v>
      </c>
      <c r="AC188" s="276">
        <v>154221</v>
      </c>
      <c r="AD188" s="276">
        <v>0</v>
      </c>
      <c r="AE188" s="276">
        <v>25415.4</v>
      </c>
      <c r="AF188" s="276">
        <v>-4286.46</v>
      </c>
      <c r="AG188" s="276">
        <v>0</v>
      </c>
      <c r="AH188" s="276">
        <v>7146.6</v>
      </c>
      <c r="AI188" s="276">
        <v>-2143.98</v>
      </c>
      <c r="AJ188" s="276">
        <v>0</v>
      </c>
      <c r="AK188" s="276">
        <v>18268.8</v>
      </c>
      <c r="AL188" s="276">
        <v>-2142.48</v>
      </c>
      <c r="AM188" s="276">
        <v>0</v>
      </c>
      <c r="AN188" s="276"/>
      <c r="AO188" s="276">
        <v>0</v>
      </c>
      <c r="AP188" s="276">
        <v>0</v>
      </c>
      <c r="AQ188" s="276">
        <v>122744.95</v>
      </c>
    </row>
    <row r="189" spans="1:43">
      <c r="A189" s="276" t="s">
        <v>293</v>
      </c>
      <c r="B189" s="276">
        <v>500</v>
      </c>
      <c r="C189" s="276">
        <v>86000</v>
      </c>
      <c r="D189" s="276">
        <v>172</v>
      </c>
      <c r="E189" s="276">
        <v>0</v>
      </c>
      <c r="F189" s="276">
        <v>87300</v>
      </c>
      <c r="G189" s="276">
        <v>291</v>
      </c>
      <c r="H189" s="276">
        <v>0</v>
      </c>
      <c r="I189" s="276">
        <v>0</v>
      </c>
      <c r="J189" s="276">
        <v>0</v>
      </c>
      <c r="K189" s="276">
        <v>0</v>
      </c>
      <c r="L189" s="276">
        <v>0</v>
      </c>
      <c r="M189" s="276">
        <v>0</v>
      </c>
      <c r="N189" s="276">
        <v>0</v>
      </c>
      <c r="O189" s="276">
        <v>0</v>
      </c>
      <c r="P189" s="276">
        <v>0</v>
      </c>
      <c r="Q189" s="276">
        <v>0</v>
      </c>
      <c r="R189" s="276">
        <v>0</v>
      </c>
      <c r="S189" s="276">
        <v>0</v>
      </c>
      <c r="T189" s="276">
        <v>0</v>
      </c>
      <c r="U189" s="276">
        <v>0</v>
      </c>
      <c r="V189" s="276">
        <v>0</v>
      </c>
      <c r="W189" s="276">
        <v>0</v>
      </c>
      <c r="X189" s="276">
        <v>0</v>
      </c>
      <c r="Y189" s="276">
        <v>173300</v>
      </c>
      <c r="Z189" s="276">
        <v>463</v>
      </c>
      <c r="AA189" s="276">
        <v>0</v>
      </c>
      <c r="AB189" s="276">
        <v>0</v>
      </c>
      <c r="AC189" s="276">
        <v>153061</v>
      </c>
      <c r="AD189" s="276">
        <v>0</v>
      </c>
      <c r="AE189" s="276">
        <v>24287.4</v>
      </c>
      <c r="AF189" s="276">
        <v>-4140.0600000000004</v>
      </c>
      <c r="AG189" s="276">
        <v>0</v>
      </c>
      <c r="AH189" s="276">
        <v>6978.6</v>
      </c>
      <c r="AI189" s="276">
        <v>-2093.58</v>
      </c>
      <c r="AJ189" s="276">
        <v>0</v>
      </c>
      <c r="AK189" s="276">
        <v>17308.8</v>
      </c>
      <c r="AL189" s="276">
        <v>-2046.48</v>
      </c>
      <c r="AM189" s="276">
        <v>0</v>
      </c>
      <c r="AN189" s="276"/>
      <c r="AO189" s="276">
        <v>0</v>
      </c>
      <c r="AP189" s="276">
        <v>0</v>
      </c>
      <c r="AQ189" s="276">
        <v>121245.83</v>
      </c>
    </row>
    <row r="190" spans="1:43">
      <c r="A190" s="276" t="s">
        <v>293</v>
      </c>
      <c r="B190" s="276">
        <v>500</v>
      </c>
      <c r="C190" s="276">
        <v>89500</v>
      </c>
      <c r="D190" s="276">
        <v>179</v>
      </c>
      <c r="E190" s="276">
        <v>0</v>
      </c>
      <c r="F190" s="276">
        <v>91800</v>
      </c>
      <c r="G190" s="276">
        <v>306</v>
      </c>
      <c r="H190" s="276">
        <v>0</v>
      </c>
      <c r="I190" s="276">
        <v>0</v>
      </c>
      <c r="J190" s="276">
        <v>0</v>
      </c>
      <c r="K190" s="276">
        <v>0</v>
      </c>
      <c r="L190" s="276">
        <v>0</v>
      </c>
      <c r="M190" s="276">
        <v>0</v>
      </c>
      <c r="N190" s="276">
        <v>0</v>
      </c>
      <c r="O190" s="276">
        <v>0</v>
      </c>
      <c r="P190" s="276">
        <v>0</v>
      </c>
      <c r="Q190" s="276">
        <v>0</v>
      </c>
      <c r="R190" s="276">
        <v>0</v>
      </c>
      <c r="S190" s="276">
        <v>0</v>
      </c>
      <c r="T190" s="276">
        <v>0</v>
      </c>
      <c r="U190" s="276">
        <v>0</v>
      </c>
      <c r="V190" s="276">
        <v>0</v>
      </c>
      <c r="W190" s="276">
        <v>0</v>
      </c>
      <c r="X190" s="276">
        <v>0</v>
      </c>
      <c r="Y190" s="276">
        <v>181300</v>
      </c>
      <c r="Z190" s="276">
        <v>485</v>
      </c>
      <c r="AA190" s="276">
        <v>0</v>
      </c>
      <c r="AB190" s="276">
        <v>0</v>
      </c>
      <c r="AC190" s="276">
        <v>159882</v>
      </c>
      <c r="AD190" s="276">
        <v>0</v>
      </c>
      <c r="AE190" s="276">
        <v>25702.2</v>
      </c>
      <c r="AF190" s="276">
        <v>-4509.54</v>
      </c>
      <c r="AG190" s="276">
        <v>0</v>
      </c>
      <c r="AH190" s="276">
        <v>8118.6</v>
      </c>
      <c r="AI190" s="276">
        <v>-2435.58</v>
      </c>
      <c r="AJ190" s="276">
        <v>0</v>
      </c>
      <c r="AK190" s="276">
        <v>17583.599999999999</v>
      </c>
      <c r="AL190" s="276">
        <v>-2073.96</v>
      </c>
      <c r="AM190" s="276">
        <v>0</v>
      </c>
      <c r="AN190" s="276"/>
      <c r="AO190" s="276">
        <v>0</v>
      </c>
      <c r="AP190" s="276">
        <v>0</v>
      </c>
      <c r="AQ190" s="276">
        <v>126752.26</v>
      </c>
    </row>
    <row r="191" spans="1:43">
      <c r="A191" s="276" t="s">
        <v>338</v>
      </c>
      <c r="B191" s="276">
        <v>400</v>
      </c>
      <c r="C191" s="276">
        <v>26800</v>
      </c>
      <c r="D191" s="276">
        <v>67</v>
      </c>
      <c r="E191" s="276">
        <v>0</v>
      </c>
      <c r="F191" s="276">
        <v>59800</v>
      </c>
      <c r="G191" s="276">
        <v>299</v>
      </c>
      <c r="H191" s="276">
        <v>0</v>
      </c>
      <c r="I191" s="276">
        <v>0</v>
      </c>
      <c r="J191" s="276">
        <v>0</v>
      </c>
      <c r="K191" s="276">
        <v>0</v>
      </c>
      <c r="L191" s="276">
        <v>0</v>
      </c>
      <c r="M191" s="276">
        <v>0</v>
      </c>
      <c r="N191" s="276">
        <v>0</v>
      </c>
      <c r="O191" s="276">
        <v>0</v>
      </c>
      <c r="P191" s="276">
        <v>0</v>
      </c>
      <c r="Q191" s="276">
        <v>0</v>
      </c>
      <c r="R191" s="276">
        <v>0</v>
      </c>
      <c r="S191" s="276">
        <v>0</v>
      </c>
      <c r="T191" s="276">
        <v>0</v>
      </c>
      <c r="U191" s="276">
        <v>0</v>
      </c>
      <c r="V191" s="276">
        <v>0</v>
      </c>
      <c r="W191" s="276">
        <v>0</v>
      </c>
      <c r="X191" s="276">
        <v>0</v>
      </c>
      <c r="Y191" s="276">
        <v>86600</v>
      </c>
      <c r="Z191" s="276">
        <v>366</v>
      </c>
      <c r="AA191" s="276">
        <v>0</v>
      </c>
      <c r="AB191" s="276">
        <v>0</v>
      </c>
      <c r="AC191" s="276">
        <v>66141</v>
      </c>
      <c r="AD191" s="276">
        <v>0</v>
      </c>
      <c r="AE191" s="276">
        <v>24550.799999999999</v>
      </c>
      <c r="AF191" s="276">
        <v>-4387.5600000000004</v>
      </c>
      <c r="AG191" s="276">
        <v>0</v>
      </c>
      <c r="AH191" s="276">
        <v>5840.4</v>
      </c>
      <c r="AI191" s="276">
        <v>-1752.12</v>
      </c>
      <c r="AJ191" s="276">
        <v>0</v>
      </c>
      <c r="AK191" s="276">
        <v>18710.400000000001</v>
      </c>
      <c r="AL191" s="276">
        <v>-2635.44</v>
      </c>
      <c r="AM191" s="276">
        <v>0</v>
      </c>
      <c r="AN191" s="276"/>
      <c r="AO191" s="276">
        <v>0</v>
      </c>
      <c r="AP191" s="276">
        <v>0</v>
      </c>
      <c r="AQ191" s="276">
        <v>36753.47</v>
      </c>
    </row>
    <row r="192" spans="1:43">
      <c r="A192" s="276" t="s">
        <v>338</v>
      </c>
      <c r="B192" s="276">
        <v>400</v>
      </c>
      <c r="C192" s="276">
        <v>26000</v>
      </c>
      <c r="D192" s="276">
        <v>65</v>
      </c>
      <c r="E192" s="276">
        <v>0</v>
      </c>
      <c r="F192" s="276">
        <v>74000</v>
      </c>
      <c r="G192" s="276">
        <v>370</v>
      </c>
      <c r="H192" s="276">
        <v>0</v>
      </c>
      <c r="I192" s="276">
        <v>0</v>
      </c>
      <c r="J192" s="276">
        <v>0</v>
      </c>
      <c r="K192" s="276">
        <v>0</v>
      </c>
      <c r="L192" s="276">
        <v>0</v>
      </c>
      <c r="M192" s="276">
        <v>0</v>
      </c>
      <c r="N192" s="276">
        <v>0</v>
      </c>
      <c r="O192" s="276">
        <v>0</v>
      </c>
      <c r="P192" s="276">
        <v>0</v>
      </c>
      <c r="Q192" s="276">
        <v>0</v>
      </c>
      <c r="R192" s="276">
        <v>0</v>
      </c>
      <c r="S192" s="276">
        <v>0</v>
      </c>
      <c r="T192" s="276">
        <v>0</v>
      </c>
      <c r="U192" s="276">
        <v>0</v>
      </c>
      <c r="V192" s="276">
        <v>0</v>
      </c>
      <c r="W192" s="276">
        <v>0</v>
      </c>
      <c r="X192" s="276">
        <v>0</v>
      </c>
      <c r="Y192" s="276">
        <v>100000</v>
      </c>
      <c r="Z192" s="276">
        <v>435</v>
      </c>
      <c r="AA192" s="276">
        <v>0</v>
      </c>
      <c r="AB192" s="276">
        <v>0</v>
      </c>
      <c r="AC192" s="276">
        <v>76952</v>
      </c>
      <c r="AD192" s="276">
        <v>0</v>
      </c>
      <c r="AE192" s="276">
        <v>27659.24</v>
      </c>
      <c r="AF192" s="276">
        <v>-4796.8999999999996</v>
      </c>
      <c r="AG192" s="276">
        <v>0</v>
      </c>
      <c r="AH192" s="276">
        <v>4291.6400000000003</v>
      </c>
      <c r="AI192" s="276">
        <v>-1287.5</v>
      </c>
      <c r="AJ192" s="276">
        <v>0</v>
      </c>
      <c r="AK192" s="276">
        <v>23367.599999999999</v>
      </c>
      <c r="AL192" s="276">
        <v>-3509.4</v>
      </c>
      <c r="AM192" s="276">
        <v>0</v>
      </c>
      <c r="AN192" s="276"/>
      <c r="AO192" s="276">
        <v>0</v>
      </c>
      <c r="AP192" s="276">
        <v>0</v>
      </c>
      <c r="AQ192" s="276">
        <v>42492.47</v>
      </c>
    </row>
    <row r="193" spans="1:43">
      <c r="A193" s="276" t="s">
        <v>338</v>
      </c>
      <c r="B193" s="276">
        <v>400</v>
      </c>
      <c r="C193" s="276">
        <v>23600</v>
      </c>
      <c r="D193" s="276">
        <v>59</v>
      </c>
      <c r="E193" s="276">
        <v>0</v>
      </c>
      <c r="F193" s="276">
        <v>64000</v>
      </c>
      <c r="G193" s="276">
        <v>320</v>
      </c>
      <c r="H193" s="276">
        <v>0</v>
      </c>
      <c r="I193" s="276">
        <v>0</v>
      </c>
      <c r="J193" s="276">
        <v>0</v>
      </c>
      <c r="K193" s="276">
        <v>0</v>
      </c>
      <c r="L193" s="276">
        <v>0</v>
      </c>
      <c r="M193" s="276">
        <v>0</v>
      </c>
      <c r="N193" s="276">
        <v>0</v>
      </c>
      <c r="O193" s="276">
        <v>0</v>
      </c>
      <c r="P193" s="276">
        <v>0</v>
      </c>
      <c r="Q193" s="276">
        <v>0</v>
      </c>
      <c r="R193" s="276">
        <v>0</v>
      </c>
      <c r="S193" s="276">
        <v>0</v>
      </c>
      <c r="T193" s="276">
        <v>0</v>
      </c>
      <c r="U193" s="276">
        <v>0</v>
      </c>
      <c r="V193" s="276">
        <v>0</v>
      </c>
      <c r="W193" s="276">
        <v>0</v>
      </c>
      <c r="X193" s="276">
        <v>0</v>
      </c>
      <c r="Y193" s="276">
        <v>87600</v>
      </c>
      <c r="Z193" s="276">
        <v>379</v>
      </c>
      <c r="AA193" s="276">
        <v>0</v>
      </c>
      <c r="AB193" s="276">
        <v>0</v>
      </c>
      <c r="AC193" s="276">
        <v>66449</v>
      </c>
      <c r="AD193" s="276">
        <v>0</v>
      </c>
      <c r="AE193" s="276">
        <v>25382.02</v>
      </c>
      <c r="AF193" s="276">
        <v>-4424.53</v>
      </c>
      <c r="AG193" s="276">
        <v>0</v>
      </c>
      <c r="AH193" s="276">
        <v>6449.62</v>
      </c>
      <c r="AI193" s="276">
        <v>-1934.89</v>
      </c>
      <c r="AJ193" s="276">
        <v>0</v>
      </c>
      <c r="AK193" s="276">
        <v>18932.400000000001</v>
      </c>
      <c r="AL193" s="276">
        <v>-2489.64</v>
      </c>
      <c r="AM193" s="276">
        <v>0</v>
      </c>
      <c r="AN193" s="276"/>
      <c r="AO193" s="276">
        <v>0</v>
      </c>
      <c r="AP193" s="276">
        <v>0</v>
      </c>
      <c r="AQ193" s="276">
        <v>37239.79</v>
      </c>
    </row>
    <row r="194" spans="1:43">
      <c r="A194" s="276" t="s">
        <v>338</v>
      </c>
      <c r="B194" s="276">
        <v>400</v>
      </c>
      <c r="C194" s="276">
        <v>21600</v>
      </c>
      <c r="D194" s="276">
        <v>54</v>
      </c>
      <c r="E194" s="276">
        <v>0</v>
      </c>
      <c r="F194" s="276">
        <v>51200</v>
      </c>
      <c r="G194" s="276">
        <v>256</v>
      </c>
      <c r="H194" s="276">
        <v>0</v>
      </c>
      <c r="I194" s="276">
        <v>0</v>
      </c>
      <c r="J194" s="276">
        <v>0</v>
      </c>
      <c r="K194" s="276">
        <v>0</v>
      </c>
      <c r="L194" s="276">
        <v>0</v>
      </c>
      <c r="M194" s="276">
        <v>0</v>
      </c>
      <c r="N194" s="276">
        <v>0</v>
      </c>
      <c r="O194" s="276">
        <v>0</v>
      </c>
      <c r="P194" s="276">
        <v>0</v>
      </c>
      <c r="Q194" s="276">
        <v>0</v>
      </c>
      <c r="R194" s="276">
        <v>0</v>
      </c>
      <c r="S194" s="276">
        <v>0</v>
      </c>
      <c r="T194" s="276">
        <v>0</v>
      </c>
      <c r="U194" s="276">
        <v>0</v>
      </c>
      <c r="V194" s="276">
        <v>0</v>
      </c>
      <c r="W194" s="276">
        <v>0</v>
      </c>
      <c r="X194" s="276">
        <v>0</v>
      </c>
      <c r="Y194" s="276">
        <v>72800</v>
      </c>
      <c r="Z194" s="276">
        <v>310</v>
      </c>
      <c r="AA194" s="276">
        <v>0</v>
      </c>
      <c r="AB194" s="276">
        <v>0</v>
      </c>
      <c r="AC194" s="276">
        <v>54288</v>
      </c>
      <c r="AD194" s="276">
        <v>0</v>
      </c>
      <c r="AE194" s="276">
        <v>22213.45</v>
      </c>
      <c r="AF194" s="276">
        <v>-4129.88</v>
      </c>
      <c r="AG194" s="276">
        <v>0</v>
      </c>
      <c r="AH194" s="276">
        <v>5840.65</v>
      </c>
      <c r="AI194" s="276">
        <v>-1752.2</v>
      </c>
      <c r="AJ194" s="276">
        <v>0</v>
      </c>
      <c r="AK194" s="276">
        <v>16372.8</v>
      </c>
      <c r="AL194" s="276">
        <v>-2377.6799999999998</v>
      </c>
      <c r="AM194" s="276">
        <v>0</v>
      </c>
      <c r="AN194" s="276"/>
      <c r="AO194" s="276">
        <v>0</v>
      </c>
      <c r="AP194" s="276">
        <v>0</v>
      </c>
      <c r="AQ194" s="276">
        <v>30857.13</v>
      </c>
    </row>
    <row r="195" spans="1:43">
      <c r="A195" s="276" t="s">
        <v>338</v>
      </c>
      <c r="B195" s="276">
        <v>400</v>
      </c>
      <c r="C195" s="276">
        <v>20000</v>
      </c>
      <c r="D195" s="276">
        <v>50</v>
      </c>
      <c r="E195" s="276">
        <v>0</v>
      </c>
      <c r="F195" s="276">
        <v>69400</v>
      </c>
      <c r="G195" s="276">
        <v>347</v>
      </c>
      <c r="H195" s="276">
        <v>0</v>
      </c>
      <c r="I195" s="276">
        <v>0</v>
      </c>
      <c r="J195" s="276">
        <v>0</v>
      </c>
      <c r="K195" s="276">
        <v>0</v>
      </c>
      <c r="L195" s="276">
        <v>0</v>
      </c>
      <c r="M195" s="276">
        <v>0</v>
      </c>
      <c r="N195" s="276">
        <v>0</v>
      </c>
      <c r="O195" s="276">
        <v>0</v>
      </c>
      <c r="P195" s="276">
        <v>0</v>
      </c>
      <c r="Q195" s="276">
        <v>0</v>
      </c>
      <c r="R195" s="276">
        <v>0</v>
      </c>
      <c r="S195" s="276">
        <v>0</v>
      </c>
      <c r="T195" s="276">
        <v>0</v>
      </c>
      <c r="U195" s="276">
        <v>0</v>
      </c>
      <c r="V195" s="276">
        <v>0</v>
      </c>
      <c r="W195" s="276">
        <v>0</v>
      </c>
      <c r="X195" s="276">
        <v>0</v>
      </c>
      <c r="Y195" s="276">
        <v>89400</v>
      </c>
      <c r="Z195" s="276">
        <v>397</v>
      </c>
      <c r="AA195" s="276">
        <v>0</v>
      </c>
      <c r="AB195" s="276">
        <v>0</v>
      </c>
      <c r="AC195" s="276">
        <v>70587</v>
      </c>
      <c r="AD195" s="276">
        <v>0</v>
      </c>
      <c r="AE195" s="276">
        <v>22577.24</v>
      </c>
      <c r="AF195" s="276">
        <v>-3808.46</v>
      </c>
      <c r="AG195" s="276">
        <v>0</v>
      </c>
      <c r="AH195" s="276">
        <v>5010.4399999999996</v>
      </c>
      <c r="AI195" s="276">
        <v>-1503.14</v>
      </c>
      <c r="AJ195" s="276">
        <v>0</v>
      </c>
      <c r="AK195" s="276">
        <v>17566.8</v>
      </c>
      <c r="AL195" s="276">
        <v>-2305.3200000000002</v>
      </c>
      <c r="AM195" s="276">
        <v>0</v>
      </c>
      <c r="AN195" s="276"/>
      <c r="AO195" s="276">
        <v>0</v>
      </c>
      <c r="AP195" s="276">
        <v>0</v>
      </c>
      <c r="AQ195" s="276">
        <v>37986.620000000003</v>
      </c>
    </row>
    <row r="196" spans="1:43">
      <c r="A196" s="276" t="s">
        <v>338</v>
      </c>
      <c r="B196" s="276">
        <v>400</v>
      </c>
      <c r="C196" s="276">
        <v>14800</v>
      </c>
      <c r="D196" s="276">
        <v>37</v>
      </c>
      <c r="E196" s="276">
        <v>0</v>
      </c>
      <c r="F196" s="276">
        <v>63800</v>
      </c>
      <c r="G196" s="276">
        <v>319</v>
      </c>
      <c r="H196" s="276">
        <v>0</v>
      </c>
      <c r="I196" s="276">
        <v>0</v>
      </c>
      <c r="J196" s="276">
        <v>0</v>
      </c>
      <c r="K196" s="276">
        <v>0</v>
      </c>
      <c r="L196" s="276">
        <v>0</v>
      </c>
      <c r="M196" s="276">
        <v>0</v>
      </c>
      <c r="N196" s="276">
        <v>0</v>
      </c>
      <c r="O196" s="276">
        <v>0</v>
      </c>
      <c r="P196" s="276">
        <v>0</v>
      </c>
      <c r="Q196" s="276">
        <v>0</v>
      </c>
      <c r="R196" s="276">
        <v>0</v>
      </c>
      <c r="S196" s="276">
        <v>0</v>
      </c>
      <c r="T196" s="276">
        <v>0</v>
      </c>
      <c r="U196" s="276">
        <v>0</v>
      </c>
      <c r="V196" s="276">
        <v>0</v>
      </c>
      <c r="W196" s="276">
        <v>0</v>
      </c>
      <c r="X196" s="276">
        <v>0</v>
      </c>
      <c r="Y196" s="276">
        <v>78600</v>
      </c>
      <c r="Z196" s="276">
        <v>356</v>
      </c>
      <c r="AA196" s="276">
        <v>0</v>
      </c>
      <c r="AB196" s="276">
        <v>0</v>
      </c>
      <c r="AC196" s="276">
        <v>62306</v>
      </c>
      <c r="AD196" s="276">
        <v>0</v>
      </c>
      <c r="AE196" s="276">
        <v>19554.439999999999</v>
      </c>
      <c r="AF196" s="276">
        <v>-3254.42</v>
      </c>
      <c r="AG196" s="276">
        <v>0</v>
      </c>
      <c r="AH196" s="276">
        <v>3991.64</v>
      </c>
      <c r="AI196" s="276">
        <v>-1197.5</v>
      </c>
      <c r="AJ196" s="276">
        <v>0</v>
      </c>
      <c r="AK196" s="276">
        <v>15562.8</v>
      </c>
      <c r="AL196" s="276">
        <v>-2056.92</v>
      </c>
      <c r="AM196" s="276">
        <v>0</v>
      </c>
      <c r="AN196" s="276"/>
      <c r="AO196" s="276">
        <v>0</v>
      </c>
      <c r="AP196" s="276">
        <v>0</v>
      </c>
      <c r="AQ196" s="276">
        <v>33410.089999999997</v>
      </c>
    </row>
    <row r="197" spans="1:43">
      <c r="A197" s="276" t="s">
        <v>338</v>
      </c>
      <c r="B197" s="276">
        <v>400</v>
      </c>
      <c r="C197" s="276">
        <v>14000</v>
      </c>
      <c r="D197" s="276">
        <v>35</v>
      </c>
      <c r="E197" s="276">
        <v>0</v>
      </c>
      <c r="F197" s="276">
        <v>59400</v>
      </c>
      <c r="G197" s="276">
        <v>297</v>
      </c>
      <c r="H197" s="276">
        <v>0</v>
      </c>
      <c r="I197" s="276">
        <v>0</v>
      </c>
      <c r="J197" s="276">
        <v>0</v>
      </c>
      <c r="K197" s="276">
        <v>0</v>
      </c>
      <c r="L197" s="276">
        <v>0</v>
      </c>
      <c r="M197" s="276">
        <v>0</v>
      </c>
      <c r="N197" s="276">
        <v>0</v>
      </c>
      <c r="O197" s="276">
        <v>0</v>
      </c>
      <c r="P197" s="276">
        <v>0</v>
      </c>
      <c r="Q197" s="276">
        <v>0</v>
      </c>
      <c r="R197" s="276">
        <v>0</v>
      </c>
      <c r="S197" s="276">
        <v>0</v>
      </c>
      <c r="T197" s="276">
        <v>0</v>
      </c>
      <c r="U197" s="276">
        <v>0</v>
      </c>
      <c r="V197" s="276">
        <v>0</v>
      </c>
      <c r="W197" s="276">
        <v>0</v>
      </c>
      <c r="X197" s="276">
        <v>0</v>
      </c>
      <c r="Y197" s="276">
        <v>73400</v>
      </c>
      <c r="Z197" s="276">
        <v>332</v>
      </c>
      <c r="AA197" s="276">
        <v>0</v>
      </c>
      <c r="AB197" s="276">
        <v>0</v>
      </c>
      <c r="AC197" s="276">
        <v>59556</v>
      </c>
      <c r="AD197" s="276">
        <v>0</v>
      </c>
      <c r="AE197" s="276">
        <v>16614.439999999999</v>
      </c>
      <c r="AF197" s="276">
        <v>-2684.42</v>
      </c>
      <c r="AG197" s="276">
        <v>0</v>
      </c>
      <c r="AH197" s="276">
        <v>3571.64</v>
      </c>
      <c r="AI197" s="276">
        <v>-1071.5</v>
      </c>
      <c r="AJ197" s="276">
        <v>0</v>
      </c>
      <c r="AK197" s="276">
        <v>13042.8</v>
      </c>
      <c r="AL197" s="276">
        <v>-1612.92</v>
      </c>
      <c r="AM197" s="276">
        <v>0</v>
      </c>
      <c r="AN197" s="276"/>
      <c r="AO197" s="276">
        <v>0</v>
      </c>
      <c r="AP197" s="276">
        <v>0</v>
      </c>
      <c r="AQ197" s="276">
        <v>31192.71</v>
      </c>
    </row>
    <row r="198" spans="1:43">
      <c r="A198" s="276" t="s">
        <v>338</v>
      </c>
      <c r="B198" s="276">
        <v>400</v>
      </c>
      <c r="C198" s="276">
        <v>13600</v>
      </c>
      <c r="D198" s="276">
        <v>34</v>
      </c>
      <c r="E198" s="276">
        <v>0</v>
      </c>
      <c r="F198" s="276">
        <v>52000</v>
      </c>
      <c r="G198" s="276">
        <v>260</v>
      </c>
      <c r="H198" s="276">
        <v>0</v>
      </c>
      <c r="I198" s="276">
        <v>0</v>
      </c>
      <c r="J198" s="276">
        <v>0</v>
      </c>
      <c r="K198" s="276">
        <v>0</v>
      </c>
      <c r="L198" s="276">
        <v>0</v>
      </c>
      <c r="M198" s="276">
        <v>0</v>
      </c>
      <c r="N198" s="276">
        <v>0</v>
      </c>
      <c r="O198" s="276">
        <v>0</v>
      </c>
      <c r="P198" s="276">
        <v>0</v>
      </c>
      <c r="Q198" s="276">
        <v>0</v>
      </c>
      <c r="R198" s="276">
        <v>0</v>
      </c>
      <c r="S198" s="276">
        <v>0</v>
      </c>
      <c r="T198" s="276">
        <v>0</v>
      </c>
      <c r="U198" s="276">
        <v>0</v>
      </c>
      <c r="V198" s="276">
        <v>0</v>
      </c>
      <c r="W198" s="276">
        <v>0</v>
      </c>
      <c r="X198" s="276">
        <v>0</v>
      </c>
      <c r="Y198" s="276">
        <v>65600</v>
      </c>
      <c r="Z198" s="276">
        <v>294</v>
      </c>
      <c r="AA198" s="276">
        <v>0</v>
      </c>
      <c r="AB198" s="276">
        <v>0</v>
      </c>
      <c r="AC198" s="276">
        <v>52887</v>
      </c>
      <c r="AD198" s="276">
        <v>0</v>
      </c>
      <c r="AE198" s="276">
        <v>15257.24</v>
      </c>
      <c r="AF198" s="276">
        <v>-2548.46</v>
      </c>
      <c r="AG198" s="276">
        <v>0</v>
      </c>
      <c r="AH198" s="276">
        <v>3090.44</v>
      </c>
      <c r="AI198" s="276">
        <v>-927.14</v>
      </c>
      <c r="AJ198" s="276">
        <v>0</v>
      </c>
      <c r="AK198" s="276">
        <v>12166.8</v>
      </c>
      <c r="AL198" s="276">
        <v>-1621.32</v>
      </c>
      <c r="AM198" s="276">
        <v>0</v>
      </c>
      <c r="AN198" s="276"/>
      <c r="AO198" s="276">
        <v>0</v>
      </c>
      <c r="AP198" s="276">
        <v>0</v>
      </c>
      <c r="AQ198" s="276">
        <v>27852.17</v>
      </c>
    </row>
    <row r="199" spans="1:43">
      <c r="A199" s="276" t="s">
        <v>338</v>
      </c>
      <c r="B199" s="276">
        <v>400</v>
      </c>
      <c r="C199" s="276">
        <v>13200</v>
      </c>
      <c r="D199" s="276">
        <v>33</v>
      </c>
      <c r="E199" s="276">
        <v>0</v>
      </c>
      <c r="F199" s="276">
        <v>46400</v>
      </c>
      <c r="G199" s="276">
        <v>232</v>
      </c>
      <c r="H199" s="276">
        <v>0</v>
      </c>
      <c r="I199" s="276">
        <v>0</v>
      </c>
      <c r="J199" s="276">
        <v>0</v>
      </c>
      <c r="K199" s="276">
        <v>0</v>
      </c>
      <c r="L199" s="276">
        <v>0</v>
      </c>
      <c r="M199" s="276">
        <v>0</v>
      </c>
      <c r="N199" s="276">
        <v>0</v>
      </c>
      <c r="O199" s="276">
        <v>0</v>
      </c>
      <c r="P199" s="276">
        <v>0</v>
      </c>
      <c r="Q199" s="276">
        <v>0</v>
      </c>
      <c r="R199" s="276">
        <v>0</v>
      </c>
      <c r="S199" s="276">
        <v>0</v>
      </c>
      <c r="T199" s="276">
        <v>0</v>
      </c>
      <c r="U199" s="276">
        <v>0</v>
      </c>
      <c r="V199" s="276">
        <v>0</v>
      </c>
      <c r="W199" s="276">
        <v>0</v>
      </c>
      <c r="X199" s="276">
        <v>0</v>
      </c>
      <c r="Y199" s="276">
        <v>59600</v>
      </c>
      <c r="Z199" s="276">
        <v>265</v>
      </c>
      <c r="AA199" s="276">
        <v>0</v>
      </c>
      <c r="AB199" s="276">
        <v>0</v>
      </c>
      <c r="AC199" s="276">
        <v>46669</v>
      </c>
      <c r="AD199" s="276">
        <v>0</v>
      </c>
      <c r="AE199" s="276">
        <v>15518.02</v>
      </c>
      <c r="AF199" s="276">
        <v>-2382.13</v>
      </c>
      <c r="AG199" s="276">
        <v>0</v>
      </c>
      <c r="AH199" s="276">
        <v>2849.62</v>
      </c>
      <c r="AI199" s="276">
        <v>-854.89</v>
      </c>
      <c r="AJ199" s="276">
        <v>0</v>
      </c>
      <c r="AK199" s="276">
        <v>12668.4</v>
      </c>
      <c r="AL199" s="276">
        <v>-1527.24</v>
      </c>
      <c r="AM199" s="276">
        <v>0</v>
      </c>
      <c r="AN199" s="276"/>
      <c r="AO199" s="276">
        <v>0</v>
      </c>
      <c r="AP199" s="276">
        <v>0</v>
      </c>
      <c r="AQ199" s="276">
        <v>25442.13</v>
      </c>
    </row>
    <row r="200" spans="1:43">
      <c r="A200" s="276" t="s">
        <v>338</v>
      </c>
      <c r="B200" s="276">
        <v>400</v>
      </c>
      <c r="C200" s="276">
        <v>13200</v>
      </c>
      <c r="D200" s="276">
        <v>33</v>
      </c>
      <c r="E200" s="276">
        <v>0</v>
      </c>
      <c r="F200" s="276">
        <v>46800</v>
      </c>
      <c r="G200" s="276">
        <v>234</v>
      </c>
      <c r="H200" s="276">
        <v>0</v>
      </c>
      <c r="I200" s="276">
        <v>0</v>
      </c>
      <c r="J200" s="276">
        <v>0</v>
      </c>
      <c r="K200" s="276">
        <v>0</v>
      </c>
      <c r="L200" s="276">
        <v>0</v>
      </c>
      <c r="M200" s="276">
        <v>0</v>
      </c>
      <c r="N200" s="276">
        <v>0</v>
      </c>
      <c r="O200" s="276">
        <v>0</v>
      </c>
      <c r="P200" s="276">
        <v>0</v>
      </c>
      <c r="Q200" s="276">
        <v>0</v>
      </c>
      <c r="R200" s="276">
        <v>0</v>
      </c>
      <c r="S200" s="276">
        <v>0</v>
      </c>
      <c r="T200" s="276">
        <v>0</v>
      </c>
      <c r="U200" s="276">
        <v>0</v>
      </c>
      <c r="V200" s="276">
        <v>0</v>
      </c>
      <c r="W200" s="276">
        <v>0</v>
      </c>
      <c r="X200" s="276">
        <v>0</v>
      </c>
      <c r="Y200" s="276">
        <v>60000</v>
      </c>
      <c r="Z200" s="276">
        <v>267</v>
      </c>
      <c r="AA200" s="276">
        <v>0</v>
      </c>
      <c r="AB200" s="276">
        <v>0</v>
      </c>
      <c r="AC200" s="276">
        <v>47389</v>
      </c>
      <c r="AD200" s="276">
        <v>0</v>
      </c>
      <c r="AE200" s="276">
        <v>15134.02</v>
      </c>
      <c r="AF200" s="276">
        <v>-2439.73</v>
      </c>
      <c r="AG200" s="276">
        <v>0</v>
      </c>
      <c r="AH200" s="276">
        <v>3329.62</v>
      </c>
      <c r="AI200" s="276">
        <v>-998.89</v>
      </c>
      <c r="AJ200" s="276">
        <v>0</v>
      </c>
      <c r="AK200" s="276">
        <v>11804.4</v>
      </c>
      <c r="AL200" s="276">
        <v>-1440.84</v>
      </c>
      <c r="AM200" s="276">
        <v>0</v>
      </c>
      <c r="AN200" s="276"/>
      <c r="AO200" s="276">
        <v>0</v>
      </c>
      <c r="AP200" s="276">
        <v>0</v>
      </c>
      <c r="AQ200" s="276">
        <v>25544.73</v>
      </c>
    </row>
    <row r="201" spans="1:43">
      <c r="A201" s="276" t="s">
        <v>338</v>
      </c>
      <c r="B201" s="276">
        <v>400</v>
      </c>
      <c r="C201" s="276">
        <v>12800</v>
      </c>
      <c r="D201" s="276">
        <v>32</v>
      </c>
      <c r="E201" s="276">
        <v>0</v>
      </c>
      <c r="F201" s="276">
        <v>52000</v>
      </c>
      <c r="G201" s="276">
        <v>260</v>
      </c>
      <c r="H201" s="276">
        <v>0</v>
      </c>
      <c r="I201" s="276">
        <v>0</v>
      </c>
      <c r="J201" s="276">
        <v>0</v>
      </c>
      <c r="K201" s="276">
        <v>0</v>
      </c>
      <c r="L201" s="276">
        <v>0</v>
      </c>
      <c r="M201" s="276">
        <v>0</v>
      </c>
      <c r="N201" s="276">
        <v>0</v>
      </c>
      <c r="O201" s="276">
        <v>0</v>
      </c>
      <c r="P201" s="276">
        <v>0</v>
      </c>
      <c r="Q201" s="276">
        <v>0</v>
      </c>
      <c r="R201" s="276">
        <v>0</v>
      </c>
      <c r="S201" s="276">
        <v>0</v>
      </c>
      <c r="T201" s="276">
        <v>0</v>
      </c>
      <c r="U201" s="276">
        <v>0</v>
      </c>
      <c r="V201" s="276">
        <v>0</v>
      </c>
      <c r="W201" s="276">
        <v>0</v>
      </c>
      <c r="X201" s="276">
        <v>0</v>
      </c>
      <c r="Y201" s="276">
        <v>64800</v>
      </c>
      <c r="Z201" s="276">
        <v>292</v>
      </c>
      <c r="AA201" s="276">
        <v>0</v>
      </c>
      <c r="AB201" s="276">
        <v>0</v>
      </c>
      <c r="AC201" s="276">
        <v>52476</v>
      </c>
      <c r="AD201" s="276">
        <v>0</v>
      </c>
      <c r="AE201" s="276">
        <v>14790.44</v>
      </c>
      <c r="AF201" s="276">
        <v>-2262.02</v>
      </c>
      <c r="AG201" s="276">
        <v>0</v>
      </c>
      <c r="AH201" s="276">
        <v>2371.64</v>
      </c>
      <c r="AI201" s="276">
        <v>-711.5</v>
      </c>
      <c r="AJ201" s="276">
        <v>0</v>
      </c>
      <c r="AK201" s="276">
        <v>12418.8</v>
      </c>
      <c r="AL201" s="276">
        <v>-1550.52</v>
      </c>
      <c r="AM201" s="276">
        <v>0</v>
      </c>
      <c r="AN201" s="276"/>
      <c r="AO201" s="276">
        <v>0</v>
      </c>
      <c r="AP201" s="276">
        <v>0</v>
      </c>
      <c r="AQ201" s="276">
        <v>27599</v>
      </c>
    </row>
    <row r="202" spans="1:43">
      <c r="A202" s="276" t="s">
        <v>338</v>
      </c>
      <c r="B202" s="276">
        <v>400</v>
      </c>
      <c r="C202" s="276">
        <v>12800</v>
      </c>
      <c r="D202" s="276">
        <v>32</v>
      </c>
      <c r="E202" s="276">
        <v>0</v>
      </c>
      <c r="F202" s="276">
        <v>38000</v>
      </c>
      <c r="G202" s="276">
        <v>190</v>
      </c>
      <c r="H202" s="276">
        <v>0</v>
      </c>
      <c r="I202" s="276">
        <v>0</v>
      </c>
      <c r="J202" s="276">
        <v>0</v>
      </c>
      <c r="K202" s="276">
        <v>0</v>
      </c>
      <c r="L202" s="276">
        <v>0</v>
      </c>
      <c r="M202" s="276">
        <v>0</v>
      </c>
      <c r="N202" s="276">
        <v>0</v>
      </c>
      <c r="O202" s="276">
        <v>0</v>
      </c>
      <c r="P202" s="276">
        <v>0</v>
      </c>
      <c r="Q202" s="276">
        <v>0</v>
      </c>
      <c r="R202" s="276">
        <v>0</v>
      </c>
      <c r="S202" s="276">
        <v>0</v>
      </c>
      <c r="T202" s="276">
        <v>0</v>
      </c>
      <c r="U202" s="276">
        <v>0</v>
      </c>
      <c r="V202" s="276">
        <v>0</v>
      </c>
      <c r="W202" s="276">
        <v>0</v>
      </c>
      <c r="X202" s="276">
        <v>0</v>
      </c>
      <c r="Y202" s="276">
        <v>50800</v>
      </c>
      <c r="Z202" s="276">
        <v>222</v>
      </c>
      <c r="AA202" s="276">
        <v>0</v>
      </c>
      <c r="AB202" s="276">
        <v>0</v>
      </c>
      <c r="AC202" s="276">
        <v>40601</v>
      </c>
      <c r="AD202" s="276">
        <v>0</v>
      </c>
      <c r="AE202" s="276">
        <v>12238.8</v>
      </c>
      <c r="AF202" s="276">
        <v>-2025.96</v>
      </c>
      <c r="AG202" s="276">
        <v>0</v>
      </c>
      <c r="AH202" s="276">
        <v>2948.4</v>
      </c>
      <c r="AI202" s="276">
        <v>-884.52</v>
      </c>
      <c r="AJ202" s="276">
        <v>0</v>
      </c>
      <c r="AK202" s="276">
        <v>9290.4</v>
      </c>
      <c r="AL202" s="276">
        <v>-1141.44</v>
      </c>
      <c r="AM202" s="276">
        <v>0</v>
      </c>
      <c r="AN202" s="276"/>
      <c r="AO202" s="276">
        <v>0</v>
      </c>
      <c r="AP202" s="276">
        <v>0</v>
      </c>
      <c r="AQ202" s="276">
        <v>21587.31</v>
      </c>
    </row>
    <row r="203" spans="1:43">
      <c r="A203" s="276" t="s">
        <v>338</v>
      </c>
      <c r="B203" s="276">
        <v>400</v>
      </c>
      <c r="C203" s="276">
        <v>12800</v>
      </c>
      <c r="D203" s="276">
        <v>32</v>
      </c>
      <c r="E203" s="276">
        <v>0</v>
      </c>
      <c r="F203" s="276">
        <v>37000</v>
      </c>
      <c r="G203" s="276">
        <v>185</v>
      </c>
      <c r="H203" s="276">
        <v>0</v>
      </c>
      <c r="I203" s="276">
        <v>0</v>
      </c>
      <c r="J203" s="276">
        <v>0</v>
      </c>
      <c r="K203" s="276">
        <v>0</v>
      </c>
      <c r="L203" s="276">
        <v>0</v>
      </c>
      <c r="M203" s="276">
        <v>0</v>
      </c>
      <c r="N203" s="276">
        <v>0</v>
      </c>
      <c r="O203" s="276">
        <v>0</v>
      </c>
      <c r="P203" s="276">
        <v>0</v>
      </c>
      <c r="Q203" s="276">
        <v>0</v>
      </c>
      <c r="R203" s="276">
        <v>0</v>
      </c>
      <c r="S203" s="276">
        <v>0</v>
      </c>
      <c r="T203" s="276">
        <v>0</v>
      </c>
      <c r="U203" s="276">
        <v>0</v>
      </c>
      <c r="V203" s="276">
        <v>0</v>
      </c>
      <c r="W203" s="276">
        <v>0</v>
      </c>
      <c r="X203" s="276">
        <v>0</v>
      </c>
      <c r="Y203" s="276">
        <v>49800</v>
      </c>
      <c r="Z203" s="276">
        <v>217</v>
      </c>
      <c r="AA203" s="276">
        <v>0</v>
      </c>
      <c r="AB203" s="276">
        <v>0</v>
      </c>
      <c r="AC203" s="276">
        <v>39491</v>
      </c>
      <c r="AD203" s="276">
        <v>0</v>
      </c>
      <c r="AE203" s="276">
        <v>12370.8</v>
      </c>
      <c r="AF203" s="276">
        <v>-1969.56</v>
      </c>
      <c r="AG203" s="276">
        <v>0</v>
      </c>
      <c r="AH203" s="276">
        <v>2600.4</v>
      </c>
      <c r="AI203" s="276">
        <v>-780.12</v>
      </c>
      <c r="AJ203" s="276">
        <v>0</v>
      </c>
      <c r="AK203" s="276">
        <v>9770.4</v>
      </c>
      <c r="AL203" s="276">
        <v>-1189.44</v>
      </c>
      <c r="AM203" s="276">
        <v>0</v>
      </c>
      <c r="AN203" s="276"/>
      <c r="AO203" s="276">
        <v>0</v>
      </c>
      <c r="AP203" s="276">
        <v>0</v>
      </c>
      <c r="AQ203" s="276">
        <v>21207.55</v>
      </c>
    </row>
    <row r="204" spans="1:43">
      <c r="A204" s="276" t="s">
        <v>338</v>
      </c>
      <c r="B204" s="276">
        <v>400</v>
      </c>
      <c r="C204" s="276">
        <v>12000</v>
      </c>
      <c r="D204" s="276">
        <v>30</v>
      </c>
      <c r="E204" s="276">
        <v>0</v>
      </c>
      <c r="F204" s="276">
        <v>46800</v>
      </c>
      <c r="G204" s="276">
        <v>234</v>
      </c>
      <c r="H204" s="276">
        <v>0</v>
      </c>
      <c r="I204" s="276">
        <v>0</v>
      </c>
      <c r="J204" s="276">
        <v>0</v>
      </c>
      <c r="K204" s="276">
        <v>0</v>
      </c>
      <c r="L204" s="276">
        <v>0</v>
      </c>
      <c r="M204" s="276">
        <v>0</v>
      </c>
      <c r="N204" s="276">
        <v>0</v>
      </c>
      <c r="O204" s="276">
        <v>0</v>
      </c>
      <c r="P204" s="276">
        <v>0</v>
      </c>
      <c r="Q204" s="276">
        <v>0</v>
      </c>
      <c r="R204" s="276">
        <v>0</v>
      </c>
      <c r="S204" s="276">
        <v>0</v>
      </c>
      <c r="T204" s="276">
        <v>0</v>
      </c>
      <c r="U204" s="276">
        <v>0</v>
      </c>
      <c r="V204" s="276">
        <v>0</v>
      </c>
      <c r="W204" s="276">
        <v>0</v>
      </c>
      <c r="X204" s="276">
        <v>0</v>
      </c>
      <c r="Y204" s="276">
        <v>58800</v>
      </c>
      <c r="Z204" s="276">
        <v>264</v>
      </c>
      <c r="AA204" s="276">
        <v>0</v>
      </c>
      <c r="AB204" s="276">
        <v>0</v>
      </c>
      <c r="AC204" s="276">
        <v>46349</v>
      </c>
      <c r="AD204" s="276">
        <v>0</v>
      </c>
      <c r="AE204" s="276">
        <v>14942.02</v>
      </c>
      <c r="AF204" s="276">
        <v>-2324.5300000000002</v>
      </c>
      <c r="AG204" s="276">
        <v>0</v>
      </c>
      <c r="AH204" s="276">
        <v>2849.62</v>
      </c>
      <c r="AI204" s="276">
        <v>-854.89</v>
      </c>
      <c r="AJ204" s="276">
        <v>0</v>
      </c>
      <c r="AK204" s="276">
        <v>12092.4</v>
      </c>
      <c r="AL204" s="276">
        <v>-1469.64</v>
      </c>
      <c r="AM204" s="276">
        <v>0</v>
      </c>
      <c r="AN204" s="276"/>
      <c r="AO204" s="276">
        <v>0</v>
      </c>
      <c r="AP204" s="276">
        <v>0</v>
      </c>
      <c r="AQ204" s="276">
        <v>25074.93</v>
      </c>
    </row>
    <row r="205" spans="1:43">
      <c r="A205" s="276" t="s">
        <v>338</v>
      </c>
      <c r="B205" s="276">
        <v>400</v>
      </c>
      <c r="C205" s="276">
        <v>12000</v>
      </c>
      <c r="D205" s="276">
        <v>30</v>
      </c>
      <c r="E205" s="276">
        <v>0</v>
      </c>
      <c r="F205" s="276">
        <v>41800</v>
      </c>
      <c r="G205" s="276">
        <v>209</v>
      </c>
      <c r="H205" s="276">
        <v>0</v>
      </c>
      <c r="I205" s="276">
        <v>0</v>
      </c>
      <c r="J205" s="276">
        <v>0</v>
      </c>
      <c r="K205" s="276">
        <v>0</v>
      </c>
      <c r="L205" s="276">
        <v>0</v>
      </c>
      <c r="M205" s="276">
        <v>0</v>
      </c>
      <c r="N205" s="276">
        <v>0</v>
      </c>
      <c r="O205" s="276">
        <v>0</v>
      </c>
      <c r="P205" s="276">
        <v>0</v>
      </c>
      <c r="Q205" s="276">
        <v>0</v>
      </c>
      <c r="R205" s="276">
        <v>0</v>
      </c>
      <c r="S205" s="276">
        <v>0</v>
      </c>
      <c r="T205" s="276">
        <v>0</v>
      </c>
      <c r="U205" s="276">
        <v>0</v>
      </c>
      <c r="V205" s="276">
        <v>0</v>
      </c>
      <c r="W205" s="276">
        <v>0</v>
      </c>
      <c r="X205" s="276">
        <v>0</v>
      </c>
      <c r="Y205" s="276">
        <v>53800</v>
      </c>
      <c r="Z205" s="276">
        <v>239</v>
      </c>
      <c r="AA205" s="276">
        <v>0</v>
      </c>
      <c r="AB205" s="276">
        <v>0</v>
      </c>
      <c r="AC205" s="276">
        <v>42129</v>
      </c>
      <c r="AD205" s="276">
        <v>0</v>
      </c>
      <c r="AE205" s="276">
        <v>14006.02</v>
      </c>
      <c r="AF205" s="276">
        <v>-2230.9299999999998</v>
      </c>
      <c r="AG205" s="276">
        <v>0</v>
      </c>
      <c r="AH205" s="276">
        <v>2849.62</v>
      </c>
      <c r="AI205" s="276">
        <v>-854.89</v>
      </c>
      <c r="AJ205" s="276">
        <v>0</v>
      </c>
      <c r="AK205" s="276">
        <v>11156.4</v>
      </c>
      <c r="AL205" s="276">
        <v>-1376.04</v>
      </c>
      <c r="AM205" s="276">
        <v>0</v>
      </c>
      <c r="AN205" s="276"/>
      <c r="AO205" s="276">
        <v>0</v>
      </c>
      <c r="AP205" s="276">
        <v>0</v>
      </c>
      <c r="AQ205" s="276">
        <v>22929.78</v>
      </c>
    </row>
    <row r="206" spans="1:43">
      <c r="A206" s="276" t="s">
        <v>338</v>
      </c>
      <c r="B206" s="276">
        <v>400</v>
      </c>
      <c r="C206" s="276">
        <v>12000</v>
      </c>
      <c r="D206" s="276">
        <v>30</v>
      </c>
      <c r="E206" s="276">
        <v>0</v>
      </c>
      <c r="F206" s="276">
        <v>57600</v>
      </c>
      <c r="G206" s="276">
        <v>288</v>
      </c>
      <c r="H206" s="276">
        <v>0</v>
      </c>
      <c r="I206" s="276">
        <v>0</v>
      </c>
      <c r="J206" s="276">
        <v>0</v>
      </c>
      <c r="K206" s="276">
        <v>0</v>
      </c>
      <c r="L206" s="276">
        <v>0</v>
      </c>
      <c r="M206" s="276">
        <v>0</v>
      </c>
      <c r="N206" s="276">
        <v>0</v>
      </c>
      <c r="O206" s="276">
        <v>0</v>
      </c>
      <c r="P206" s="276">
        <v>0</v>
      </c>
      <c r="Q206" s="276">
        <v>0</v>
      </c>
      <c r="R206" s="276">
        <v>0</v>
      </c>
      <c r="S206" s="276">
        <v>0</v>
      </c>
      <c r="T206" s="276">
        <v>0</v>
      </c>
      <c r="U206" s="276">
        <v>0</v>
      </c>
      <c r="V206" s="276">
        <v>0</v>
      </c>
      <c r="W206" s="276">
        <v>0</v>
      </c>
      <c r="X206" s="276">
        <v>0</v>
      </c>
      <c r="Y206" s="276">
        <v>69600</v>
      </c>
      <c r="Z206" s="276">
        <v>318</v>
      </c>
      <c r="AA206" s="276">
        <v>0</v>
      </c>
      <c r="AB206" s="276">
        <v>0</v>
      </c>
      <c r="AC206" s="276">
        <v>56786</v>
      </c>
      <c r="AD206" s="276">
        <v>0</v>
      </c>
      <c r="AE206" s="276">
        <v>15378.44</v>
      </c>
      <c r="AF206" s="276">
        <v>-2464.8200000000002</v>
      </c>
      <c r="AG206" s="276">
        <v>0</v>
      </c>
      <c r="AH206" s="276">
        <v>2611.64</v>
      </c>
      <c r="AI206" s="276">
        <v>-783.5</v>
      </c>
      <c r="AJ206" s="276">
        <v>0</v>
      </c>
      <c r="AK206" s="276">
        <v>12766.8</v>
      </c>
      <c r="AL206" s="276">
        <v>-1681.32</v>
      </c>
      <c r="AM206" s="276">
        <v>0</v>
      </c>
      <c r="AN206" s="276"/>
      <c r="AO206" s="276">
        <v>0</v>
      </c>
      <c r="AP206" s="276">
        <v>0</v>
      </c>
      <c r="AQ206" s="276">
        <v>29576.080000000002</v>
      </c>
    </row>
    <row r="207" spans="1:43">
      <c r="A207" s="276" t="s">
        <v>338</v>
      </c>
      <c r="B207" s="276">
        <v>400</v>
      </c>
      <c r="C207" s="276">
        <v>12000</v>
      </c>
      <c r="D207" s="276">
        <v>30</v>
      </c>
      <c r="E207" s="276">
        <v>0</v>
      </c>
      <c r="F207" s="276">
        <v>47000</v>
      </c>
      <c r="G207" s="276">
        <v>235</v>
      </c>
      <c r="H207" s="276">
        <v>0</v>
      </c>
      <c r="I207" s="276">
        <v>0</v>
      </c>
      <c r="J207" s="276">
        <v>0</v>
      </c>
      <c r="K207" s="276">
        <v>0</v>
      </c>
      <c r="L207" s="276">
        <v>0</v>
      </c>
      <c r="M207" s="276">
        <v>0</v>
      </c>
      <c r="N207" s="276">
        <v>0</v>
      </c>
      <c r="O207" s="276">
        <v>0</v>
      </c>
      <c r="P207" s="276">
        <v>0</v>
      </c>
      <c r="Q207" s="276">
        <v>0</v>
      </c>
      <c r="R207" s="276">
        <v>0</v>
      </c>
      <c r="S207" s="276">
        <v>0</v>
      </c>
      <c r="T207" s="276">
        <v>0</v>
      </c>
      <c r="U207" s="276">
        <v>0</v>
      </c>
      <c r="V207" s="276">
        <v>0</v>
      </c>
      <c r="W207" s="276">
        <v>0</v>
      </c>
      <c r="X207" s="276">
        <v>0</v>
      </c>
      <c r="Y207" s="276">
        <v>59000</v>
      </c>
      <c r="Z207" s="276">
        <v>265</v>
      </c>
      <c r="AA207" s="276">
        <v>0</v>
      </c>
      <c r="AB207" s="276">
        <v>0</v>
      </c>
      <c r="AC207" s="276">
        <v>46857</v>
      </c>
      <c r="AD207" s="276">
        <v>0</v>
      </c>
      <c r="AE207" s="276">
        <v>14572.42</v>
      </c>
      <c r="AF207" s="276">
        <v>-2273.41</v>
      </c>
      <c r="AG207" s="276">
        <v>0</v>
      </c>
      <c r="AH207" s="276">
        <v>2777.62</v>
      </c>
      <c r="AI207" s="276">
        <v>-833.29</v>
      </c>
      <c r="AJ207" s="276">
        <v>0</v>
      </c>
      <c r="AK207" s="276">
        <v>11794.8</v>
      </c>
      <c r="AL207" s="276">
        <v>-1440.12</v>
      </c>
      <c r="AM207" s="276">
        <v>0</v>
      </c>
      <c r="AN207" s="276"/>
      <c r="AO207" s="276">
        <v>0</v>
      </c>
      <c r="AP207" s="276">
        <v>0</v>
      </c>
      <c r="AQ207" s="276">
        <v>25144.22</v>
      </c>
    </row>
    <row r="208" spans="1:43">
      <c r="A208" s="276" t="s">
        <v>338</v>
      </c>
      <c r="B208" s="276">
        <v>400</v>
      </c>
      <c r="C208" s="276">
        <v>11600</v>
      </c>
      <c r="D208" s="276">
        <v>29</v>
      </c>
      <c r="E208" s="276">
        <v>0</v>
      </c>
      <c r="F208" s="276">
        <v>43400</v>
      </c>
      <c r="G208" s="276">
        <v>217</v>
      </c>
      <c r="H208" s="276">
        <v>0</v>
      </c>
      <c r="I208" s="276">
        <v>0</v>
      </c>
      <c r="J208" s="276">
        <v>0</v>
      </c>
      <c r="K208" s="276">
        <v>0</v>
      </c>
      <c r="L208" s="276">
        <v>0</v>
      </c>
      <c r="M208" s="276">
        <v>0</v>
      </c>
      <c r="N208" s="276">
        <v>0</v>
      </c>
      <c r="O208" s="276">
        <v>0</v>
      </c>
      <c r="P208" s="276">
        <v>0</v>
      </c>
      <c r="Q208" s="276">
        <v>0</v>
      </c>
      <c r="R208" s="276">
        <v>0</v>
      </c>
      <c r="S208" s="276">
        <v>0</v>
      </c>
      <c r="T208" s="276">
        <v>0</v>
      </c>
      <c r="U208" s="276">
        <v>0</v>
      </c>
      <c r="V208" s="276">
        <v>0</v>
      </c>
      <c r="W208" s="276">
        <v>0</v>
      </c>
      <c r="X208" s="276">
        <v>0</v>
      </c>
      <c r="Y208" s="276">
        <v>55000</v>
      </c>
      <c r="Z208" s="276">
        <v>246</v>
      </c>
      <c r="AA208" s="276">
        <v>0</v>
      </c>
      <c r="AB208" s="276">
        <v>0</v>
      </c>
      <c r="AC208" s="276">
        <v>43849</v>
      </c>
      <c r="AD208" s="276">
        <v>0</v>
      </c>
      <c r="AE208" s="276">
        <v>13382.02</v>
      </c>
      <c r="AF208" s="276">
        <v>-2240.5300000000002</v>
      </c>
      <c r="AG208" s="276">
        <v>0</v>
      </c>
      <c r="AH208" s="276">
        <v>3209.62</v>
      </c>
      <c r="AI208" s="276">
        <v>-962.89</v>
      </c>
      <c r="AJ208" s="276">
        <v>0</v>
      </c>
      <c r="AK208" s="276">
        <v>10172.4</v>
      </c>
      <c r="AL208" s="276">
        <v>-1277.6400000000001</v>
      </c>
      <c r="AM208" s="276">
        <v>0</v>
      </c>
      <c r="AN208" s="276"/>
      <c r="AO208" s="276">
        <v>0</v>
      </c>
      <c r="AP208" s="276">
        <v>0</v>
      </c>
      <c r="AQ208" s="276">
        <v>23364.48</v>
      </c>
    </row>
    <row r="209" spans="1:43">
      <c r="A209" s="276" t="s">
        <v>338</v>
      </c>
      <c r="B209" s="276">
        <v>400</v>
      </c>
      <c r="C209" s="276">
        <v>11600</v>
      </c>
      <c r="D209" s="276">
        <v>29</v>
      </c>
      <c r="E209" s="276">
        <v>0</v>
      </c>
      <c r="F209" s="276">
        <v>52800</v>
      </c>
      <c r="G209" s="276">
        <v>264</v>
      </c>
      <c r="H209" s="276">
        <v>0</v>
      </c>
      <c r="I209" s="276">
        <v>0</v>
      </c>
      <c r="J209" s="276">
        <v>0</v>
      </c>
      <c r="K209" s="276">
        <v>0</v>
      </c>
      <c r="L209" s="276">
        <v>0</v>
      </c>
      <c r="M209" s="276">
        <v>0</v>
      </c>
      <c r="N209" s="276">
        <v>0</v>
      </c>
      <c r="O209" s="276">
        <v>0</v>
      </c>
      <c r="P209" s="276">
        <v>0</v>
      </c>
      <c r="Q209" s="276">
        <v>0</v>
      </c>
      <c r="R209" s="276">
        <v>0</v>
      </c>
      <c r="S209" s="276">
        <v>0</v>
      </c>
      <c r="T209" s="276">
        <v>0</v>
      </c>
      <c r="U209" s="276">
        <v>0</v>
      </c>
      <c r="V209" s="276">
        <v>0</v>
      </c>
      <c r="W209" s="276">
        <v>0</v>
      </c>
      <c r="X209" s="276">
        <v>0</v>
      </c>
      <c r="Y209" s="276">
        <v>64400</v>
      </c>
      <c r="Z209" s="276">
        <v>293</v>
      </c>
      <c r="AA209" s="276">
        <v>0</v>
      </c>
      <c r="AB209" s="276">
        <v>0</v>
      </c>
      <c r="AC209" s="276">
        <v>51506</v>
      </c>
      <c r="AD209" s="276">
        <v>0</v>
      </c>
      <c r="AE209" s="276">
        <v>15474.44</v>
      </c>
      <c r="AF209" s="276">
        <v>-2426.42</v>
      </c>
      <c r="AG209" s="276">
        <v>0</v>
      </c>
      <c r="AH209" s="276">
        <v>2371.64</v>
      </c>
      <c r="AI209" s="276">
        <v>-711.5</v>
      </c>
      <c r="AJ209" s="276">
        <v>0</v>
      </c>
      <c r="AK209" s="276">
        <v>13102.8</v>
      </c>
      <c r="AL209" s="276">
        <v>-1714.92</v>
      </c>
      <c r="AM209" s="276">
        <v>0</v>
      </c>
      <c r="AN209" s="276"/>
      <c r="AO209" s="276">
        <v>0</v>
      </c>
      <c r="AP209" s="276">
        <v>0</v>
      </c>
      <c r="AQ209" s="276">
        <v>27426.880000000001</v>
      </c>
    </row>
    <row r="210" spans="1:43">
      <c r="A210" s="276" t="s">
        <v>338</v>
      </c>
      <c r="B210" s="276">
        <v>400</v>
      </c>
      <c r="C210" s="276">
        <v>10400</v>
      </c>
      <c r="D210" s="276">
        <v>26</v>
      </c>
      <c r="E210" s="276">
        <v>0</v>
      </c>
      <c r="F210" s="276">
        <v>45200</v>
      </c>
      <c r="G210" s="276">
        <v>226</v>
      </c>
      <c r="H210" s="276">
        <v>0</v>
      </c>
      <c r="I210" s="276">
        <v>0</v>
      </c>
      <c r="J210" s="276">
        <v>0</v>
      </c>
      <c r="K210" s="276">
        <v>0</v>
      </c>
      <c r="L210" s="276">
        <v>0</v>
      </c>
      <c r="M210" s="276">
        <v>0</v>
      </c>
      <c r="N210" s="276">
        <v>0</v>
      </c>
      <c r="O210" s="276">
        <v>0</v>
      </c>
      <c r="P210" s="276">
        <v>0</v>
      </c>
      <c r="Q210" s="276">
        <v>0</v>
      </c>
      <c r="R210" s="276">
        <v>0</v>
      </c>
      <c r="S210" s="276">
        <v>0</v>
      </c>
      <c r="T210" s="276">
        <v>0</v>
      </c>
      <c r="U210" s="276">
        <v>0</v>
      </c>
      <c r="V210" s="276">
        <v>0</v>
      </c>
      <c r="W210" s="276">
        <v>0</v>
      </c>
      <c r="X210" s="276">
        <v>0</v>
      </c>
      <c r="Y210" s="276">
        <v>55600</v>
      </c>
      <c r="Z210" s="276">
        <v>252</v>
      </c>
      <c r="AA210" s="276">
        <v>0</v>
      </c>
      <c r="AB210" s="276">
        <v>0</v>
      </c>
      <c r="AC210" s="276">
        <v>43759</v>
      </c>
      <c r="AD210" s="276">
        <v>0</v>
      </c>
      <c r="AE210" s="276">
        <v>14210.02</v>
      </c>
      <c r="AF210" s="276">
        <v>-2251.33</v>
      </c>
      <c r="AG210" s="276">
        <v>0</v>
      </c>
      <c r="AH210" s="276">
        <v>2849.62</v>
      </c>
      <c r="AI210" s="276">
        <v>-854.89</v>
      </c>
      <c r="AJ210" s="276">
        <v>0</v>
      </c>
      <c r="AK210" s="276">
        <v>11360.4</v>
      </c>
      <c r="AL210" s="276">
        <v>-1396.44</v>
      </c>
      <c r="AM210" s="276">
        <v>0</v>
      </c>
      <c r="AN210" s="276"/>
      <c r="AO210" s="276">
        <v>0</v>
      </c>
      <c r="AP210" s="276">
        <v>0</v>
      </c>
      <c r="AQ210" s="276">
        <v>23694.560000000001</v>
      </c>
    </row>
    <row r="211" spans="1:43">
      <c r="A211" s="276" t="s">
        <v>338</v>
      </c>
      <c r="B211" s="276">
        <v>400</v>
      </c>
      <c r="C211" s="276">
        <v>10000</v>
      </c>
      <c r="D211" s="276">
        <v>25</v>
      </c>
      <c r="E211" s="276">
        <v>0</v>
      </c>
      <c r="F211" s="276">
        <v>34000</v>
      </c>
      <c r="G211" s="276">
        <v>170</v>
      </c>
      <c r="H211" s="276">
        <v>0</v>
      </c>
      <c r="I211" s="276">
        <v>0</v>
      </c>
      <c r="J211" s="276">
        <v>0</v>
      </c>
      <c r="K211" s="276">
        <v>0</v>
      </c>
      <c r="L211" s="276">
        <v>0</v>
      </c>
      <c r="M211" s="276">
        <v>0</v>
      </c>
      <c r="N211" s="276">
        <v>0</v>
      </c>
      <c r="O211" s="276">
        <v>0</v>
      </c>
      <c r="P211" s="276">
        <v>0</v>
      </c>
      <c r="Q211" s="276">
        <v>0</v>
      </c>
      <c r="R211" s="276">
        <v>0</v>
      </c>
      <c r="S211" s="276">
        <v>0</v>
      </c>
      <c r="T211" s="276">
        <v>0</v>
      </c>
      <c r="U211" s="276">
        <v>0</v>
      </c>
      <c r="V211" s="276">
        <v>0</v>
      </c>
      <c r="W211" s="276">
        <v>0</v>
      </c>
      <c r="X211" s="276">
        <v>0</v>
      </c>
      <c r="Y211" s="276">
        <v>44000</v>
      </c>
      <c r="Z211" s="276">
        <v>195</v>
      </c>
      <c r="AA211" s="276">
        <v>0</v>
      </c>
      <c r="AB211" s="276">
        <v>0</v>
      </c>
      <c r="AC211" s="276">
        <v>34290</v>
      </c>
      <c r="AD211" s="276">
        <v>0</v>
      </c>
      <c r="AE211" s="276">
        <v>11652</v>
      </c>
      <c r="AF211" s="276">
        <v>-1849.68</v>
      </c>
      <c r="AG211" s="276">
        <v>0</v>
      </c>
      <c r="AH211" s="276">
        <v>2360.4</v>
      </c>
      <c r="AI211" s="276">
        <v>-708.12</v>
      </c>
      <c r="AJ211" s="276">
        <v>0</v>
      </c>
      <c r="AK211" s="276">
        <v>9291.6</v>
      </c>
      <c r="AL211" s="276">
        <v>-1141.56</v>
      </c>
      <c r="AM211" s="276">
        <v>0</v>
      </c>
      <c r="AN211" s="276"/>
      <c r="AO211" s="276">
        <v>0</v>
      </c>
      <c r="AP211" s="276">
        <v>0</v>
      </c>
      <c r="AQ211" s="276">
        <v>18761.41</v>
      </c>
    </row>
    <row r="212" spans="1:43">
      <c r="A212" s="276" t="s">
        <v>338</v>
      </c>
      <c r="B212" s="276">
        <v>400</v>
      </c>
      <c r="C212" s="276">
        <v>10000</v>
      </c>
      <c r="D212" s="276">
        <v>25</v>
      </c>
      <c r="E212" s="276">
        <v>0</v>
      </c>
      <c r="F212" s="276">
        <v>37000</v>
      </c>
      <c r="G212" s="276">
        <v>185</v>
      </c>
      <c r="H212" s="276">
        <v>0</v>
      </c>
      <c r="I212" s="276">
        <v>0</v>
      </c>
      <c r="J212" s="276">
        <v>0</v>
      </c>
      <c r="K212" s="276">
        <v>0</v>
      </c>
      <c r="L212" s="276">
        <v>0</v>
      </c>
      <c r="M212" s="276">
        <v>0</v>
      </c>
      <c r="N212" s="276">
        <v>0</v>
      </c>
      <c r="O212" s="276">
        <v>0</v>
      </c>
      <c r="P212" s="276">
        <v>0</v>
      </c>
      <c r="Q212" s="276">
        <v>0</v>
      </c>
      <c r="R212" s="276">
        <v>0</v>
      </c>
      <c r="S212" s="276">
        <v>0</v>
      </c>
      <c r="T212" s="276">
        <v>0</v>
      </c>
      <c r="U212" s="276">
        <v>0</v>
      </c>
      <c r="V212" s="276">
        <v>0</v>
      </c>
      <c r="W212" s="276">
        <v>0</v>
      </c>
      <c r="X212" s="276">
        <v>0</v>
      </c>
      <c r="Y212" s="276">
        <v>47000</v>
      </c>
      <c r="Z212" s="276">
        <v>210</v>
      </c>
      <c r="AA212" s="276">
        <v>0</v>
      </c>
      <c r="AB212" s="276">
        <v>0</v>
      </c>
      <c r="AC212" s="276">
        <v>37289</v>
      </c>
      <c r="AD212" s="276">
        <v>0</v>
      </c>
      <c r="AE212" s="276">
        <v>11653.2</v>
      </c>
      <c r="AF212" s="276">
        <v>-1849.8</v>
      </c>
      <c r="AG212" s="276">
        <v>0</v>
      </c>
      <c r="AH212" s="276">
        <v>2360.4</v>
      </c>
      <c r="AI212" s="276">
        <v>-708.12</v>
      </c>
      <c r="AJ212" s="276">
        <v>0</v>
      </c>
      <c r="AK212" s="276">
        <v>9292.7999999999993</v>
      </c>
      <c r="AL212" s="276">
        <v>-1141.68</v>
      </c>
      <c r="AM212" s="276">
        <v>0</v>
      </c>
      <c r="AN212" s="276"/>
      <c r="AO212" s="276">
        <v>0</v>
      </c>
      <c r="AP212" s="276">
        <v>0</v>
      </c>
      <c r="AQ212" s="276">
        <v>20016.97</v>
      </c>
    </row>
    <row r="213" spans="1:43">
      <c r="A213" s="276" t="s">
        <v>338</v>
      </c>
      <c r="B213" s="276">
        <v>400</v>
      </c>
      <c r="C213" s="276">
        <v>10000</v>
      </c>
      <c r="D213" s="276">
        <v>25</v>
      </c>
      <c r="E213" s="276">
        <v>0</v>
      </c>
      <c r="F213" s="276">
        <v>35600</v>
      </c>
      <c r="G213" s="276">
        <v>178</v>
      </c>
      <c r="H213" s="276">
        <v>0</v>
      </c>
      <c r="I213" s="276">
        <v>0</v>
      </c>
      <c r="J213" s="276">
        <v>0</v>
      </c>
      <c r="K213" s="276">
        <v>0</v>
      </c>
      <c r="L213" s="276">
        <v>0</v>
      </c>
      <c r="M213" s="276">
        <v>0</v>
      </c>
      <c r="N213" s="276">
        <v>0</v>
      </c>
      <c r="O213" s="276">
        <v>0</v>
      </c>
      <c r="P213" s="276">
        <v>0</v>
      </c>
      <c r="Q213" s="276">
        <v>0</v>
      </c>
      <c r="R213" s="276">
        <v>0</v>
      </c>
      <c r="S213" s="276">
        <v>0</v>
      </c>
      <c r="T213" s="276">
        <v>0</v>
      </c>
      <c r="U213" s="276">
        <v>0</v>
      </c>
      <c r="V213" s="276">
        <v>0</v>
      </c>
      <c r="W213" s="276">
        <v>0</v>
      </c>
      <c r="X213" s="276">
        <v>0</v>
      </c>
      <c r="Y213" s="276">
        <v>45600</v>
      </c>
      <c r="Z213" s="276">
        <v>203</v>
      </c>
      <c r="AA213" s="276">
        <v>0</v>
      </c>
      <c r="AB213" s="276">
        <v>0</v>
      </c>
      <c r="AC213" s="276">
        <v>35589</v>
      </c>
      <c r="AD213" s="276">
        <v>0</v>
      </c>
      <c r="AE213" s="276">
        <v>12013.2</v>
      </c>
      <c r="AF213" s="276">
        <v>-2029.8</v>
      </c>
      <c r="AG213" s="276">
        <v>0</v>
      </c>
      <c r="AH213" s="276">
        <v>3080.4</v>
      </c>
      <c r="AI213" s="276">
        <v>-924.12</v>
      </c>
      <c r="AJ213" s="276">
        <v>0</v>
      </c>
      <c r="AK213" s="276">
        <v>8932.7999999999993</v>
      </c>
      <c r="AL213" s="276">
        <v>-1105.68</v>
      </c>
      <c r="AM213" s="276">
        <v>0</v>
      </c>
      <c r="AN213" s="276"/>
      <c r="AO213" s="276">
        <v>0</v>
      </c>
      <c r="AP213" s="276">
        <v>0</v>
      </c>
      <c r="AQ213" s="276">
        <v>19386.52</v>
      </c>
    </row>
    <row r="214" spans="1:43">
      <c r="A214" s="276" t="s">
        <v>338</v>
      </c>
      <c r="B214" s="276">
        <v>400</v>
      </c>
      <c r="C214" s="276">
        <v>10000</v>
      </c>
      <c r="D214" s="276">
        <v>25</v>
      </c>
      <c r="E214" s="276">
        <v>0</v>
      </c>
      <c r="F214" s="276">
        <v>35600</v>
      </c>
      <c r="G214" s="276">
        <v>178</v>
      </c>
      <c r="H214" s="276">
        <v>0</v>
      </c>
      <c r="I214" s="276">
        <v>0</v>
      </c>
      <c r="J214" s="276">
        <v>0</v>
      </c>
      <c r="K214" s="276">
        <v>0</v>
      </c>
      <c r="L214" s="276">
        <v>0</v>
      </c>
      <c r="M214" s="276">
        <v>0</v>
      </c>
      <c r="N214" s="276">
        <v>0</v>
      </c>
      <c r="O214" s="276">
        <v>0</v>
      </c>
      <c r="P214" s="276">
        <v>0</v>
      </c>
      <c r="Q214" s="276">
        <v>0</v>
      </c>
      <c r="R214" s="276">
        <v>0</v>
      </c>
      <c r="S214" s="276">
        <v>0</v>
      </c>
      <c r="T214" s="276">
        <v>0</v>
      </c>
      <c r="U214" s="276">
        <v>0</v>
      </c>
      <c r="V214" s="276">
        <v>0</v>
      </c>
      <c r="W214" s="276">
        <v>0</v>
      </c>
      <c r="X214" s="276">
        <v>0</v>
      </c>
      <c r="Y214" s="276">
        <v>45600</v>
      </c>
      <c r="Z214" s="276">
        <v>203</v>
      </c>
      <c r="AA214" s="276">
        <v>0</v>
      </c>
      <c r="AB214" s="276">
        <v>0</v>
      </c>
      <c r="AC214" s="276">
        <v>35288</v>
      </c>
      <c r="AD214" s="276">
        <v>0</v>
      </c>
      <c r="AE214" s="276">
        <v>12374.4</v>
      </c>
      <c r="AF214" s="276">
        <v>-1970.16</v>
      </c>
      <c r="AG214" s="276">
        <v>0</v>
      </c>
      <c r="AH214" s="276">
        <v>2361.6</v>
      </c>
      <c r="AI214" s="276">
        <v>-708.48</v>
      </c>
      <c r="AJ214" s="276">
        <v>0</v>
      </c>
      <c r="AK214" s="276">
        <v>10012.799999999999</v>
      </c>
      <c r="AL214" s="276">
        <v>-1261.68</v>
      </c>
      <c r="AM214" s="276">
        <v>0</v>
      </c>
      <c r="AN214" s="276"/>
      <c r="AO214" s="276">
        <v>0</v>
      </c>
      <c r="AP214" s="276">
        <v>0</v>
      </c>
      <c r="AQ214" s="276">
        <v>19449.93</v>
      </c>
    </row>
    <row r="215" spans="1:43">
      <c r="A215" s="276" t="s">
        <v>338</v>
      </c>
      <c r="B215" s="276">
        <v>400</v>
      </c>
      <c r="C215" s="276">
        <v>10000</v>
      </c>
      <c r="D215" s="276">
        <v>25</v>
      </c>
      <c r="E215" s="276">
        <v>0</v>
      </c>
      <c r="F215" s="276">
        <v>38600</v>
      </c>
      <c r="G215" s="276">
        <v>193</v>
      </c>
      <c r="H215" s="276">
        <v>0</v>
      </c>
      <c r="I215" s="276">
        <v>0</v>
      </c>
      <c r="J215" s="276">
        <v>0</v>
      </c>
      <c r="K215" s="276">
        <v>0</v>
      </c>
      <c r="L215" s="276">
        <v>0</v>
      </c>
      <c r="M215" s="276">
        <v>0</v>
      </c>
      <c r="N215" s="276">
        <v>0</v>
      </c>
      <c r="O215" s="276">
        <v>0</v>
      </c>
      <c r="P215" s="276">
        <v>0</v>
      </c>
      <c r="Q215" s="276">
        <v>0</v>
      </c>
      <c r="R215" s="276">
        <v>0</v>
      </c>
      <c r="S215" s="276">
        <v>0</v>
      </c>
      <c r="T215" s="276">
        <v>0</v>
      </c>
      <c r="U215" s="276">
        <v>0</v>
      </c>
      <c r="V215" s="276">
        <v>0</v>
      </c>
      <c r="W215" s="276">
        <v>0</v>
      </c>
      <c r="X215" s="276">
        <v>0</v>
      </c>
      <c r="Y215" s="276">
        <v>48600</v>
      </c>
      <c r="Z215" s="276">
        <v>218</v>
      </c>
      <c r="AA215" s="276">
        <v>0</v>
      </c>
      <c r="AB215" s="276">
        <v>0</v>
      </c>
      <c r="AC215" s="276">
        <v>38688</v>
      </c>
      <c r="AD215" s="276">
        <v>0</v>
      </c>
      <c r="AE215" s="276">
        <v>11894.4</v>
      </c>
      <c r="AF215" s="276">
        <v>-1922.16</v>
      </c>
      <c r="AG215" s="276">
        <v>0</v>
      </c>
      <c r="AH215" s="276">
        <v>2361.6</v>
      </c>
      <c r="AI215" s="276">
        <v>-708.48</v>
      </c>
      <c r="AJ215" s="276">
        <v>0</v>
      </c>
      <c r="AK215" s="276">
        <v>9532.7999999999993</v>
      </c>
      <c r="AL215" s="276">
        <v>-1213.68</v>
      </c>
      <c r="AM215" s="276">
        <v>0</v>
      </c>
      <c r="AN215" s="276"/>
      <c r="AO215" s="276">
        <v>0</v>
      </c>
      <c r="AP215" s="276">
        <v>0</v>
      </c>
      <c r="AQ215" s="276">
        <v>20678.43</v>
      </c>
    </row>
    <row r="216" spans="1:43">
      <c r="A216" s="276" t="s">
        <v>338</v>
      </c>
      <c r="B216" s="276">
        <v>400</v>
      </c>
      <c r="C216" s="276">
        <v>9600</v>
      </c>
      <c r="D216" s="276">
        <v>24</v>
      </c>
      <c r="E216" s="276">
        <v>0</v>
      </c>
      <c r="F216" s="276">
        <v>38800</v>
      </c>
      <c r="G216" s="276">
        <v>194</v>
      </c>
      <c r="H216" s="276">
        <v>0</v>
      </c>
      <c r="I216" s="276">
        <v>0</v>
      </c>
      <c r="J216" s="276">
        <v>0</v>
      </c>
      <c r="K216" s="276">
        <v>0</v>
      </c>
      <c r="L216" s="276">
        <v>0</v>
      </c>
      <c r="M216" s="276">
        <v>0</v>
      </c>
      <c r="N216" s="276">
        <v>0</v>
      </c>
      <c r="O216" s="276">
        <v>0</v>
      </c>
      <c r="P216" s="276">
        <v>0</v>
      </c>
      <c r="Q216" s="276">
        <v>0</v>
      </c>
      <c r="R216" s="276">
        <v>0</v>
      </c>
      <c r="S216" s="276">
        <v>0</v>
      </c>
      <c r="T216" s="276">
        <v>0</v>
      </c>
      <c r="U216" s="276">
        <v>0</v>
      </c>
      <c r="V216" s="276">
        <v>0</v>
      </c>
      <c r="W216" s="276">
        <v>0</v>
      </c>
      <c r="X216" s="276">
        <v>0</v>
      </c>
      <c r="Y216" s="276">
        <v>48400</v>
      </c>
      <c r="Z216" s="276">
        <v>218</v>
      </c>
      <c r="AA216" s="276">
        <v>0</v>
      </c>
      <c r="AB216" s="276">
        <v>0</v>
      </c>
      <c r="AC216" s="276">
        <v>37919</v>
      </c>
      <c r="AD216" s="276">
        <v>0</v>
      </c>
      <c r="AE216" s="276">
        <v>12577.2</v>
      </c>
      <c r="AF216" s="276">
        <v>-2038.2</v>
      </c>
      <c r="AG216" s="276">
        <v>0</v>
      </c>
      <c r="AH216" s="276">
        <v>2600.4</v>
      </c>
      <c r="AI216" s="276">
        <v>-780.12</v>
      </c>
      <c r="AJ216" s="276">
        <v>0</v>
      </c>
      <c r="AK216" s="276">
        <v>9976.7999999999993</v>
      </c>
      <c r="AL216" s="276">
        <v>-1258.08</v>
      </c>
      <c r="AM216" s="276">
        <v>0</v>
      </c>
      <c r="AN216" s="276"/>
      <c r="AO216" s="276">
        <v>0</v>
      </c>
      <c r="AP216" s="276">
        <v>0</v>
      </c>
      <c r="AQ216" s="276">
        <v>20611.650000000001</v>
      </c>
    </row>
    <row r="217" spans="1:43">
      <c r="A217" s="276" t="s">
        <v>338</v>
      </c>
      <c r="B217" s="276">
        <v>400</v>
      </c>
      <c r="C217" s="276">
        <v>9600</v>
      </c>
      <c r="D217" s="276">
        <v>24</v>
      </c>
      <c r="E217" s="276">
        <v>0</v>
      </c>
      <c r="F217" s="276">
        <v>38800</v>
      </c>
      <c r="G217" s="276">
        <v>194</v>
      </c>
      <c r="H217" s="276">
        <v>0</v>
      </c>
      <c r="I217" s="276">
        <v>0</v>
      </c>
      <c r="J217" s="276">
        <v>0</v>
      </c>
      <c r="K217" s="276">
        <v>0</v>
      </c>
      <c r="L217" s="276">
        <v>0</v>
      </c>
      <c r="M217" s="276">
        <v>0</v>
      </c>
      <c r="N217" s="276">
        <v>0</v>
      </c>
      <c r="O217" s="276">
        <v>0</v>
      </c>
      <c r="P217" s="276">
        <v>0</v>
      </c>
      <c r="Q217" s="276">
        <v>0</v>
      </c>
      <c r="R217" s="276">
        <v>0</v>
      </c>
      <c r="S217" s="276">
        <v>0</v>
      </c>
      <c r="T217" s="276">
        <v>0</v>
      </c>
      <c r="U217" s="276">
        <v>0</v>
      </c>
      <c r="V217" s="276">
        <v>0</v>
      </c>
      <c r="W217" s="276">
        <v>0</v>
      </c>
      <c r="X217" s="276">
        <v>0</v>
      </c>
      <c r="Y217" s="276">
        <v>48400</v>
      </c>
      <c r="Z217" s="276">
        <v>218</v>
      </c>
      <c r="AA217" s="276">
        <v>0</v>
      </c>
      <c r="AB217" s="276">
        <v>0</v>
      </c>
      <c r="AC217" s="276">
        <v>37848</v>
      </c>
      <c r="AD217" s="276">
        <v>0</v>
      </c>
      <c r="AE217" s="276">
        <v>12662.4</v>
      </c>
      <c r="AF217" s="276">
        <v>-2142.96</v>
      </c>
      <c r="AG217" s="276">
        <v>0</v>
      </c>
      <c r="AH217" s="276">
        <v>3081.6</v>
      </c>
      <c r="AI217" s="276">
        <v>-924.48</v>
      </c>
      <c r="AJ217" s="276">
        <v>0</v>
      </c>
      <c r="AK217" s="276">
        <v>9580.7999999999993</v>
      </c>
      <c r="AL217" s="276">
        <v>-1218.48</v>
      </c>
      <c r="AM217" s="276">
        <v>0</v>
      </c>
      <c r="AN217" s="276"/>
      <c r="AO217" s="276">
        <v>0</v>
      </c>
      <c r="AP217" s="276">
        <v>0</v>
      </c>
      <c r="AQ217" s="276">
        <v>20573.13</v>
      </c>
    </row>
    <row r="218" spans="1:43">
      <c r="A218" s="276" t="s">
        <v>338</v>
      </c>
      <c r="B218" s="276">
        <v>400</v>
      </c>
      <c r="C218" s="276">
        <v>9600</v>
      </c>
      <c r="D218" s="276">
        <v>24</v>
      </c>
      <c r="E218" s="276">
        <v>0</v>
      </c>
      <c r="F218" s="276">
        <v>35200</v>
      </c>
      <c r="G218" s="276">
        <v>176</v>
      </c>
      <c r="H218" s="276">
        <v>0</v>
      </c>
      <c r="I218" s="276">
        <v>0</v>
      </c>
      <c r="J218" s="276">
        <v>0</v>
      </c>
      <c r="K218" s="276">
        <v>0</v>
      </c>
      <c r="L218" s="276">
        <v>0</v>
      </c>
      <c r="M218" s="276">
        <v>0</v>
      </c>
      <c r="N218" s="276">
        <v>0</v>
      </c>
      <c r="O218" s="276">
        <v>0</v>
      </c>
      <c r="P218" s="276">
        <v>0</v>
      </c>
      <c r="Q218" s="276">
        <v>0</v>
      </c>
      <c r="R218" s="276">
        <v>0</v>
      </c>
      <c r="S218" s="276">
        <v>0</v>
      </c>
      <c r="T218" s="276">
        <v>0</v>
      </c>
      <c r="U218" s="276">
        <v>0</v>
      </c>
      <c r="V218" s="276">
        <v>0</v>
      </c>
      <c r="W218" s="276">
        <v>0</v>
      </c>
      <c r="X218" s="276">
        <v>0</v>
      </c>
      <c r="Y218" s="276">
        <v>44800</v>
      </c>
      <c r="Z218" s="276">
        <v>200</v>
      </c>
      <c r="AA218" s="276">
        <v>0</v>
      </c>
      <c r="AB218" s="276">
        <v>0</v>
      </c>
      <c r="AC218" s="276">
        <v>35041</v>
      </c>
      <c r="AD218" s="276">
        <v>0</v>
      </c>
      <c r="AE218" s="276">
        <v>11710.8</v>
      </c>
      <c r="AF218" s="276">
        <v>-1903.56</v>
      </c>
      <c r="AG218" s="276">
        <v>0</v>
      </c>
      <c r="AH218" s="276">
        <v>2360.4</v>
      </c>
      <c r="AI218" s="276">
        <v>-708.12</v>
      </c>
      <c r="AJ218" s="276">
        <v>0</v>
      </c>
      <c r="AK218" s="276">
        <v>9350.4</v>
      </c>
      <c r="AL218" s="276">
        <v>-1195.44</v>
      </c>
      <c r="AM218" s="276">
        <v>0</v>
      </c>
      <c r="AN218" s="276"/>
      <c r="AO218" s="276">
        <v>0</v>
      </c>
      <c r="AP218" s="276">
        <v>0</v>
      </c>
      <c r="AQ218" s="276">
        <v>19077.919999999998</v>
      </c>
    </row>
    <row r="219" spans="1:43">
      <c r="A219" s="276" t="s">
        <v>338</v>
      </c>
      <c r="B219" s="276">
        <v>400</v>
      </c>
      <c r="C219" s="276">
        <v>9200</v>
      </c>
      <c r="D219" s="276">
        <v>23</v>
      </c>
      <c r="E219" s="276">
        <v>0</v>
      </c>
      <c r="F219" s="276">
        <v>34000</v>
      </c>
      <c r="G219" s="276">
        <v>170</v>
      </c>
      <c r="H219" s="276">
        <v>0</v>
      </c>
      <c r="I219" s="276">
        <v>0</v>
      </c>
      <c r="J219" s="276">
        <v>0</v>
      </c>
      <c r="K219" s="276">
        <v>0</v>
      </c>
      <c r="L219" s="276">
        <v>0</v>
      </c>
      <c r="M219" s="276">
        <v>0</v>
      </c>
      <c r="N219" s="276">
        <v>0</v>
      </c>
      <c r="O219" s="276">
        <v>0</v>
      </c>
      <c r="P219" s="276">
        <v>0</v>
      </c>
      <c r="Q219" s="276">
        <v>0</v>
      </c>
      <c r="R219" s="276">
        <v>0</v>
      </c>
      <c r="S219" s="276">
        <v>0</v>
      </c>
      <c r="T219" s="276">
        <v>0</v>
      </c>
      <c r="U219" s="276">
        <v>0</v>
      </c>
      <c r="V219" s="276">
        <v>0</v>
      </c>
      <c r="W219" s="276">
        <v>0</v>
      </c>
      <c r="X219" s="276">
        <v>0</v>
      </c>
      <c r="Y219" s="276">
        <v>43200</v>
      </c>
      <c r="Z219" s="276">
        <v>193</v>
      </c>
      <c r="AA219" s="276">
        <v>0</v>
      </c>
      <c r="AB219" s="276">
        <v>0</v>
      </c>
      <c r="AC219" s="276">
        <v>33821</v>
      </c>
      <c r="AD219" s="276">
        <v>0</v>
      </c>
      <c r="AE219" s="276">
        <v>11254.8</v>
      </c>
      <c r="AF219" s="276">
        <v>-1905.96</v>
      </c>
      <c r="AG219" s="276">
        <v>0</v>
      </c>
      <c r="AH219" s="276">
        <v>2600.4</v>
      </c>
      <c r="AI219" s="276">
        <v>-780.12</v>
      </c>
      <c r="AJ219" s="276">
        <v>0</v>
      </c>
      <c r="AK219" s="276">
        <v>8654.4</v>
      </c>
      <c r="AL219" s="276">
        <v>-1125.8399999999999</v>
      </c>
      <c r="AM219" s="276">
        <v>0</v>
      </c>
      <c r="AN219" s="276"/>
      <c r="AO219" s="276">
        <v>0</v>
      </c>
      <c r="AP219" s="276">
        <v>0</v>
      </c>
      <c r="AQ219" s="276">
        <v>18361.080000000002</v>
      </c>
    </row>
    <row r="220" spans="1:43">
      <c r="A220" s="276" t="s">
        <v>338</v>
      </c>
      <c r="B220" s="276">
        <v>400</v>
      </c>
      <c r="C220" s="276">
        <v>9200</v>
      </c>
      <c r="D220" s="276">
        <v>23</v>
      </c>
      <c r="E220" s="276">
        <v>0</v>
      </c>
      <c r="F220" s="276">
        <v>35200</v>
      </c>
      <c r="G220" s="276">
        <v>176</v>
      </c>
      <c r="H220" s="276">
        <v>0</v>
      </c>
      <c r="I220" s="276">
        <v>0</v>
      </c>
      <c r="J220" s="276">
        <v>0</v>
      </c>
      <c r="K220" s="276">
        <v>0</v>
      </c>
      <c r="L220" s="276">
        <v>0</v>
      </c>
      <c r="M220" s="276">
        <v>0</v>
      </c>
      <c r="N220" s="276">
        <v>0</v>
      </c>
      <c r="O220" s="276">
        <v>0</v>
      </c>
      <c r="P220" s="276">
        <v>0</v>
      </c>
      <c r="Q220" s="276">
        <v>0</v>
      </c>
      <c r="R220" s="276">
        <v>0</v>
      </c>
      <c r="S220" s="276">
        <v>0</v>
      </c>
      <c r="T220" s="276">
        <v>0</v>
      </c>
      <c r="U220" s="276">
        <v>0</v>
      </c>
      <c r="V220" s="276">
        <v>0</v>
      </c>
      <c r="W220" s="276">
        <v>0</v>
      </c>
      <c r="X220" s="276">
        <v>0</v>
      </c>
      <c r="Y220" s="276">
        <v>44400</v>
      </c>
      <c r="Z220" s="276">
        <v>199</v>
      </c>
      <c r="AA220" s="276">
        <v>0</v>
      </c>
      <c r="AB220" s="276">
        <v>0</v>
      </c>
      <c r="AC220" s="276">
        <v>34990</v>
      </c>
      <c r="AD220" s="276">
        <v>0</v>
      </c>
      <c r="AE220" s="276">
        <v>11292</v>
      </c>
      <c r="AF220" s="276">
        <v>-1789.68</v>
      </c>
      <c r="AG220" s="276">
        <v>0</v>
      </c>
      <c r="AH220" s="276">
        <v>2240.4</v>
      </c>
      <c r="AI220" s="276">
        <v>-672.12</v>
      </c>
      <c r="AJ220" s="276">
        <v>0</v>
      </c>
      <c r="AK220" s="276">
        <v>9051.6</v>
      </c>
      <c r="AL220" s="276">
        <v>-1117.56</v>
      </c>
      <c r="AM220" s="276">
        <v>0</v>
      </c>
      <c r="AN220" s="276"/>
      <c r="AO220" s="276">
        <v>0</v>
      </c>
      <c r="AP220" s="276">
        <v>0</v>
      </c>
      <c r="AQ220" s="276">
        <v>18919.36</v>
      </c>
    </row>
    <row r="221" spans="1:43">
      <c r="A221" s="276" t="s">
        <v>338</v>
      </c>
      <c r="B221" s="276">
        <v>400</v>
      </c>
      <c r="C221" s="276">
        <v>9200</v>
      </c>
      <c r="D221" s="276">
        <v>23</v>
      </c>
      <c r="E221" s="276">
        <v>0</v>
      </c>
      <c r="F221" s="276">
        <v>34200</v>
      </c>
      <c r="G221" s="276">
        <v>171</v>
      </c>
      <c r="H221" s="276">
        <v>0</v>
      </c>
      <c r="I221" s="276">
        <v>0</v>
      </c>
      <c r="J221" s="276">
        <v>0</v>
      </c>
      <c r="K221" s="276">
        <v>0</v>
      </c>
      <c r="L221" s="276">
        <v>0</v>
      </c>
      <c r="M221" s="276">
        <v>0</v>
      </c>
      <c r="N221" s="276">
        <v>0</v>
      </c>
      <c r="O221" s="276">
        <v>0</v>
      </c>
      <c r="P221" s="276">
        <v>0</v>
      </c>
      <c r="Q221" s="276">
        <v>0</v>
      </c>
      <c r="R221" s="276">
        <v>0</v>
      </c>
      <c r="S221" s="276">
        <v>0</v>
      </c>
      <c r="T221" s="276">
        <v>0</v>
      </c>
      <c r="U221" s="276">
        <v>0</v>
      </c>
      <c r="V221" s="276">
        <v>0</v>
      </c>
      <c r="W221" s="276">
        <v>0</v>
      </c>
      <c r="X221" s="276">
        <v>0</v>
      </c>
      <c r="Y221" s="276">
        <v>43400</v>
      </c>
      <c r="Z221" s="276">
        <v>194</v>
      </c>
      <c r="AA221" s="276">
        <v>0</v>
      </c>
      <c r="AB221" s="276">
        <v>0</v>
      </c>
      <c r="AC221" s="276">
        <v>33488</v>
      </c>
      <c r="AD221" s="276">
        <v>0</v>
      </c>
      <c r="AE221" s="276">
        <v>11894.4</v>
      </c>
      <c r="AF221" s="276">
        <v>-2018.16</v>
      </c>
      <c r="AG221" s="276">
        <v>0</v>
      </c>
      <c r="AH221" s="276">
        <v>2841.6</v>
      </c>
      <c r="AI221" s="276">
        <v>-852.48</v>
      </c>
      <c r="AJ221" s="276">
        <v>0</v>
      </c>
      <c r="AK221" s="276">
        <v>9052.7999999999993</v>
      </c>
      <c r="AL221" s="276">
        <v>-1165.68</v>
      </c>
      <c r="AM221" s="276">
        <v>0</v>
      </c>
      <c r="AN221" s="276"/>
      <c r="AO221" s="276">
        <v>0</v>
      </c>
      <c r="AP221" s="276">
        <v>0</v>
      </c>
      <c r="AQ221" s="276">
        <v>18459.03</v>
      </c>
    </row>
    <row r="222" spans="1:43">
      <c r="A222" s="276" t="s">
        <v>338</v>
      </c>
      <c r="B222" s="276">
        <v>400</v>
      </c>
      <c r="C222" s="276">
        <v>6400</v>
      </c>
      <c r="D222" s="276">
        <v>16</v>
      </c>
      <c r="E222" s="276">
        <v>0</v>
      </c>
      <c r="F222" s="276">
        <v>13600</v>
      </c>
      <c r="G222" s="276">
        <v>68</v>
      </c>
      <c r="H222" s="276">
        <v>0</v>
      </c>
      <c r="I222" s="276">
        <v>0</v>
      </c>
      <c r="J222" s="276">
        <v>0</v>
      </c>
      <c r="K222" s="276">
        <v>0</v>
      </c>
      <c r="L222" s="276">
        <v>0</v>
      </c>
      <c r="M222" s="276">
        <v>0</v>
      </c>
      <c r="N222" s="276">
        <v>0</v>
      </c>
      <c r="O222" s="276">
        <v>0</v>
      </c>
      <c r="P222" s="276">
        <v>0</v>
      </c>
      <c r="Q222" s="276">
        <v>0</v>
      </c>
      <c r="R222" s="276">
        <v>0</v>
      </c>
      <c r="S222" s="276">
        <v>0</v>
      </c>
      <c r="T222" s="276">
        <v>0</v>
      </c>
      <c r="U222" s="276">
        <v>0</v>
      </c>
      <c r="V222" s="276">
        <v>0</v>
      </c>
      <c r="W222" s="276">
        <v>0</v>
      </c>
      <c r="X222" s="276">
        <v>0</v>
      </c>
      <c r="Y222" s="276">
        <v>20000</v>
      </c>
      <c r="Z222" s="276">
        <v>84</v>
      </c>
      <c r="AA222" s="276">
        <v>0</v>
      </c>
      <c r="AB222" s="276">
        <v>0</v>
      </c>
      <c r="AC222" s="276">
        <v>15628</v>
      </c>
      <c r="AD222" s="276">
        <v>0</v>
      </c>
      <c r="AE222" s="276">
        <v>5247.22</v>
      </c>
      <c r="AF222" s="276">
        <v>-1140.73</v>
      </c>
      <c r="AG222" s="276">
        <v>0</v>
      </c>
      <c r="AH222" s="276">
        <v>720.82</v>
      </c>
      <c r="AI222" s="276">
        <v>-216.25</v>
      </c>
      <c r="AJ222" s="276">
        <v>0</v>
      </c>
      <c r="AK222" s="276">
        <v>4526.3999999999996</v>
      </c>
      <c r="AL222" s="276">
        <v>-924.48</v>
      </c>
      <c r="AM222" s="276">
        <v>0</v>
      </c>
      <c r="AN222" s="276"/>
      <c r="AO222" s="276">
        <v>0</v>
      </c>
      <c r="AP222" s="276">
        <v>0</v>
      </c>
      <c r="AQ222" s="276">
        <v>8388.25</v>
      </c>
    </row>
    <row r="223" spans="1:43">
      <c r="A223" s="276" t="s">
        <v>338</v>
      </c>
      <c r="B223" s="276">
        <v>0</v>
      </c>
      <c r="C223" s="276">
        <v>0</v>
      </c>
      <c r="D223" s="276">
        <v>0</v>
      </c>
      <c r="E223" s="276">
        <v>1421</v>
      </c>
      <c r="F223" s="276">
        <v>0</v>
      </c>
      <c r="G223" s="276">
        <v>0</v>
      </c>
      <c r="H223" s="276">
        <v>786</v>
      </c>
      <c r="I223" s="276">
        <v>0</v>
      </c>
      <c r="J223" s="276">
        <v>0</v>
      </c>
      <c r="K223" s="276">
        <v>0</v>
      </c>
      <c r="L223" s="276">
        <v>0</v>
      </c>
      <c r="M223" s="276">
        <v>0</v>
      </c>
      <c r="N223" s="276">
        <v>0</v>
      </c>
      <c r="O223" s="276">
        <v>0</v>
      </c>
      <c r="P223" s="276">
        <v>0</v>
      </c>
      <c r="Q223" s="276">
        <v>0</v>
      </c>
      <c r="R223" s="276">
        <v>0</v>
      </c>
      <c r="S223" s="276">
        <v>0</v>
      </c>
      <c r="T223" s="276">
        <v>0</v>
      </c>
      <c r="U223" s="276">
        <v>0</v>
      </c>
      <c r="V223" s="276">
        <v>0</v>
      </c>
      <c r="W223" s="276">
        <v>0</v>
      </c>
      <c r="X223" s="276">
        <v>0</v>
      </c>
      <c r="Y223" s="276">
        <v>0</v>
      </c>
      <c r="Z223" s="276">
        <v>2207</v>
      </c>
      <c r="AA223" s="276">
        <v>0</v>
      </c>
      <c r="AB223" s="276">
        <v>0</v>
      </c>
      <c r="AC223" s="276">
        <v>0</v>
      </c>
      <c r="AD223" s="276">
        <v>0</v>
      </c>
      <c r="AE223" s="276">
        <v>0</v>
      </c>
      <c r="AF223" s="276">
        <v>0</v>
      </c>
      <c r="AG223" s="276">
        <v>0</v>
      </c>
      <c r="AH223" s="276"/>
      <c r="AI223" s="276">
        <v>0</v>
      </c>
      <c r="AJ223" s="276">
        <v>0</v>
      </c>
      <c r="AK223" s="276"/>
      <c r="AL223" s="276">
        <v>0</v>
      </c>
      <c r="AM223" s="276">
        <v>0</v>
      </c>
      <c r="AN223" s="276"/>
      <c r="AO223" s="276">
        <v>0</v>
      </c>
      <c r="AP223" s="276">
        <v>0</v>
      </c>
      <c r="AQ223" s="276">
        <v>0</v>
      </c>
    </row>
    <row r="224" spans="1:43">
      <c r="A224" s="276" t="s">
        <v>338</v>
      </c>
      <c r="B224" s="276">
        <v>0</v>
      </c>
      <c r="C224" s="276">
        <v>0</v>
      </c>
      <c r="D224" s="276">
        <v>0</v>
      </c>
      <c r="E224" s="276">
        <v>1544</v>
      </c>
      <c r="F224" s="276">
        <v>0</v>
      </c>
      <c r="G224" s="276">
        <v>0</v>
      </c>
      <c r="H224" s="276">
        <v>387</v>
      </c>
      <c r="I224" s="276">
        <v>0</v>
      </c>
      <c r="J224" s="276">
        <v>0</v>
      </c>
      <c r="K224" s="276">
        <v>0</v>
      </c>
      <c r="L224" s="276">
        <v>0</v>
      </c>
      <c r="M224" s="276">
        <v>0</v>
      </c>
      <c r="N224" s="276">
        <v>0</v>
      </c>
      <c r="O224" s="276">
        <v>0</v>
      </c>
      <c r="P224" s="276">
        <v>0</v>
      </c>
      <c r="Q224" s="276">
        <v>0</v>
      </c>
      <c r="R224" s="276">
        <v>0</v>
      </c>
      <c r="S224" s="276">
        <v>0</v>
      </c>
      <c r="T224" s="276">
        <v>0</v>
      </c>
      <c r="U224" s="276">
        <v>0</v>
      </c>
      <c r="V224" s="276">
        <v>0</v>
      </c>
      <c r="W224" s="276">
        <v>0</v>
      </c>
      <c r="X224" s="276">
        <v>0</v>
      </c>
      <c r="Y224" s="276">
        <v>0</v>
      </c>
      <c r="Z224" s="276">
        <v>1931</v>
      </c>
      <c r="AA224" s="276">
        <v>0</v>
      </c>
      <c r="AB224" s="276">
        <v>0</v>
      </c>
      <c r="AC224" s="276">
        <v>0</v>
      </c>
      <c r="AD224" s="276">
        <v>0</v>
      </c>
      <c r="AE224" s="276">
        <v>0</v>
      </c>
      <c r="AF224" s="276">
        <v>0</v>
      </c>
      <c r="AG224" s="276">
        <v>0</v>
      </c>
      <c r="AH224" s="276"/>
      <c r="AI224" s="276">
        <v>0</v>
      </c>
      <c r="AJ224" s="276">
        <v>0</v>
      </c>
      <c r="AK224" s="276"/>
      <c r="AL224" s="276">
        <v>0</v>
      </c>
      <c r="AM224" s="276">
        <v>0</v>
      </c>
      <c r="AN224" s="276"/>
      <c r="AO224" s="276">
        <v>0</v>
      </c>
      <c r="AP224" s="276">
        <v>0</v>
      </c>
      <c r="AQ224" s="276">
        <v>0</v>
      </c>
    </row>
    <row r="225" spans="1:43">
      <c r="A225" s="276" t="s">
        <v>338</v>
      </c>
      <c r="B225" s="276">
        <v>0</v>
      </c>
      <c r="C225" s="276">
        <v>0</v>
      </c>
      <c r="D225" s="276">
        <v>0</v>
      </c>
      <c r="E225" s="276">
        <v>1411</v>
      </c>
      <c r="F225" s="276">
        <v>0</v>
      </c>
      <c r="G225" s="276">
        <v>0</v>
      </c>
      <c r="H225" s="276">
        <v>303</v>
      </c>
      <c r="I225" s="276">
        <v>0</v>
      </c>
      <c r="J225" s="276">
        <v>0</v>
      </c>
      <c r="K225" s="276">
        <v>0</v>
      </c>
      <c r="L225" s="276">
        <v>0</v>
      </c>
      <c r="M225" s="276">
        <v>0</v>
      </c>
      <c r="N225" s="276">
        <v>0</v>
      </c>
      <c r="O225" s="276">
        <v>0</v>
      </c>
      <c r="P225" s="276">
        <v>0</v>
      </c>
      <c r="Q225" s="276">
        <v>0</v>
      </c>
      <c r="R225" s="276">
        <v>0</v>
      </c>
      <c r="S225" s="276">
        <v>0</v>
      </c>
      <c r="T225" s="276">
        <v>0</v>
      </c>
      <c r="U225" s="276">
        <v>0</v>
      </c>
      <c r="V225" s="276">
        <v>0</v>
      </c>
      <c r="W225" s="276">
        <v>0</v>
      </c>
      <c r="X225" s="276">
        <v>0</v>
      </c>
      <c r="Y225" s="276">
        <v>0</v>
      </c>
      <c r="Z225" s="276">
        <v>1714</v>
      </c>
      <c r="AA225" s="276">
        <v>0</v>
      </c>
      <c r="AB225" s="276">
        <v>0</v>
      </c>
      <c r="AC225" s="276">
        <v>0</v>
      </c>
      <c r="AD225" s="276">
        <v>0</v>
      </c>
      <c r="AE225" s="276">
        <v>0</v>
      </c>
      <c r="AF225" s="276">
        <v>0</v>
      </c>
      <c r="AG225" s="276">
        <v>0</v>
      </c>
      <c r="AH225" s="276"/>
      <c r="AI225" s="276">
        <v>0</v>
      </c>
      <c r="AJ225" s="276">
        <v>0</v>
      </c>
      <c r="AK225" s="276"/>
      <c r="AL225" s="276">
        <v>0</v>
      </c>
      <c r="AM225" s="276">
        <v>0</v>
      </c>
      <c r="AN225" s="276"/>
      <c r="AO225" s="276">
        <v>0</v>
      </c>
      <c r="AP225" s="276">
        <v>0</v>
      </c>
      <c r="AQ225" s="276">
        <v>0</v>
      </c>
    </row>
    <row r="226" spans="1:43">
      <c r="A226" s="276" t="s">
        <v>338</v>
      </c>
      <c r="B226" s="276">
        <v>0</v>
      </c>
      <c r="C226" s="276">
        <v>0</v>
      </c>
      <c r="D226" s="276">
        <v>0</v>
      </c>
      <c r="E226" s="276">
        <v>1551</v>
      </c>
      <c r="F226" s="276">
        <v>0</v>
      </c>
      <c r="G226" s="276">
        <v>0</v>
      </c>
      <c r="H226" s="276">
        <v>296</v>
      </c>
      <c r="I226" s="276">
        <v>0</v>
      </c>
      <c r="J226" s="276">
        <v>0</v>
      </c>
      <c r="K226" s="276">
        <v>0</v>
      </c>
      <c r="L226" s="276">
        <v>0</v>
      </c>
      <c r="M226" s="276">
        <v>0</v>
      </c>
      <c r="N226" s="276">
        <v>0</v>
      </c>
      <c r="O226" s="276">
        <v>0</v>
      </c>
      <c r="P226" s="276">
        <v>0</v>
      </c>
      <c r="Q226" s="276">
        <v>0</v>
      </c>
      <c r="R226" s="276">
        <v>0</v>
      </c>
      <c r="S226" s="276">
        <v>0</v>
      </c>
      <c r="T226" s="276">
        <v>0</v>
      </c>
      <c r="U226" s="276">
        <v>0</v>
      </c>
      <c r="V226" s="276">
        <v>0</v>
      </c>
      <c r="W226" s="276">
        <v>0</v>
      </c>
      <c r="X226" s="276">
        <v>0</v>
      </c>
      <c r="Y226" s="276">
        <v>0</v>
      </c>
      <c r="Z226" s="276">
        <v>1847</v>
      </c>
      <c r="AA226" s="276">
        <v>0</v>
      </c>
      <c r="AB226" s="276">
        <v>0</v>
      </c>
      <c r="AC226" s="276">
        <v>0</v>
      </c>
      <c r="AD226" s="276">
        <v>0</v>
      </c>
      <c r="AE226" s="276">
        <v>0</v>
      </c>
      <c r="AF226" s="276">
        <v>0</v>
      </c>
      <c r="AG226" s="276">
        <v>0</v>
      </c>
      <c r="AH226" s="276"/>
      <c r="AI226" s="276">
        <v>0</v>
      </c>
      <c r="AJ226" s="276">
        <v>0</v>
      </c>
      <c r="AK226" s="276"/>
      <c r="AL226" s="276">
        <v>0</v>
      </c>
      <c r="AM226" s="276">
        <v>0</v>
      </c>
      <c r="AN226" s="276"/>
      <c r="AO226" s="276">
        <v>0</v>
      </c>
      <c r="AP226" s="276">
        <v>0</v>
      </c>
      <c r="AQ226" s="276">
        <v>0</v>
      </c>
    </row>
    <row r="227" spans="1:43">
      <c r="A227" s="276" t="s">
        <v>338</v>
      </c>
      <c r="B227" s="276">
        <v>0</v>
      </c>
      <c r="C227" s="276">
        <v>0</v>
      </c>
      <c r="D227" s="276">
        <v>0</v>
      </c>
      <c r="E227" s="276">
        <v>1585</v>
      </c>
      <c r="F227" s="276">
        <v>0</v>
      </c>
      <c r="G227" s="276">
        <v>0</v>
      </c>
      <c r="H227" s="276">
        <v>311</v>
      </c>
      <c r="I227" s="276">
        <v>0</v>
      </c>
      <c r="J227" s="276">
        <v>0</v>
      </c>
      <c r="K227" s="276">
        <v>0</v>
      </c>
      <c r="L227" s="276">
        <v>0</v>
      </c>
      <c r="M227" s="276">
        <v>0</v>
      </c>
      <c r="N227" s="276">
        <v>0</v>
      </c>
      <c r="O227" s="276">
        <v>0</v>
      </c>
      <c r="P227" s="276">
        <v>0</v>
      </c>
      <c r="Q227" s="276">
        <v>0</v>
      </c>
      <c r="R227" s="276">
        <v>0</v>
      </c>
      <c r="S227" s="276">
        <v>0</v>
      </c>
      <c r="T227" s="276">
        <v>0</v>
      </c>
      <c r="U227" s="276">
        <v>0</v>
      </c>
      <c r="V227" s="276">
        <v>0</v>
      </c>
      <c r="W227" s="276">
        <v>0</v>
      </c>
      <c r="X227" s="276">
        <v>0</v>
      </c>
      <c r="Y227" s="276">
        <v>0</v>
      </c>
      <c r="Z227" s="276">
        <v>1896</v>
      </c>
      <c r="AA227" s="276">
        <v>0</v>
      </c>
      <c r="AB227" s="276">
        <v>0</v>
      </c>
      <c r="AC227" s="276">
        <v>0</v>
      </c>
      <c r="AD227" s="276">
        <v>0</v>
      </c>
      <c r="AE227" s="276">
        <v>0</v>
      </c>
      <c r="AF227" s="276">
        <v>0</v>
      </c>
      <c r="AG227" s="276">
        <v>0</v>
      </c>
      <c r="AH227" s="276"/>
      <c r="AI227" s="276">
        <v>0</v>
      </c>
      <c r="AJ227" s="276">
        <v>0</v>
      </c>
      <c r="AK227" s="276"/>
      <c r="AL227" s="276">
        <v>0</v>
      </c>
      <c r="AM227" s="276">
        <v>0</v>
      </c>
      <c r="AN227" s="276"/>
      <c r="AO227" s="276">
        <v>0</v>
      </c>
      <c r="AP227" s="276">
        <v>0</v>
      </c>
      <c r="AQ227" s="276">
        <v>0</v>
      </c>
    </row>
    <row r="228" spans="1:43">
      <c r="AQ228" s="131">
        <f>SUM(AQ10:AQ227)</f>
        <v>10341903.900000004</v>
      </c>
    </row>
  </sheetData>
  <phoneticPr fontId="31" type="noConversion"/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합계</vt:lpstr>
      <vt:lpstr>계정정보</vt:lpstr>
      <vt:lpstr>카카오페이지1</vt:lpstr>
      <vt:lpstr>카카오페이지2</vt:lpstr>
      <vt:lpstr>네이버웹툰1</vt:lpstr>
      <vt:lpstr>네이버웹툰2</vt:lpstr>
      <vt:lpstr>테크앤조이</vt:lpstr>
      <vt:lpstr>키다리스튜디오</vt:lpstr>
      <vt:lpstr>탑툰</vt:lpstr>
      <vt:lpstr>리디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만화가족</cp:lastModifiedBy>
  <cp:lastPrinted>2019-07-05T08:56:44Z</cp:lastPrinted>
  <dcterms:created xsi:type="dcterms:W3CDTF">2018-09-06T02:47:59Z</dcterms:created>
  <dcterms:modified xsi:type="dcterms:W3CDTF">2023-01-03T09:46:43Z</dcterms:modified>
</cp:coreProperties>
</file>