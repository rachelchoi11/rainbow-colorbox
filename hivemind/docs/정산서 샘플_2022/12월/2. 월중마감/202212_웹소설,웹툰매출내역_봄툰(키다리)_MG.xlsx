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키다리스튜디오\1. 봄툰\인수인계\봄툰_2022년_12월(11월분)\글로벌MG\1. 정산서\"/>
    </mc:Choice>
  </mc:AlternateContent>
  <bookViews>
    <workbookView xWindow="0" yWindow="0" windowWidth="28800" windowHeight="11490"/>
  </bookViews>
  <sheets>
    <sheet name="2022.12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'2022.12'!$B$5:$AE$7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0">'[2]コイン報告書_foreign CP'!#REF!</definedName>
    <definedName name="direct_item">'[2]コイン報告書_foreign CP'!#REF!</definedName>
    <definedName name="direct_items" localSheetId="0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0">'[2]コイン報告書_foreign CP'!#REF!</definedName>
    <definedName name="direct_report_ym">'[2]コイン報告書_foreign CP'!#REF!</definedName>
    <definedName name="FFF" localSheetId="0">'[2]コイン報告書_foreign CP'!#REF!</definedName>
    <definedName name="FFF">'[2]コイン報告書_foreign CP'!#REF!</definedName>
    <definedName name="_xlnm.Print_Area" localSheetId="0">'2022.12'!$D$4:$U$5</definedName>
    <definedName name="_xlnm.Print_Titles" localSheetId="0">'2022.12'!$4:$5</definedName>
    <definedName name="withholdingtaxrate">'[2]コイン報告書_foreign CP'!$W$36</definedName>
    <definedName name="ws_items" localSheetId="0">'[2]コイン報告書_foreign CP'!#REF!</definedName>
    <definedName name="ws_items">'[2]コイン報告書_foreign CP'!#REF!</definedName>
    <definedName name="ws_report_rs_ratio" localSheetId="0">'[2]コイン報告書_foreign CP'!#REF!</definedName>
    <definedName name="ws_report_rs_ratio">'[2]コイン報告書_foreign CP'!#REF!</definedName>
    <definedName name="ws_report_rs_ratio1" localSheetId="0">'[2]コイン報告書_foreign CP'!#REF!</definedName>
    <definedName name="ws_report_rs_ratio1">'[2]コイン報告書_foreign CP'!#REF!</definedName>
    <definedName name="ws_report_rs_ratio2" localSheetId="0">'[2]コイン報告書_foreign CP'!#REF!</definedName>
    <definedName name="ws_report_rs_ratio2">'[2]コイン報告書_foreign CP'!#REF!</definedName>
    <definedName name="ws_report_ym" localSheetId="0">'[2]コイン報告書_foreign CP'!#REF!</definedName>
    <definedName name="ws_report_ym">'[2]コイン報告書_foreign CP'!#REF!</definedName>
    <definedName name="ㄹ" localSheetId="0">'[3]コイン報告書_foreign CP'!#REF!</definedName>
    <definedName name="ㄹ">'[3]コイン報告書_foreign CP'!#REF!</definedName>
    <definedName name="타이틀명">[4]hidden!$A$2:$A$120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1" l="1"/>
  <c r="Q7" i="1"/>
  <c r="P7" i="1"/>
  <c r="S7" i="1" s="1"/>
  <c r="T7" i="1" s="1"/>
  <c r="U7" i="1" s="1"/>
  <c r="X6" i="1"/>
  <c r="Q6" i="1"/>
  <c r="P6" i="1"/>
  <c r="S6" i="1" s="1"/>
  <c r="T6" i="1" s="1"/>
  <c r="X3" i="1"/>
  <c r="W3" i="1"/>
  <c r="V7" i="1" l="1"/>
  <c r="Y7" i="1" s="1"/>
  <c r="T3" i="1"/>
  <c r="U6" i="1"/>
  <c r="U3" i="1" l="1"/>
  <c r="V6" i="1"/>
  <c r="V3" i="1" s="1"/>
  <c r="Y6" i="1" l="1"/>
  <c r="Y3" i="1" s="1"/>
  <c r="Y1" i="1" s="1"/>
</calcChain>
</file>

<file path=xl/sharedStrings.xml><?xml version="1.0" encoding="utf-8"?>
<sst xmlns="http://schemas.openxmlformats.org/spreadsheetml/2006/main" count="60" uniqueCount="51">
  <si>
    <t>최초 연재</t>
    <phoneticPr fontId="3" type="noConversion"/>
  </si>
  <si>
    <t>담당자</t>
    <phoneticPr fontId="3" type="noConversion"/>
  </si>
  <si>
    <t>MG정보</t>
    <phoneticPr fontId="3" type="noConversion"/>
  </si>
  <si>
    <t>연락처</t>
    <phoneticPr fontId="3" type="noConversion"/>
  </si>
  <si>
    <t>정산서 발송 이메일</t>
    <phoneticPr fontId="3" type="noConversion"/>
  </si>
  <si>
    <t>순서</t>
    <phoneticPr fontId="3" type="noConversion"/>
  </si>
  <si>
    <t>구분</t>
    <phoneticPr fontId="3" type="noConversion"/>
  </si>
  <si>
    <t>업체명(명)</t>
    <phoneticPr fontId="3" type="noConversion"/>
  </si>
  <si>
    <t>만화IDX</t>
    <phoneticPr fontId="3" type="noConversion"/>
  </si>
  <si>
    <t>작품명</t>
    <phoneticPr fontId="3" type="noConversion"/>
  </si>
  <si>
    <t>가명/명</t>
  </si>
  <si>
    <t>비고</t>
    <phoneticPr fontId="3" type="noConversion"/>
  </si>
  <si>
    <t>등록일</t>
    <phoneticPr fontId="3" type="noConversion"/>
  </si>
  <si>
    <t>당월 지급 구분</t>
    <phoneticPr fontId="3" type="noConversion"/>
  </si>
  <si>
    <t>전월지급
연재액</t>
    <phoneticPr fontId="3" type="noConversion"/>
  </si>
  <si>
    <t>전월까지
연재수</t>
    <phoneticPr fontId="3" type="noConversion"/>
  </si>
  <si>
    <t>당월연재예정수</t>
    <phoneticPr fontId="3" type="noConversion"/>
  </si>
  <si>
    <t>당월
지급액</t>
    <phoneticPr fontId="3" type="noConversion"/>
  </si>
  <si>
    <t>누적
지급액</t>
    <phoneticPr fontId="3" type="noConversion"/>
  </si>
  <si>
    <t>총연재수</t>
    <phoneticPr fontId="3" type="noConversion"/>
  </si>
  <si>
    <t>신 원고</t>
    <phoneticPr fontId="3" type="noConversion"/>
  </si>
  <si>
    <t>회차수</t>
    <phoneticPr fontId="3" type="noConversion"/>
  </si>
  <si>
    <t>신 연재료</t>
    <phoneticPr fontId="3" type="noConversion"/>
  </si>
  <si>
    <t>총 연재료</t>
    <phoneticPr fontId="3" type="noConversion"/>
  </si>
  <si>
    <t>부가세</t>
    <phoneticPr fontId="3" type="noConversion"/>
  </si>
  <si>
    <t>소득세</t>
    <phoneticPr fontId="3" type="noConversion"/>
  </si>
  <si>
    <t>주민세</t>
    <phoneticPr fontId="3" type="noConversion"/>
  </si>
  <si>
    <t>총입금액</t>
    <phoneticPr fontId="3" type="noConversion"/>
  </si>
  <si>
    <t>사업자(주민)번호</t>
    <phoneticPr fontId="3" type="noConversion"/>
  </si>
  <si>
    <t>예금주</t>
    <phoneticPr fontId="3" type="noConversion"/>
  </si>
  <si>
    <t>은행</t>
    <phoneticPr fontId="3" type="noConversion"/>
  </si>
  <si>
    <t>계좌번호</t>
    <phoneticPr fontId="3" type="noConversion"/>
  </si>
  <si>
    <t>주소</t>
    <phoneticPr fontId="3" type="noConversion"/>
  </si>
  <si>
    <t>사업자</t>
  </si>
  <si>
    <t>지급/RS반영/완료</t>
  </si>
  <si>
    <t>최세은</t>
    <phoneticPr fontId="3" type="noConversion"/>
  </si>
  <si>
    <t>봄툰-대만 타이틀 비용 지출 (Minimun Guarantee)</t>
    <phoneticPr fontId="3" type="noConversion"/>
  </si>
  <si>
    <t>2022년 12월 (2022.11.01~2022.11.30)</t>
    <phoneticPr fontId="3" type="noConversion"/>
  </si>
  <si>
    <t>스토리위즈</t>
    <phoneticPr fontId="3" type="noConversion"/>
  </si>
  <si>
    <t>스토리위즈</t>
    <phoneticPr fontId="3" type="noConversion"/>
  </si>
  <si>
    <t>202212-01</t>
    <phoneticPr fontId="3" type="noConversion"/>
  </si>
  <si>
    <t>202212-02</t>
    <phoneticPr fontId="3" type="noConversion"/>
  </si>
  <si>
    <t>폴링</t>
  </si>
  <si>
    <t>피치 소르베</t>
  </si>
  <si>
    <t>봄툰 대만 MG. 대만 TFT 계정으로 지급</t>
    <phoneticPr fontId="3" type="noConversion"/>
  </si>
  <si>
    <t>봄툰 대만 MG. 대만 TFT 계정으로 지급</t>
    <phoneticPr fontId="3" type="noConversion"/>
  </si>
  <si>
    <t>382-86-01768</t>
  </si>
  <si>
    <t>주식회사 스토리위즈</t>
  </si>
  <si>
    <t>신한</t>
  </si>
  <si>
    <t>140-012-985318</t>
  </si>
  <si>
    <t>payment@kt.com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</si>
</sst>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 ;[Red]\-#,##0\ "/>
    <numFmt numFmtId="177" formatCode="0_);[Red]\(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41" fontId="5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176" fontId="7" fillId="0" borderId="0" xfId="0" applyNumberFormat="1" applyFont="1" applyBorder="1" applyAlignment="1">
      <alignment horizontal="right" vertical="center"/>
    </xf>
    <xf numFmtId="176" fontId="7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41" fontId="5" fillId="0" borderId="0" xfId="0" applyNumberFormat="1" applyFont="1" applyBorder="1" applyAlignment="1">
      <alignment horizontal="left" vertical="center"/>
    </xf>
    <xf numFmtId="41" fontId="8" fillId="0" borderId="0" xfId="0" applyNumberFormat="1" applyFont="1" applyBorder="1" applyAlignment="1">
      <alignment horizontal="left" vertical="center"/>
    </xf>
    <xf numFmtId="41" fontId="2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quotePrefix="1" applyFont="1" applyFill="1" applyBorder="1" applyAlignment="1">
      <alignment horizontal="left" vertical="center"/>
    </xf>
    <xf numFmtId="0" fontId="8" fillId="0" borderId="0" xfId="0" applyNumberFormat="1" applyFont="1" applyBorder="1" applyAlignment="1">
      <alignment horizontal="right" vertical="center"/>
    </xf>
    <xf numFmtId="176" fontId="5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1" fontId="9" fillId="2" borderId="1" xfId="0" applyNumberFormat="1" applyFont="1" applyFill="1" applyBorder="1" applyAlignment="1">
      <alignment horizontal="center" vertical="center"/>
    </xf>
    <xf numFmtId="41" fontId="9" fillId="2" borderId="2" xfId="0" applyNumberFormat="1" applyFont="1" applyFill="1" applyBorder="1" applyAlignment="1">
      <alignment horizontal="center" vertical="center"/>
    </xf>
    <xf numFmtId="41" fontId="10" fillId="2" borderId="2" xfId="0" applyNumberFormat="1" applyFont="1" applyFill="1" applyBorder="1" applyAlignment="1">
      <alignment horizontal="center" vertical="center"/>
    </xf>
    <xf numFmtId="176" fontId="11" fillId="2" borderId="6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41" fontId="10" fillId="3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41" fontId="8" fillId="4" borderId="6" xfId="1" applyFont="1" applyFill="1" applyBorder="1">
      <alignment vertical="center"/>
    </xf>
    <xf numFmtId="41" fontId="5" fillId="0" borderId="6" xfId="0" applyNumberFormat="1" applyFont="1" applyFill="1" applyBorder="1" applyAlignment="1">
      <alignment vertical="center" wrapText="1"/>
    </xf>
    <xf numFmtId="41" fontId="2" fillId="4" borderId="6" xfId="0" applyNumberFormat="1" applyFont="1" applyFill="1" applyBorder="1">
      <alignment vertical="center"/>
    </xf>
    <xf numFmtId="41" fontId="5" fillId="0" borderId="6" xfId="0" applyNumberFormat="1" applyFont="1" applyFill="1" applyBorder="1">
      <alignment vertical="center"/>
    </xf>
    <xf numFmtId="0" fontId="6" fillId="0" borderId="6" xfId="0" applyFont="1" applyFill="1" applyBorder="1">
      <alignment vertical="center"/>
    </xf>
    <xf numFmtId="0" fontId="2" fillId="0" borderId="6" xfId="0" applyFont="1" applyFill="1" applyBorder="1">
      <alignment vertical="center"/>
    </xf>
    <xf numFmtId="41" fontId="2" fillId="0" borderId="6" xfId="0" applyNumberFormat="1" applyFont="1" applyFill="1" applyBorder="1">
      <alignment vertical="center"/>
    </xf>
    <xf numFmtId="0" fontId="2" fillId="0" borderId="6" xfId="0" applyNumberFormat="1" applyFont="1" applyFill="1" applyBorder="1" applyAlignment="1">
      <alignment horizontal="right" vertical="center"/>
    </xf>
    <xf numFmtId="41" fontId="2" fillId="0" borderId="6" xfId="1" applyFont="1" applyFill="1" applyBorder="1">
      <alignment vertical="center"/>
    </xf>
    <xf numFmtId="41" fontId="15" fillId="0" borderId="6" xfId="1" applyFont="1" applyFill="1" applyBorder="1">
      <alignment vertical="center"/>
    </xf>
    <xf numFmtId="41" fontId="8" fillId="0" borderId="6" xfId="0" applyNumberFormat="1" applyFont="1" applyFill="1" applyBorder="1">
      <alignment vertical="center"/>
    </xf>
    <xf numFmtId="41" fontId="2" fillId="0" borderId="6" xfId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49" fontId="2" fillId="4" borderId="6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77" fontId="5" fillId="4" borderId="6" xfId="0" applyNumberFormat="1" applyFont="1" applyFill="1" applyBorder="1">
      <alignment vertical="center"/>
    </xf>
    <xf numFmtId="0" fontId="2" fillId="0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4" borderId="6" xfId="0" applyFont="1" applyFill="1" applyBorder="1" applyAlignment="1">
      <alignment vertical="center" wrapText="1"/>
    </xf>
    <xf numFmtId="0" fontId="5" fillId="4" borderId="6" xfId="0" applyFont="1" applyFill="1" applyBorder="1">
      <alignment vertical="center"/>
    </xf>
  </cellXfs>
  <cellStyles count="2">
    <cellStyle name="쉼표 [0]" xfId="1" builtinId="6"/>
    <cellStyle name="표준" xfId="0" builtinId="0"/>
  </cellStyles>
  <dxfs count="11"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92D050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selection activeCell="A6" sqref="A6:A7"/>
    </sheetView>
  </sheetViews>
  <sheetFormatPr defaultColWidth="9" defaultRowHeight="16.5" x14ac:dyDescent="0.3"/>
  <cols>
    <col min="1" max="2" width="10" style="1" bestFit="1" customWidth="1"/>
    <col min="3" max="3" width="6.25" style="26" customWidth="1"/>
    <col min="4" max="4" width="12" style="4" customWidth="1"/>
    <col min="5" max="5" width="6.125" style="10" customWidth="1"/>
    <col min="6" max="6" width="10.875" style="4" customWidth="1"/>
    <col min="7" max="7" width="14.75" style="2" customWidth="1"/>
    <col min="8" max="8" width="56.75" style="2" customWidth="1"/>
    <col min="9" max="9" width="10.625" style="2" customWidth="1"/>
    <col min="10" max="10" width="11.75" style="3" customWidth="1"/>
    <col min="11" max="11" width="9.125" style="2" customWidth="1"/>
    <col min="12" max="17" width="7.625" style="4" customWidth="1"/>
    <col min="18" max="18" width="11.5" style="2" customWidth="1"/>
    <col min="19" max="19" width="8.25" style="5" customWidth="1"/>
    <col min="20" max="20" width="11.25" style="23" customWidth="1"/>
    <col min="21" max="21" width="14.25" style="24" customWidth="1"/>
    <col min="22" max="22" width="10.625" style="24" customWidth="1"/>
    <col min="23" max="23" width="14.25" style="24" customWidth="1"/>
    <col min="24" max="24" width="9.125" style="24" customWidth="1"/>
    <col min="25" max="25" width="11" style="24" customWidth="1"/>
    <col min="26" max="26" width="15" style="10" customWidth="1"/>
    <col min="27" max="27" width="8.125" style="10" customWidth="1"/>
    <col min="28" max="28" width="10.5" style="11" customWidth="1"/>
    <col min="29" max="29" width="16.125" style="11" customWidth="1"/>
    <col min="30" max="30" width="7.125" style="10" customWidth="1"/>
    <col min="32" max="16384" width="9" style="12"/>
  </cols>
  <sheetData>
    <row r="1" spans="1:30" ht="19.5" customHeight="1" x14ac:dyDescent="0.25">
      <c r="C1" s="63" t="s">
        <v>36</v>
      </c>
      <c r="D1" s="63"/>
      <c r="E1" s="63"/>
      <c r="F1" s="63"/>
      <c r="T1" s="6"/>
      <c r="U1" s="7"/>
      <c r="V1" s="8"/>
      <c r="W1" s="8"/>
      <c r="X1" s="8"/>
      <c r="Y1" s="9" t="b">
        <f>Y3=U3+V3-W3-X3</f>
        <v>1</v>
      </c>
    </row>
    <row r="2" spans="1:30" ht="12" customHeight="1" x14ac:dyDescent="0.3">
      <c r="C2" s="13" t="s">
        <v>37</v>
      </c>
      <c r="E2" s="14"/>
      <c r="F2" s="15"/>
      <c r="G2" s="16"/>
      <c r="H2" s="17"/>
      <c r="I2" s="17"/>
      <c r="J2" s="18"/>
      <c r="K2" s="17"/>
      <c r="L2" s="19"/>
      <c r="M2" s="20"/>
      <c r="N2" s="21"/>
      <c r="O2" s="19"/>
      <c r="P2" s="19"/>
      <c r="Q2" s="15"/>
      <c r="R2" s="17"/>
      <c r="S2" s="22"/>
      <c r="AB2" s="25"/>
      <c r="AC2" s="25"/>
    </row>
    <row r="3" spans="1:30" ht="12" customHeight="1" x14ac:dyDescent="0.3">
      <c r="D3" s="13"/>
      <c r="E3" s="14"/>
      <c r="F3" s="15"/>
      <c r="G3" s="16"/>
      <c r="H3" s="17"/>
      <c r="I3" s="17"/>
      <c r="J3" s="18"/>
      <c r="K3" s="17"/>
      <c r="L3" s="19"/>
      <c r="M3" s="19"/>
      <c r="N3" s="19"/>
      <c r="O3" s="19"/>
      <c r="P3" s="19"/>
      <c r="Q3" s="15"/>
      <c r="R3" s="17"/>
      <c r="S3" s="19"/>
      <c r="T3" s="8">
        <f t="shared" ref="T3:Y3" si="0">SUBTOTAL(9,T6:T7)</f>
        <v>4000000</v>
      </c>
      <c r="U3" s="8">
        <f t="shared" si="0"/>
        <v>4000000</v>
      </c>
      <c r="V3" s="8">
        <f t="shared" si="0"/>
        <v>400000</v>
      </c>
      <c r="W3" s="8">
        <f t="shared" si="0"/>
        <v>0</v>
      </c>
      <c r="X3" s="8">
        <f t="shared" si="0"/>
        <v>0</v>
      </c>
      <c r="Y3" s="8">
        <f t="shared" si="0"/>
        <v>4400000</v>
      </c>
    </row>
    <row r="4" spans="1:30" x14ac:dyDescent="0.3">
      <c r="A4" s="27"/>
      <c r="B4" s="27"/>
      <c r="C4" s="28"/>
      <c r="D4" s="29"/>
      <c r="E4" s="29"/>
      <c r="F4" s="29"/>
      <c r="G4" s="30"/>
      <c r="H4" s="30"/>
      <c r="I4" s="31" t="s">
        <v>0</v>
      </c>
      <c r="J4" s="32"/>
      <c r="K4" s="31" t="s">
        <v>1</v>
      </c>
      <c r="L4" s="64" t="s">
        <v>2</v>
      </c>
      <c r="M4" s="65"/>
      <c r="N4" s="65"/>
      <c r="O4" s="65"/>
      <c r="P4" s="65"/>
      <c r="Q4" s="65"/>
      <c r="R4" s="65"/>
      <c r="S4" s="65"/>
      <c r="T4" s="65"/>
      <c r="U4" s="66"/>
      <c r="V4" s="33"/>
      <c r="W4" s="33"/>
      <c r="X4" s="33"/>
      <c r="Y4" s="33"/>
      <c r="Z4" s="67" t="s">
        <v>3</v>
      </c>
      <c r="AA4" s="68"/>
      <c r="AB4" s="68"/>
      <c r="AC4" s="68"/>
      <c r="AD4" s="69"/>
    </row>
    <row r="5" spans="1:30" ht="15.4" customHeight="1" x14ac:dyDescent="0.3">
      <c r="A5" s="27" t="s">
        <v>4</v>
      </c>
      <c r="B5" s="27" t="s">
        <v>5</v>
      </c>
      <c r="C5" s="34" t="s">
        <v>6</v>
      </c>
      <c r="D5" s="29" t="s">
        <v>7</v>
      </c>
      <c r="E5" s="29" t="s">
        <v>8</v>
      </c>
      <c r="F5" s="29" t="s">
        <v>9</v>
      </c>
      <c r="G5" s="30" t="s">
        <v>10</v>
      </c>
      <c r="H5" s="30" t="s">
        <v>11</v>
      </c>
      <c r="I5" s="35" t="s">
        <v>12</v>
      </c>
      <c r="J5" s="36" t="s">
        <v>13</v>
      </c>
      <c r="K5" s="30" t="s">
        <v>1</v>
      </c>
      <c r="L5" s="37" t="s">
        <v>14</v>
      </c>
      <c r="M5" s="38" t="s">
        <v>15</v>
      </c>
      <c r="N5" s="38" t="s">
        <v>16</v>
      </c>
      <c r="O5" s="38" t="s">
        <v>17</v>
      </c>
      <c r="P5" s="37" t="s">
        <v>18</v>
      </c>
      <c r="Q5" s="37" t="s">
        <v>19</v>
      </c>
      <c r="R5" s="30" t="s">
        <v>20</v>
      </c>
      <c r="S5" s="39" t="s">
        <v>21</v>
      </c>
      <c r="T5" s="40" t="s">
        <v>22</v>
      </c>
      <c r="U5" s="41" t="s">
        <v>23</v>
      </c>
      <c r="V5" s="41" t="s">
        <v>24</v>
      </c>
      <c r="W5" s="41" t="s">
        <v>25</v>
      </c>
      <c r="X5" s="41" t="s">
        <v>26</v>
      </c>
      <c r="Y5" s="41" t="s">
        <v>27</v>
      </c>
      <c r="Z5" s="29" t="s">
        <v>28</v>
      </c>
      <c r="AA5" s="29" t="s">
        <v>29</v>
      </c>
      <c r="AB5" s="42" t="s">
        <v>30</v>
      </c>
      <c r="AC5" s="42" t="s">
        <v>31</v>
      </c>
      <c r="AD5" s="29" t="s">
        <v>32</v>
      </c>
    </row>
    <row r="6" spans="1:30" ht="12" customHeight="1" x14ac:dyDescent="0.3">
      <c r="A6" s="72" t="s">
        <v>50</v>
      </c>
      <c r="B6" s="43" t="s">
        <v>40</v>
      </c>
      <c r="C6" s="44" t="s">
        <v>33</v>
      </c>
      <c r="D6" s="70" t="s">
        <v>38</v>
      </c>
      <c r="E6" s="45"/>
      <c r="F6" s="71" t="s">
        <v>42</v>
      </c>
      <c r="G6" s="46"/>
      <c r="H6" s="47" t="s">
        <v>44</v>
      </c>
      <c r="I6" s="48"/>
      <c r="J6" s="48" t="s">
        <v>34</v>
      </c>
      <c r="K6" s="49" t="s">
        <v>35</v>
      </c>
      <c r="L6" s="50">
        <v>0</v>
      </c>
      <c r="M6" s="51">
        <v>0</v>
      </c>
      <c r="N6" s="51"/>
      <c r="O6" s="51">
        <v>1</v>
      </c>
      <c r="P6" s="52">
        <f t="shared" ref="P6:P7" si="1">L6+O6</f>
        <v>1</v>
      </c>
      <c r="Q6" s="53">
        <f t="shared" ref="Q6:Q7" si="2">M6+N6</f>
        <v>0</v>
      </c>
      <c r="R6" s="54">
        <v>2000000</v>
      </c>
      <c r="S6" s="55">
        <f t="shared" ref="S6:S7" si="3">P6-L6</f>
        <v>1</v>
      </c>
      <c r="T6" s="55">
        <f t="shared" ref="T6:T7" si="4">SUM(R6*S6)</f>
        <v>2000000</v>
      </c>
      <c r="U6" s="55">
        <f t="shared" ref="U6:U7" si="5">T6</f>
        <v>2000000</v>
      </c>
      <c r="V6" s="55">
        <f t="shared" ref="V6:V7" si="6">U6*0.1</f>
        <v>200000</v>
      </c>
      <c r="W6" s="56">
        <v>0</v>
      </c>
      <c r="X6" s="57">
        <f t="shared" ref="X6:X7" si="7">ROUNDDOWN(W6*10%,-1)</f>
        <v>0</v>
      </c>
      <c r="Y6" s="57">
        <f t="shared" ref="Y6:Y7" si="8">U6+V6-W6-X6</f>
        <v>2200000</v>
      </c>
      <c r="Z6" s="58" t="s">
        <v>46</v>
      </c>
      <c r="AA6" s="59" t="s">
        <v>47</v>
      </c>
      <c r="AB6" s="60" t="s">
        <v>48</v>
      </c>
      <c r="AC6" s="61" t="s">
        <v>49</v>
      </c>
      <c r="AD6" s="62"/>
    </row>
    <row r="7" spans="1:30" ht="12" customHeight="1" x14ac:dyDescent="0.3">
      <c r="A7" s="72" t="s">
        <v>50</v>
      </c>
      <c r="B7" s="43" t="s">
        <v>41</v>
      </c>
      <c r="C7" s="44" t="s">
        <v>33</v>
      </c>
      <c r="D7" s="70" t="s">
        <v>39</v>
      </c>
      <c r="E7" s="45"/>
      <c r="F7" s="71" t="s">
        <v>43</v>
      </c>
      <c r="G7" s="46"/>
      <c r="H7" s="47" t="s">
        <v>45</v>
      </c>
      <c r="I7" s="48"/>
      <c r="J7" s="48" t="s">
        <v>34</v>
      </c>
      <c r="K7" s="49" t="s">
        <v>35</v>
      </c>
      <c r="L7" s="50">
        <v>0</v>
      </c>
      <c r="M7" s="51">
        <v>0</v>
      </c>
      <c r="N7" s="51"/>
      <c r="O7" s="51">
        <v>1</v>
      </c>
      <c r="P7" s="52">
        <f t="shared" si="1"/>
        <v>1</v>
      </c>
      <c r="Q7" s="53">
        <f t="shared" si="2"/>
        <v>0</v>
      </c>
      <c r="R7" s="54">
        <v>2000000</v>
      </c>
      <c r="S7" s="55">
        <f t="shared" si="3"/>
        <v>1</v>
      </c>
      <c r="T7" s="55">
        <f t="shared" si="4"/>
        <v>2000000</v>
      </c>
      <c r="U7" s="55">
        <f t="shared" si="5"/>
        <v>2000000</v>
      </c>
      <c r="V7" s="55">
        <f t="shared" si="6"/>
        <v>200000</v>
      </c>
      <c r="W7" s="56">
        <v>0</v>
      </c>
      <c r="X7" s="57">
        <f t="shared" si="7"/>
        <v>0</v>
      </c>
      <c r="Y7" s="57">
        <f t="shared" si="8"/>
        <v>2200000</v>
      </c>
      <c r="Z7" s="58" t="s">
        <v>46</v>
      </c>
      <c r="AA7" s="59" t="s">
        <v>47</v>
      </c>
      <c r="AB7" s="60" t="s">
        <v>48</v>
      </c>
      <c r="AC7" s="61" t="s">
        <v>49</v>
      </c>
      <c r="AD7" s="62"/>
    </row>
  </sheetData>
  <autoFilter ref="B5:AE7"/>
  <mergeCells count="3">
    <mergeCell ref="C1:F1"/>
    <mergeCell ref="L4:U4"/>
    <mergeCell ref="Z4:AD4"/>
  </mergeCells>
  <phoneticPr fontId="3" type="noConversion"/>
  <conditionalFormatting sqref="J1:J5">
    <cfRule type="beginsWith" dxfId="10" priority="40" operator="beginsWith" text="지급">
      <formula>LEFT(J1,LEN("지급"))="지급"</formula>
    </cfRule>
  </conditionalFormatting>
  <conditionalFormatting sqref="J7">
    <cfRule type="beginsWith" dxfId="9" priority="29" operator="beginsWith" text="지급">
      <formula>LEFT(J7,LEN("지급"))="지급"</formula>
    </cfRule>
  </conditionalFormatting>
  <conditionalFormatting sqref="J7">
    <cfRule type="beginsWith" dxfId="8" priority="28" operator="beginsWith" text="지급">
      <formula>LEFT(J7,LEN("지급"))="지급"</formula>
    </cfRule>
  </conditionalFormatting>
  <conditionalFormatting sqref="J6">
    <cfRule type="beginsWith" dxfId="7" priority="23" operator="beginsWith" text="지급">
      <formula>LEFT(J6,LEN("지급"))="지급"</formula>
    </cfRule>
  </conditionalFormatting>
  <conditionalFormatting sqref="J6">
    <cfRule type="beginsWith" dxfId="6" priority="22" operator="beginsWith" text="지급">
      <formula>LEFT(J6,LEN("지급"))="지급"</formula>
    </cfRule>
  </conditionalFormatting>
  <conditionalFormatting sqref="B6:B7">
    <cfRule type="duplicateValues" dxfId="2" priority="1"/>
  </conditionalFormatting>
  <conditionalFormatting sqref="B6:B7">
    <cfRule type="duplicateValues" dxfId="1" priority="2"/>
  </conditionalFormatting>
  <conditionalFormatting sqref="B6:B7">
    <cfRule type="duplicateValues" dxfId="0" priority="3"/>
  </conditionalFormatting>
  <pageMargins left="0.11811023622047245" right="0.11811023622047245" top="0.39370078740157483" bottom="0.15748031496062992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2022.12</vt:lpstr>
      <vt:lpstr>'2022.12'!Print_Area</vt:lpstr>
      <vt:lpstr>'2022.12'!Print_Titles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2022-08-03T11:06:04Z</dcterms:created>
  <dcterms:modified xsi:type="dcterms:W3CDTF">2022-12-06T04:34:39Z</dcterms:modified>
</cp:coreProperties>
</file>